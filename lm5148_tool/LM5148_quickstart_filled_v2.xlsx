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lockStructure="1" workbookAlgorithmName="SHA-512" workbookHashValue="z5FqPcKKBi5N5vWNRvcYhJXgQpCVhA6Nlkt2y6dNUxC67iEK3bipfR2nj7F8lthz3hfo8uuKqtD3glDULCo3lg==" workbookSaltValue="jp688ZIxTdWp8B4uuQx0XQ==" workbookSpinCount="100000"/>
  <bookViews>
    <workbookView visibility="visible" minimized="0" showHorizontalScroll="1" showVerticalScroll="1" showSheetTabs="1" xWindow="-120" yWindow="-120" windowWidth="38640" windowHeight="21120" tabRatio="329" firstSheet="0" activeTab="0" autoFilterDateGrouping="1"/>
  </bookViews>
  <sheets>
    <sheet xmlns:r="http://schemas.openxmlformats.org/officeDocument/2006/relationships" name="Design Regulator" sheetId="1" state="visible" r:id="rId1"/>
    <sheet xmlns:r="http://schemas.openxmlformats.org/officeDocument/2006/relationships" name="Input Filters" sheetId="2" state="hidden" r:id="rId2"/>
    <sheet xmlns:r="http://schemas.openxmlformats.org/officeDocument/2006/relationships" name="Design Input Filter" sheetId="3" state="hidden" r:id="rId3"/>
    <sheet xmlns:r="http://schemas.openxmlformats.org/officeDocument/2006/relationships" name="BOM &amp; Schematic" sheetId="4" state="visible" r:id="rId4"/>
    <sheet xmlns:r="http://schemas.openxmlformats.org/officeDocument/2006/relationships" name="EVM" sheetId="5" state="visible" r:id="rId5"/>
    <sheet xmlns:r="http://schemas.openxmlformats.org/officeDocument/2006/relationships" name="Variable Management" sheetId="6" state="hidden" r:id="rId6"/>
    <sheet xmlns:r="http://schemas.openxmlformats.org/officeDocument/2006/relationships" name="Schematic Management" sheetId="7" state="hidden" r:id="rId7"/>
    <sheet xmlns:r="http://schemas.openxmlformats.org/officeDocument/2006/relationships" name="Stability Calculations" sheetId="8" state="hidden" r:id="rId8"/>
    <sheet xmlns:r="http://schemas.openxmlformats.org/officeDocument/2006/relationships" name="Bode Plot Management" sheetId="9" state="hidden" r:id="rId9"/>
    <sheet xmlns:r="http://schemas.openxmlformats.org/officeDocument/2006/relationships" name="Efficiency Calculations" sheetId="10" state="hidden" r:id="rId10"/>
    <sheet xmlns:r="http://schemas.openxmlformats.org/officeDocument/2006/relationships" name="Efficiency Plot Management" sheetId="11" state="hidden" r:id="rId11"/>
    <sheet xmlns:r="http://schemas.openxmlformats.org/officeDocument/2006/relationships" name="Input Filter Calculations" sheetId="12" state="hidden" r:id="rId12"/>
    <sheet xmlns:r="http://schemas.openxmlformats.org/officeDocument/2006/relationships" name="Standard Value Calculator" sheetId="13" state="hidden" r:id="rId13"/>
    <sheet xmlns:r="http://schemas.openxmlformats.org/officeDocument/2006/relationships" name="Snubber" sheetId="14" state="hidden" r:id="rId14"/>
    <sheet xmlns:r="http://schemas.openxmlformats.org/officeDocument/2006/relationships" name="Parallel Output Caps" sheetId="15" state="hidden" r:id="rId15"/>
  </sheets>
  <definedNames>
    <definedName name="_Don1">'Variable Management'!$B$34</definedName>
    <definedName name="_Don2">'Variable Management'!$B$49</definedName>
    <definedName name="Acs">'Variable Management'!$B$223</definedName>
    <definedName name="Acs_Ch2">'Variable Management'!$D$223</definedName>
    <definedName name="Adc">'Stability Calculations'!$U$3</definedName>
    <definedName name="AEA">'Variable Management'!$B$221</definedName>
    <definedName name="Afb">'Variable Management'!$B$222</definedName>
    <definedName name="Afb_Ch2">'Variable Management'!$D$222</definedName>
    <definedName name="Afbr">'Stability Calculations'!$Q$6</definedName>
    <definedName name="Am">'Variable Management'!$B$225</definedName>
    <definedName name="Am_buck">'Variable Management'!$B$224</definedName>
    <definedName name="Am_buck_Ch2">'Variable Management'!$D$224</definedName>
    <definedName name="Am_Ch2">'Variable Management'!$D$225</definedName>
    <definedName name="Attn_req">'Variable Management'!$B$284</definedName>
    <definedName name="BODE_PLOT_Ch1">'Bode Plot Management'!$B$5</definedName>
    <definedName name="BODE_PLOT_Ch2">'Bode Plot Management'!$B$8</definedName>
    <definedName name="BODE_PLOT_TYPE">'Variable Management'!$AA$10</definedName>
    <definedName name="Buck_CS_threshold">'Variable Management'!$B$85</definedName>
    <definedName name="Buck_CS_threshold_max">'Variable Management'!$B$86</definedName>
    <definedName name="Buck_CS_threshold_min">'Variable Management'!$B$84</definedName>
    <definedName name="Cb">'Variable Management'!$B$194</definedName>
    <definedName name="Cbw">'Variable Management'!$B$219</definedName>
    <definedName name="Cby">'Variable Management'!$B$193</definedName>
    <definedName name="Cc1ea">'Variable Management'!$B$242</definedName>
    <definedName name="Cc1ea_u">'Variable Management'!$B$248</definedName>
    <definedName name="Cc2ea">'Variable Management'!$B$243</definedName>
    <definedName name="Cc2ea_u">'Variable Management'!$B$249</definedName>
    <definedName name="Cc3ea">'Variable Management'!$D$242</definedName>
    <definedName name="Cc3ea_u">'Variable Management'!$D$248</definedName>
    <definedName name="Cc4ea">'Variable Management'!$D$243</definedName>
    <definedName name="Cc4ea_u">'Variable Management'!$D$249</definedName>
    <definedName name="Ccomp_AEF">'Variable Management'!$D$297</definedName>
    <definedName name="Cdamp_AEFstd">'Standard Value Calculator'!$N$4</definedName>
    <definedName name="Cdamp_PassiveStd">'Standard Value Calculator'!$L$4</definedName>
    <definedName name="CdampCom">'Input Filter Calculations'!$AE$5</definedName>
    <definedName name="CdampPssv">'Input Filter Calculations'!$M$5</definedName>
    <definedName name="CdampSel">'Variable Management'!$D$295</definedName>
    <definedName name="Cdither">'Variable Management'!$B$193</definedName>
    <definedName name="Cdither_init">'Variable Management'!$B$192</definedName>
    <definedName name="Cfb">'Variable Management'!$B$261</definedName>
    <definedName name="Cff">'Variable Management'!$B$260</definedName>
    <definedName name="CfilterPssv">'Input Filter Calculations'!$M$4</definedName>
    <definedName name="Ch2_VOUT">'Variable Management'!$O$16</definedName>
    <definedName name="Cin">'Variable Management'!$B$150</definedName>
    <definedName name="Cin_PassiveStd">'Standard Value Calculator'!$K$4</definedName>
    <definedName name="CinEsrMax">'Variable Management'!$B$154</definedName>
    <definedName name="Cinj_AEF">'Variable Management'!$B$293</definedName>
    <definedName name="Cinj_AEFstd">'Standard Value Calculator'!$M$4</definedName>
    <definedName name="CinjCom">'Input Filter Calculations'!$AE$4</definedName>
    <definedName name="CinjSel">'Variable Management'!$D$293</definedName>
    <definedName name="Cinmin">'Variable Management'!$B$147</definedName>
    <definedName name="COMP_TYPE">'Variable Management'!$AA$21</definedName>
    <definedName name="Core_Loss_Ch1">'Variable Management'!$B$73</definedName>
    <definedName name="Coss_Q1">'Variable Management'!$B$336</definedName>
    <definedName name="Coss_Q2">'Variable Management'!$D$336</definedName>
    <definedName name="Cout">'Variable Management'!$B$122</definedName>
    <definedName name="Cout_ESR">'Variable Management'!$B$126</definedName>
    <definedName name="Cout_min">'Variable Management'!$B$120</definedName>
    <definedName name="Cout2">'Variable Management'!$D$122</definedName>
    <definedName name="Cout2_ESR">'Variable Management'!$D$126</definedName>
    <definedName name="Cout2_min">'Variable Management'!$D$120</definedName>
    <definedName name="Cout2EsrMax">'Variable Management'!$D$123</definedName>
    <definedName name="CoutEsrMax">'Variable Management'!$B$123</definedName>
    <definedName name="Cres">'Variable Management'!$B$174</definedName>
    <definedName name="Cres_u">'Variable Management'!$B$175</definedName>
    <definedName name="CSAmp_gain">'Variable Management'!$B$198</definedName>
    <definedName name="Csb">'Variable Management'!$B$191</definedName>
    <definedName name="Csen_AEF">'Variable Management'!$D$299</definedName>
    <definedName name="Css">'Variable Management'!$B$169</definedName>
    <definedName name="Css_u">'Variable Management'!$B$170</definedName>
    <definedName name="D1_Vinmax">'Variable Management'!$B$39</definedName>
    <definedName name="D1_Vinmax_2">'Variable Management'!$B$54</definedName>
    <definedName name="D1_Vinmin">'Variable Management'!$B$37</definedName>
    <definedName name="D1_Vinmin_2">'Variable Management'!$B$52</definedName>
    <definedName name="D1_Vinnom">'Variable Management'!$B$38</definedName>
    <definedName name="D1_Vinnom_2">'Variable Management'!$B$53</definedName>
    <definedName name="D2_Vinmax">'Variable Management'!$D$39</definedName>
    <definedName name="D2_Vinmax_2">'Variable Management'!$D$54</definedName>
    <definedName name="D2_Vinmin">'Variable Management'!$D$37</definedName>
    <definedName name="D2_Vinmin_2">'Variable Management'!$D$52</definedName>
    <definedName name="D2_Vinnom">'Variable Management'!$D$38</definedName>
    <definedName name="D2_Vinnom_2">'Variable Management'!$D$53</definedName>
    <definedName name="Deadtime">'Variable Management'!$B$325</definedName>
    <definedName name="DEMB">'Variable Management'!$X$10</definedName>
    <definedName name="DITHER">'Variable Management'!$O$10</definedName>
    <definedName name="Doff1">'Variable Management'!$B$35</definedName>
    <definedName name="Doff2">'Variable Management'!$B$50</definedName>
    <definedName name="Don_buckboost">'Variable Management'!$B$40</definedName>
    <definedName name="EFF_Ch1">'Efficiency Plot Management'!$B$5</definedName>
    <definedName name="EFF_Ch2">'Efficiency Plot Management'!$B$7</definedName>
    <definedName name="Efficiency">'Variable Management'!$B$18</definedName>
    <definedName name="Ext_VCC">'Variable Management'!$X$15</definedName>
    <definedName name="Fcross">'Variable Management'!$B$240</definedName>
    <definedName name="Fcross_Ch2">'Variable Management'!$D$240</definedName>
    <definedName name="Fdither">'Variable Management'!$B$191</definedName>
    <definedName name="Fesr">'Variable Management'!$B$237</definedName>
    <definedName name="Fesr_Ch2">'Variable Management'!$D$237</definedName>
    <definedName name="Fload_u">'Variable Management'!$B$232</definedName>
    <definedName name="Fload_u_Ch2">'Variable Management'!$D$232</definedName>
    <definedName name="Fp_dominant">'Variable Management'!$B$233</definedName>
    <definedName name="Fp_dominant_Ch2">'Variable Management'!$D$233</definedName>
    <definedName name="Fp1_u">'Variable Management'!$B$235</definedName>
    <definedName name="Fp1_u_Ch2">'Variable Management'!$D$235</definedName>
    <definedName name="Fp2_u">'Variable Management'!$B$236</definedName>
    <definedName name="Fp2_u_Ch2">'Variable Management'!$D$236</definedName>
    <definedName name="Fsw">'Variable Management'!$B$26</definedName>
    <definedName name="Fx_infilter">'Variable Management'!$B$285</definedName>
    <definedName name="Fz1_u">'Variable Management'!$B$252</definedName>
    <definedName name="Fz1_u_Ch2">'Variable Management'!$D$252</definedName>
    <definedName name="GBW">'Variable Management'!$B$218</definedName>
    <definedName name="Gfs_Q1">'Variable Management'!$B$338</definedName>
    <definedName name="Gfs_Q2">'Variable Management'!$D$338</definedName>
    <definedName name="gm">'Variable Management'!$B$200</definedName>
    <definedName name="Gop_AEF">'Variable Management'!$B$289</definedName>
    <definedName name="Icoutrms">'Variable Management'!$B$111</definedName>
    <definedName name="Iin_Vinmax">'Variable Management'!$B$23</definedName>
    <definedName name="Iin_Vinmin">'Variable Management'!$B$21</definedName>
    <definedName name="Iin_Vinnom">'Variable Management'!$B$22</definedName>
    <definedName name="Ilimit_DC">'Variable Management'!$B$77</definedName>
    <definedName name="Ilimit2_DC">'Variable Management'!$D$77</definedName>
    <definedName name="INFILTER_TYPE">'Variable Management'!$X$28</definedName>
    <definedName name="Iout">'Variable Management'!$B$12</definedName>
    <definedName name="Iout_OCP_Vinmax">'Variable Management'!$B$99</definedName>
    <definedName name="Iout_OCP_Vinmin">'Variable Management'!$B$97</definedName>
    <definedName name="Iout_OCP_Vinnom">'Variable Management'!$B$98</definedName>
    <definedName name="Iout2_OCP_Vinmax">'Variable Management'!$D$99</definedName>
    <definedName name="Iout2_OCP_Vinmin">'Variable Management'!$D$97</definedName>
    <definedName name="Iout2_OCP_Vinnom">'Variable Management'!$D$98</definedName>
    <definedName name="Iq">'Variable Management'!$B$327</definedName>
    <definedName name="Ireverse">'Variable Management'!$B$352</definedName>
    <definedName name="Iripple_Vinmax">'Variable Management'!$B$58</definedName>
    <definedName name="Iripple_Vinmin">'Variable Management'!$B$56</definedName>
    <definedName name="Iripple_Vinnom">'Variable Management'!$B$57</definedName>
    <definedName name="Iripple2_Vinmax">'Variable Management'!$D$58</definedName>
    <definedName name="Iripple2_Vinmin">'Variable Management'!$D$56</definedName>
    <definedName name="Iripple2_Vinnom">'Variable Management'!$D$57</definedName>
    <definedName name="Iss">'Variable Management'!$B$168</definedName>
    <definedName name="k">'Variable Management'!$B$214</definedName>
    <definedName name="k_buck">'Variable Management'!$B$211</definedName>
    <definedName name="k_Ch2">'Variable Management'!$D$214</definedName>
    <definedName name="L_infilter">'Variable Management'!$B$287</definedName>
    <definedName name="L_infilterStd">'Input Filter Calculations'!$D$3</definedName>
    <definedName name="LAEFCom">'Input Filter Calculations'!$AE$3</definedName>
    <definedName name="Lf">'Variable Management'!$B$46</definedName>
    <definedName name="LinfilterPssv">'Input Filter Calculations'!$M$3</definedName>
    <definedName name="Lo_2">'Variable Management'!$D$46</definedName>
    <definedName name="loopPM">'Stability Calculations'!$AI$9</definedName>
    <definedName name="loopxover">'Stability Calculations'!$AI$7</definedName>
    <definedName name="Lopt">'Variable Management'!$B$44</definedName>
    <definedName name="Lopt2">'Variable Management'!$D$44</definedName>
    <definedName name="Ltc">'Variable Management'!$B$312</definedName>
    <definedName name="mc">'Variable Management'!$B$213</definedName>
    <definedName name="mc_buck">'Variable Management'!$B$210</definedName>
    <definedName name="mc_buck_Ch2">'Variable Management'!$D$210</definedName>
    <definedName name="mc_Ch2">'Variable Management'!$D$213</definedName>
    <definedName name="MODE">'Variable Management'!$U$13</definedName>
    <definedName name="nAEF">'Variable Management'!$B$290</definedName>
    <definedName name="No_RT">'Variable Management'!$H$443</definedName>
    <definedName name="Number_of_Phases">'Variable Management'!$U$15</definedName>
    <definedName name="OSC">'Variable Management'!$X$21</definedName>
    <definedName name="Pi">'Variable Management'!$B$197</definedName>
    <definedName name="PICTURE">INDIRECT('Efficiency Plot Management'!$A$2)</definedName>
    <definedName name="PICTURE3">INDIRECT('Bode Plot Management'!$A$2)</definedName>
    <definedName name="Pin">'Variable Management'!$B$19</definedName>
    <definedName name="PLOT_TYPE">'Variable Management'!$L$10</definedName>
    <definedName name="pole1">'Stability Calculations'!$K$4</definedName>
    <definedName name="Pole2">'Stability Calculations'!$C$5</definedName>
    <definedName name="pole3">'Stability Calculations'!$N$3</definedName>
    <definedName name="pole4">'Stability Calculations'!$C$7</definedName>
    <definedName name="Pout">'Variable Management'!$B$16</definedName>
    <definedName name="pterm1">'Stability Calculations'!$N$4</definedName>
    <definedName name="pterm2">'Stability Calculations'!$N$5</definedName>
    <definedName name="pterm3">'Stability Calculations'!$Q$4</definedName>
    <definedName name="pterm4">'Stability Calculations'!$Q$5</definedName>
    <definedName name="Q">'Variable Management'!$B$215</definedName>
    <definedName name="Q_Ch2">'Variable Management'!$D$215</definedName>
    <definedName name="Qg_Q1">'Variable Management'!$B$332</definedName>
    <definedName name="Qg_Q2">'Variable Management'!$D$332</definedName>
    <definedName name="Qgd_Q1">'Variable Management'!$B$333</definedName>
    <definedName name="Qgd_Q2">'Variable Management'!$D$333</definedName>
    <definedName name="Qgs_Q1">'Variable Management'!$B$334</definedName>
    <definedName name="Qgs_Q2">'Variable Management'!$D$334</definedName>
    <definedName name="Qoss_Q1">'Variable Management'!$B$335</definedName>
    <definedName name="Qoss_Q2">'Variable Management'!$D$335</definedName>
    <definedName name="Qrr_Q2">'Variable Management'!$D$343</definedName>
    <definedName name="QrrSky_Q2">'Variable Management'!$B$351</definedName>
    <definedName name="radconv">'Stability Calculations'!$U$6</definedName>
    <definedName name="Rcea1">'Variable Management'!$B$241</definedName>
    <definedName name="Rcea1_u">'Variable Management'!$B$247</definedName>
    <definedName name="Rcea2">'Variable Management'!$D$241</definedName>
    <definedName name="Rcea2_u">'Variable Management'!#REF!</definedName>
    <definedName name="RCinEsr">'Variable Management'!$B$156</definedName>
    <definedName name="Rcomp_AEF">'Variable Management'!$B$298</definedName>
    <definedName name="RCoutEsr">'Variable Management'!$B$126</definedName>
    <definedName name="Rdamp_AEFstd">'Standard Value Calculator'!$S$26</definedName>
    <definedName name="Rdamp_PassiveStd">'Standard Value Calculator'!$S$27</definedName>
    <definedName name="RdampCom">'Input Filter Calculations'!$AE$6</definedName>
    <definedName name="RdampPssv">'Input Filter Calculations'!$M$6</definedName>
    <definedName name="RdampSel">'Variable Management'!$D$296</definedName>
    <definedName name="Rdcr">'Variable Management'!$B$47</definedName>
    <definedName name="Rdcr2">'Variable Management'!$D$47</definedName>
    <definedName name="Rdson1">'Variable Management'!$B$330</definedName>
    <definedName name="Rdson2">'Variable Management'!$D$330</definedName>
    <definedName name="RdsonBotTc">'Variable Management'!$D$331</definedName>
    <definedName name="RdsonDRB">'Variable Management'!$B$322</definedName>
    <definedName name="RdsonDRB2">'Variable Management'!$B$323</definedName>
    <definedName name="RdsonDRT">'Variable Management'!$B$319</definedName>
    <definedName name="RdsonDRT2">'Variable Management'!$B$320</definedName>
    <definedName name="RdsonTopTc">'Variable Management'!$B$331</definedName>
    <definedName name="Rfadj">'Variable Management'!$B$31</definedName>
    <definedName name="Rfb1_">'Variable Management'!$B$255</definedName>
    <definedName name="Rfb2_">'Variable Management'!$B$256</definedName>
    <definedName name="Rfb2_u">'Variable Management'!$B$257</definedName>
    <definedName name="Rfb3_">'Variable Management'!$D$255</definedName>
    <definedName name="Rfb4_">'Variable Management'!$D$256</definedName>
    <definedName name="Rfb4_u">'Variable Management'!$D$257</definedName>
    <definedName name="Rfets">'Variable Management'!$B$274</definedName>
    <definedName name="Rff">'Variable Management'!$B$259</definedName>
    <definedName name="Rgate1">'Variable Management'!$B$337</definedName>
    <definedName name="Rgate2">'Variable Management'!$D$337</definedName>
    <definedName name="Ri">'Variable Management'!$B$199</definedName>
    <definedName name="Ri_Ch2">'Variable Management'!$D$199</definedName>
    <definedName name="Ro">'Variable Management'!$B$230</definedName>
    <definedName name="Ro_Ch2">'Variable Management'!$D$230</definedName>
    <definedName name="RoEA">'Variable Management'!$B$220</definedName>
    <definedName name="Rout">'Variable Management'!$B$14</definedName>
    <definedName name="Rout2">'Variable Management'!$B$15</definedName>
    <definedName name="Rpg">'Variable Management'!$B$177</definedName>
    <definedName name="Rs">'Variable Management'!$B$93</definedName>
    <definedName name="Rs_Ch2">'Variable Management'!$D$93</definedName>
    <definedName name="Rs_ideal">'Variable Management'!$B$92</definedName>
    <definedName name="Rs2_ideal">'Variable Management'!$D$92</definedName>
    <definedName name="Sch_AdjVout_ExtComp_AEF">'Schematic Management'!$B$21</definedName>
    <definedName name="Sch_AdjVout_ExtComp_nAEF">'Schematic Management'!$B$19</definedName>
    <definedName name="Sch_AdjVout_IntComp_AEF">'Schematic Management'!$B$17</definedName>
    <definedName name="Sch_AdjVout_IntComp_nAEF">'Schematic Management'!$B$14</definedName>
    <definedName name="SCH_MODE">'Variable Management'!$U$12</definedName>
    <definedName name="SCH_SETTING">'Variable Management'!$L$33</definedName>
    <definedName name="Sch_SetVout_ExtComp_AEF">'Schematic Management'!$B$12</definedName>
    <definedName name="Sch_SetVout_ExtComp_nAEF">'Schematic Management'!$B$10</definedName>
    <definedName name="Sch_SetVout_IntComp_AEF">'Schematic Management'!$B$8</definedName>
    <definedName name="Sch_SetVout_IntComp_nAEF">'Schematic Management'!$B$5</definedName>
    <definedName name="Se_ext">'Variable Management'!$B$202</definedName>
    <definedName name="Sf">'Variable Management'!$B$204</definedName>
    <definedName name="Sf_Ch2">'Variable Management'!$D$204</definedName>
    <definedName name="SINGLE_OUTPUT">'Variable Management'!$U$14</definedName>
    <definedName name="Sn">'Variable Management'!$B$203</definedName>
    <definedName name="Sn_Ch2">'Variable Management'!$D$203</definedName>
    <definedName name="Ta">'Variable Management'!$B$310</definedName>
    <definedName name="Tf_buck">'Variable Management'!$B$359</definedName>
    <definedName name="Tf_Ch2">'Variable Management'!$D$359</definedName>
    <definedName name="ThetaCa">'Variable Management'!$B$313</definedName>
    <definedName name="ThetaJA_Q1">'Variable Management'!$B$345</definedName>
    <definedName name="ThetaJA_Q2">'Variable Management'!$D$345</definedName>
    <definedName name="ThetaJaCtrl">'Variable Management'!$B$355</definedName>
    <definedName name="TL">'Variable Management'!$B$73</definedName>
    <definedName name="Tr_buck">'Variable Management'!$B$358</definedName>
    <definedName name="Tr_Ch2">'Variable Management'!$D$358</definedName>
    <definedName name="Tres">'Variable Management'!$B$173</definedName>
    <definedName name="Trr_Q1">'Variable Management'!$B$344</definedName>
    <definedName name="Trr_Q2">'Variable Management'!$D$344</definedName>
    <definedName name="Ts">'Variable Management'!$B$29</definedName>
    <definedName name="Tss">'Variable Management'!$B$167</definedName>
    <definedName name="UVLO_TYPE">'Variable Management'!$AA$27</definedName>
    <definedName name="VARIANT">'Variable Management'!$Q$29</definedName>
    <definedName name="VCC">'Variable Management'!$B$317</definedName>
    <definedName name="VfdSky_Q2">'Variable Management'!$B$350</definedName>
    <definedName name="Vin">'Variable Management'!$B$8</definedName>
    <definedName name="VIN_max">'Variable Management'!$B$9</definedName>
    <definedName name="VIN_MAX_RATING">'Variable Management'!$P$30</definedName>
    <definedName name="VIN_min">'Variable Management'!$B$7</definedName>
    <definedName name="VIN_nom">'Variable Management'!$B$8</definedName>
    <definedName name="VinRipple_dBuV">'Variable Management'!$B$282</definedName>
    <definedName name="Vinripple1">'Variable Management'!$B$140</definedName>
    <definedName name="Vinripple2">'Variable Management'!$B$162</definedName>
    <definedName name="Vo1_ripple">'Variable Management'!$B$116</definedName>
    <definedName name="Vo2_ripple">'Variable Management'!$D$116</definedName>
    <definedName name="Vout">'Variable Management'!$B$11</definedName>
    <definedName name="VOUT_MAX_RATING">'Variable Management'!$P$31</definedName>
    <definedName name="VOUT_setting">'Variable Management'!$L$17</definedName>
    <definedName name="Vout2">'Variable Management'!$B$13</definedName>
    <definedName name="Vref">'Variable Management'!$B$30</definedName>
    <definedName name="Vsd_Q1">'Variable Management'!$B$342</definedName>
    <definedName name="Vsd_Q2">'Variable Management'!$D$342</definedName>
    <definedName name="Vsp_Q1">'Variable Management'!$B$340</definedName>
    <definedName name="Vsp_Q2">'Variable Management'!$D$340</definedName>
    <definedName name="Vth_Q1">'Variable Management'!$B$339</definedName>
    <definedName name="Vth_Q2">'Variable Management'!$D$339</definedName>
    <definedName name="w_fbff">'Variable Management'!$B$266</definedName>
    <definedName name="w_fbffHz">'Variable Management'!$B$266</definedName>
    <definedName name="wfbbHz">'Variable Management'!$B$265</definedName>
    <definedName name="wfbtHz">'Variable Management'!$B$264</definedName>
    <definedName name="wffHz">'Variable Management'!$B$263</definedName>
    <definedName name="wfftHz">'Variable Management'!$B$267</definedName>
    <definedName name="z_RHP">'Stability Calculations'!$K$5</definedName>
    <definedName name="Zero1">'Stability Calculations'!$K$3</definedName>
    <definedName name="Zero2">'Stability Calculations'!$C$4</definedName>
    <definedName name="zterm1">'Stability Calculations'!$Q$3</definedName>
    <definedName name="PICTURE2" localSheetId="0">INDIRECT('Schematic Management'!$A$2)</definedName>
    <definedName name="_xlnm.Print_Area" localSheetId="0">'Design Regulator'!$A$1:$P$106</definedName>
    <definedName name="PICTURE2" localSheetId="3">INDIRECT('Schematic Management'!$A$2)</definedName>
    <definedName name="_xlnm.Print_Area" localSheetId="3">'BOM &amp; Schematic'!$A$1:$J$61</definedName>
    <definedName name="Frhp" localSheetId="8">'Variable Management'!#REF!</definedName>
    <definedName name="Iout_threshold" localSheetId="8">'Variable Management'!#REF!</definedName>
  </definedNames>
  <calcPr calcId="191029" fullCalcOnLoad="1"/>
</workbook>
</file>

<file path=xl/styles.xml><?xml version="1.0" encoding="utf-8"?>
<styleSheet xmlns="http://schemas.openxmlformats.org/spreadsheetml/2006/main">
  <numFmts count="27">
    <numFmt numFmtId="164" formatCode="0.000E+00"/>
    <numFmt numFmtId="165" formatCode="0.0"/>
    <numFmt numFmtId="166" formatCode="0.00000"/>
    <numFmt numFmtId="167" formatCode="#0.0#"/>
    <numFmt numFmtId="168" formatCode="0.000"/>
    <numFmt numFmtId="169" formatCode="0.00000000"/>
    <numFmt numFmtId="170" formatCode="0.0000"/>
    <numFmt numFmtId="171" formatCode="General&quot;k&quot;"/>
    <numFmt numFmtId="172" formatCode="General&quot;µF&quot;"/>
    <numFmt numFmtId="173" formatCode="General&quot;pF&quot;"/>
    <numFmt numFmtId="174" formatCode="General&quot;nF&quot;"/>
    <numFmt numFmtId="175" formatCode="General&quot;µH&quot;"/>
    <numFmt numFmtId="176" formatCode="0.000000"/>
    <numFmt numFmtId="177" formatCode="0.0%"/>
    <numFmt numFmtId="178" formatCode="0.0E+00"/>
    <numFmt numFmtId="179" formatCode="General&quot;m&quot;"/>
    <numFmt numFmtId="180" formatCode="0.0.E+00"/>
    <numFmt numFmtId="181" formatCode="&quot;Resistor, Chip, &quot;General&quot;Ω, 1/16W, 1%&quot;"/>
    <numFmt numFmtId="182" formatCode="&quot;Resistor, Chip, &quot;General&quot;kΩ, 1/16W, 1%&quot;"/>
    <numFmt numFmtId="183" formatCode="&quot;MOSFET, N-CH, 40V, &quot;General&quot;mΩ&quot;"/>
    <numFmt numFmtId="184" formatCode="&quot;Resistor, Chip, &quot;General&quot;mΩ, 2W, 1%&quot;"/>
    <numFmt numFmtId="185" formatCode="&quot;Inductor, &quot;General&quot;-µH, 10%&quot;"/>
    <numFmt numFmtId="186" formatCode="&quot;Capacitor, Ceramic, &quot;General&quot;µF, 25V, X7R, 20%&quot;"/>
    <numFmt numFmtId="187" formatCode="&quot;Capacitor, Ceramic, &quot;General&quot;nF, 16V, X7R, 10%&quot;"/>
    <numFmt numFmtId="188" formatCode="&quot;Capacitor, Ceramic, &quot;General&quot;µF, 10V, X7R, 20%&quot;"/>
    <numFmt numFmtId="189" formatCode="&quot;Capacitor, Ceramic, &quot;General&quot;pF, 50V, NP0, 5%&quot;"/>
    <numFmt numFmtId="190" formatCode="&quot;Capacitor, Ceramic, &quot;General&quot;µF, 50V, X7R, 20%&quot;"/>
  </numFmts>
  <fonts count="95">
    <font>
      <name val="Arial"/>
      <sz val="10"/>
    </font>
    <font>
      <name val="Calibri"/>
      <family val="2"/>
      <color theme="1"/>
      <sz val="11"/>
      <scheme val="minor"/>
    </font>
    <font>
      <name val="Arial"/>
      <family val="2"/>
      <sz val="10"/>
    </font>
    <font>
      <name val="Arial"/>
      <family val="2"/>
      <b val="1"/>
      <sz val="10"/>
    </font>
    <font>
      <name val="Arial"/>
      <family val="2"/>
      <b val="1"/>
      <color indexed="44"/>
      <sz val="22"/>
    </font>
    <font>
      <name val="Arial"/>
      <family val="2"/>
      <sz val="8"/>
    </font>
    <font>
      <name val="Arial"/>
      <family val="2"/>
      <i val="1"/>
      <sz val="10"/>
    </font>
    <font>
      <name val="Arial"/>
      <family val="2"/>
      <b val="1"/>
      <i val="1"/>
      <sz val="10"/>
    </font>
    <font>
      <name val="Arial"/>
      <family val="2"/>
      <sz val="10"/>
    </font>
    <font>
      <name val="Arial"/>
      <family val="2"/>
      <sz val="10"/>
      <vertAlign val="subscript"/>
    </font>
    <font>
      <name val="Arial"/>
      <family val="2"/>
      <color indexed="12"/>
      <sz val="10"/>
      <u val="single"/>
    </font>
    <font>
      <name val="Arial"/>
      <family val="2"/>
      <b val="1"/>
      <sz val="16"/>
    </font>
    <font>
      <name val="Arial"/>
      <family val="2"/>
      <color indexed="44"/>
      <sz val="10"/>
    </font>
    <font>
      <name val="Arial"/>
      <family val="2"/>
      <b val="1"/>
      <color indexed="44"/>
      <sz val="28"/>
    </font>
    <font>
      <name val="Arial"/>
      <family val="2"/>
      <b val="1"/>
      <color indexed="44"/>
      <sz val="10"/>
    </font>
    <font>
      <name val="Arial"/>
      <family val="2"/>
      <color indexed="8"/>
      <sz val="10"/>
    </font>
    <font>
      <name val="Arial"/>
      <family val="2"/>
      <b val="1"/>
      <color indexed="44"/>
      <sz val="24"/>
    </font>
    <font>
      <name val="Calibri"/>
      <family val="2"/>
      <sz val="10"/>
    </font>
    <font>
      <name val="Calibri"/>
      <family val="2"/>
      <b val="1"/>
      <sz val="10"/>
    </font>
    <font>
      <name val="Calibri"/>
      <family val="2"/>
      <color indexed="55"/>
      <sz val="10"/>
    </font>
    <font>
      <name val="Calibri"/>
      <family val="2"/>
      <b val="1"/>
      <color indexed="9"/>
      <sz val="10"/>
    </font>
    <font>
      <name val="Arial"/>
      <family val="2"/>
      <b val="1"/>
      <color indexed="48"/>
      <sz val="12"/>
    </font>
    <font>
      <name val="Arial"/>
      <family val="2"/>
      <b val="1"/>
      <color indexed="12"/>
      <sz val="12"/>
    </font>
    <font>
      <name val="Calibri"/>
      <family val="2"/>
      <color indexed="23"/>
      <sz val="10"/>
    </font>
    <font>
      <name val="Calibri"/>
      <family val="2"/>
      <b val="1"/>
      <color indexed="9"/>
      <sz val="12"/>
    </font>
    <font>
      <name val="Calibri"/>
      <family val="2"/>
      <sz val="12"/>
    </font>
    <font>
      <name val="Calibri"/>
      <family val="2"/>
      <b val="1"/>
      <color indexed="9"/>
      <sz val="22"/>
    </font>
    <font>
      <name val="Calibri"/>
      <family val="2"/>
      <b val="1"/>
      <color indexed="13"/>
      <sz val="10"/>
    </font>
    <font>
      <name val="Arial"/>
      <family val="2"/>
      <b val="1"/>
      <color indexed="10"/>
      <sz val="10"/>
      <u val="single"/>
    </font>
    <font>
      <name val="Calibri"/>
      <family val="2"/>
      <color indexed="56"/>
      <sz val="10"/>
    </font>
    <font>
      <name val="Arial"/>
      <family val="2"/>
      <color indexed="8"/>
      <sz val="10"/>
    </font>
    <font>
      <name val="Calibri"/>
      <family val="2"/>
      <b val="1"/>
      <color indexed="9"/>
      <sz val="14"/>
    </font>
    <font>
      <name val="Tahoma"/>
      <family val="2"/>
      <color indexed="81"/>
      <sz val="11"/>
    </font>
    <font>
      <name val="Calibri"/>
      <family val="2"/>
      <b val="1"/>
      <i val="1"/>
      <color indexed="12"/>
      <sz val="14"/>
    </font>
    <font>
      <name val="Tahoma"/>
      <family val="2"/>
      <b val="1"/>
      <color indexed="81"/>
      <sz val="9"/>
    </font>
    <font>
      <name val="Tahoma"/>
      <family val="2"/>
      <b val="1"/>
      <color indexed="81"/>
      <sz val="10"/>
    </font>
    <font>
      <name val="Tahoma"/>
      <family val="2"/>
      <color indexed="81"/>
      <sz val="9"/>
    </font>
    <font>
      <name val="Tahoma"/>
      <family val="2"/>
      <b val="1"/>
      <color indexed="81"/>
      <sz val="9"/>
      <u val="single"/>
    </font>
    <font>
      <name val="Tahoma"/>
      <family val="2"/>
      <color indexed="10"/>
      <sz val="11"/>
    </font>
    <font>
      <name val="Tahoma"/>
      <family val="2"/>
      <b val="1"/>
      <color indexed="10"/>
      <sz val="9"/>
    </font>
    <font>
      <name val="Tahoma"/>
      <family val="2"/>
      <color indexed="81"/>
      <sz val="10"/>
    </font>
    <font>
      <name val="Tahoma"/>
      <family val="2"/>
      <color indexed="39"/>
      <sz val="9"/>
    </font>
    <font>
      <name val="Tahoma"/>
      <family val="2"/>
      <b val="1"/>
      <color indexed="39"/>
      <sz val="9"/>
    </font>
    <font>
      <name val="Tahoma"/>
      <family val="2"/>
      <b val="1"/>
      <color indexed="81"/>
      <sz val="9"/>
      <vertAlign val="subscript"/>
    </font>
    <font>
      <name val="Tahoma"/>
      <family val="2"/>
      <color indexed="81"/>
      <sz val="9"/>
      <vertAlign val="subscript"/>
    </font>
    <font>
      <name val="Tahoma"/>
      <family val="2"/>
      <b val="1"/>
      <color indexed="81"/>
      <sz val="10"/>
      <vertAlign val="subscript"/>
    </font>
    <font>
      <name val="Tahoma"/>
      <family val="2"/>
      <color indexed="81"/>
      <sz val="10"/>
      <vertAlign val="subscript"/>
    </font>
    <font>
      <name val="Arial"/>
      <family val="2"/>
      <color rgb="FFFF0000"/>
      <sz val="36"/>
    </font>
    <font>
      <name val="Tahoma"/>
      <family val="2"/>
      <b val="1"/>
      <color indexed="10"/>
      <sz val="11"/>
      <u val="single"/>
    </font>
    <font>
      <name val="Arial"/>
      <family val="2"/>
      <color theme="0"/>
      <sz val="32"/>
    </font>
    <font>
      <name val="Arial"/>
      <family val="2"/>
      <color theme="0"/>
      <sz val="16"/>
    </font>
    <font>
      <name val="Arial"/>
      <family val="2"/>
      <b val="1"/>
      <sz val="10"/>
      <vertAlign val="subscript"/>
    </font>
    <font>
      <name val="Arial"/>
      <family val="2"/>
      <color indexed="23"/>
      <sz val="10"/>
    </font>
    <font>
      <name val="Arial"/>
      <family val="2"/>
      <color indexed="55"/>
      <sz val="10"/>
    </font>
    <font>
      <name val="Arial"/>
      <family val="2"/>
      <b val="1"/>
      <i val="1"/>
      <color indexed="55"/>
      <sz val="10"/>
    </font>
    <font>
      <name val="Arial"/>
      <family val="2"/>
      <b val="1"/>
      <i val="1"/>
      <color indexed="12"/>
      <sz val="14"/>
    </font>
    <font>
      <name val="Arial"/>
      <family val="2"/>
      <b val="1"/>
      <color indexed="8"/>
      <sz val="10"/>
    </font>
    <font>
      <name val="Arial"/>
      <family val="2"/>
      <b val="1"/>
      <color indexed="9"/>
      <sz val="14"/>
    </font>
    <font>
      <name val="Arial"/>
      <family val="2"/>
      <b val="1"/>
      <color rgb="FFFF0000"/>
      <sz val="10"/>
    </font>
    <font>
      <name val="Arial"/>
      <family val="2"/>
      <sz val="12"/>
    </font>
    <font>
      <name val="Arial"/>
      <family val="2"/>
      <color theme="1"/>
      <sz val="10"/>
    </font>
    <font>
      <name val="Arial"/>
      <family val="2"/>
      <b val="1"/>
      <color theme="1"/>
      <sz val="10"/>
    </font>
    <font>
      <name val="Arial"/>
      <family val="2"/>
      <b val="1"/>
      <color theme="1"/>
      <sz val="10"/>
      <vertAlign val="subscript"/>
    </font>
    <font>
      <name val="Arial"/>
      <family val="2"/>
      <b val="1"/>
      <color rgb="FF0000FF"/>
      <sz val="10"/>
    </font>
    <font>
      <name val="Arial"/>
      <family val="2"/>
      <color rgb="FF0000FF"/>
      <sz val="10"/>
    </font>
    <font>
      <name val="Calibri"/>
      <family val="2"/>
      <color rgb="FF0000FF"/>
      <sz val="10"/>
    </font>
    <font>
      <name val="Arial"/>
      <family val="2"/>
      <b val="1"/>
      <color rgb="FF0000FF"/>
      <sz val="10"/>
      <vertAlign val="subscript"/>
    </font>
    <font>
      <name val="Calibri"/>
      <family val="2"/>
      <b val="1"/>
      <color rgb="FF003366"/>
      <sz val="12"/>
    </font>
    <font>
      <name val="Symbol"/>
      <charset val="2"/>
      <family val="1"/>
      <sz val="10"/>
    </font>
    <font>
      <name val="Arial"/>
      <family val="2"/>
      <b val="1"/>
      <color indexed="9"/>
      <sz val="10"/>
    </font>
    <font>
      <name val="Arial"/>
      <family val="2"/>
      <b val="1"/>
      <color rgb="FF0000FF"/>
      <sz val="12"/>
    </font>
    <font>
      <name val="Arial"/>
      <family val="2"/>
      <b val="1"/>
      <sz val="10"/>
      <u val="single"/>
    </font>
    <font>
      <name val="Tahoma"/>
      <family val="2"/>
      <color indexed="12"/>
      <sz val="9"/>
      <u val="single"/>
    </font>
    <font>
      <name val="Arial"/>
      <family val="2"/>
      <color theme="1"/>
      <sz val="10"/>
      <vertAlign val="subscript"/>
    </font>
    <font>
      <name val="Arial"/>
      <family val="2"/>
      <b val="1"/>
      <sz val="11"/>
    </font>
    <font>
      <name val="Arial"/>
      <family val="2"/>
      <color rgb="FFFF0000"/>
      <sz val="10"/>
    </font>
    <font>
      <name val="Arial"/>
      <family val="2"/>
      <color rgb="FFFF0000"/>
      <sz val="10"/>
      <vertAlign val="subscript"/>
    </font>
    <font>
      <name val="Symbol"/>
      <charset val="2"/>
      <family val="1"/>
      <b val="1"/>
      <sz val="10"/>
    </font>
    <font>
      <name val="Arial"/>
      <family val="2"/>
      <color theme="0" tint="-0.499984740745262"/>
      <sz val="10"/>
      <u val="single"/>
    </font>
    <font>
      <name val="Tahoma"/>
      <family val="2"/>
      <b val="1"/>
      <color indexed="10"/>
      <sz val="12"/>
    </font>
    <font>
      <name val="Arial"/>
      <family val="2"/>
      <b val="1"/>
      <color rgb="FFC00000"/>
      <sz val="10"/>
    </font>
    <font>
      <name val="Tahoma"/>
      <family val="2"/>
      <b val="1"/>
      <color indexed="10"/>
      <sz val="9"/>
      <vertAlign val="subscript"/>
    </font>
    <font>
      <name val="Tahoma"/>
      <family val="2"/>
      <b val="1"/>
      <color indexed="14"/>
      <sz val="9"/>
    </font>
    <font>
      <name val="Arial"/>
      <family val="2"/>
      <b val="1"/>
      <color rgb="FF000000"/>
      <sz val="9"/>
    </font>
    <font>
      <name val="Arial"/>
      <family val="2"/>
      <b val="1"/>
      <color rgb="FFCC00FF"/>
      <sz val="10"/>
    </font>
    <font>
      <name val="Arial"/>
      <family val="2"/>
      <color theme="0"/>
      <sz val="10"/>
    </font>
    <font>
      <name val="Arial"/>
      <family val="2"/>
      <color rgb="FFE8FCFE"/>
      <sz val="10"/>
    </font>
    <font>
      <name val="Calibri"/>
      <family val="2"/>
      <sz val="11"/>
    </font>
    <font>
      <name val="Arial"/>
      <family val="2"/>
      <b val="1"/>
      <color theme="0"/>
      <sz val="10"/>
    </font>
    <font>
      <name val="Calibri"/>
      <family val="2"/>
      <sz val="14"/>
    </font>
    <font>
      <name val="Calibri"/>
      <family val="2"/>
      <color rgb="FF9C0006"/>
      <sz val="11"/>
      <scheme val="minor"/>
    </font>
    <font>
      <name val="Arial"/>
      <family val="2"/>
      <b val="1"/>
      <sz val="12"/>
    </font>
    <font>
      <name val="Arial"/>
      <family val="2"/>
      <b val="1"/>
      <sz val="14"/>
    </font>
    <font>
      <name val="Arial"/>
      <family val="2"/>
      <b val="1"/>
      <color theme="0"/>
      <sz val="12"/>
    </font>
    <font>
      <name val="Arial"/>
      <family val="2"/>
      <color rgb="FFFF0000"/>
      <sz val="10"/>
      <u val="single"/>
    </font>
  </fonts>
  <fills count="29">
    <fill>
      <patternFill/>
    </fill>
    <fill>
      <patternFill patternType="gray125"/>
    </fill>
    <fill>
      <patternFill patternType="solid">
        <fgColor indexed="44"/>
        <bgColor indexed="64"/>
      </patternFill>
    </fill>
    <fill>
      <patternFill patternType="solid">
        <fgColor indexed="8"/>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46"/>
        <bgColor indexed="64"/>
      </patternFill>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indexed="52"/>
        <bgColor indexed="64"/>
      </patternFill>
    </fill>
    <fill>
      <patternFill patternType="solid">
        <fgColor indexed="50"/>
        <bgColor indexed="64"/>
      </patternFill>
    </fill>
    <fill>
      <patternFill patternType="solid">
        <fgColor indexed="47"/>
        <bgColor indexed="64"/>
      </patternFill>
    </fill>
    <fill>
      <patternFill patternType="solid">
        <fgColor indexed="56"/>
        <bgColor indexed="64"/>
      </patternFill>
    </fill>
    <fill>
      <patternFill patternType="solid">
        <fgColor theme="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indexed="43"/>
        <bgColor indexed="64"/>
      </patternFill>
    </fill>
    <fill>
      <patternFill patternType="solid">
        <fgColor rgb="FFFFFF99"/>
        <bgColor indexed="64"/>
      </patternFill>
    </fill>
    <fill>
      <patternFill patternType="solid">
        <fgColor rgb="FFFF9900"/>
        <bgColor indexed="64"/>
      </patternFill>
    </fill>
    <fill>
      <patternFill patternType="solid">
        <fgColor rgb="FF99CC00"/>
        <bgColor indexed="64"/>
      </patternFill>
    </fill>
    <fill>
      <patternFill patternType="solid">
        <fgColor rgb="FFC0C0C0"/>
        <bgColor indexed="64"/>
      </patternFill>
    </fill>
    <fill>
      <patternFill patternType="solid">
        <fgColor theme="0" tint="-0.499984740745262"/>
        <bgColor indexed="64"/>
      </patternFill>
    </fill>
    <fill>
      <patternFill patternType="solid">
        <fgColor rgb="FFFFFFCC"/>
        <bgColor indexed="64"/>
      </patternFill>
    </fill>
    <fill>
      <patternFill patternType="solid">
        <fgColor rgb="FFFFC7CE"/>
      </patternFill>
    </fill>
    <fill>
      <patternFill patternType="solid">
        <fgColor theme="2"/>
        <bgColor indexed="64"/>
      </patternFill>
    </fill>
  </fills>
  <borders count="9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55"/>
      </top>
      <bottom/>
      <diagonal/>
    </border>
    <border>
      <left/>
      <right/>
      <top/>
      <bottom style="medium">
        <color indexed="55"/>
      </bottom>
      <diagonal/>
    </border>
    <border>
      <left/>
      <right style="medium">
        <color indexed="55"/>
      </right>
      <top style="medium">
        <color indexed="55"/>
      </top>
      <bottom/>
      <diagonal/>
    </border>
    <border>
      <left/>
      <right style="medium">
        <color indexed="55"/>
      </right>
      <top/>
      <bottom/>
      <diagonal/>
    </border>
    <border>
      <left/>
      <right style="medium">
        <color indexed="55"/>
      </right>
      <top/>
      <bottom style="medium">
        <color indexed="55"/>
      </bottom>
      <diagonal/>
    </border>
    <border>
      <left style="medium">
        <color indexed="55"/>
      </left>
      <right/>
      <top style="medium">
        <color indexed="55"/>
      </top>
      <bottom/>
      <diagonal/>
    </border>
    <border>
      <left style="medium">
        <color indexed="55"/>
      </left>
      <right/>
      <top/>
      <bottom/>
      <diagonal/>
    </border>
    <border>
      <left style="medium">
        <color indexed="55"/>
      </left>
      <right/>
      <top/>
      <bottom style="medium">
        <color indexed="55"/>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indexed="64"/>
      </top>
      <bottom style="medium">
        <color indexed="64"/>
      </bottom>
      <diagonal/>
    </border>
    <border>
      <left/>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55"/>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auto="1"/>
      </left>
      <right/>
      <top/>
      <bottom/>
      <diagonal/>
    </border>
    <border>
      <left/>
      <right/>
      <top style="medium">
        <color auto="1"/>
      </top>
      <bottom style="medium">
        <color auto="1"/>
      </bottom>
      <diagonal/>
    </border>
    <border>
      <left/>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indexed="64"/>
      </right>
      <top style="medium">
        <color indexed="64"/>
      </top>
      <bottom style="medium">
        <color indexed="64"/>
      </bottom>
      <diagonal/>
    </border>
  </borders>
  <cellStyleXfs count="7">
    <xf numFmtId="0" fontId="0" fillId="0" borderId="0"/>
    <xf numFmtId="43" fontId="8" fillId="0" borderId="0"/>
    <xf numFmtId="0" fontId="10" fillId="0" borderId="0" applyAlignment="1" applyProtection="1">
      <alignment vertical="top"/>
      <protection locked="0" hidden="0"/>
    </xf>
    <xf numFmtId="0" fontId="8" fillId="0" borderId="0"/>
    <xf numFmtId="0" fontId="1" fillId="0" borderId="0"/>
    <xf numFmtId="43" fontId="1" fillId="0" borderId="0"/>
    <xf numFmtId="0" fontId="90" fillId="27" borderId="0"/>
  </cellStyleXfs>
  <cellXfs count="1086">
    <xf numFmtId="0" fontId="0" fillId="0" borderId="0" pivotButton="0" quotePrefix="0" xfId="0"/>
    <xf numFmtId="0" fontId="7" fillId="0" borderId="0" pivotButton="0" quotePrefix="0" xfId="0"/>
    <xf numFmtId="0" fontId="3" fillId="0" borderId="0" pivotButton="0" quotePrefix="0" xfId="0"/>
    <xf numFmtId="0" fontId="8" fillId="0" borderId="0" pivotButton="0" quotePrefix="0" xfId="0"/>
    <xf numFmtId="2" fontId="0" fillId="0" borderId="0" pivotButton="0" quotePrefix="0" xfId="0"/>
    <xf numFmtId="0" fontId="0" fillId="2" borderId="0" pivotButton="0" quotePrefix="0" xfId="0"/>
    <xf numFmtId="0" fontId="0" fillId="3" borderId="0" pivotButton="0" quotePrefix="0" xfId="0"/>
    <xf numFmtId="0" fontId="3" fillId="2" borderId="0" pivotButton="0" quotePrefix="0" xfId="0"/>
    <xf numFmtId="164" fontId="0" fillId="0" borderId="0" pivotButton="0" quotePrefix="0" xfId="0"/>
    <xf numFmtId="10" fontId="0" fillId="0" borderId="0" pivotButton="0" quotePrefix="0" xfId="0"/>
    <xf numFmtId="0" fontId="14" fillId="3" borderId="0" applyAlignment="1" pivotButton="0" quotePrefix="0" xfId="0">
      <alignment horizontal="right"/>
    </xf>
    <xf numFmtId="0" fontId="14" fillId="3" borderId="0" pivotButton="0" quotePrefix="0" xfId="0"/>
    <xf numFmtId="0" fontId="0" fillId="4" borderId="2" pivotButton="0" quotePrefix="0" xfId="0"/>
    <xf numFmtId="0" fontId="16" fillId="3" borderId="4" pivotButton="0" quotePrefix="0" xfId="0"/>
    <xf numFmtId="0" fontId="3" fillId="5" borderId="8" pivotButton="0" quotePrefix="0" xfId="0"/>
    <xf numFmtId="0" fontId="3" fillId="5" borderId="9" pivotButton="0" quotePrefix="0" xfId="0"/>
    <xf numFmtId="0" fontId="3" fillId="5" borderId="10" pivotButton="0" quotePrefix="0" xfId="0"/>
    <xf numFmtId="0" fontId="3" fillId="5" borderId="11" pivotButton="0" quotePrefix="0" xfId="0"/>
    <xf numFmtId="0" fontId="8" fillId="0" borderId="0" applyProtection="1" pivotButton="0" quotePrefix="0" xfId="0">
      <protection locked="0" hidden="0"/>
    </xf>
    <xf numFmtId="0" fontId="0" fillId="0" borderId="0" applyProtection="1" pivotButton="0" quotePrefix="0" xfId="0">
      <protection locked="0" hidden="0"/>
    </xf>
    <xf numFmtId="0" fontId="0" fillId="6" borderId="12" pivotButton="0" quotePrefix="0" xfId="0"/>
    <xf numFmtId="0" fontId="0" fillId="0" borderId="11" pivotButton="0" quotePrefix="0" xfId="0"/>
    <xf numFmtId="0" fontId="0" fillId="6" borderId="11" pivotButton="0" quotePrefix="0" xfId="0"/>
    <xf numFmtId="0" fontId="0" fillId="4" borderId="11" pivotButton="0" quotePrefix="0" xfId="0"/>
    <xf numFmtId="0" fontId="3" fillId="5" borderId="0" pivotButton="0" quotePrefix="0" xfId="0"/>
    <xf numFmtId="0" fontId="0" fillId="6" borderId="0" pivotButton="0" quotePrefix="0" xfId="0"/>
    <xf numFmtId="0" fontId="0" fillId="0" borderId="13" pivotButton="0" quotePrefix="0" xfId="0"/>
    <xf numFmtId="0" fontId="8" fillId="2" borderId="0" pivotButton="0" quotePrefix="0" xfId="0"/>
    <xf numFmtId="0" fontId="0" fillId="6" borderId="13" pivotButton="0" quotePrefix="0" xfId="0"/>
    <xf numFmtId="0" fontId="0" fillId="4" borderId="0" pivotButton="0" quotePrefix="0" xfId="0"/>
    <xf numFmtId="11" fontId="0" fillId="0" borderId="0" pivotButton="0" quotePrefix="0" xfId="0"/>
    <xf numFmtId="0" fontId="12" fillId="3" borderId="0" pivotButton="0" quotePrefix="0" xfId="0"/>
    <xf numFmtId="0" fontId="0" fillId="4" borderId="12" pivotButton="0" quotePrefix="0" xfId="0"/>
    <xf numFmtId="0" fontId="0" fillId="4" borderId="14" pivotButton="0" quotePrefix="0" xfId="0"/>
    <xf numFmtId="0" fontId="3" fillId="4" borderId="11" pivotButton="0" quotePrefix="0" xfId="0"/>
    <xf numFmtId="0" fontId="0" fillId="6" borderId="8" pivotButton="0" quotePrefix="0" xfId="0"/>
    <xf numFmtId="0" fontId="0" fillId="4" borderId="8" pivotButton="0" quotePrefix="0" xfId="0"/>
    <xf numFmtId="0" fontId="3" fillId="5" borderId="4" pivotButton="0" quotePrefix="0" xfId="0"/>
    <xf numFmtId="0" fontId="0" fillId="2" borderId="14" pivotButton="0" quotePrefix="0" xfId="0"/>
    <xf numFmtId="0" fontId="0" fillId="2" borderId="13" pivotButton="0" quotePrefix="0" xfId="0"/>
    <xf numFmtId="0" fontId="0" fillId="2" borderId="12" pivotButton="0" quotePrefix="0" xfId="0"/>
    <xf numFmtId="0" fontId="0" fillId="8" borderId="0" pivotButton="0" quotePrefix="0" xfId="0"/>
    <xf numFmtId="0" fontId="15" fillId="0" borderId="0" pivotButton="0" quotePrefix="0" xfId="0"/>
    <xf numFmtId="0" fontId="0" fillId="10" borderId="0" pivotButton="0" quotePrefix="0" xfId="0"/>
    <xf numFmtId="0" fontId="0" fillId="0" borderId="0" applyAlignment="1" pivotButton="0" quotePrefix="0" xfId="0">
      <alignment horizontal="right"/>
    </xf>
    <xf numFmtId="0" fontId="17" fillId="0" borderId="0" pivotButton="0" quotePrefix="0" xfId="0"/>
    <xf numFmtId="11" fontId="7" fillId="0" borderId="0" pivotButton="0" quotePrefix="0" xfId="0"/>
    <xf numFmtId="0" fontId="0" fillId="11" borderId="0" pivotButton="0" quotePrefix="0" xfId="0"/>
    <xf numFmtId="165" fontId="0" fillId="0" borderId="0" pivotButton="0" quotePrefix="0" xfId="0"/>
    <xf numFmtId="0" fontId="3" fillId="0" borderId="0" applyAlignment="1" pivotButton="0" quotePrefix="0" xfId="0">
      <alignment horizontal="center"/>
    </xf>
    <xf numFmtId="0" fontId="3" fillId="4" borderId="0" applyAlignment="1" pivotButton="0" quotePrefix="0" xfId="0">
      <alignment horizontal="center"/>
    </xf>
    <xf numFmtId="0" fontId="3" fillId="12" borderId="0" applyAlignment="1" pivotButton="0" quotePrefix="0" xfId="0">
      <alignment horizontal="center"/>
    </xf>
    <xf numFmtId="0" fontId="3" fillId="13" borderId="0" applyAlignment="1" pivotButton="0" quotePrefix="0" xfId="0">
      <alignment horizontal="center"/>
    </xf>
    <xf numFmtId="166" fontId="0" fillId="0" borderId="0" pivotButton="0" quotePrefix="0" xfId="0"/>
    <xf numFmtId="167" fontId="17" fillId="3" borderId="0" applyAlignment="1" pivotButton="0" quotePrefix="0" xfId="0">
      <alignment horizontal="center"/>
    </xf>
    <xf numFmtId="167" fontId="25" fillId="3" borderId="0" applyAlignment="1" pivotButton="0" quotePrefix="0" xfId="0">
      <alignment horizontal="center"/>
    </xf>
    <xf numFmtId="0" fontId="0" fillId="0" borderId="28" pivotButton="0" quotePrefix="0" xfId="0"/>
    <xf numFmtId="0" fontId="0" fillId="0" borderId="29" pivotButton="0" quotePrefix="0" xfId="0"/>
    <xf numFmtId="0" fontId="8" fillId="0" borderId="28" pivotButton="0" quotePrefix="0" xfId="0"/>
    <xf numFmtId="0" fontId="0" fillId="13" borderId="0"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2" pivotButton="0" quotePrefix="0" xfId="0"/>
    <xf numFmtId="0" fontId="0" fillId="0" borderId="3" pivotButton="0" quotePrefix="0" xfId="0"/>
    <xf numFmtId="0" fontId="7" fillId="0" borderId="28" pivotButton="0" quotePrefix="0" xfId="0"/>
    <xf numFmtId="0" fontId="3" fillId="0" borderId="28" pivotButton="0" quotePrefix="0" xfId="0"/>
    <xf numFmtId="11" fontId="0" fillId="13" borderId="0" pivotButton="0" quotePrefix="0" xfId="0"/>
    <xf numFmtId="0" fontId="0" fillId="12" borderId="0" pivotButton="0" quotePrefix="0" xfId="0"/>
    <xf numFmtId="11" fontId="0" fillId="12" borderId="0" pivotButton="0" quotePrefix="0" xfId="0"/>
    <xf numFmtId="0" fontId="0" fillId="0" borderId="31" applyAlignment="1" pivotButton="0" quotePrefix="0" xfId="0">
      <alignment horizontal="right"/>
    </xf>
    <xf numFmtId="11" fontId="7" fillId="0" borderId="31" pivotButton="0" quotePrefix="0" xfId="0"/>
    <xf numFmtId="11" fontId="0" fillId="4" borderId="0" pivotButton="0" quotePrefix="0" xfId="0"/>
    <xf numFmtId="0" fontId="0" fillId="2" borderId="0" applyProtection="1" pivotButton="0" quotePrefix="0" xfId="0">
      <protection locked="0" hidden="0"/>
    </xf>
    <xf numFmtId="0" fontId="0" fillId="2" borderId="11" applyProtection="1" pivotButton="0" quotePrefix="0" xfId="0">
      <protection locked="0" hidden="0"/>
    </xf>
    <xf numFmtId="0" fontId="0" fillId="9" borderId="0" pivotButton="0" quotePrefix="0" xfId="0"/>
    <xf numFmtId="0" fontId="0" fillId="0" borderId="8" pivotButton="0" quotePrefix="0" xfId="0"/>
    <xf numFmtId="0" fontId="0" fillId="4" borderId="13" pivotButton="0" quotePrefix="0" xfId="0"/>
    <xf numFmtId="0" fontId="8" fillId="9" borderId="11" pivotButton="0" quotePrefix="0" xfId="0"/>
    <xf numFmtId="0" fontId="17" fillId="3" borderId="0" pivotButton="0" quotePrefix="0" xfId="0"/>
    <xf numFmtId="0" fontId="18" fillId="9" borderId="0" pivotButton="0" quotePrefix="0" xfId="0"/>
    <xf numFmtId="0" fontId="17" fillId="9" borderId="0" applyAlignment="1" pivotButton="0" quotePrefix="0" xfId="0">
      <alignment horizontal="right"/>
    </xf>
    <xf numFmtId="0" fontId="18" fillId="9" borderId="0" applyAlignment="1" pivotButton="0" quotePrefix="0" xfId="0">
      <alignment horizontal="right"/>
    </xf>
    <xf numFmtId="0" fontId="17" fillId="9" borderId="0" pivotButton="0" quotePrefix="0" xfId="0"/>
    <xf numFmtId="0" fontId="25" fillId="15" borderId="19" pivotButton="0" quotePrefix="0" xfId="0"/>
    <xf numFmtId="0" fontId="25" fillId="15" borderId="20" pivotButton="0" quotePrefix="0" xfId="0"/>
    <xf numFmtId="0" fontId="25" fillId="3" borderId="0" pivotButton="0" quotePrefix="0" xfId="0"/>
    <xf numFmtId="0" fontId="17" fillId="9" borderId="0" applyAlignment="1" pivotButton="0" quotePrefix="0" xfId="0">
      <alignment horizontal="left"/>
    </xf>
    <xf numFmtId="0" fontId="21" fillId="0" borderId="0" pivotButton="0" quotePrefix="0" xfId="0"/>
    <xf numFmtId="0" fontId="0" fillId="0" borderId="1" pivotButton="0" quotePrefix="0" xfId="0"/>
    <xf numFmtId="0" fontId="3" fillId="0" borderId="1" pivotButton="0" quotePrefix="0" xfId="0"/>
    <xf numFmtId="0" fontId="22" fillId="0" borderId="0" pivotButton="0" quotePrefix="0" xfId="0"/>
    <xf numFmtId="0" fontId="30" fillId="0" borderId="0" pivotButton="0" quotePrefix="0" xfId="0"/>
    <xf numFmtId="0" fontId="30" fillId="4" borderId="0" pivotButton="0" quotePrefix="0" xfId="0"/>
    <xf numFmtId="0" fontId="21" fillId="0" borderId="38" pivotButton="0" quotePrefix="0" xfId="0"/>
    <xf numFmtId="0" fontId="0" fillId="0" borderId="33" pivotButton="0" quotePrefix="0" xfId="0"/>
    <xf numFmtId="0" fontId="0" fillId="0" borderId="35" pivotButton="0" quotePrefix="0" xfId="0"/>
    <xf numFmtId="0" fontId="8" fillId="0" borderId="39" pivotButton="0" quotePrefix="0" xfId="0"/>
    <xf numFmtId="0" fontId="0" fillId="0" borderId="36" pivotButton="0" quotePrefix="0" xfId="0"/>
    <xf numFmtId="0" fontId="30" fillId="0" borderId="39" pivotButton="0" quotePrefix="0" xfId="0"/>
    <xf numFmtId="0" fontId="30" fillId="0" borderId="40" pivotButton="0" quotePrefix="0" xfId="0"/>
    <xf numFmtId="0" fontId="30" fillId="0" borderId="34" pivotButton="0" quotePrefix="0" xfId="0"/>
    <xf numFmtId="0" fontId="0" fillId="0" borderId="34" pivotButton="0" quotePrefix="0" xfId="0"/>
    <xf numFmtId="0" fontId="0" fillId="0" borderId="37" pivotButton="0" quotePrefix="0" xfId="0"/>
    <xf numFmtId="0" fontId="8" fillId="0" borderId="31" pivotButton="0" quotePrefix="0" xfId="0"/>
    <xf numFmtId="0" fontId="8" fillId="13" borderId="0" pivotButton="0" quotePrefix="0" xfId="0"/>
    <xf numFmtId="0" fontId="17" fillId="9" borderId="29" pivotButton="0" quotePrefix="0" xfId="0"/>
    <xf numFmtId="0" fontId="19" fillId="9" borderId="0" pivotButton="0" quotePrefix="0" xfId="0"/>
    <xf numFmtId="168" fontId="17" fillId="9" borderId="0" pivotButton="0" quotePrefix="0" xfId="0"/>
    <xf numFmtId="169" fontId="17" fillId="9" borderId="0" pivotButton="0" quotePrefix="0" xfId="0"/>
    <xf numFmtId="170" fontId="17" fillId="9" borderId="0" pivotButton="0" quotePrefix="0" xfId="0"/>
    <xf numFmtId="2" fontId="30" fillId="12" borderId="0" pivotButton="0" quotePrefix="0" xfId="0"/>
    <xf numFmtId="0" fontId="17" fillId="16" borderId="0" pivotButton="0" quotePrefix="0" xfId="0"/>
    <xf numFmtId="0" fontId="2" fillId="0" borderId="0" pivotButton="0" quotePrefix="0" xfId="0"/>
    <xf numFmtId="2" fontId="2" fillId="0" borderId="0" pivotButton="0" quotePrefix="1" xfId="0"/>
    <xf numFmtId="0" fontId="0" fillId="0" borderId="0" applyAlignment="1" pivotButton="0" quotePrefix="0" xfId="0">
      <alignment horizontal="left"/>
    </xf>
    <xf numFmtId="0" fontId="2" fillId="0" borderId="2" pivotButton="0" quotePrefix="0" xfId="0"/>
    <xf numFmtId="0" fontId="2" fillId="0" borderId="31" pivotButton="0" quotePrefix="0" xfId="0"/>
    <xf numFmtId="0" fontId="33" fillId="9" borderId="0" pivotButton="0" quotePrefix="0" xfId="0"/>
    <xf numFmtId="0" fontId="20" fillId="19" borderId="0" applyAlignment="1" pivotButton="0" quotePrefix="0" xfId="0">
      <alignment vertical="center"/>
    </xf>
    <xf numFmtId="0" fontId="0" fillId="18" borderId="0" pivotButton="0" quotePrefix="0" xfId="0"/>
    <xf numFmtId="0" fontId="50" fillId="18" borderId="0" pivotButton="0" quotePrefix="0" xfId="0"/>
    <xf numFmtId="0" fontId="23" fillId="9" borderId="0" applyAlignment="1" pivotButton="0" quotePrefix="0" xfId="0">
      <alignment horizontal="right"/>
    </xf>
    <xf numFmtId="0" fontId="3" fillId="9" borderId="0" applyAlignment="1" pivotButton="0" quotePrefix="0" xfId="0">
      <alignment horizontal="right"/>
    </xf>
    <xf numFmtId="0" fontId="2" fillId="9" borderId="0" applyAlignment="1" pivotButton="0" quotePrefix="0" xfId="0">
      <alignment horizontal="right"/>
    </xf>
    <xf numFmtId="0" fontId="2" fillId="9" borderId="31" applyAlignment="1" pivotButton="0" quotePrefix="0" xfId="0">
      <alignment horizontal="right"/>
    </xf>
    <xf numFmtId="0" fontId="2" fillId="9" borderId="28" pivotButton="0" quotePrefix="0" xfId="0"/>
    <xf numFmtId="0" fontId="2" fillId="9" borderId="0" pivotButton="0" quotePrefix="0" xfId="0"/>
    <xf numFmtId="0" fontId="3" fillId="19" borderId="0" applyProtection="1" pivotButton="0" quotePrefix="0" xfId="0">
      <protection locked="0" hidden="0"/>
    </xf>
    <xf numFmtId="0" fontId="53" fillId="9" borderId="0" pivotButton="0" quotePrefix="0" xfId="0"/>
    <xf numFmtId="1" fontId="3" fillId="19" borderId="0" applyProtection="1" pivotButton="0" quotePrefix="0" xfId="0">
      <protection locked="0" hidden="0"/>
    </xf>
    <xf numFmtId="0" fontId="55" fillId="9" borderId="0" pivotButton="0" quotePrefix="0" xfId="0"/>
    <xf numFmtId="0" fontId="3" fillId="9" borderId="0" pivotButton="0" quotePrefix="0" xfId="0"/>
    <xf numFmtId="165" fontId="3" fillId="9" borderId="0" pivotButton="0" quotePrefix="0" xfId="0"/>
    <xf numFmtId="0" fontId="2" fillId="16" borderId="0" pivotButton="0" quotePrefix="0" xfId="0"/>
    <xf numFmtId="0" fontId="3" fillId="9" borderId="28" pivotButton="0" quotePrefix="0" xfId="0"/>
    <xf numFmtId="0" fontId="55" fillId="16" borderId="0" pivotButton="0" quotePrefix="0" xfId="0"/>
    <xf numFmtId="1" fontId="52" fillId="9" borderId="0" applyAlignment="1" pivotButton="0" quotePrefix="0" xfId="0">
      <alignment horizontal="right"/>
    </xf>
    <xf numFmtId="0" fontId="57" fillId="15" borderId="19" pivotButton="0" quotePrefix="0" xfId="0"/>
    <xf numFmtId="0" fontId="55" fillId="9" borderId="0" applyAlignment="1" pivotButton="0" quotePrefix="0" xfId="0">
      <alignment vertical="center"/>
    </xf>
    <xf numFmtId="0" fontId="7" fillId="9" borderId="0" applyAlignment="1" pivotButton="0" quotePrefix="0" xfId="0">
      <alignment horizontal="right"/>
    </xf>
    <xf numFmtId="165" fontId="7" fillId="9" borderId="0" pivotButton="0" quotePrefix="0" xfId="0"/>
    <xf numFmtId="0" fontId="7" fillId="9" borderId="0" pivotButton="0" quotePrefix="0" xfId="0"/>
    <xf numFmtId="0" fontId="2" fillId="16" borderId="0" applyAlignment="1" pivotButton="0" quotePrefix="0" xfId="0">
      <alignment horizontal="left"/>
    </xf>
    <xf numFmtId="1" fontId="2" fillId="16" borderId="0" applyAlignment="1" pivotButton="0" quotePrefix="0" xfId="0">
      <alignment horizontal="right"/>
    </xf>
    <xf numFmtId="0" fontId="3" fillId="9" borderId="0" applyAlignment="1" pivotButton="0" quotePrefix="0" xfId="0">
      <alignment horizontal="left"/>
    </xf>
    <xf numFmtId="0" fontId="58" fillId="9" borderId="0" pivotButton="0" quotePrefix="0" xfId="0"/>
    <xf numFmtId="0" fontId="2" fillId="9" borderId="0" applyAlignment="1" pivotButton="0" quotePrefix="0" xfId="0">
      <alignment horizontal="left"/>
    </xf>
    <xf numFmtId="0" fontId="56" fillId="19" borderId="0" applyAlignment="1" applyProtection="1" pivotButton="0" quotePrefix="0" xfId="0">
      <alignment horizontal="right"/>
      <protection locked="0" hidden="1"/>
    </xf>
    <xf numFmtId="0" fontId="59" fillId="15" borderId="19" pivotButton="0" quotePrefix="0" xfId="0"/>
    <xf numFmtId="0" fontId="22" fillId="9" borderId="28" pivotButton="0" quotePrefix="0" xfId="0"/>
    <xf numFmtId="1" fontId="2" fillId="9" borderId="0" pivotButton="0" quotePrefix="0" xfId="0"/>
    <xf numFmtId="0" fontId="61" fillId="9" borderId="0" applyAlignment="1" pivotButton="0" quotePrefix="0" xfId="0">
      <alignment horizontal="right"/>
    </xf>
    <xf numFmtId="0" fontId="2" fillId="9" borderId="2" pivotButton="0" quotePrefix="0" xfId="0"/>
    <xf numFmtId="0" fontId="2" fillId="9" borderId="2" applyAlignment="1" pivotButton="0" quotePrefix="0" xfId="0">
      <alignment horizontal="right"/>
    </xf>
    <xf numFmtId="0" fontId="61" fillId="9" borderId="2" applyAlignment="1" pivotButton="0" quotePrefix="0" xfId="0">
      <alignment horizontal="right"/>
    </xf>
    <xf numFmtId="0" fontId="3" fillId="9" borderId="3" pivotButton="0" quotePrefix="0" xfId="0"/>
    <xf numFmtId="0" fontId="3" fillId="9" borderId="29" pivotButton="0" quotePrefix="0" xfId="0"/>
    <xf numFmtId="0" fontId="2" fillId="9" borderId="30" pivotButton="0" quotePrefix="0" xfId="0"/>
    <xf numFmtId="0" fontId="2" fillId="9" borderId="31" pivotButton="0" quotePrefix="0" xfId="0"/>
    <xf numFmtId="0" fontId="2" fillId="9" borderId="32" pivotButton="0" quotePrefix="0" xfId="0"/>
    <xf numFmtId="0" fontId="2" fillId="9" borderId="3" pivotButton="0" quotePrefix="0" xfId="0"/>
    <xf numFmtId="0" fontId="2" fillId="9" borderId="29" pivotButton="0" quotePrefix="0" xfId="0"/>
    <xf numFmtId="0" fontId="3" fillId="9" borderId="2" pivotButton="0" quotePrefix="0" xfId="0"/>
    <xf numFmtId="0" fontId="3" fillId="9" borderId="2" applyAlignment="1" pivotButton="0" quotePrefix="0" xfId="0">
      <alignment horizontal="right"/>
    </xf>
    <xf numFmtId="1" fontId="3" fillId="19" borderId="2" applyProtection="1" pivotButton="0" quotePrefix="0" xfId="0">
      <protection locked="0" hidden="0"/>
    </xf>
    <xf numFmtId="0" fontId="2" fillId="16" borderId="41" applyAlignment="1" pivotButton="0" quotePrefix="0" xfId="0">
      <alignment horizontal="left"/>
    </xf>
    <xf numFmtId="0" fontId="56" fillId="19" borderId="41" applyAlignment="1" applyProtection="1" pivotButton="0" quotePrefix="0" xfId="0">
      <alignment horizontal="right"/>
      <protection locked="0" hidden="1"/>
    </xf>
    <xf numFmtId="0" fontId="56" fillId="9" borderId="42" applyAlignment="1" pivotButton="0" quotePrefix="0" xfId="0">
      <alignment horizontal="left"/>
    </xf>
    <xf numFmtId="0" fontId="56" fillId="9" borderId="29" applyAlignment="1" pivotButton="0" quotePrefix="0" xfId="0">
      <alignment horizontal="left"/>
    </xf>
    <xf numFmtId="0" fontId="3" fillId="9" borderId="43" applyAlignment="1" pivotButton="0" quotePrefix="0" xfId="0">
      <alignment horizontal="center"/>
    </xf>
    <xf numFmtId="0" fontId="3" fillId="9" borderId="28" applyAlignment="1" pivotButton="0" quotePrefix="0" xfId="0">
      <alignment horizontal="center"/>
    </xf>
    <xf numFmtId="0" fontId="3" fillId="9" borderId="43" pivotButton="0" quotePrefix="0" xfId="0"/>
    <xf numFmtId="0" fontId="3" fillId="9" borderId="41" pivotButton="0" quotePrefix="0" xfId="0"/>
    <xf numFmtId="0" fontId="2" fillId="9" borderId="45" pivotButton="0" quotePrefix="0" xfId="0"/>
    <xf numFmtId="0" fontId="3" fillId="9" borderId="45" applyAlignment="1" pivotButton="0" quotePrefix="0" xfId="0">
      <alignment horizontal="right"/>
    </xf>
    <xf numFmtId="0" fontId="2" fillId="9" borderId="46" pivotButton="0" quotePrefix="0" xfId="0"/>
    <xf numFmtId="0" fontId="2" fillId="16" borderId="45" applyAlignment="1" pivotButton="0" quotePrefix="0" xfId="0">
      <alignment horizontal="left"/>
    </xf>
    <xf numFmtId="0" fontId="56" fillId="19" borderId="45" applyAlignment="1" applyProtection="1" pivotButton="0" quotePrefix="0" xfId="0">
      <alignment horizontal="right"/>
      <protection locked="0" hidden="1"/>
    </xf>
    <xf numFmtId="0" fontId="56" fillId="9" borderId="46" applyAlignment="1" pivotButton="0" quotePrefix="0" xfId="0">
      <alignment horizontal="left"/>
    </xf>
    <xf numFmtId="165" fontId="2" fillId="9" borderId="41" applyAlignment="1" pivotButton="0" quotePrefix="0" xfId="0">
      <alignment horizontal="left" vertical="center"/>
    </xf>
    <xf numFmtId="1" fontId="2" fillId="9" borderId="45" applyAlignment="1" pivotButton="0" quotePrefix="0" xfId="0">
      <alignment horizontal="left" vertical="center"/>
    </xf>
    <xf numFmtId="0" fontId="22" fillId="9" borderId="28" applyAlignment="1" pivotButton="0" quotePrefix="0" xfId="0">
      <alignment vertical="center"/>
    </xf>
    <xf numFmtId="0" fontId="2" fillId="9" borderId="43" pivotButton="0" quotePrefix="0" xfId="0"/>
    <xf numFmtId="0" fontId="2" fillId="16" borderId="28" pivotButton="0" quotePrefix="0" xfId="0"/>
    <xf numFmtId="1" fontId="3" fillId="16" borderId="28" applyAlignment="1" pivotButton="0" quotePrefix="0" xfId="0">
      <alignment horizontal="right" vertical="center"/>
    </xf>
    <xf numFmtId="0" fontId="57" fillId="15" borderId="47" pivotButton="0" quotePrefix="0" xfId="0"/>
    <xf numFmtId="0" fontId="17" fillId="3" borderId="28" pivotButton="0" quotePrefix="0" xfId="0"/>
    <xf numFmtId="167" fontId="17" fillId="18" borderId="0" applyAlignment="1" pivotButton="0" quotePrefix="0" xfId="0">
      <alignment horizontal="center"/>
    </xf>
    <xf numFmtId="0" fontId="17" fillId="18" borderId="0" pivotButton="0" quotePrefix="0" xfId="0"/>
    <xf numFmtId="167" fontId="25" fillId="18" borderId="0" applyAlignment="1" pivotButton="0" quotePrefix="0" xfId="0">
      <alignment horizontal="center"/>
    </xf>
    <xf numFmtId="0" fontId="25" fillId="18" borderId="0" pivotButton="0" quotePrefix="0" xfId="0"/>
    <xf numFmtId="0" fontId="2" fillId="9" borderId="44" pivotButton="0" quotePrefix="0" xfId="0"/>
    <xf numFmtId="0" fontId="3" fillId="9" borderId="45" pivotButton="0" quotePrefix="0" xfId="0"/>
    <xf numFmtId="0" fontId="2" fillId="9" borderId="48" pivotButton="0" quotePrefix="0" xfId="0"/>
    <xf numFmtId="0" fontId="65" fillId="9" borderId="0" pivotButton="0" quotePrefix="0" xfId="0"/>
    <xf numFmtId="0" fontId="65" fillId="9" borderId="29" pivotButton="0" quotePrefix="0" xfId="0"/>
    <xf numFmtId="167" fontId="65" fillId="18" borderId="0" applyAlignment="1" pivotButton="0" quotePrefix="0" xfId="0">
      <alignment horizontal="center"/>
    </xf>
    <xf numFmtId="0" fontId="65" fillId="18" borderId="0" pivotButton="0" quotePrefix="0" xfId="0"/>
    <xf numFmtId="167" fontId="65" fillId="3" borderId="0" applyAlignment="1" pivotButton="0" quotePrefix="0" xfId="0">
      <alignment horizontal="center"/>
    </xf>
    <xf numFmtId="0" fontId="65" fillId="3" borderId="0" pivotButton="0" quotePrefix="0" xfId="0"/>
    <xf numFmtId="0" fontId="63" fillId="9" borderId="41" applyAlignment="1" pivotButton="0" quotePrefix="0" xfId="0">
      <alignment horizontal="right"/>
    </xf>
    <xf numFmtId="0" fontId="2" fillId="16" borderId="31" pivotButton="0" quotePrefix="0" xfId="0"/>
    <xf numFmtId="0" fontId="17" fillId="9" borderId="31" pivotButton="0" quotePrefix="0" xfId="0"/>
    <xf numFmtId="0" fontId="17" fillId="9" borderId="32" pivotButton="0" quotePrefix="0" xfId="0"/>
    <xf numFmtId="0" fontId="64" fillId="9" borderId="28" applyAlignment="1" pivotButton="0" quotePrefix="0" xfId="0">
      <alignment vertical="center"/>
    </xf>
    <xf numFmtId="0" fontId="63" fillId="9" borderId="0" applyAlignment="1" pivotButton="0" quotePrefix="0" xfId="0">
      <alignment horizontal="right" vertical="center"/>
    </xf>
    <xf numFmtId="0" fontId="63" fillId="0" borderId="0" applyAlignment="1" pivotButton="0" quotePrefix="0" xfId="0">
      <alignment horizontal="left" vertical="center"/>
    </xf>
    <xf numFmtId="0" fontId="2" fillId="0" borderId="1" pivotButton="0" quotePrefix="0" xfId="0"/>
    <xf numFmtId="0" fontId="2" fillId="0" borderId="28" pivotButton="0" quotePrefix="0" xfId="0"/>
    <xf numFmtId="0" fontId="68" fillId="0" borderId="0" pivotButton="0" quotePrefix="0" xfId="0"/>
    <xf numFmtId="0" fontId="2" fillId="9" borderId="0" pivotButton="0" quotePrefix="0" xfId="3"/>
    <xf numFmtId="49" fontId="2" fillId="9" borderId="0" pivotButton="0" quotePrefix="0" xfId="3"/>
    <xf numFmtId="0" fontId="11" fillId="9" borderId="0" applyAlignment="1" pivotButton="0" quotePrefix="0" xfId="3">
      <alignment vertical="center"/>
    </xf>
    <xf numFmtId="0" fontId="2" fillId="20" borderId="18" applyAlignment="1" pivotButton="0" quotePrefix="0" xfId="3">
      <alignment horizontal="center" vertical="center"/>
    </xf>
    <xf numFmtId="0" fontId="2" fillId="9" borderId="18" applyAlignment="1" pivotButton="0" quotePrefix="0" xfId="3">
      <alignment horizontal="center" vertical="center"/>
    </xf>
    <xf numFmtId="0" fontId="2" fillId="9" borderId="11" applyAlignment="1" pivotButton="0" quotePrefix="0" xfId="3">
      <alignment vertical="center" wrapText="1"/>
    </xf>
    <xf numFmtId="0" fontId="2" fillId="9" borderId="11" applyAlignment="1" pivotButton="0" quotePrefix="0" xfId="3">
      <alignment horizontal="left" vertical="center"/>
    </xf>
    <xf numFmtId="0" fontId="2" fillId="9" borderId="0" applyAlignment="1" pivotButton="0" quotePrefix="0" xfId="3">
      <alignment vertical="center"/>
    </xf>
    <xf numFmtId="49" fontId="2" fillId="9" borderId="0" applyAlignment="1" pivotButton="0" quotePrefix="0" xfId="3">
      <alignment vertical="center"/>
    </xf>
    <xf numFmtId="0" fontId="2" fillId="21" borderId="18" applyAlignment="1" pivotButton="0" quotePrefix="0" xfId="3">
      <alignment horizontal="center" vertical="center"/>
    </xf>
    <xf numFmtId="0" fontId="2" fillId="21" borderId="11" applyAlignment="1" pivotButton="0" quotePrefix="0" xfId="3">
      <alignment vertical="center" wrapText="1"/>
    </xf>
    <xf numFmtId="171" fontId="2" fillId="21" borderId="11" applyAlignment="1" pivotButton="0" quotePrefix="0" xfId="3">
      <alignment horizontal="center" vertical="center"/>
    </xf>
    <xf numFmtId="0" fontId="2" fillId="21" borderId="11" applyAlignment="1" pivotButton="0" quotePrefix="1" xfId="3">
      <alignment horizontal="left" vertical="center"/>
    </xf>
    <xf numFmtId="0" fontId="2" fillId="21" borderId="11" applyAlignment="1" pivotButton="0" quotePrefix="0" xfId="3">
      <alignment horizontal="left" vertical="center"/>
    </xf>
    <xf numFmtId="0" fontId="2" fillId="16" borderId="18" applyAlignment="1" pivotButton="0" quotePrefix="0" xfId="3">
      <alignment horizontal="center" vertical="center"/>
    </xf>
    <xf numFmtId="0" fontId="2" fillId="16" borderId="11" applyAlignment="1" pivotButton="0" quotePrefix="0" xfId="3">
      <alignment vertical="center" wrapText="1"/>
    </xf>
    <xf numFmtId="171" fontId="2" fillId="16" borderId="11" applyAlignment="1" pivotButton="0" quotePrefix="0" xfId="3">
      <alignment horizontal="center" vertical="center"/>
    </xf>
    <xf numFmtId="0" fontId="2" fillId="16" borderId="11" applyAlignment="1" pivotButton="0" quotePrefix="1" xfId="3">
      <alignment horizontal="left" vertical="center"/>
    </xf>
    <xf numFmtId="0" fontId="2" fillId="16" borderId="11" applyAlignment="1" pivotButton="0" quotePrefix="0" xfId="3">
      <alignment horizontal="left" vertical="center"/>
    </xf>
    <xf numFmtId="172" fontId="2" fillId="9" borderId="11" applyAlignment="1" pivotButton="0" quotePrefix="0" xfId="3">
      <alignment horizontal="center" vertical="center"/>
    </xf>
    <xf numFmtId="0" fontId="2" fillId="9" borderId="15" applyAlignment="1" pivotButton="0" quotePrefix="0" xfId="3">
      <alignment horizontal="left" vertical="center"/>
    </xf>
    <xf numFmtId="49" fontId="2" fillId="9" borderId="11" applyAlignment="1" pivotButton="0" quotePrefix="0" xfId="3">
      <alignment horizontal="left" vertical="center"/>
    </xf>
    <xf numFmtId="0" fontId="2" fillId="20" borderId="11" applyAlignment="1" pivotButton="0" quotePrefix="0" xfId="3">
      <alignment vertical="center" wrapText="1"/>
    </xf>
    <xf numFmtId="173" fontId="2" fillId="20" borderId="11" applyAlignment="1" pivotButton="0" quotePrefix="0" xfId="3">
      <alignment horizontal="center" vertical="center"/>
    </xf>
    <xf numFmtId="0" fontId="2" fillId="20" borderId="15" applyAlignment="1" pivotButton="0" quotePrefix="0" xfId="3">
      <alignment horizontal="left" vertical="center"/>
    </xf>
    <xf numFmtId="0" fontId="2" fillId="20" borderId="11" applyAlignment="1" pivotButton="0" quotePrefix="1" xfId="3">
      <alignment horizontal="left" vertical="center"/>
    </xf>
    <xf numFmtId="0" fontId="2" fillId="20" borderId="11" applyAlignment="1" pivotButton="0" quotePrefix="0" xfId="3">
      <alignment horizontal="left" vertical="center"/>
    </xf>
    <xf numFmtId="0" fontId="2" fillId="16" borderId="15" applyAlignment="1" pivotButton="0" quotePrefix="0" xfId="3">
      <alignment horizontal="left" vertical="center"/>
    </xf>
    <xf numFmtId="172" fontId="2" fillId="16" borderId="11" applyAlignment="1" pivotButton="0" quotePrefix="0" xfId="3">
      <alignment horizontal="center" vertical="center"/>
    </xf>
    <xf numFmtId="172" fontId="2" fillId="20" borderId="11" applyAlignment="1" pivotButton="0" quotePrefix="0" xfId="3">
      <alignment horizontal="center" vertical="center"/>
    </xf>
    <xf numFmtId="174" fontId="2" fillId="20" borderId="11" applyAlignment="1" pivotButton="0" quotePrefix="0" xfId="3">
      <alignment horizontal="center" vertical="center"/>
    </xf>
    <xf numFmtId="0" fontId="2" fillId="16" borderId="11" applyAlignment="1" pivotButton="0" quotePrefix="0" xfId="3">
      <alignment horizontal="center" vertical="center"/>
    </xf>
    <xf numFmtId="175" fontId="2" fillId="20" borderId="11" applyAlignment="1" pivotButton="0" quotePrefix="0" xfId="3">
      <alignment horizontal="center" vertical="center"/>
    </xf>
    <xf numFmtId="0" fontId="2" fillId="16" borderId="0" pivotButton="0" quotePrefix="0" xfId="3"/>
    <xf numFmtId="49" fontId="2" fillId="16" borderId="0" pivotButton="0" quotePrefix="0" xfId="3"/>
    <xf numFmtId="0" fontId="3" fillId="19" borderId="45" applyProtection="1" pivotButton="0" quotePrefix="0" xfId="0">
      <protection locked="0" hidden="0"/>
    </xf>
    <xf numFmtId="0" fontId="3" fillId="19" borderId="0" applyAlignment="1" applyProtection="1" pivotButton="0" quotePrefix="0" xfId="0">
      <alignment horizontal="right"/>
      <protection locked="0" hidden="0"/>
    </xf>
    <xf numFmtId="0" fontId="3" fillId="19" borderId="45" applyAlignment="1" applyProtection="1" pivotButton="0" quotePrefix="0" xfId="0">
      <alignment horizontal="right"/>
      <protection locked="0" hidden="0"/>
    </xf>
    <xf numFmtId="0" fontId="70" fillId="16" borderId="0" pivotButton="0" quotePrefix="0" xfId="0"/>
    <xf numFmtId="165" fontId="3" fillId="19" borderId="0" applyProtection="1" pivotButton="0" quotePrefix="0" xfId="0">
      <protection locked="0" hidden="0"/>
    </xf>
    <xf numFmtId="0" fontId="3" fillId="9" borderId="0" pivotButton="0" quotePrefix="0" xfId="3"/>
    <xf numFmtId="1" fontId="0" fillId="4" borderId="0" pivotButton="0" quotePrefix="0" xfId="0"/>
    <xf numFmtId="0" fontId="2" fillId="9" borderId="0" applyAlignment="1" pivotButton="0" quotePrefix="0" xfId="0">
      <alignment vertical="center"/>
    </xf>
    <xf numFmtId="0" fontId="2" fillId="9" borderId="28" applyAlignment="1" pivotButton="0" quotePrefix="0" xfId="0">
      <alignment vertical="center"/>
    </xf>
    <xf numFmtId="0" fontId="2" fillId="9" borderId="0" applyAlignment="1" pivotButton="0" quotePrefix="0" xfId="0">
      <alignment horizontal="right" vertical="center"/>
    </xf>
    <xf numFmtId="165" fontId="2" fillId="9" borderId="0" applyAlignment="1" pivotButton="0" quotePrefix="0" xfId="0">
      <alignment vertical="center"/>
    </xf>
    <xf numFmtId="0" fontId="2" fillId="9" borderId="29" applyAlignment="1" pivotButton="0" quotePrefix="0" xfId="0">
      <alignment vertical="center"/>
    </xf>
    <xf numFmtId="1" fontId="2" fillId="9" borderId="0" applyAlignment="1" pivotButton="0" quotePrefix="0" xfId="0">
      <alignment vertical="center"/>
    </xf>
    <xf numFmtId="0" fontId="2" fillId="9" borderId="30" applyAlignment="1" pivotButton="0" quotePrefix="0" xfId="0">
      <alignment vertical="center"/>
    </xf>
    <xf numFmtId="0" fontId="2" fillId="9" borderId="32" applyAlignment="1" pivotButton="0" quotePrefix="0" xfId="0">
      <alignment vertical="center"/>
    </xf>
    <xf numFmtId="0" fontId="2" fillId="9" borderId="43" applyAlignment="1" pivotButton="0" quotePrefix="0" xfId="0">
      <alignment vertical="center"/>
    </xf>
    <xf numFmtId="0" fontId="2" fillId="9" borderId="2" applyAlignment="1" pivotButton="0" quotePrefix="0" xfId="0">
      <alignment vertical="center"/>
    </xf>
    <xf numFmtId="0" fontId="2" fillId="9" borderId="2" applyAlignment="1" pivotButton="0" quotePrefix="0" xfId="0">
      <alignment horizontal="right" vertical="center"/>
    </xf>
    <xf numFmtId="0" fontId="3" fillId="9" borderId="3" applyAlignment="1" pivotButton="0" quotePrefix="0" xfId="0">
      <alignment vertical="center"/>
    </xf>
    <xf numFmtId="0" fontId="61" fillId="9" borderId="0" applyAlignment="1" pivotButton="0" quotePrefix="0" xfId="0">
      <alignment horizontal="right" vertical="center"/>
    </xf>
    <xf numFmtId="0" fontId="3" fillId="19" borderId="0" applyAlignment="1" applyProtection="1" pivotButton="0" quotePrefix="0" xfId="0">
      <alignment vertical="center"/>
      <protection locked="0" hidden="0"/>
    </xf>
    <xf numFmtId="0" fontId="3" fillId="9" borderId="29" applyAlignment="1" pivotButton="0" quotePrefix="0" xfId="0">
      <alignment vertical="center"/>
    </xf>
    <xf numFmtId="1" fontId="3" fillId="19" borderId="0" applyAlignment="1" applyProtection="1" pivotButton="0" quotePrefix="0" xfId="0">
      <alignment vertical="center"/>
      <protection locked="0" hidden="0"/>
    </xf>
    <xf numFmtId="0" fontId="61" fillId="16" borderId="2" applyAlignment="1" pivotButton="0" quotePrefix="0" xfId="0">
      <alignment horizontal="right" vertical="center"/>
    </xf>
    <xf numFmtId="0" fontId="3" fillId="9" borderId="0" applyAlignment="1" pivotButton="0" quotePrefix="0" xfId="0">
      <alignment vertical="center"/>
    </xf>
    <xf numFmtId="0" fontId="3" fillId="9" borderId="0" applyAlignment="1" pivotButton="0" quotePrefix="0" xfId="0">
      <alignment horizontal="right" vertical="center"/>
    </xf>
    <xf numFmtId="0" fontId="2" fillId="9" borderId="45" applyAlignment="1" pivotButton="0" quotePrefix="0" xfId="0">
      <alignment horizontal="right" vertical="center"/>
    </xf>
    <xf numFmtId="0" fontId="2" fillId="9" borderId="44" applyAlignment="1" pivotButton="0" quotePrefix="0" xfId="0">
      <alignment vertical="center"/>
    </xf>
    <xf numFmtId="0" fontId="2" fillId="9" borderId="45" applyAlignment="1" pivotButton="0" quotePrefix="0" xfId="0">
      <alignment vertical="center"/>
    </xf>
    <xf numFmtId="0" fontId="2" fillId="9" borderId="46" applyAlignment="1" pivotButton="0" quotePrefix="0" xfId="0">
      <alignment vertical="center"/>
    </xf>
    <xf numFmtId="0" fontId="2" fillId="9" borderId="3" applyAlignment="1" pivotButton="0" quotePrefix="0" xfId="0">
      <alignment vertical="center"/>
    </xf>
    <xf numFmtId="1" fontId="61" fillId="19" borderId="0" applyAlignment="1" applyProtection="1" pivotButton="0" quotePrefix="0" xfId="0">
      <alignment horizontal="right" vertical="center"/>
      <protection locked="0" hidden="0"/>
    </xf>
    <xf numFmtId="0" fontId="3" fillId="9" borderId="29" applyAlignment="1" pivotButton="0" quotePrefix="0" xfId="0">
      <alignment horizontal="left" vertical="center"/>
    </xf>
    <xf numFmtId="0" fontId="61" fillId="19" borderId="0" applyAlignment="1" applyProtection="1" pivotButton="0" quotePrefix="0" xfId="0">
      <alignment vertical="center"/>
      <protection locked="0" hidden="0"/>
    </xf>
    <xf numFmtId="2" fontId="7" fillId="12" borderId="2" pivotButton="0" quotePrefix="0" xfId="0"/>
    <xf numFmtId="2" fontId="7" fillId="12" borderId="0" pivotButton="0" quotePrefix="0" xfId="0"/>
    <xf numFmtId="11" fontId="7" fillId="12" borderId="0" pivotButton="0" quotePrefix="0" xfId="0"/>
    <xf numFmtId="0" fontId="0" fillId="0" borderId="41" pivotButton="0" quotePrefix="0" xfId="0"/>
    <xf numFmtId="0" fontId="0" fillId="22" borderId="0" pivotButton="0" quotePrefix="0" xfId="0"/>
    <xf numFmtId="0" fontId="2" fillId="0" borderId="0" applyAlignment="1" pivotButton="0" quotePrefix="0" xfId="0">
      <alignment horizontal="right"/>
    </xf>
    <xf numFmtId="0" fontId="3" fillId="0" borderId="31" applyAlignment="1" pivotButton="0" quotePrefix="0" xfId="0">
      <alignment horizontal="right"/>
    </xf>
    <xf numFmtId="0" fontId="3" fillId="0" borderId="0" applyAlignment="1" pivotButton="0" quotePrefix="0" xfId="0">
      <alignment horizontal="right"/>
    </xf>
    <xf numFmtId="0" fontId="3" fillId="0" borderId="41" pivotButton="0" quotePrefix="0" xfId="0"/>
    <xf numFmtId="0" fontId="3" fillId="0" borderId="31" pivotButton="0" quotePrefix="0" xfId="0"/>
    <xf numFmtId="0" fontId="3" fillId="0" borderId="0" applyAlignment="1" pivotButton="0" quotePrefix="0" xfId="0">
      <alignment horizontal="left"/>
    </xf>
    <xf numFmtId="168" fontId="7" fillId="12" borderId="0" pivotButton="0" quotePrefix="0" xfId="0"/>
    <xf numFmtId="168" fontId="8" fillId="12" borderId="0" pivotButton="0" quotePrefix="0" xfId="0"/>
    <xf numFmtId="0" fontId="3" fillId="19" borderId="2" applyProtection="1" pivotButton="0" quotePrefix="0" xfId="0">
      <protection locked="0" hidden="0"/>
    </xf>
    <xf numFmtId="0" fontId="60" fillId="16" borderId="0" applyAlignment="1" pivotButton="0" quotePrefix="0" xfId="0">
      <alignment horizontal="center"/>
    </xf>
    <xf numFmtId="165" fontId="2" fillId="9" borderId="0" pivotButton="0" quotePrefix="0" xfId="0"/>
    <xf numFmtId="2" fontId="0" fillId="22" borderId="0" pivotButton="0" quotePrefix="0" xfId="0"/>
    <xf numFmtId="170" fontId="0" fillId="22" borderId="0" pivotButton="0" quotePrefix="0" xfId="0"/>
    <xf numFmtId="170" fontId="0" fillId="12" borderId="0" pivotButton="0" quotePrefix="0" xfId="0"/>
    <xf numFmtId="1" fontId="0" fillId="0" borderId="0" pivotButton="0" quotePrefix="0" xfId="0"/>
    <xf numFmtId="170" fontId="0" fillId="0" borderId="0" pivotButton="0" quotePrefix="0" xfId="0"/>
    <xf numFmtId="165" fontId="0" fillId="22" borderId="0" pivotButton="0" quotePrefix="0" xfId="0"/>
    <xf numFmtId="0" fontId="2" fillId="0" borderId="41" pivotButton="0" quotePrefix="0" xfId="0"/>
    <xf numFmtId="0" fontId="2" fillId="0" borderId="30" pivotButton="0" quotePrefix="0" xfId="0"/>
    <xf numFmtId="0" fontId="3" fillId="0" borderId="54" pivotButton="0" quotePrefix="0" xfId="0"/>
    <xf numFmtId="0" fontId="0" fillId="24" borderId="0" pivotButton="0" quotePrefix="0" xfId="0"/>
    <xf numFmtId="0" fontId="15" fillId="0" borderId="34" pivotButton="0" quotePrefix="0" xfId="0"/>
    <xf numFmtId="0" fontId="2" fillId="0" borderId="0" pivotButton="0" quotePrefix="0" xfId="3"/>
    <xf numFmtId="0" fontId="2" fillId="0" borderId="18" applyAlignment="1" pivotButton="0" quotePrefix="0" xfId="3">
      <alignment horizontal="left"/>
    </xf>
    <xf numFmtId="0" fontId="2" fillId="0" borderId="11" pivotButton="0" quotePrefix="0" xfId="3"/>
    <xf numFmtId="0" fontId="2" fillId="0" borderId="58" pivotButton="0" quotePrefix="0" xfId="3"/>
    <xf numFmtId="0" fontId="2" fillId="0" borderId="18" pivotButton="0" quotePrefix="0" xfId="3"/>
    <xf numFmtId="1" fontId="2" fillId="0" borderId="11" pivotButton="0" quotePrefix="0" xfId="3"/>
    <xf numFmtId="0" fontId="2" fillId="0" borderId="15" pivotButton="0" quotePrefix="0" xfId="3"/>
    <xf numFmtId="0" fontId="2" fillId="8" borderId="18" pivotButton="0" quotePrefix="0" xfId="3"/>
    <xf numFmtId="0" fontId="2" fillId="8" borderId="11" pivotButton="0" quotePrefix="0" xfId="3"/>
    <xf numFmtId="0" fontId="2" fillId="8" borderId="58" pivotButton="0" quotePrefix="0" xfId="3"/>
    <xf numFmtId="165" fontId="2" fillId="0" borderId="11" pivotButton="0" quotePrefix="0" xfId="3"/>
    <xf numFmtId="0" fontId="7" fillId="0" borderId="5" applyAlignment="1" pivotButton="0" quotePrefix="0" xfId="3">
      <alignment horizontal="center"/>
    </xf>
    <xf numFmtId="0" fontId="7" fillId="0" borderId="6" applyAlignment="1" pivotButton="0" quotePrefix="0" xfId="3">
      <alignment horizontal="center"/>
    </xf>
    <xf numFmtId="0" fontId="7" fillId="0" borderId="7" applyAlignment="1" pivotButton="0" quotePrefix="0" xfId="3">
      <alignment horizontal="center"/>
    </xf>
    <xf numFmtId="0" fontId="7" fillId="0" borderId="0" applyAlignment="1" pivotButton="0" quotePrefix="0" xfId="3">
      <alignment horizontal="center"/>
    </xf>
    <xf numFmtId="0" fontId="7" fillId="0" borderId="18" pivotButton="0" quotePrefix="0" xfId="3"/>
    <xf numFmtId="0" fontId="7" fillId="0" borderId="58" pivotButton="0" quotePrefix="0" xfId="3"/>
    <xf numFmtId="0" fontId="2" fillId="0" borderId="66" applyAlignment="1" pivotButton="0" quotePrefix="0" xfId="3">
      <alignment horizontal="center"/>
    </xf>
    <xf numFmtId="170" fontId="2" fillId="0" borderId="67" applyAlignment="1" pivotButton="0" quotePrefix="0" xfId="3">
      <alignment horizontal="center"/>
    </xf>
    <xf numFmtId="170" fontId="2" fillId="0" borderId="12" applyAlignment="1" pivotButton="0" quotePrefix="0" xfId="3">
      <alignment horizontal="center"/>
    </xf>
    <xf numFmtId="170" fontId="2" fillId="0" borderId="68" applyAlignment="1" pivotButton="0" quotePrefix="0" xfId="3">
      <alignment horizontal="center"/>
    </xf>
    <xf numFmtId="170" fontId="2" fillId="0" borderId="69" applyAlignment="1" pivotButton="0" quotePrefix="0" xfId="3">
      <alignment horizontal="center"/>
    </xf>
    <xf numFmtId="176" fontId="2" fillId="0" borderId="67" applyAlignment="1" pivotButton="0" quotePrefix="0" xfId="3">
      <alignment horizontal="center"/>
    </xf>
    <xf numFmtId="176" fontId="2" fillId="0" borderId="68" applyAlignment="1" pivotButton="0" quotePrefix="0" xfId="3">
      <alignment horizontal="center"/>
    </xf>
    <xf numFmtId="2" fontId="2" fillId="0" borderId="67" applyAlignment="1" pivotButton="0" quotePrefix="0" xfId="3">
      <alignment horizontal="center"/>
    </xf>
    <xf numFmtId="2" fontId="2" fillId="0" borderId="12" applyAlignment="1" pivotButton="0" quotePrefix="0" xfId="3">
      <alignment horizontal="center"/>
    </xf>
    <xf numFmtId="2" fontId="2" fillId="0" borderId="18" applyAlignment="1" pivotButton="0" quotePrefix="0" xfId="3">
      <alignment horizontal="center"/>
    </xf>
    <xf numFmtId="2" fontId="2" fillId="0" borderId="58" applyAlignment="1" pivotButton="0" quotePrefix="0" xfId="3">
      <alignment horizontal="center"/>
    </xf>
    <xf numFmtId="0" fontId="2" fillId="0" borderId="63" applyAlignment="1" pivotButton="0" quotePrefix="0" xfId="3">
      <alignment horizontal="center"/>
    </xf>
    <xf numFmtId="170" fontId="2" fillId="0" borderId="11" applyAlignment="1" pivotButton="0" quotePrefix="0" xfId="3">
      <alignment horizontal="center"/>
    </xf>
    <xf numFmtId="170" fontId="2" fillId="0" borderId="58" applyAlignment="1" pivotButton="0" quotePrefix="0" xfId="3">
      <alignment horizontal="center"/>
    </xf>
    <xf numFmtId="0" fontId="2" fillId="0" borderId="0" applyAlignment="1" pivotButton="0" quotePrefix="0" xfId="3">
      <alignment horizontal="center"/>
    </xf>
    <xf numFmtId="170" fontId="2" fillId="0" borderId="0" applyAlignment="1" pivotButton="0" quotePrefix="0" xfId="3">
      <alignment horizontal="center"/>
    </xf>
    <xf numFmtId="176" fontId="2" fillId="0" borderId="0" applyAlignment="1" pivotButton="0" quotePrefix="0" xfId="3">
      <alignment horizontal="center"/>
    </xf>
    <xf numFmtId="2" fontId="2" fillId="0" borderId="0" applyAlignment="1" pivotButton="0" quotePrefix="0" xfId="3">
      <alignment horizontal="center"/>
    </xf>
    <xf numFmtId="0" fontId="2" fillId="0" borderId="0" applyAlignment="1" pivotButton="0" quotePrefix="0" xfId="3">
      <alignment horizontal="right"/>
    </xf>
    <xf numFmtId="170" fontId="2" fillId="0" borderId="18" applyAlignment="1" pivotButton="0" quotePrefix="0" xfId="3">
      <alignment horizontal="center"/>
    </xf>
    <xf numFmtId="170" fontId="2" fillId="0" borderId="8" applyAlignment="1" pivotButton="0" quotePrefix="0" xfId="3">
      <alignment horizontal="center"/>
    </xf>
    <xf numFmtId="2" fontId="2" fillId="0" borderId="5" applyAlignment="1" pivotButton="0" quotePrefix="0" xfId="3">
      <alignment horizontal="center"/>
    </xf>
    <xf numFmtId="2" fontId="2" fillId="0" borderId="7" applyAlignment="1" pivotButton="0" quotePrefix="0" xfId="3">
      <alignment horizontal="center"/>
    </xf>
    <xf numFmtId="2" fontId="2" fillId="0" borderId="0" pivotButton="0" quotePrefix="0" xfId="3"/>
    <xf numFmtId="168" fontId="0" fillId="0" borderId="0" pivotButton="0" quotePrefix="0" xfId="0"/>
    <xf numFmtId="1" fontId="7" fillId="12" borderId="0" pivotButton="0" quotePrefix="0" xfId="0"/>
    <xf numFmtId="0" fontId="58" fillId="0" borderId="0" pivotButton="0" quotePrefix="0" xfId="0"/>
    <xf numFmtId="0" fontId="2" fillId="4" borderId="70" applyAlignment="1" pivotButton="0" quotePrefix="0" xfId="3">
      <alignment vertical="center"/>
    </xf>
    <xf numFmtId="0" fontId="2" fillId="0" borderId="71" applyAlignment="1" pivotButton="0" quotePrefix="0" xfId="3">
      <alignment horizontal="center"/>
    </xf>
    <xf numFmtId="2" fontId="2" fillId="0" borderId="11" pivotButton="0" quotePrefix="0" xfId="3"/>
    <xf numFmtId="2" fontId="2" fillId="0" borderId="58" pivotButton="0" quotePrefix="0" xfId="3"/>
    <xf numFmtId="2" fontId="7" fillId="0" borderId="7" applyAlignment="1" pivotButton="0" quotePrefix="0" xfId="3">
      <alignment horizontal="center"/>
    </xf>
    <xf numFmtId="1" fontId="2" fillId="9" borderId="2" applyAlignment="1" pivotButton="0" quotePrefix="0" xfId="0">
      <alignment vertical="center"/>
    </xf>
    <xf numFmtId="0" fontId="3" fillId="9" borderId="44" applyAlignment="1" pivotButton="0" quotePrefix="0" xfId="0">
      <alignment horizontal="center"/>
    </xf>
    <xf numFmtId="11" fontId="2" fillId="0" borderId="0" pivotButton="0" quotePrefix="0" xfId="0"/>
    <xf numFmtId="1" fontId="2" fillId="0" borderId="0" pivotButton="0" quotePrefix="0" xfId="0"/>
    <xf numFmtId="1" fontId="2" fillId="12" borderId="0" pivotButton="0" quotePrefix="0" xfId="0"/>
    <xf numFmtId="0" fontId="2" fillId="0" borderId="75" pivotButton="0" quotePrefix="0" xfId="0"/>
    <xf numFmtId="168" fontId="2" fillId="0" borderId="77" pivotButton="0" quotePrefix="0" xfId="0"/>
    <xf numFmtId="11" fontId="7" fillId="0" borderId="77" pivotButton="0" quotePrefix="0" xfId="0"/>
    <xf numFmtId="0" fontId="68" fillId="0" borderId="77" pivotButton="0" quotePrefix="0" xfId="0"/>
    <xf numFmtId="1" fontId="58" fillId="0" borderId="0" pivotButton="0" quotePrefix="0" xfId="0"/>
    <xf numFmtId="0" fontId="75" fillId="0" borderId="0" pivotButton="0" quotePrefix="0" xfId="0"/>
    <xf numFmtId="168" fontId="58" fillId="0" borderId="0" pivotButton="0" quotePrefix="0" xfId="0"/>
    <xf numFmtId="0" fontId="3" fillId="0" borderId="30" pivotButton="0" quotePrefix="0" xfId="0"/>
    <xf numFmtId="166" fontId="3" fillId="0" borderId="0" pivotButton="0" quotePrefix="0" xfId="0"/>
    <xf numFmtId="11" fontId="3" fillId="0" borderId="0" pivotButton="0" quotePrefix="0" xfId="0"/>
    <xf numFmtId="0" fontId="0" fillId="0" borderId="45" pivotButton="0" quotePrefix="0" xfId="0"/>
    <xf numFmtId="1" fontId="2" fillId="22" borderId="0" pivotButton="0" quotePrefix="0" xfId="0"/>
    <xf numFmtId="1" fontId="61" fillId="0" borderId="0" pivotButton="0" quotePrefix="0" xfId="0"/>
    <xf numFmtId="0" fontId="61" fillId="0" borderId="0" pivotButton="0" quotePrefix="0" xfId="0"/>
    <xf numFmtId="0" fontId="68" fillId="0" borderId="58" pivotButton="0" quotePrefix="0" xfId="3"/>
    <xf numFmtId="168" fontId="0" fillId="12" borderId="0" pivotButton="0" quotePrefix="0" xfId="0"/>
    <xf numFmtId="170" fontId="7" fillId="12" borderId="0" pivotButton="0" quotePrefix="0" xfId="0"/>
    <xf numFmtId="11" fontId="0" fillId="22" borderId="0" applyAlignment="1" pivotButton="0" quotePrefix="0" xfId="0">
      <alignment horizontal="right"/>
    </xf>
    <xf numFmtId="0" fontId="0" fillId="24" borderId="0" applyAlignment="1" pivotButton="0" quotePrefix="0" xfId="0">
      <alignment horizontal="right"/>
    </xf>
    <xf numFmtId="168" fontId="30" fillId="22" borderId="0" pivotButton="0" quotePrefix="0" xfId="0"/>
    <xf numFmtId="170" fontId="30" fillId="22" borderId="34" pivotButton="0" quotePrefix="0" xfId="0"/>
    <xf numFmtId="168" fontId="2" fillId="0" borderId="0" pivotButton="0" quotePrefix="0" xfId="0"/>
    <xf numFmtId="0" fontId="2" fillId="0" borderId="24" applyAlignment="1" pivotButton="0" quotePrefix="0" xfId="3">
      <alignment horizontal="left"/>
    </xf>
    <xf numFmtId="0" fontId="2" fillId="0" borderId="45" pivotButton="0" quotePrefix="0" xfId="3"/>
    <xf numFmtId="0" fontId="2" fillId="0" borderId="46" pivotButton="0" quotePrefix="0" xfId="3"/>
    <xf numFmtId="168" fontId="2" fillId="0" borderId="45" pivotButton="0" quotePrefix="0" xfId="3"/>
    <xf numFmtId="0" fontId="2" fillId="8" borderId="15" pivotButton="0" quotePrefix="0" xfId="3"/>
    <xf numFmtId="0" fontId="3" fillId="0" borderId="55" applyAlignment="1" pivotButton="0" quotePrefix="0" xfId="3">
      <alignment horizontal="center"/>
    </xf>
    <xf numFmtId="11" fontId="2" fillId="0" borderId="11" pivotButton="0" quotePrefix="0" xfId="3"/>
    <xf numFmtId="1" fontId="2" fillId="0" borderId="45" pivotButton="0" quotePrefix="0" xfId="3"/>
    <xf numFmtId="168" fontId="2" fillId="0" borderId="11" pivotButton="0" quotePrefix="0" xfId="3"/>
    <xf numFmtId="0" fontId="2" fillId="0" borderId="0" applyAlignment="1" pivotButton="0" quotePrefix="0" xfId="3">
      <alignment horizontal="left"/>
    </xf>
    <xf numFmtId="1" fontId="2" fillId="0" borderId="0" pivotButton="0" quotePrefix="0" xfId="3"/>
    <xf numFmtId="168" fontId="2" fillId="0" borderId="0" pivotButton="0" quotePrefix="0" xfId="3"/>
    <xf numFmtId="0" fontId="0" fillId="23" borderId="0" pivotButton="0" quotePrefix="0" xfId="0"/>
    <xf numFmtId="177" fontId="8" fillId="12" borderId="0" pivotButton="0" quotePrefix="0" xfId="0"/>
    <xf numFmtId="2" fontId="2" fillId="0" borderId="0" pivotButton="0" quotePrefix="0" xfId="0"/>
    <xf numFmtId="168" fontId="3" fillId="0" borderId="0" applyAlignment="1" pivotButton="0" quotePrefix="0" xfId="0">
      <alignment horizontal="right"/>
    </xf>
    <xf numFmtId="1" fontId="2" fillId="24" borderId="0" pivotButton="0" quotePrefix="0" xfId="0"/>
    <xf numFmtId="0" fontId="2" fillId="24" borderId="0" pivotButton="0" quotePrefix="0" xfId="0"/>
    <xf numFmtId="170" fontId="2" fillId="22" borderId="31" pivotButton="0" quotePrefix="0" xfId="0"/>
    <xf numFmtId="0" fontId="2" fillId="0" borderId="8" pivotButton="0" quotePrefix="0" xfId="3"/>
    <xf numFmtId="165" fontId="2" fillId="0" borderId="8" pivotButton="0" quotePrefix="0" xfId="3"/>
    <xf numFmtId="0" fontId="3" fillId="0" borderId="57" applyAlignment="1" pivotButton="0" quotePrefix="0" xfId="3">
      <alignment horizontal="center"/>
    </xf>
    <xf numFmtId="0" fontId="2" fillId="8" borderId="64" pivotButton="0" quotePrefix="0" xfId="3"/>
    <xf numFmtId="168" fontId="2" fillId="0" borderId="44" pivotButton="0" quotePrefix="0" xfId="3"/>
    <xf numFmtId="176" fontId="2" fillId="0" borderId="58" applyAlignment="1" pivotButton="0" quotePrefix="0" xfId="3">
      <alignment horizontal="center"/>
    </xf>
    <xf numFmtId="168" fontId="61" fillId="0" borderId="0" pivotButton="0" quotePrefix="0" xfId="0"/>
    <xf numFmtId="178" fontId="3" fillId="12" borderId="0" pivotButton="0" quotePrefix="0" xfId="0"/>
    <xf numFmtId="178" fontId="2" fillId="4" borderId="0" pivotButton="0" quotePrefix="0" xfId="0"/>
    <xf numFmtId="178" fontId="30" fillId="4" borderId="0" pivotButton="0" quotePrefix="0" xfId="0"/>
    <xf numFmtId="178" fontId="0" fillId="12" borderId="0" pivotButton="0" quotePrefix="0" xfId="0"/>
    <xf numFmtId="178" fontId="0" fillId="4" borderId="31" pivotButton="0" quotePrefix="0" xfId="0"/>
    <xf numFmtId="0" fontId="2" fillId="0" borderId="8" applyAlignment="1" pivotButton="0" quotePrefix="0" xfId="3">
      <alignment horizontal="left"/>
    </xf>
    <xf numFmtId="2" fontId="2" fillId="0" borderId="59" applyAlignment="1" pivotButton="0" quotePrefix="0" xfId="3">
      <alignment horizontal="center"/>
    </xf>
    <xf numFmtId="1" fontId="2" fillId="0" borderId="0" applyAlignment="1" pivotButton="0" quotePrefix="0" xfId="3">
      <alignment horizontal="right"/>
    </xf>
    <xf numFmtId="168" fontId="2" fillId="8" borderId="11" pivotButton="0" quotePrefix="0" xfId="3"/>
    <xf numFmtId="0" fontId="2" fillId="9" borderId="76" applyAlignment="1" pivotButton="0" quotePrefix="0" xfId="0">
      <alignment horizontal="left"/>
    </xf>
    <xf numFmtId="165" fontId="2" fillId="9" borderId="28" applyAlignment="1" pivotButton="0" quotePrefix="0" xfId="0">
      <alignment horizontal="right"/>
    </xf>
    <xf numFmtId="0" fontId="2" fillId="9" borderId="29" applyAlignment="1" pivotButton="0" quotePrefix="0" xfId="0">
      <alignment horizontal="left"/>
    </xf>
    <xf numFmtId="0" fontId="2" fillId="9" borderId="46" applyAlignment="1" pivotButton="0" quotePrefix="0" xfId="0">
      <alignment horizontal="left"/>
    </xf>
    <xf numFmtId="165" fontId="2" fillId="22" borderId="0" pivotButton="0" quotePrefix="0" xfId="0"/>
    <xf numFmtId="1" fontId="2" fillId="9" borderId="44" applyAlignment="1" pivotButton="0" quotePrefix="0" xfId="0">
      <alignment horizontal="right"/>
    </xf>
    <xf numFmtId="0" fontId="2" fillId="16" borderId="0" applyAlignment="1" pivotButton="0" quotePrefix="0" xfId="3">
      <alignment vertical="center"/>
    </xf>
    <xf numFmtId="49" fontId="2" fillId="16" borderId="0" applyAlignment="1" pivotButton="0" quotePrefix="0" xfId="3">
      <alignment vertical="center"/>
    </xf>
    <xf numFmtId="179" fontId="2" fillId="21" borderId="11" applyAlignment="1" pivotButton="0" quotePrefix="0" xfId="3">
      <alignment horizontal="center" vertical="center"/>
    </xf>
    <xf numFmtId="0" fontId="2" fillId="0" borderId="11" pivotButton="0" quotePrefix="0" xfId="0"/>
    <xf numFmtId="0" fontId="2" fillId="0" borderId="15" pivotButton="0" quotePrefix="0" xfId="0"/>
    <xf numFmtId="0" fontId="2" fillId="0" borderId="16" pivotButton="0" quotePrefix="0" xfId="0"/>
    <xf numFmtId="0" fontId="2" fillId="0" borderId="17" pivotButton="0" quotePrefix="0" xfId="0"/>
    <xf numFmtId="0" fontId="68" fillId="0" borderId="11" pivotButton="0" quotePrefix="0" xfId="0"/>
    <xf numFmtId="0" fontId="2" fillId="0" borderId="13" pivotButton="0" quotePrefix="0" xfId="0"/>
    <xf numFmtId="0" fontId="2" fillId="4" borderId="11" pivotButton="0" quotePrefix="0" xfId="0"/>
    <xf numFmtId="2" fontId="0" fillId="2" borderId="0" pivotButton="0" quotePrefix="0" xfId="0"/>
    <xf numFmtId="0" fontId="2" fillId="6" borderId="11" pivotButton="0" quotePrefix="0" xfId="0"/>
    <xf numFmtId="170" fontId="15" fillId="7" borderId="0" pivotButton="0" quotePrefix="0" xfId="0"/>
    <xf numFmtId="2" fontId="15" fillId="7" borderId="0" pivotButton="0" quotePrefix="0" xfId="0"/>
    <xf numFmtId="0" fontId="3" fillId="2" borderId="5" applyAlignment="1" pivotButton="0" quotePrefix="0" xfId="0">
      <alignment horizontal="center" vertical="center" wrapText="1"/>
    </xf>
    <xf numFmtId="0" fontId="3" fillId="2" borderId="6" applyAlignment="1" pivotButton="0" quotePrefix="0" xfId="0">
      <alignment horizontal="center" vertical="center" wrapText="1"/>
    </xf>
    <xf numFmtId="0" fontId="3" fillId="7" borderId="7" applyAlignment="1" pivotButton="0" quotePrefix="0" xfId="0">
      <alignment horizontal="center" vertical="center" wrapText="1"/>
    </xf>
    <xf numFmtId="164" fontId="3" fillId="2" borderId="6" applyAlignment="1" pivotButton="0" quotePrefix="0" xfId="0">
      <alignment horizontal="center" vertical="center" wrapText="1"/>
    </xf>
    <xf numFmtId="0" fontId="3" fillId="2" borderId="21" applyAlignment="1" pivotButton="0" quotePrefix="0" xfId="0">
      <alignment horizontal="center" vertical="center" wrapText="1"/>
    </xf>
    <xf numFmtId="0" fontId="3" fillId="7" borderId="22" applyAlignment="1" pivotButton="0" quotePrefix="0" xfId="0">
      <alignment horizontal="center" vertical="center" wrapText="1"/>
    </xf>
    <xf numFmtId="0" fontId="3" fillId="2" borderId="24" applyAlignment="1" pivotButton="0" quotePrefix="0" xfId="0">
      <alignment horizontal="center" vertical="center" wrapText="1"/>
    </xf>
    <xf numFmtId="0" fontId="3" fillId="2" borderId="25" applyAlignment="1" pivotButton="0" quotePrefix="0" xfId="0">
      <alignment horizontal="center" vertical="center" wrapText="1"/>
    </xf>
    <xf numFmtId="0" fontId="3" fillId="2" borderId="26" applyAlignment="1" pivotButton="0" quotePrefix="0" xfId="0">
      <alignment horizontal="center" vertical="center" wrapText="1"/>
    </xf>
    <xf numFmtId="0" fontId="3" fillId="7" borderId="27" applyAlignment="1" pivotButton="0" quotePrefix="0" xfId="0">
      <alignment horizontal="center" vertical="center" wrapText="1"/>
    </xf>
    <xf numFmtId="0" fontId="3" fillId="14" borderId="5" applyAlignment="1" pivotButton="0" quotePrefix="0" xfId="0">
      <alignment horizontal="center" vertical="center" wrapText="1"/>
    </xf>
    <xf numFmtId="2" fontId="3" fillId="14" borderId="6" applyAlignment="1" pivotButton="0" quotePrefix="0" xfId="0">
      <alignment horizontal="center" vertical="center" wrapText="1"/>
    </xf>
    <xf numFmtId="168" fontId="3" fillId="2" borderId="6" applyAlignment="1" pivotButton="0" quotePrefix="0" xfId="0">
      <alignment horizontal="center" vertical="center" wrapText="1"/>
    </xf>
    <xf numFmtId="170" fontId="3" fillId="2" borderId="5" applyAlignment="1" pivotButton="0" quotePrefix="0" xfId="0">
      <alignment horizontal="center" vertical="center" wrapText="1"/>
    </xf>
    <xf numFmtId="170" fontId="3" fillId="2" borderId="6" applyAlignment="1" pivotButton="0" quotePrefix="0" xfId="0">
      <alignment horizontal="center" vertical="center" wrapText="1"/>
    </xf>
    <xf numFmtId="0" fontId="3" fillId="4" borderId="3" applyAlignment="1" pivotButton="0" quotePrefix="0" xfId="0">
      <alignment horizontal="center"/>
    </xf>
    <xf numFmtId="0" fontId="3" fillId="4" borderId="2" applyAlignment="1" pivotButton="0" quotePrefix="0" xfId="0">
      <alignment horizontal="center"/>
    </xf>
    <xf numFmtId="170" fontId="3" fillId="4" borderId="2" applyAlignment="1" pivotButton="0" quotePrefix="0" xfId="0">
      <alignment horizontal="center"/>
    </xf>
    <xf numFmtId="170" fontId="3" fillId="7" borderId="23" applyAlignment="1" pivotButton="0" quotePrefix="0" xfId="0">
      <alignment horizontal="center" vertical="center" wrapText="1"/>
    </xf>
    <xf numFmtId="0" fontId="58" fillId="19" borderId="23" applyAlignment="1" pivotButton="0" quotePrefix="0" xfId="0">
      <alignment horizontal="center" vertical="center" wrapText="1"/>
    </xf>
    <xf numFmtId="0" fontId="3" fillId="9" borderId="77" pivotButton="0" quotePrefix="0" xfId="0"/>
    <xf numFmtId="0" fontId="2" fillId="9" borderId="77" pivotButton="0" quotePrefix="0" xfId="0"/>
    <xf numFmtId="0" fontId="2" fillId="9" borderId="76" pivotButton="0" quotePrefix="0" xfId="0"/>
    <xf numFmtId="0" fontId="74" fillId="9" borderId="28" pivotButton="0" quotePrefix="0" xfId="0"/>
    <xf numFmtId="0" fontId="15" fillId="0" borderId="39" pivotButton="0" quotePrefix="0" xfId="0"/>
    <xf numFmtId="2" fontId="15" fillId="4" borderId="0" applyAlignment="1" pivotButton="0" quotePrefix="0" xfId="0">
      <alignment horizontal="right"/>
    </xf>
    <xf numFmtId="2" fontId="30" fillId="22" borderId="0" applyAlignment="1" pivotButton="0" quotePrefix="0" xfId="0">
      <alignment horizontal="right"/>
    </xf>
    <xf numFmtId="170" fontId="3" fillId="12" borderId="0" pivotButton="0" quotePrefix="0" xfId="0"/>
    <xf numFmtId="168" fontId="8" fillId="0" borderId="0" pivotButton="0" quotePrefix="0" xfId="0"/>
    <xf numFmtId="168" fontId="0" fillId="13" borderId="0" pivotButton="0" quotePrefix="0" xfId="0"/>
    <xf numFmtId="0" fontId="17" fillId="16" borderId="28" pivotButton="0" quotePrefix="0" xfId="0"/>
    <xf numFmtId="0" fontId="2" fillId="9" borderId="0" applyAlignment="1" pivotButton="0" quotePrefix="0" xfId="0">
      <alignment horizontal="right" vertical="top"/>
    </xf>
    <xf numFmtId="165" fontId="2" fillId="9" borderId="0" applyAlignment="1" pivotButton="0" quotePrefix="0" xfId="0">
      <alignment horizontal="left" vertical="center"/>
    </xf>
    <xf numFmtId="0" fontId="63" fillId="9" borderId="77" applyAlignment="1" pivotButton="0" quotePrefix="0" xfId="0">
      <alignment horizontal="left"/>
    </xf>
    <xf numFmtId="0" fontId="3" fillId="4" borderId="0" pivotButton="0" quotePrefix="0" xfId="0"/>
    <xf numFmtId="0" fontId="69" fillId="3" borderId="49" applyAlignment="1" pivotButton="0" quotePrefix="0" xfId="3">
      <alignment horizontal="center" vertical="center"/>
    </xf>
    <xf numFmtId="0" fontId="69" fillId="3" borderId="50" applyAlignment="1" pivotButton="0" quotePrefix="0" xfId="3">
      <alignment horizontal="center" vertical="center"/>
    </xf>
    <xf numFmtId="0" fontId="69" fillId="3" borderId="50" applyAlignment="1" pivotButton="0" quotePrefix="0" xfId="3">
      <alignment horizontal="left" vertical="center"/>
    </xf>
    <xf numFmtId="165" fontId="0" fillId="0" borderId="0" applyAlignment="1" pivotButton="0" quotePrefix="0" xfId="0">
      <alignment horizontal="left"/>
    </xf>
    <xf numFmtId="0" fontId="63" fillId="0" borderId="0" pivotButton="0" quotePrefix="0" xfId="0"/>
    <xf numFmtId="168" fontId="3" fillId="9" borderId="0" applyAlignment="1" pivotButton="0" quotePrefix="0" xfId="0">
      <alignment horizontal="center"/>
    </xf>
    <xf numFmtId="0" fontId="3" fillId="5" borderId="69" pivotButton="0" quotePrefix="0" xfId="0"/>
    <xf numFmtId="0" fontId="20" fillId="25" borderId="43" pivotButton="0" quotePrefix="0" xfId="0"/>
    <xf numFmtId="0" fontId="20" fillId="25" borderId="41" pivotButton="0" quotePrefix="0" xfId="0"/>
    <xf numFmtId="0" fontId="17" fillId="25" borderId="41" pivotButton="0" quotePrefix="0" xfId="0"/>
    <xf numFmtId="167" fontId="17" fillId="25" borderId="0" applyAlignment="1" pivotButton="0" quotePrefix="0" xfId="0">
      <alignment horizontal="center"/>
    </xf>
    <xf numFmtId="0" fontId="17" fillId="25" borderId="0" pivotButton="0" quotePrefix="0" xfId="0"/>
    <xf numFmtId="167" fontId="65" fillId="25" borderId="0" applyAlignment="1" pivotButton="0" quotePrefix="0" xfId="0">
      <alignment horizontal="center"/>
    </xf>
    <xf numFmtId="167" fontId="25" fillId="25" borderId="0" applyAlignment="1" pivotButton="0" quotePrefix="0" xfId="0">
      <alignment horizontal="center"/>
    </xf>
    <xf numFmtId="0" fontId="26" fillId="25" borderId="28" applyAlignment="1" pivotButton="0" quotePrefix="0" xfId="0">
      <alignment horizontal="left"/>
    </xf>
    <xf numFmtId="0" fontId="26" fillId="25" borderId="0" applyAlignment="1" pivotButton="0" quotePrefix="0" xfId="0">
      <alignment horizontal="left"/>
    </xf>
    <xf numFmtId="0" fontId="24" fillId="25" borderId="28" applyAlignment="1" pivotButton="0" quotePrefix="0" xfId="0">
      <alignment horizontal="left" vertical="center"/>
    </xf>
    <xf numFmtId="0" fontId="24" fillId="25" borderId="0" applyAlignment="1" pivotButton="0" quotePrefix="0" xfId="0">
      <alignment horizontal="left" vertical="center"/>
    </xf>
    <xf numFmtId="0" fontId="67" fillId="25" borderId="0" applyAlignment="1" pivotButton="0" quotePrefix="0" xfId="0">
      <alignment horizontal="left" vertical="center"/>
    </xf>
    <xf numFmtId="0" fontId="31" fillId="25" borderId="30" pivotButton="0" quotePrefix="0" xfId="0"/>
    <xf numFmtId="0" fontId="31" fillId="25" borderId="31" pivotButton="0" quotePrefix="0" xfId="0"/>
    <xf numFmtId="0" fontId="20" fillId="25" borderId="31" pivotButton="0" quotePrefix="0" xfId="0"/>
    <xf numFmtId="0" fontId="24" fillId="25" borderId="0" applyAlignment="1" pivotButton="0" quotePrefix="1" xfId="0">
      <alignment vertical="center"/>
    </xf>
    <xf numFmtId="0" fontId="20" fillId="25" borderId="0" applyAlignment="1" pivotButton="0" quotePrefix="0" xfId="0">
      <alignment vertical="center"/>
    </xf>
    <xf numFmtId="0" fontId="29" fillId="25" borderId="0" applyAlignment="1" pivotButton="0" quotePrefix="0" xfId="0">
      <alignment vertical="center"/>
    </xf>
    <xf numFmtId="0" fontId="29" fillId="25" borderId="0" pivotButton="0" quotePrefix="0" xfId="0"/>
    <xf numFmtId="0" fontId="27" fillId="25" borderId="31" pivotButton="0" quotePrefix="0" xfId="0"/>
    <xf numFmtId="0" fontId="27" fillId="25" borderId="45" pivotButton="0" quotePrefix="0" xfId="0"/>
    <xf numFmtId="0" fontId="78" fillId="25" borderId="0" applyAlignment="1" pivotButton="0" quotePrefix="0" xfId="2">
      <alignment horizontal="left" vertical="center"/>
    </xf>
    <xf numFmtId="0" fontId="78" fillId="25" borderId="0" pivotButton="0" quotePrefix="0" xfId="2"/>
    <xf numFmtId="168" fontId="3" fillId="24" borderId="0" applyAlignment="1" pivotButton="0" quotePrefix="0" xfId="0">
      <alignment horizontal="right"/>
    </xf>
    <xf numFmtId="168" fontId="0" fillId="22" borderId="0" pivotButton="0" quotePrefix="0" xfId="0"/>
    <xf numFmtId="2" fontId="8" fillId="12" borderId="0" pivotButton="0" quotePrefix="0" xfId="0"/>
    <xf numFmtId="165" fontId="15" fillId="4" borderId="0" applyAlignment="1" pivotButton="0" quotePrefix="0" xfId="0">
      <alignment horizontal="right"/>
    </xf>
    <xf numFmtId="178" fontId="3" fillId="0" borderId="0" pivotButton="0" quotePrefix="0" xfId="0"/>
    <xf numFmtId="2" fontId="30" fillId="0" borderId="0" pivotButton="0" quotePrefix="0" xfId="0"/>
    <xf numFmtId="0" fontId="70" fillId="0" borderId="0" pivotButton="0" quotePrefix="0" xfId="0"/>
    <xf numFmtId="165" fontId="2" fillId="9" borderId="0" applyAlignment="1" pivotButton="0" quotePrefix="0" xfId="0">
      <alignment horizontal="right"/>
    </xf>
    <xf numFmtId="165" fontId="2" fillId="9" borderId="0" applyAlignment="1" pivotButton="0" quotePrefix="0" xfId="0">
      <alignment horizontal="right" vertical="center"/>
    </xf>
    <xf numFmtId="11" fontId="60" fillId="22" borderId="0" pivotButton="0" quotePrefix="0" xfId="0"/>
    <xf numFmtId="0" fontId="60" fillId="9" borderId="0" applyAlignment="1" pivotButton="0" quotePrefix="0" xfId="0">
      <alignment horizontal="right"/>
    </xf>
    <xf numFmtId="2" fontId="2" fillId="16" borderId="0" pivotButton="0" quotePrefix="0" xfId="0"/>
    <xf numFmtId="11" fontId="30" fillId="22" borderId="0" applyAlignment="1" pivotButton="0" quotePrefix="0" xfId="0">
      <alignment horizontal="right"/>
    </xf>
    <xf numFmtId="11" fontId="0" fillId="22" borderId="0" pivotButton="0" quotePrefix="0" xfId="0"/>
    <xf numFmtId="168" fontId="30" fillId="0" borderId="0" pivotButton="0" quotePrefix="0" xfId="0"/>
    <xf numFmtId="0" fontId="70" fillId="0" borderId="0" applyAlignment="1" pivotButton="0" quotePrefix="0" xfId="0">
      <alignment horizontal="left"/>
    </xf>
    <xf numFmtId="0" fontId="58" fillId="0" borderId="0" applyAlignment="1" pivotButton="0" quotePrefix="0" xfId="0">
      <alignment horizontal="right"/>
    </xf>
    <xf numFmtId="0" fontId="58" fillId="0" borderId="0" applyAlignment="1" pivotButton="0" quotePrefix="0" xfId="0">
      <alignment horizontal="left"/>
    </xf>
    <xf numFmtId="0" fontId="0" fillId="16" borderId="0" pivotButton="0" quotePrefix="0" xfId="0"/>
    <xf numFmtId="0" fontId="3" fillId="2" borderId="23" applyAlignment="1" pivotButton="0" quotePrefix="0" xfId="0">
      <alignment horizontal="center" vertical="center" wrapText="1"/>
    </xf>
    <xf numFmtId="2" fontId="3" fillId="2" borderId="5" applyAlignment="1" pivotButton="0" quotePrefix="0" xfId="0">
      <alignment horizontal="center" vertical="center" wrapText="1"/>
    </xf>
    <xf numFmtId="2" fontId="3" fillId="2" borderId="7" applyAlignment="1" pivotButton="0" quotePrefix="0" xfId="0">
      <alignment horizontal="center" vertical="center" wrapText="1"/>
    </xf>
    <xf numFmtId="168" fontId="0" fillId="0" borderId="0" applyAlignment="1" pivotButton="0" quotePrefix="0" xfId="0">
      <alignment horizontal="right"/>
    </xf>
    <xf numFmtId="177" fontId="0" fillId="0" borderId="0" pivotButton="0" quotePrefix="0" xfId="0"/>
    <xf numFmtId="0" fontId="3" fillId="0" borderId="28" applyAlignment="1" pivotButton="0" quotePrefix="0" xfId="0">
      <alignment horizontal="center"/>
    </xf>
    <xf numFmtId="168" fontId="77" fillId="26" borderId="0" applyAlignment="1" pivotButton="0" quotePrefix="0" xfId="0">
      <alignment horizontal="center" vertical="center"/>
    </xf>
    <xf numFmtId="170" fontId="3" fillId="26" borderId="0" applyAlignment="1" pivotButton="0" quotePrefix="0" xfId="0">
      <alignment horizontal="center" vertical="center" wrapText="1"/>
    </xf>
    <xf numFmtId="0" fontId="0" fillId="0" borderId="0" applyAlignment="1" pivotButton="0" quotePrefix="0" xfId="0">
      <alignment horizontal="center"/>
    </xf>
    <xf numFmtId="2" fontId="0" fillId="0" borderId="0" applyAlignment="1" pivotButton="0" quotePrefix="0" xfId="0">
      <alignment horizontal="center"/>
    </xf>
    <xf numFmtId="1" fontId="3" fillId="16" borderId="0" applyAlignment="1" applyProtection="1" pivotButton="0" quotePrefix="0" xfId="0">
      <alignment horizontal="right" vertical="center"/>
      <protection locked="1" hidden="1"/>
    </xf>
    <xf numFmtId="0" fontId="58" fillId="2" borderId="6" applyAlignment="1" pivotButton="0" quotePrefix="0" xfId="0">
      <alignment horizontal="center" vertical="center" wrapText="1"/>
    </xf>
    <xf numFmtId="165" fontId="75" fillId="0" borderId="0" pivotButton="0" quotePrefix="0" xfId="0"/>
    <xf numFmtId="10" fontId="75" fillId="0" borderId="0" applyAlignment="1" pivotButton="0" quotePrefix="0" xfId="0">
      <alignment horizontal="center"/>
    </xf>
    <xf numFmtId="165" fontId="2" fillId="16" borderId="0" pivotButton="0" quotePrefix="0" xfId="0"/>
    <xf numFmtId="0" fontId="3" fillId="9" borderId="45" applyAlignment="1" pivotButton="0" quotePrefix="0" xfId="0">
      <alignment horizontal="left" vertical="center"/>
    </xf>
    <xf numFmtId="0" fontId="60" fillId="0" borderId="28" pivotButton="0" quotePrefix="0" xfId="0"/>
    <xf numFmtId="1" fontId="63" fillId="0" borderId="0" pivotButton="0" quotePrefix="0" xfId="0"/>
    <xf numFmtId="168" fontId="7" fillId="0" borderId="0" pivotButton="0" quotePrefix="0" xfId="0"/>
    <xf numFmtId="2" fontId="60" fillId="9" borderId="2" applyAlignment="1" pivotButton="0" quotePrefix="0" xfId="1">
      <alignment horizontal="right"/>
    </xf>
    <xf numFmtId="0" fontId="17" fillId="16" borderId="41" pivotButton="0" quotePrefix="0" xfId="0"/>
    <xf numFmtId="0" fontId="17" fillId="16" borderId="45" pivotButton="0" quotePrefix="0" xfId="0"/>
    <xf numFmtId="0" fontId="60" fillId="16" borderId="45" applyAlignment="1" pivotButton="0" quotePrefix="0" xfId="0">
      <alignment horizontal="center"/>
    </xf>
    <xf numFmtId="165" fontId="2" fillId="9" borderId="45" applyAlignment="1" pivotButton="0" quotePrefix="0" xfId="0">
      <alignment vertical="center"/>
    </xf>
    <xf numFmtId="0" fontId="0" fillId="0" borderId="46" pivotButton="0" quotePrefix="0" xfId="0"/>
    <xf numFmtId="2" fontId="8" fillId="0" borderId="0" pivotButton="0" quotePrefix="0" xfId="0"/>
    <xf numFmtId="168" fontId="3" fillId="0" borderId="2" pivotButton="0" quotePrefix="0" xfId="0"/>
    <xf numFmtId="2" fontId="2" fillId="22" borderId="0" pivotButton="0" quotePrefix="0" xfId="0"/>
    <xf numFmtId="168" fontId="2" fillId="22" borderId="0" pivotButton="0" quotePrefix="0" xfId="0"/>
    <xf numFmtId="177" fontId="8" fillId="0" borderId="0" pivotButton="0" quotePrefix="0" xfId="0"/>
    <xf numFmtId="0" fontId="2" fillId="16" borderId="45" applyAlignment="1" pivotButton="0" quotePrefix="0" xfId="0">
      <alignment horizontal="right" vertical="center"/>
    </xf>
    <xf numFmtId="168" fontId="0" fillId="12" borderId="2" pivotButton="0" quotePrefix="0" xfId="0"/>
    <xf numFmtId="2" fontId="2" fillId="9" borderId="31" pivotButton="0" quotePrefix="0" xfId="0"/>
    <xf numFmtId="168" fontId="0" fillId="4" borderId="2" pivotButton="0" quotePrefix="0" xfId="0"/>
    <xf numFmtId="178" fontId="0" fillId="4" borderId="0" pivotButton="0" quotePrefix="0" xfId="0"/>
    <xf numFmtId="0" fontId="2" fillId="23" borderId="0" pivotButton="0" quotePrefix="0" xfId="0"/>
    <xf numFmtId="0" fontId="80" fillId="9" borderId="45" applyAlignment="1" pivotButton="0" quotePrefix="0" xfId="0">
      <alignment horizontal="right" vertical="center"/>
    </xf>
    <xf numFmtId="0" fontId="84" fillId="0" borderId="0" applyAlignment="1" pivotButton="0" quotePrefix="0" xfId="0">
      <alignment horizontal="left"/>
    </xf>
    <xf numFmtId="1" fontId="2" fillId="9" borderId="0" applyAlignment="1" pivotButton="0" quotePrefix="0" xfId="0">
      <alignment horizontal="right"/>
    </xf>
    <xf numFmtId="0" fontId="84" fillId="0" borderId="0" applyAlignment="1" pivotButton="0" quotePrefix="0" xfId="0">
      <alignment horizontal="right"/>
    </xf>
    <xf numFmtId="0" fontId="61" fillId="0" borderId="0" applyAlignment="1" pivotButton="0" quotePrefix="0" xfId="0">
      <alignment horizontal="left"/>
    </xf>
    <xf numFmtId="2" fontId="2" fillId="0" borderId="68" applyAlignment="1" pivotButton="0" quotePrefix="0" xfId="3">
      <alignment horizontal="center"/>
    </xf>
    <xf numFmtId="0" fontId="6" fillId="9" borderId="77" applyAlignment="1" pivotButton="0" quotePrefix="0" xfId="0">
      <alignment horizontal="right" vertical="center"/>
    </xf>
    <xf numFmtId="0" fontId="6" fillId="9" borderId="41" applyAlignment="1" pivotButton="0" quotePrefix="0" xfId="0">
      <alignment horizontal="right" vertical="center"/>
    </xf>
    <xf numFmtId="168" fontId="8" fillId="7" borderId="11" pivotButton="0" quotePrefix="0" xfId="0"/>
    <xf numFmtId="168" fontId="15" fillId="7" borderId="11" pivotButton="0" quotePrefix="0" xfId="0"/>
    <xf numFmtId="168" fontId="0" fillId="7" borderId="11" pivotButton="0" quotePrefix="0" xfId="0"/>
    <xf numFmtId="0" fontId="16" fillId="3" borderId="4" applyAlignment="1" pivotButton="0" quotePrefix="0" xfId="0">
      <alignment vertical="center"/>
    </xf>
    <xf numFmtId="0" fontId="17" fillId="16" borderId="29" pivotButton="0" quotePrefix="0" xfId="0"/>
    <xf numFmtId="0" fontId="63" fillId="9" borderId="75" applyAlignment="1" pivotButton="0" quotePrefix="0" xfId="0">
      <alignment horizontal="left"/>
    </xf>
    <xf numFmtId="0" fontId="2" fillId="9" borderId="80" applyAlignment="1" pivotButton="0" quotePrefix="0" xfId="0">
      <alignment vertical="center"/>
    </xf>
    <xf numFmtId="0" fontId="3" fillId="16" borderId="46" applyAlignment="1" pivotButton="0" quotePrefix="0" xfId="0">
      <alignment vertical="center"/>
    </xf>
    <xf numFmtId="0" fontId="3" fillId="16" borderId="45" applyAlignment="1" pivotButton="0" quotePrefix="0" xfId="0">
      <alignment horizontal="right" vertical="center"/>
    </xf>
    <xf numFmtId="165" fontId="63" fillId="9" borderId="45" applyAlignment="1" pivotButton="0" quotePrefix="0" xfId="0">
      <alignment horizontal="left" vertical="center"/>
    </xf>
    <xf numFmtId="0" fontId="3" fillId="9" borderId="80" pivotButton="0" quotePrefix="0" xfId="0"/>
    <xf numFmtId="0" fontId="63" fillId="9" borderId="0" applyAlignment="1" pivotButton="0" quotePrefix="0" xfId="0">
      <alignment horizontal="right"/>
    </xf>
    <xf numFmtId="0" fontId="63" fillId="9" borderId="0" applyAlignment="1" pivotButton="0" quotePrefix="0" xfId="0">
      <alignment horizontal="left"/>
    </xf>
    <xf numFmtId="0" fontId="63" fillId="9" borderId="42" applyAlignment="1" pivotButton="0" quotePrefix="0" xfId="0">
      <alignment horizontal="left"/>
    </xf>
    <xf numFmtId="0" fontId="3" fillId="16" borderId="0" applyAlignment="1" pivotButton="0" quotePrefix="0" xfId="0">
      <alignment horizontal="right"/>
    </xf>
    <xf numFmtId="0" fontId="3" fillId="16" borderId="0" pivotButton="0" quotePrefix="0" xfId="0"/>
    <xf numFmtId="0" fontId="2" fillId="16" borderId="80" pivotButton="0" quotePrefix="0" xfId="0"/>
    <xf numFmtId="0" fontId="2" fillId="9" borderId="80" pivotButton="0" quotePrefix="0" xfId="0"/>
    <xf numFmtId="165" fontId="15" fillId="0" borderId="0" pivotButton="0" quotePrefix="0" xfId="0"/>
    <xf numFmtId="0" fontId="2" fillId="0" borderId="80" pivotButton="0" quotePrefix="0" xfId="0"/>
    <xf numFmtId="0" fontId="3" fillId="9" borderId="0" applyAlignment="1" pivotButton="0" quotePrefix="0" xfId="0">
      <alignment horizontal="left" vertical="center"/>
    </xf>
    <xf numFmtId="0" fontId="3" fillId="19" borderId="45" applyAlignment="1" applyProtection="1" pivotButton="0" quotePrefix="0" xfId="0">
      <alignment horizontal="right" vertical="center"/>
      <protection locked="0" hidden="0"/>
    </xf>
    <xf numFmtId="0" fontId="17" fillId="16" borderId="80" pivotButton="0" quotePrefix="0" xfId="0"/>
    <xf numFmtId="0" fontId="3" fillId="16" borderId="0" applyAlignment="1" pivotButton="0" quotePrefix="0" xfId="0">
      <alignment horizontal="right" vertical="center"/>
    </xf>
    <xf numFmtId="0" fontId="3" fillId="16" borderId="0" applyAlignment="1" pivotButton="0" quotePrefix="0" xfId="0">
      <alignment vertical="center"/>
    </xf>
    <xf numFmtId="0" fontId="3" fillId="4" borderId="56" applyAlignment="1" pivotButton="0" quotePrefix="0" xfId="0">
      <alignment horizontal="center"/>
    </xf>
    <xf numFmtId="0" fontId="3" fillId="2" borderId="82" applyAlignment="1" pivotButton="0" quotePrefix="0" xfId="0">
      <alignment horizontal="center" vertical="center" wrapText="1"/>
    </xf>
    <xf numFmtId="0" fontId="58" fillId="2" borderId="82" applyAlignment="1" pivotButton="0" quotePrefix="0" xfId="0">
      <alignment horizontal="center" vertical="center" wrapText="1"/>
    </xf>
    <xf numFmtId="165" fontId="30" fillId="22" borderId="0" applyAlignment="1" pivotButton="0" quotePrefix="0" xfId="0">
      <alignment horizontal="right"/>
    </xf>
    <xf numFmtId="2" fontId="0" fillId="22" borderId="0" applyAlignment="1" pivotButton="0" quotePrefix="0" xfId="0">
      <alignment horizontal="right"/>
    </xf>
    <xf numFmtId="2" fontId="0" fillId="0" borderId="0" applyAlignment="1" pivotButton="0" quotePrefix="0" xfId="0">
      <alignment horizontal="right"/>
    </xf>
    <xf numFmtId="165" fontId="30" fillId="0" borderId="0" pivotButton="0" quotePrefix="0" xfId="0"/>
    <xf numFmtId="2" fontId="58" fillId="0" borderId="0" pivotButton="0" quotePrefix="0" xfId="0"/>
    <xf numFmtId="0" fontId="2" fillId="16" borderId="0" applyAlignment="1" pivotButton="0" quotePrefix="0" xfId="0">
      <alignment horizontal="right" vertical="top" readingOrder="1"/>
    </xf>
    <xf numFmtId="0" fontId="63" fillId="16" borderId="0" applyAlignment="1" pivotButton="0" quotePrefix="0" xfId="0">
      <alignment horizontal="right"/>
    </xf>
    <xf numFmtId="0" fontId="2" fillId="16" borderId="0" applyAlignment="1" pivotButton="0" quotePrefix="0" xfId="0">
      <alignment vertical="center"/>
    </xf>
    <xf numFmtId="1" fontId="2" fillId="16" borderId="0" applyAlignment="1" pivotButton="0" quotePrefix="0" xfId="0">
      <alignment vertical="center"/>
    </xf>
    <xf numFmtId="165" fontId="2" fillId="16" borderId="0" applyAlignment="1" pivotButton="0" quotePrefix="0" xfId="0">
      <alignment vertical="center"/>
    </xf>
    <xf numFmtId="0" fontId="3" fillId="16" borderId="0" applyAlignment="1" pivotButton="0" quotePrefix="0" xfId="0">
      <alignment horizontal="left" vertical="center"/>
    </xf>
    <xf numFmtId="0" fontId="2" fillId="16" borderId="0" applyAlignment="1" pivotButton="0" quotePrefix="0" xfId="0">
      <alignment horizontal="right" vertical="center"/>
    </xf>
    <xf numFmtId="0" fontId="53" fillId="16" borderId="0" pivotButton="0" quotePrefix="0" xfId="0"/>
    <xf numFmtId="0" fontId="2" fillId="16" borderId="0" applyAlignment="1" pivotButton="0" quotePrefix="0" xfId="0">
      <alignment horizontal="right"/>
    </xf>
    <xf numFmtId="165" fontId="2" fillId="16" borderId="0" applyAlignment="1" pivotButton="0" quotePrefix="0" xfId="0">
      <alignment horizontal="right" vertical="center"/>
    </xf>
    <xf numFmtId="1" fontId="2" fillId="16" borderId="0" pivotButton="0" quotePrefix="0" xfId="0"/>
    <xf numFmtId="0" fontId="53" fillId="16" borderId="80" pivotButton="0" quotePrefix="0" xfId="0"/>
    <xf numFmtId="0" fontId="54" fillId="16" borderId="80" pivotButton="0" quotePrefix="0" xfId="0"/>
    <xf numFmtId="2" fontId="60" fillId="16" borderId="0" applyAlignment="1" pivotButton="0" quotePrefix="0" xfId="1">
      <alignment horizontal="right"/>
    </xf>
    <xf numFmtId="0" fontId="2" fillId="9" borderId="41" applyAlignment="1" pivotButton="0" quotePrefix="0" xfId="0">
      <alignment vertical="center"/>
    </xf>
    <xf numFmtId="0" fontId="2" fillId="9" borderId="41" applyAlignment="1" pivotButton="0" quotePrefix="0" xfId="0">
      <alignment horizontal="right" vertical="center"/>
    </xf>
    <xf numFmtId="0" fontId="61" fillId="9" borderId="41" applyAlignment="1" pivotButton="0" quotePrefix="0" xfId="0">
      <alignment horizontal="right" vertical="center"/>
    </xf>
    <xf numFmtId="0" fontId="3" fillId="19" borderId="41" applyAlignment="1" applyProtection="1" pivotButton="0" quotePrefix="0" xfId="0">
      <alignment vertical="center"/>
      <protection locked="0" hidden="0"/>
    </xf>
    <xf numFmtId="0" fontId="3" fillId="9" borderId="42" applyAlignment="1" pivotButton="0" quotePrefix="0" xfId="0">
      <alignment vertical="center"/>
    </xf>
    <xf numFmtId="168" fontId="0" fillId="0" borderId="2" pivotButton="0" quotePrefix="0" xfId="0"/>
    <xf numFmtId="2" fontId="30" fillId="0" borderId="0" applyAlignment="1" pivotButton="0" quotePrefix="0" xfId="0">
      <alignment horizontal="right"/>
    </xf>
    <xf numFmtId="178" fontId="2" fillId="0" borderId="0" pivotButton="0" quotePrefix="0" xfId="0"/>
    <xf numFmtId="170" fontId="3" fillId="0" borderId="0" pivotButton="0" quotePrefix="0" xfId="0"/>
    <xf numFmtId="2" fontId="15" fillId="0" borderId="0" applyAlignment="1" pivotButton="0" quotePrefix="0" xfId="0">
      <alignment horizontal="right"/>
    </xf>
    <xf numFmtId="170" fontId="2" fillId="0" borderId="31" pivotButton="0" quotePrefix="0" xfId="0"/>
    <xf numFmtId="165" fontId="2" fillId="0" borderId="0" pivotButton="0" quotePrefix="0" xfId="0"/>
    <xf numFmtId="1" fontId="7" fillId="0" borderId="0" pivotButton="0" quotePrefix="0" xfId="0"/>
    <xf numFmtId="0" fontId="2" fillId="0" borderId="44" pivotButton="0" quotePrefix="0" xfId="0"/>
    <xf numFmtId="0" fontId="2" fillId="0" borderId="45" pivotButton="0" quotePrefix="0" xfId="0"/>
    <xf numFmtId="2" fontId="0" fillId="0" borderId="45" pivotButton="0" quotePrefix="0" xfId="0"/>
    <xf numFmtId="165" fontId="2" fillId="12" borderId="45" pivotButton="0" quotePrefix="0" xfId="0"/>
    <xf numFmtId="0" fontId="2" fillId="0" borderId="0" pivotButton="0" quotePrefix="1" xfId="0"/>
    <xf numFmtId="0" fontId="3" fillId="0" borderId="80" pivotButton="0" quotePrefix="0" xfId="0"/>
    <xf numFmtId="0" fontId="3" fillId="16" borderId="80" pivotButton="0" quotePrefix="0" xfId="0"/>
    <xf numFmtId="1" fontId="3" fillId="16" borderId="0" pivotButton="0" quotePrefix="0" xfId="0"/>
    <xf numFmtId="1" fontId="61" fillId="16" borderId="0" applyAlignment="1" pivotButton="0" quotePrefix="0" xfId="0">
      <alignment horizontal="right" vertical="center"/>
    </xf>
    <xf numFmtId="0" fontId="61" fillId="16" borderId="0" applyAlignment="1" pivotButton="0" quotePrefix="0" xfId="0">
      <alignment vertical="center"/>
    </xf>
    <xf numFmtId="0" fontId="2" fillId="16" borderId="0" applyAlignment="1" applyProtection="1" pivotButton="0" quotePrefix="0" xfId="0">
      <alignment horizontal="left"/>
      <protection locked="1" hidden="1"/>
    </xf>
    <xf numFmtId="0" fontId="56" fillId="9" borderId="41" applyAlignment="1" applyProtection="1" pivotButton="0" quotePrefix="0" xfId="0">
      <alignment horizontal="left"/>
      <protection locked="1" hidden="1"/>
    </xf>
    <xf numFmtId="1" fontId="2" fillId="9" borderId="41" applyAlignment="1" applyProtection="1" pivotButton="0" quotePrefix="0" xfId="0">
      <alignment horizontal="right"/>
      <protection locked="1" hidden="1"/>
    </xf>
    <xf numFmtId="0" fontId="2" fillId="9" borderId="41" applyAlignment="1" applyProtection="1" pivotButton="0" quotePrefix="0" xfId="0">
      <alignment horizontal="left"/>
      <protection locked="1" hidden="1"/>
    </xf>
    <xf numFmtId="0" fontId="2" fillId="9" borderId="0" applyAlignment="1" applyProtection="1" pivotButton="0" quotePrefix="0" xfId="0">
      <alignment horizontal="right"/>
      <protection locked="1" hidden="1"/>
    </xf>
    <xf numFmtId="0" fontId="2" fillId="9" borderId="0" applyProtection="1" pivotButton="0" quotePrefix="0" xfId="0">
      <protection locked="1" hidden="1"/>
    </xf>
    <xf numFmtId="0" fontId="56" fillId="16" borderId="0" applyAlignment="1" applyProtection="1" pivotButton="0" quotePrefix="0" xfId="0">
      <alignment horizontal="right"/>
      <protection locked="1" hidden="1"/>
    </xf>
    <xf numFmtId="0" fontId="2" fillId="16" borderId="44" pivotButton="0" quotePrefix="0" xfId="0"/>
    <xf numFmtId="0" fontId="2" fillId="16" borderId="45" pivotButton="0" quotePrefix="0" xfId="0"/>
    <xf numFmtId="0" fontId="80" fillId="16" borderId="45" applyAlignment="1" pivotButton="0" quotePrefix="0" xfId="0">
      <alignment horizontal="right"/>
    </xf>
    <xf numFmtId="0" fontId="80" fillId="16" borderId="46" applyAlignment="1" pivotButton="0" quotePrefix="0" xfId="0">
      <alignment horizontal="right"/>
    </xf>
    <xf numFmtId="2" fontId="3" fillId="0" borderId="0" pivotButton="0" quotePrefix="0" xfId="0"/>
    <xf numFmtId="0" fontId="2" fillId="9" borderId="30" applyAlignment="1" pivotButton="0" quotePrefix="0" xfId="0">
      <alignment horizontal="right"/>
    </xf>
    <xf numFmtId="0" fontId="2" fillId="0" borderId="0" applyAlignment="1" pivotButton="0" quotePrefix="0" xfId="0">
      <alignment horizontal="center"/>
    </xf>
    <xf numFmtId="2" fontId="85" fillId="0" borderId="0" pivotButton="0" quotePrefix="0" xfId="0"/>
    <xf numFmtId="1" fontId="86" fillId="0" borderId="0" pivotButton="0" quotePrefix="0" xfId="0"/>
    <xf numFmtId="0" fontId="86" fillId="0" borderId="0" pivotButton="0" quotePrefix="0" xfId="0"/>
    <xf numFmtId="11" fontId="2" fillId="0" borderId="63" applyAlignment="1" pivotButton="0" quotePrefix="0" xfId="3">
      <alignment horizontal="center"/>
    </xf>
    <xf numFmtId="0" fontId="60" fillId="9" borderId="2" applyAlignment="1" pivotButton="0" quotePrefix="0" xfId="0">
      <alignment horizontal="right"/>
    </xf>
    <xf numFmtId="0" fontId="2" fillId="16" borderId="75" pivotButton="0" quotePrefix="0" xfId="0"/>
    <xf numFmtId="0" fontId="2" fillId="16" borderId="45" applyAlignment="1" pivotButton="0" quotePrefix="0" xfId="0">
      <alignment horizontal="right"/>
    </xf>
    <xf numFmtId="0" fontId="2" fillId="16" borderId="46" pivotButton="0" quotePrefix="0" xfId="0"/>
    <xf numFmtId="0" fontId="2" fillId="0" borderId="41" applyAlignment="1" pivotButton="0" quotePrefix="1" xfId="3">
      <alignment horizontal="right"/>
    </xf>
    <xf numFmtId="0" fontId="2" fillId="16" borderId="72" pivotButton="0" quotePrefix="0" xfId="0"/>
    <xf numFmtId="11" fontId="87" fillId="0" borderId="0" pivotButton="0" quotePrefix="0" xfId="0"/>
    <xf numFmtId="0" fontId="88" fillId="16" borderId="29" pivotButton="0" quotePrefix="0" xfId="0"/>
    <xf numFmtId="0" fontId="58" fillId="16" borderId="80" applyAlignment="1" pivotButton="0" quotePrefix="0" xfId="0">
      <alignment horizontal="right"/>
    </xf>
    <xf numFmtId="0" fontId="59" fillId="0" borderId="0" pivotButton="0" quotePrefix="0" xfId="0"/>
    <xf numFmtId="11" fontId="59" fillId="0" borderId="0" pivotButton="0" quotePrefix="0" xfId="0"/>
    <xf numFmtId="1" fontId="59" fillId="0" borderId="0" pivotButton="0" quotePrefix="0" xfId="0"/>
    <xf numFmtId="0" fontId="59" fillId="0" borderId="0" applyAlignment="1" pivotButton="0" quotePrefix="0" xfId="0">
      <alignment horizontal="center"/>
    </xf>
    <xf numFmtId="11" fontId="25" fillId="0" borderId="0" pivotButton="0" quotePrefix="1" xfId="0"/>
    <xf numFmtId="0" fontId="89" fillId="0" borderId="0" pivotButton="0" quotePrefix="0" xfId="0"/>
    <xf numFmtId="11" fontId="89" fillId="0" borderId="0" pivotButton="0" quotePrefix="1" xfId="0"/>
    <xf numFmtId="0" fontId="0" fillId="0" borderId="80" pivotButton="0" quotePrefix="0" xfId="0"/>
    <xf numFmtId="0" fontId="90" fillId="27" borderId="0" pivotButton="0" quotePrefix="0" xfId="6"/>
    <xf numFmtId="11" fontId="90" fillId="27" borderId="0" pivotButton="0" quotePrefix="0" xfId="6"/>
    <xf numFmtId="180" fontId="90" fillId="27" borderId="0" pivotButton="0" quotePrefix="0" xfId="6"/>
    <xf numFmtId="0" fontId="7" fillId="0" borderId="80" pivotButton="0" quotePrefix="0" xfId="0"/>
    <xf numFmtId="0" fontId="2" fillId="19" borderId="0" pivotButton="0" quotePrefix="0" xfId="0"/>
    <xf numFmtId="0" fontId="0" fillId="19" borderId="0" pivotButton="0" quotePrefix="0" xfId="0"/>
    <xf numFmtId="0" fontId="68" fillId="19" borderId="0" pivotButton="0" quotePrefix="0" xfId="0"/>
    <xf numFmtId="11" fontId="0" fillId="19" borderId="0" pivotButton="0" quotePrefix="0" xfId="0"/>
    <xf numFmtId="165" fontId="0" fillId="16" borderId="0" pivotButton="0" quotePrefix="0" xfId="0"/>
    <xf numFmtId="1" fontId="2" fillId="0" borderId="8" pivotButton="0" quotePrefix="0" xfId="3"/>
    <xf numFmtId="11" fontId="2" fillId="0" borderId="8" pivotButton="0" quotePrefix="0" xfId="3"/>
    <xf numFmtId="168" fontId="2" fillId="8" borderId="8" pivotButton="0" quotePrefix="0" xfId="3"/>
    <xf numFmtId="170" fontId="2" fillId="0" borderId="4" applyAlignment="1" pivotButton="0" quotePrefix="0" xfId="3">
      <alignment horizontal="center"/>
    </xf>
    <xf numFmtId="170" fontId="2" fillId="0" borderId="61" applyAlignment="1" pivotButton="0" quotePrefix="0" xfId="3">
      <alignment horizontal="center"/>
    </xf>
    <xf numFmtId="0" fontId="0" fillId="28" borderId="0" pivotButton="0" quotePrefix="0" xfId="0"/>
    <xf numFmtId="0" fontId="0" fillId="28" borderId="45" pivotButton="0" quotePrefix="0" xfId="0"/>
    <xf numFmtId="11" fontId="0" fillId="28" borderId="0" pivotButton="0" quotePrefix="0" xfId="0"/>
    <xf numFmtId="11" fontId="2" fillId="8" borderId="8" pivotButton="0" quotePrefix="0" xfId="3"/>
    <xf numFmtId="170" fontId="2" fillId="0" borderId="0" pivotButton="0" quotePrefix="0" xfId="3"/>
    <xf numFmtId="170" fontId="2" fillId="0" borderId="62" applyAlignment="1" pivotButton="0" quotePrefix="0" xfId="3">
      <alignment horizontal="center"/>
    </xf>
    <xf numFmtId="170" fontId="2" fillId="0" borderId="15" applyAlignment="1" pivotButton="0" quotePrefix="0" xfId="3">
      <alignment horizontal="center"/>
    </xf>
    <xf numFmtId="170" fontId="2" fillId="0" borderId="65" applyAlignment="1" pivotButton="0" quotePrefix="0" xfId="3">
      <alignment horizontal="center"/>
    </xf>
    <xf numFmtId="0" fontId="2" fillId="9" borderId="71" pivotButton="0" quotePrefix="0" xfId="0"/>
    <xf numFmtId="0" fontId="2" fillId="9" borderId="4" pivotButton="0" quotePrefix="0" xfId="0"/>
    <xf numFmtId="0" fontId="2" fillId="9" borderId="4" applyAlignment="1" pivotButton="0" quotePrefix="0" xfId="0">
      <alignment horizontal="right" vertical="center"/>
    </xf>
    <xf numFmtId="0" fontId="60" fillId="0" borderId="80" pivotButton="0" quotePrefix="0" xfId="0"/>
    <xf numFmtId="11" fontId="0" fillId="0" borderId="0" applyAlignment="1" pivotButton="0" quotePrefix="0" xfId="0">
      <alignment horizontal="right"/>
    </xf>
    <xf numFmtId="2" fontId="0" fillId="4" borderId="0" pivotButton="0" quotePrefix="0" xfId="5"/>
    <xf numFmtId="0" fontId="54" fillId="16" borderId="0" pivotButton="0" quotePrefix="0" xfId="0"/>
    <xf numFmtId="0" fontId="2" fillId="9" borderId="83" pivotButton="0" quotePrefix="0" xfId="0"/>
    <xf numFmtId="0" fontId="17" fillId="3" borderId="0" pivotButton="0" quotePrefix="0" xfId="3"/>
    <xf numFmtId="167" fontId="17" fillId="3" borderId="0" applyAlignment="1" pivotButton="0" quotePrefix="0" xfId="3">
      <alignment horizontal="center"/>
    </xf>
    <xf numFmtId="167" fontId="17" fillId="25" borderId="0" applyAlignment="1" pivotButton="0" quotePrefix="0" xfId="3">
      <alignment horizontal="center"/>
    </xf>
    <xf numFmtId="167" fontId="25" fillId="25" borderId="0" applyAlignment="1" pivotButton="0" quotePrefix="0" xfId="3">
      <alignment horizontal="center"/>
    </xf>
    <xf numFmtId="167" fontId="65" fillId="25" borderId="0" applyAlignment="1" pivotButton="0" quotePrefix="0" xfId="3">
      <alignment horizontal="center"/>
    </xf>
    <xf numFmtId="0" fontId="17" fillId="25" borderId="0" pivotButton="0" quotePrefix="0" xfId="3"/>
    <xf numFmtId="0" fontId="2" fillId="16" borderId="41" pivotButton="0" quotePrefix="0" xfId="3"/>
    <xf numFmtId="0" fontId="3" fillId="9" borderId="46" applyAlignment="1" pivotButton="0" quotePrefix="0" xfId="3">
      <alignment vertical="center"/>
    </xf>
    <xf numFmtId="0" fontId="3" fillId="16" borderId="45" applyAlignment="1" pivotButton="0" quotePrefix="0" xfId="3">
      <alignment horizontal="right"/>
    </xf>
    <xf numFmtId="0" fontId="3" fillId="16" borderId="44" pivotButton="0" quotePrefix="0" xfId="3"/>
    <xf numFmtId="0" fontId="2" fillId="16" borderId="29" pivotButton="0" quotePrefix="0" xfId="3"/>
    <xf numFmtId="0" fontId="3" fillId="9" borderId="45" applyAlignment="1" pivotButton="0" quotePrefix="0" xfId="3">
      <alignment horizontal="right"/>
    </xf>
    <xf numFmtId="0" fontId="3" fillId="9" borderId="76" pivotButton="0" quotePrefix="0" xfId="3"/>
    <xf numFmtId="0" fontId="3" fillId="16" borderId="41" applyAlignment="1" pivotButton="0" quotePrefix="0" xfId="3">
      <alignment horizontal="right"/>
    </xf>
    <xf numFmtId="0" fontId="2" fillId="16" borderId="75" pivotButton="0" quotePrefix="0" xfId="3"/>
    <xf numFmtId="0" fontId="3" fillId="9" borderId="29" pivotButton="0" quotePrefix="0" xfId="3"/>
    <xf numFmtId="0" fontId="3" fillId="9" borderId="0" applyAlignment="1" pivotButton="0" quotePrefix="0" xfId="3">
      <alignment horizontal="right"/>
    </xf>
    <xf numFmtId="0" fontId="3" fillId="16" borderId="75" pivotButton="0" quotePrefix="0" xfId="3"/>
    <xf numFmtId="0" fontId="91" fillId="9" borderId="0" pivotButton="0" quotePrefix="0" xfId="3"/>
    <xf numFmtId="0" fontId="91" fillId="16" borderId="0" pivotButton="0" quotePrefix="0" xfId="3"/>
    <xf numFmtId="0" fontId="2" fillId="16" borderId="45" pivotButton="0" quotePrefix="0" xfId="3"/>
    <xf numFmtId="0" fontId="2" fillId="9" borderId="46" applyAlignment="1" pivotButton="0" quotePrefix="0" xfId="3">
      <alignment vertical="center"/>
    </xf>
    <xf numFmtId="0" fontId="3" fillId="19" borderId="45" applyProtection="1" pivotButton="0" quotePrefix="0" xfId="3">
      <protection locked="0" hidden="0"/>
    </xf>
    <xf numFmtId="0" fontId="2" fillId="16" borderId="45" applyAlignment="1" pivotButton="0" quotePrefix="0" xfId="3">
      <alignment horizontal="right"/>
    </xf>
    <xf numFmtId="2" fontId="2" fillId="9" borderId="45" pivotButton="0" quotePrefix="0" xfId="3"/>
    <xf numFmtId="0" fontId="2" fillId="9" borderId="45" applyAlignment="1" pivotButton="0" quotePrefix="0" xfId="3">
      <alignment horizontal="right"/>
    </xf>
    <xf numFmtId="0" fontId="2" fillId="16" borderId="44" pivotButton="0" quotePrefix="0" xfId="3"/>
    <xf numFmtId="0" fontId="2" fillId="16" borderId="46" pivotButton="0" quotePrefix="0" xfId="3"/>
    <xf numFmtId="0" fontId="2" fillId="9" borderId="29" pivotButton="0" quotePrefix="0" xfId="3"/>
    <xf numFmtId="0" fontId="3" fillId="19" borderId="0" applyProtection="1" pivotButton="0" quotePrefix="0" xfId="3">
      <protection locked="0" hidden="0"/>
    </xf>
    <xf numFmtId="0" fontId="2" fillId="16" borderId="0" applyAlignment="1" pivotButton="0" quotePrefix="0" xfId="3">
      <alignment horizontal="right"/>
    </xf>
    <xf numFmtId="0" fontId="2" fillId="9" borderId="0" applyAlignment="1" pivotButton="0" quotePrefix="0" xfId="3">
      <alignment horizontal="right"/>
    </xf>
    <xf numFmtId="0" fontId="2" fillId="16" borderId="80" pivotButton="0" quotePrefix="0" xfId="3"/>
    <xf numFmtId="0" fontId="2" fillId="9" borderId="76" pivotButton="0" quotePrefix="0" xfId="3"/>
    <xf numFmtId="0" fontId="3" fillId="19" borderId="41" applyProtection="1" pivotButton="0" quotePrefix="0" xfId="3">
      <protection locked="0" hidden="0"/>
    </xf>
    <xf numFmtId="0" fontId="60" fillId="9" borderId="41" applyAlignment="1" pivotButton="0" quotePrefix="0" xfId="3">
      <alignment horizontal="right"/>
    </xf>
    <xf numFmtId="0" fontId="2" fillId="16" borderId="76" pivotButton="0" quotePrefix="0" xfId="3"/>
    <xf numFmtId="0" fontId="92" fillId="16" borderId="41" pivotButton="0" quotePrefix="0" xfId="3"/>
    <xf numFmtId="0" fontId="91" fillId="9" borderId="41" pivotButton="0" quotePrefix="0" xfId="3"/>
    <xf numFmtId="0" fontId="91" fillId="9" borderId="41" applyAlignment="1" pivotButton="0" quotePrefix="0" xfId="3">
      <alignment horizontal="right"/>
    </xf>
    <xf numFmtId="0" fontId="91" fillId="16" borderId="75" pivotButton="0" quotePrefix="0" xfId="3"/>
    <xf numFmtId="0" fontId="27" fillId="25" borderId="45" pivotButton="0" quotePrefix="0" xfId="3"/>
    <xf numFmtId="0" fontId="20" fillId="25" borderId="45" pivotButton="0" quotePrefix="0" xfId="3"/>
    <xf numFmtId="0" fontId="31" fillId="25" borderId="45" pivotButton="0" quotePrefix="0" xfId="3"/>
    <xf numFmtId="0" fontId="31" fillId="25" borderId="44" pivotButton="0" quotePrefix="0" xfId="3"/>
    <xf numFmtId="0" fontId="29" fillId="25" borderId="0" pivotButton="0" quotePrefix="0" xfId="3"/>
    <xf numFmtId="0" fontId="29" fillId="25" borderId="0" applyAlignment="1" pivotButton="0" quotePrefix="0" xfId="3">
      <alignment vertical="center"/>
    </xf>
    <xf numFmtId="0" fontId="20" fillId="25" borderId="0" applyAlignment="1" pivotButton="0" quotePrefix="0" xfId="3">
      <alignment vertical="center"/>
    </xf>
    <xf numFmtId="0" fontId="26" fillId="25" borderId="0" applyAlignment="1" pivotButton="0" quotePrefix="0" xfId="3">
      <alignment horizontal="left"/>
    </xf>
    <xf numFmtId="0" fontId="24" fillId="25" borderId="0" applyAlignment="1" pivotButton="0" quotePrefix="1" xfId="3">
      <alignment vertical="center"/>
    </xf>
    <xf numFmtId="0" fontId="20" fillId="19" borderId="0" applyAlignment="1" pivotButton="0" quotePrefix="0" xfId="3">
      <alignment vertical="center"/>
    </xf>
    <xf numFmtId="0" fontId="67" fillId="25" borderId="0" applyAlignment="1" pivotButton="0" quotePrefix="0" xfId="3">
      <alignment horizontal="left" vertical="center"/>
    </xf>
    <xf numFmtId="0" fontId="24" fillId="25" borderId="0" applyAlignment="1" pivotButton="0" quotePrefix="0" xfId="3">
      <alignment horizontal="left" vertical="center"/>
    </xf>
    <xf numFmtId="0" fontId="24" fillId="25" borderId="80" applyAlignment="1" pivotButton="0" quotePrefix="0" xfId="3">
      <alignment horizontal="left" vertical="center"/>
    </xf>
    <xf numFmtId="0" fontId="26" fillId="25" borderId="80" applyAlignment="1" pivotButton="0" quotePrefix="0" xfId="3">
      <alignment horizontal="left"/>
    </xf>
    <xf numFmtId="165" fontId="3" fillId="9" borderId="0" pivotButton="0" quotePrefix="0" xfId="3"/>
    <xf numFmtId="0" fontId="2" fillId="16" borderId="74" pivotButton="0" quotePrefix="0" xfId="3"/>
    <xf numFmtId="0" fontId="2" fillId="16" borderId="72" pivotButton="0" quotePrefix="0" xfId="3"/>
    <xf numFmtId="0" fontId="2" fillId="0" borderId="41" pivotButton="0" quotePrefix="0" xfId="3"/>
    <xf numFmtId="0" fontId="2" fillId="16" borderId="0" applyAlignment="1" pivotButton="0" quotePrefix="1" xfId="3">
      <alignment horizontal="right"/>
    </xf>
    <xf numFmtId="2" fontId="2" fillId="16" borderId="0" applyAlignment="1" pivotButton="0" quotePrefix="1" xfId="3">
      <alignment horizontal="right"/>
    </xf>
    <xf numFmtId="0" fontId="2" fillId="0" borderId="74" pivotButton="0" quotePrefix="0" xfId="3"/>
    <xf numFmtId="2" fontId="2" fillId="9" borderId="45" applyAlignment="1" pivotButton="0" quotePrefix="0" xfId="3">
      <alignment horizontal="right"/>
    </xf>
    <xf numFmtId="0" fontId="0" fillId="19" borderId="0" applyProtection="1" pivotButton="0" quotePrefix="0" xfId="0">
      <protection locked="0" hidden="0"/>
    </xf>
    <xf numFmtId="0" fontId="2" fillId="19" borderId="45" applyAlignment="1" applyProtection="1" pivotButton="0" quotePrefix="0" xfId="3">
      <alignment horizontal="right"/>
      <protection locked="0" hidden="0"/>
    </xf>
    <xf numFmtId="1" fontId="0" fillId="0" borderId="0" applyAlignment="1" pivotButton="0" quotePrefix="0" xfId="0">
      <alignment horizontal="left"/>
    </xf>
    <xf numFmtId="0" fontId="3" fillId="9" borderId="45" applyAlignment="1" pivotButton="0" quotePrefix="0" xfId="0">
      <alignment horizontal="right" vertical="center"/>
    </xf>
    <xf numFmtId="165" fontId="3" fillId="9" borderId="45" pivotButton="0" quotePrefix="0" xfId="3"/>
    <xf numFmtId="165" fontId="3" fillId="16" borderId="41" pivotButton="0" quotePrefix="0" xfId="3"/>
    <xf numFmtId="165" fontId="3" fillId="16" borderId="45" pivotButton="0" quotePrefix="0" xfId="3"/>
    <xf numFmtId="165" fontId="91" fillId="9" borderId="0" pivotButton="0" quotePrefix="0" xfId="3"/>
    <xf numFmtId="165" fontId="2" fillId="9" borderId="4" applyAlignment="1" pivotButton="0" quotePrefix="0" xfId="0">
      <alignment vertical="center"/>
    </xf>
    <xf numFmtId="0" fontId="93" fillId="16" borderId="0" applyAlignment="1" pivotButton="0" quotePrefix="0" xfId="3">
      <alignment horizontal="right"/>
    </xf>
    <xf numFmtId="165" fontId="74" fillId="16" borderId="0" pivotButton="0" quotePrefix="0" xfId="3"/>
    <xf numFmtId="0" fontId="74" fillId="16" borderId="0" pivotButton="0" quotePrefix="0" xfId="3"/>
    <xf numFmtId="0" fontId="3" fillId="19" borderId="0" pivotButton="0" quotePrefix="0" xfId="0"/>
    <xf numFmtId="0" fontId="58" fillId="0" borderId="0" applyProtection="1" pivotButton="0" quotePrefix="1" xfId="0">
      <protection locked="0" hidden="0"/>
    </xf>
    <xf numFmtId="165" fontId="2" fillId="9" borderId="75" applyAlignment="1" pivotButton="0" quotePrefix="0" xfId="0">
      <alignment horizontal="right"/>
    </xf>
    <xf numFmtId="0" fontId="3" fillId="9" borderId="46" applyAlignment="1" pivotButton="0" quotePrefix="0" xfId="0">
      <alignment vertical="center"/>
    </xf>
    <xf numFmtId="0" fontId="3" fillId="16" borderId="0" applyProtection="1" pivotButton="0" quotePrefix="0" xfId="0">
      <protection locked="0" hidden="0"/>
    </xf>
    <xf numFmtId="165" fontId="3" fillId="19" borderId="45" applyAlignment="1" applyProtection="1" pivotButton="0" quotePrefix="0" xfId="0">
      <alignment vertical="center"/>
      <protection locked="0" hidden="0"/>
    </xf>
    <xf numFmtId="0" fontId="2" fillId="9" borderId="32" applyAlignment="1" pivotButton="0" quotePrefix="0" xfId="0">
      <alignment vertical="top"/>
    </xf>
    <xf numFmtId="168" fontId="2" fillId="9" borderId="45" applyAlignment="1" pivotButton="0" quotePrefix="0" xfId="0">
      <alignment horizontal="right" vertical="center"/>
    </xf>
    <xf numFmtId="2" fontId="2" fillId="9" borderId="0" applyAlignment="1" pivotButton="0" quotePrefix="0" xfId="0">
      <alignment vertical="center"/>
    </xf>
    <xf numFmtId="0" fontId="63" fillId="9" borderId="0" applyAlignment="1" pivotButton="0" quotePrefix="0" xfId="0">
      <alignment horizontal="left" vertical="center"/>
    </xf>
    <xf numFmtId="0" fontId="24" fillId="25" borderId="0" applyAlignment="1" pivotButton="0" quotePrefix="0" xfId="0">
      <alignment horizontal="center" vertical="center"/>
    </xf>
    <xf numFmtId="0" fontId="49" fillId="17" borderId="43" applyAlignment="1" pivotButton="0" quotePrefix="0" xfId="0">
      <alignment horizontal="left" vertical="center"/>
    </xf>
    <xf numFmtId="0" fontId="49" fillId="17" borderId="41" applyAlignment="1" pivotButton="0" quotePrefix="0" xfId="0">
      <alignment horizontal="left" vertical="center"/>
    </xf>
    <xf numFmtId="0" fontId="2" fillId="9" borderId="0" applyAlignment="1" pivotButton="0" quotePrefix="0" xfId="0">
      <alignment horizontal="left" vertical="top"/>
    </xf>
    <xf numFmtId="0" fontId="2" fillId="9" borderId="29" applyAlignment="1" pivotButton="0" quotePrefix="0" xfId="0">
      <alignment horizontal="left" vertical="top"/>
    </xf>
    <xf numFmtId="0" fontId="3" fillId="9" borderId="0" applyAlignment="1" pivotButton="0" quotePrefix="0" xfId="0">
      <alignment horizontal="left" vertical="center" wrapText="1"/>
    </xf>
    <xf numFmtId="0" fontId="3" fillId="9" borderId="29" applyAlignment="1" pivotButton="0" quotePrefix="0" xfId="0">
      <alignment horizontal="left" vertical="center" wrapText="1"/>
    </xf>
    <xf numFmtId="0" fontId="49" fillId="17" borderId="75" applyAlignment="1" pivotButton="0" quotePrefix="0" xfId="3">
      <alignment horizontal="left" vertical="top"/>
    </xf>
    <xf numFmtId="0" fontId="49" fillId="17" borderId="41" applyAlignment="1" pivotButton="0" quotePrefix="0" xfId="3">
      <alignment horizontal="left" vertical="top"/>
    </xf>
    <xf numFmtId="0" fontId="24" fillId="25" borderId="0" applyAlignment="1" pivotButton="0" quotePrefix="0" xfId="3">
      <alignment horizontal="center" vertical="center"/>
    </xf>
    <xf numFmtId="0" fontId="49" fillId="17" borderId="43" applyAlignment="1" pivotButton="0" quotePrefix="0" xfId="0">
      <alignment horizontal="left" vertical="top"/>
    </xf>
    <xf numFmtId="0" fontId="49" fillId="17" borderId="41" applyAlignment="1" pivotButton="0" quotePrefix="0" xfId="0">
      <alignment horizontal="left" vertical="top"/>
    </xf>
    <xf numFmtId="181" fontId="2" fillId="16" borderId="8" applyAlignment="1" pivotButton="0" quotePrefix="0" xfId="3">
      <alignment horizontal="left" vertical="center"/>
    </xf>
    <xf numFmtId="181" fontId="2" fillId="16" borderId="9" applyAlignment="1" pivotButton="0" quotePrefix="0" xfId="3">
      <alignment horizontal="left" vertical="center"/>
    </xf>
    <xf numFmtId="181" fontId="2" fillId="16" borderId="15" applyAlignment="1" pivotButton="0" quotePrefix="0" xfId="3">
      <alignment horizontal="left" vertical="center"/>
    </xf>
    <xf numFmtId="182" fontId="2" fillId="21" borderId="8" applyAlignment="1" pivotButton="0" quotePrefix="0" xfId="3">
      <alignment horizontal="left" vertical="center"/>
    </xf>
    <xf numFmtId="182" fontId="2" fillId="21" borderId="9" applyAlignment="1" pivotButton="0" quotePrefix="0" xfId="3">
      <alignment horizontal="left" vertical="center"/>
    </xf>
    <xf numFmtId="182" fontId="2" fillId="21" borderId="15" applyAlignment="1" pivotButton="0" quotePrefix="0" xfId="3">
      <alignment horizontal="left" vertical="center"/>
    </xf>
    <xf numFmtId="0" fontId="3" fillId="9" borderId="79" applyAlignment="1" pivotButton="0" quotePrefix="0" xfId="3">
      <alignment horizontal="center" vertical="center"/>
    </xf>
    <xf numFmtId="0" fontId="3" fillId="9" borderId="67" applyAlignment="1" pivotButton="0" quotePrefix="0" xfId="3">
      <alignment horizontal="center" vertical="center"/>
    </xf>
    <xf numFmtId="0" fontId="58" fillId="9" borderId="14" applyAlignment="1" pivotButton="0" quotePrefix="0" xfId="3">
      <alignment horizontal="left" vertical="center"/>
    </xf>
    <xf numFmtId="0" fontId="58" fillId="9" borderId="12" applyAlignment="1" pivotButton="0" quotePrefix="0" xfId="3">
      <alignment horizontal="left" vertical="center"/>
    </xf>
    <xf numFmtId="0" fontId="2" fillId="9" borderId="78" applyAlignment="1" pivotButton="0" quotePrefix="0" xfId="3">
      <alignment horizontal="left" vertical="center"/>
    </xf>
    <xf numFmtId="0" fontId="2" fillId="9" borderId="10" applyAlignment="1" pivotButton="0" quotePrefix="0" xfId="3">
      <alignment horizontal="left" vertical="center"/>
    </xf>
    <xf numFmtId="0" fontId="2" fillId="9" borderId="16" applyAlignment="1" pivotButton="0" quotePrefix="0" xfId="3">
      <alignment horizontal="left" vertical="center"/>
    </xf>
    <xf numFmtId="0" fontId="2" fillId="9" borderId="69" applyAlignment="1" pivotButton="0" quotePrefix="0" xfId="3">
      <alignment horizontal="left" vertical="center"/>
    </xf>
    <xf numFmtId="0" fontId="2" fillId="9" borderId="4" applyAlignment="1" pivotButton="0" quotePrefix="0" xfId="3">
      <alignment horizontal="left" vertical="center"/>
    </xf>
    <xf numFmtId="0" fontId="2" fillId="9" borderId="17" applyAlignment="1" pivotButton="0" quotePrefix="0" xfId="3">
      <alignment horizontal="left" vertical="center"/>
    </xf>
    <xf numFmtId="0" fontId="58" fillId="9" borderId="14" applyAlignment="1" pivotButton="0" quotePrefix="0" xfId="3">
      <alignment horizontal="center" vertical="center"/>
    </xf>
    <xf numFmtId="0" fontId="58" fillId="9" borderId="12" applyAlignment="1" pivotButton="0" quotePrefix="0" xfId="3">
      <alignment horizontal="center" vertical="center"/>
    </xf>
    <xf numFmtId="0" fontId="3" fillId="9" borderId="14" applyAlignment="1" pivotButton="0" quotePrefix="0" xfId="3">
      <alignment horizontal="left" vertical="center" wrapText="1"/>
    </xf>
    <xf numFmtId="0" fontId="3" fillId="9" borderId="12" applyAlignment="1" pivotButton="0" quotePrefix="0" xfId="3">
      <alignment horizontal="left" vertical="center" wrapText="1"/>
    </xf>
    <xf numFmtId="0" fontId="3" fillId="9" borderId="14" applyAlignment="1" pivotButton="0" quotePrefix="0" xfId="3">
      <alignment horizontal="left" vertical="center"/>
    </xf>
    <xf numFmtId="0" fontId="3" fillId="9" borderId="12" applyAlignment="1" pivotButton="0" quotePrefix="0" xfId="3">
      <alignment horizontal="left" vertical="center"/>
    </xf>
    <xf numFmtId="0" fontId="69" fillId="3" borderId="51" applyAlignment="1" pivotButton="0" quotePrefix="0" xfId="3">
      <alignment horizontal="left" vertical="center"/>
    </xf>
    <xf numFmtId="0" fontId="69" fillId="3" borderId="52" applyAlignment="1" pivotButton="0" quotePrefix="0" xfId="3">
      <alignment horizontal="left" vertical="center"/>
    </xf>
    <xf numFmtId="0" fontId="69" fillId="3" borderId="53" applyAlignment="1" pivotButton="0" quotePrefix="0" xfId="3">
      <alignment horizontal="left" vertical="center"/>
    </xf>
    <xf numFmtId="182" fontId="2" fillId="16" borderId="8" applyAlignment="1" pivotButton="0" quotePrefix="0" xfId="3">
      <alignment horizontal="left" vertical="center"/>
    </xf>
    <xf numFmtId="182" fontId="2" fillId="16" borderId="9" applyAlignment="1" pivotButton="0" quotePrefix="0" xfId="3">
      <alignment horizontal="left" vertical="center"/>
    </xf>
    <xf numFmtId="182" fontId="2" fillId="16" borderId="15" applyAlignment="1" pivotButton="0" quotePrefix="0" xfId="3">
      <alignment horizontal="left" vertical="center"/>
    </xf>
    <xf numFmtId="183" fontId="2" fillId="16" borderId="8" applyAlignment="1" pivotButton="0" quotePrefix="0" xfId="3">
      <alignment horizontal="left" vertical="center"/>
    </xf>
    <xf numFmtId="183" fontId="2" fillId="16" borderId="9" applyAlignment="1" pivotButton="0" quotePrefix="0" xfId="3">
      <alignment horizontal="left" vertical="center"/>
    </xf>
    <xf numFmtId="183" fontId="2" fillId="16" borderId="15" applyAlignment="1" pivotButton="0" quotePrefix="0" xfId="3">
      <alignment horizontal="left" vertical="center"/>
    </xf>
    <xf numFmtId="184" fontId="2" fillId="21" borderId="8" applyAlignment="1" pivotButton="0" quotePrefix="0" xfId="3">
      <alignment horizontal="left" vertical="center"/>
    </xf>
    <xf numFmtId="184" fontId="2" fillId="21" borderId="9" applyAlignment="1" pivotButton="0" quotePrefix="0" xfId="3">
      <alignment horizontal="left" vertical="center"/>
    </xf>
    <xf numFmtId="184" fontId="2" fillId="21" borderId="15" applyAlignment="1" pivotButton="0" quotePrefix="0" xfId="3">
      <alignment horizontal="left" vertical="center"/>
    </xf>
    <xf numFmtId="185" fontId="2" fillId="20" borderId="8" applyAlignment="1" pivotButton="0" quotePrefix="0" xfId="3">
      <alignment horizontal="left" vertical="center"/>
    </xf>
    <xf numFmtId="185" fontId="2" fillId="20" borderId="9" applyAlignment="1" pivotButton="0" quotePrefix="0" xfId="3">
      <alignment horizontal="left" vertical="center"/>
    </xf>
    <xf numFmtId="185" fontId="2" fillId="20" borderId="15" applyAlignment="1" pivotButton="0" quotePrefix="0" xfId="3">
      <alignment horizontal="left" vertical="center"/>
    </xf>
    <xf numFmtId="186" fontId="2" fillId="9" borderId="8" applyAlignment="1" pivotButton="0" quotePrefix="0" xfId="3">
      <alignment horizontal="left" vertical="center"/>
    </xf>
    <xf numFmtId="186" fontId="2" fillId="9" borderId="9" applyAlignment="1" pivotButton="0" quotePrefix="0" xfId="3">
      <alignment horizontal="left" vertical="center"/>
    </xf>
    <xf numFmtId="187" fontId="2" fillId="20" borderId="8" applyAlignment="1" pivotButton="0" quotePrefix="0" xfId="3">
      <alignment horizontal="left" vertical="center"/>
    </xf>
    <xf numFmtId="187" fontId="2" fillId="20" borderId="9" applyAlignment="1" pivotButton="0" quotePrefix="0" xfId="3">
      <alignment horizontal="left" vertical="center"/>
    </xf>
    <xf numFmtId="188" fontId="2" fillId="20" borderId="8" applyAlignment="1" pivotButton="0" quotePrefix="0" xfId="3">
      <alignment horizontal="left" vertical="center"/>
    </xf>
    <xf numFmtId="188" fontId="2" fillId="20" borderId="9" applyAlignment="1" pivotButton="0" quotePrefix="0" xfId="3">
      <alignment horizontal="left" vertical="center"/>
    </xf>
    <xf numFmtId="186" fontId="2" fillId="16" borderId="8" applyAlignment="1" pivotButton="0" quotePrefix="0" xfId="3">
      <alignment horizontal="left" vertical="center"/>
    </xf>
    <xf numFmtId="186" fontId="2" fillId="16" borderId="9" applyAlignment="1" pivotButton="0" quotePrefix="0" xfId="3">
      <alignment horizontal="left" vertical="center"/>
    </xf>
    <xf numFmtId="189" fontId="2" fillId="20" borderId="8" applyAlignment="1" pivotButton="0" quotePrefix="0" xfId="3">
      <alignment horizontal="left" vertical="center"/>
    </xf>
    <xf numFmtId="189" fontId="2" fillId="20" borderId="9" applyAlignment="1" pivotButton="0" quotePrefix="0" xfId="3">
      <alignment horizontal="left" vertical="center"/>
    </xf>
    <xf numFmtId="190" fontId="2" fillId="20" borderId="8" applyAlignment="1" pivotButton="0" quotePrefix="0" xfId="3">
      <alignment horizontal="left" vertical="center"/>
    </xf>
    <xf numFmtId="190" fontId="2" fillId="20" borderId="9" applyAlignment="1" pivotButton="0" quotePrefix="0" xfId="3">
      <alignment horizontal="left" vertical="center"/>
    </xf>
    <xf numFmtId="0" fontId="47" fillId="16" borderId="28" applyAlignment="1" pivotButton="0" quotePrefix="0" xfId="0">
      <alignment horizontal="left" vertical="center"/>
    </xf>
    <xf numFmtId="0" fontId="47" fillId="16" borderId="0" applyAlignment="1" pivotButton="0" quotePrefix="0" xfId="0">
      <alignment horizontal="left" vertical="center"/>
    </xf>
    <xf numFmtId="0" fontId="3" fillId="0" borderId="0" applyAlignment="1" pivotButton="0" quotePrefix="0" xfId="0">
      <alignment horizontal="center"/>
    </xf>
    <xf numFmtId="0" fontId="4" fillId="3" borderId="0" applyAlignment="1" pivotButton="0" quotePrefix="0" xfId="0">
      <alignment horizontal="center"/>
    </xf>
    <xf numFmtId="0" fontId="3" fillId="4" borderId="60" pivotButton="0" quotePrefix="0" xfId="3"/>
    <xf numFmtId="0" fontId="3" fillId="4" borderId="62" pivotButton="0" quotePrefix="0" xfId="3"/>
    <xf numFmtId="0" fontId="3" fillId="0" borderId="18" applyAlignment="1" pivotButton="0" quotePrefix="0" xfId="3">
      <alignment horizontal="center"/>
    </xf>
    <xf numFmtId="0" fontId="3" fillId="0" borderId="11" applyAlignment="1" pivotButton="0" quotePrefix="0" xfId="3">
      <alignment horizontal="center"/>
    </xf>
    <xf numFmtId="0" fontId="3" fillId="0" borderId="58" applyAlignment="1" pivotButton="0" quotePrefix="0" xfId="3">
      <alignment horizontal="center"/>
    </xf>
    <xf numFmtId="0" fontId="3" fillId="0" borderId="64" applyAlignment="1" pivotButton="0" quotePrefix="0" xfId="3">
      <alignment horizontal="center"/>
    </xf>
    <xf numFmtId="0" fontId="3" fillId="0" borderId="65" applyAlignment="1" pivotButton="0" quotePrefix="0" xfId="3">
      <alignment horizontal="center"/>
    </xf>
    <xf numFmtId="0" fontId="74" fillId="4" borderId="74" applyAlignment="1" pivotButton="0" quotePrefix="0" xfId="3">
      <alignment horizontal="center" vertical="center"/>
    </xf>
    <xf numFmtId="0" fontId="74" fillId="4" borderId="66" applyAlignment="1" pivotButton="0" quotePrefix="0" xfId="3">
      <alignment horizontal="center" vertical="center"/>
    </xf>
    <xf numFmtId="0" fontId="3" fillId="0" borderId="55" applyAlignment="1" pivotButton="0" quotePrefix="0" xfId="3">
      <alignment horizontal="center"/>
    </xf>
    <xf numFmtId="0" fontId="3" fillId="0" borderId="56" applyAlignment="1" pivotButton="0" quotePrefix="0" xfId="3">
      <alignment horizontal="center"/>
    </xf>
    <xf numFmtId="0" fontId="2" fillId="0" borderId="56" applyAlignment="1" pivotButton="0" quotePrefix="0" xfId="3">
      <alignment horizontal="center"/>
    </xf>
    <xf numFmtId="0" fontId="2" fillId="0" borderId="57" applyAlignment="1" pivotButton="0" quotePrefix="0" xfId="3">
      <alignment horizontal="center"/>
    </xf>
    <xf numFmtId="0" fontId="74" fillId="4" borderId="74" applyAlignment="1" pivotButton="0" quotePrefix="0" xfId="3">
      <alignment horizontal="center" vertical="top" shrinkToFit="1"/>
    </xf>
    <xf numFmtId="0" fontId="2" fillId="4" borderId="73" applyAlignment="1" pivotButton="0" quotePrefix="0" xfId="3">
      <alignment horizontal="center" vertical="top" shrinkToFit="1"/>
    </xf>
    <xf numFmtId="0" fontId="2" fillId="4" borderId="72" applyAlignment="1" pivotButton="0" quotePrefix="0" xfId="3">
      <alignment horizontal="center" vertical="top" shrinkToFit="1"/>
    </xf>
    <xf numFmtId="0" fontId="74" fillId="4" borderId="60" applyAlignment="1" pivotButton="0" quotePrefix="0" xfId="3">
      <alignment horizontal="center"/>
    </xf>
    <xf numFmtId="0" fontId="74" fillId="4" borderId="62" applyAlignment="1" pivotButton="0" quotePrefix="0" xfId="3">
      <alignment horizontal="center"/>
    </xf>
    <xf numFmtId="0" fontId="3" fillId="0" borderId="57" applyAlignment="1" pivotButton="0" quotePrefix="0" xfId="3">
      <alignment horizontal="center"/>
    </xf>
    <xf numFmtId="0" fontId="74" fillId="4" borderId="55" applyAlignment="1" pivotButton="0" quotePrefix="0" xfId="3">
      <alignment horizontal="center"/>
    </xf>
    <xf numFmtId="0" fontId="74" fillId="4" borderId="56" applyAlignment="1" pivotButton="0" quotePrefix="0" xfId="3">
      <alignment horizontal="center"/>
    </xf>
    <xf numFmtId="0" fontId="74" fillId="4" borderId="57" applyAlignment="1" pivotButton="0" quotePrefix="0" xfId="3">
      <alignment horizontal="center"/>
    </xf>
    <xf numFmtId="0" fontId="2" fillId="4" borderId="61" applyAlignment="1" pivotButton="0" quotePrefix="0" xfId="3">
      <alignment horizontal="center"/>
    </xf>
    <xf numFmtId="0" fontId="2" fillId="4" borderId="62" applyAlignment="1" pivotButton="0" quotePrefix="0" xfId="3">
      <alignment horizontal="center"/>
    </xf>
    <xf numFmtId="0" fontId="3" fillId="0" borderId="51" applyAlignment="1" pivotButton="0" quotePrefix="0" xfId="3">
      <alignment horizontal="center"/>
    </xf>
    <xf numFmtId="0" fontId="3" fillId="24" borderId="0" applyAlignment="1" pivotButton="0" quotePrefix="0" xfId="0">
      <alignment horizontal="center"/>
    </xf>
    <xf numFmtId="0" fontId="3" fillId="4" borderId="55" applyAlignment="1" pivotButton="0" quotePrefix="0" xfId="0">
      <alignment horizontal="center"/>
    </xf>
    <xf numFmtId="0" fontId="3" fillId="4" borderId="56" applyAlignment="1" pivotButton="0" quotePrefix="0" xfId="0">
      <alignment horizontal="center"/>
    </xf>
    <xf numFmtId="0" fontId="3" fillId="4" borderId="57" applyAlignment="1" pivotButton="0" quotePrefix="0" xfId="0">
      <alignment horizontal="center"/>
    </xf>
    <xf numFmtId="0" fontId="3" fillId="4" borderId="47" applyAlignment="1" pivotButton="0" quotePrefix="0" xfId="0">
      <alignment horizontal="center"/>
    </xf>
    <xf numFmtId="0" fontId="3" fillId="4" borderId="48" applyAlignment="1" pivotButton="0" quotePrefix="0" xfId="0">
      <alignment horizontal="center"/>
    </xf>
    <xf numFmtId="0" fontId="3" fillId="4" borderId="81" applyAlignment="1" pivotButton="0" quotePrefix="0" xfId="0">
      <alignment horizontal="center"/>
    </xf>
    <xf numFmtId="0" fontId="3" fillId="4" borderId="20" applyAlignment="1" pivotButton="0" quotePrefix="0" xfId="0">
      <alignment horizontal="center"/>
    </xf>
    <xf numFmtId="0" fontId="13" fillId="3" borderId="0" applyAlignment="1" pivotButton="0" quotePrefix="0" xfId="0">
      <alignment horizontal="left"/>
    </xf>
    <xf numFmtId="0" fontId="3" fillId="0" borderId="0" applyAlignment="1" pivotButton="0" quotePrefix="0" xfId="0">
      <alignment horizontal="left" wrapText="1"/>
    </xf>
    <xf numFmtId="164" fontId="3" fillId="4" borderId="55" applyAlignment="1" pivotButton="0" quotePrefix="0" xfId="0">
      <alignment horizontal="center"/>
    </xf>
    <xf numFmtId="164" fontId="3" fillId="4" borderId="56" applyAlignment="1" pivotButton="0" quotePrefix="0" xfId="0">
      <alignment horizontal="center"/>
    </xf>
    <xf numFmtId="164" fontId="3" fillId="4" borderId="57" applyAlignment="1" pivotButton="0" quotePrefix="0" xfId="0">
      <alignment horizontal="center"/>
    </xf>
    <xf numFmtId="0" fontId="59" fillId="0" borderId="0" applyAlignment="1" pivotButton="0" quotePrefix="0" xfId="0">
      <alignment horizontal="center"/>
    </xf>
    <xf numFmtId="2" fontId="3" fillId="0" borderId="0" applyAlignment="1" pivotButton="0" quotePrefix="0" xfId="0">
      <alignment horizontal="center"/>
    </xf>
    <xf numFmtId="2" fontId="2" fillId="0" borderId="0" applyAlignment="1" pivotButton="0" quotePrefix="0" xfId="0">
      <alignment horizontal="center"/>
    </xf>
    <xf numFmtId="165" fontId="2" fillId="9" borderId="0" pivotButton="0" quotePrefix="0" xfId="0"/>
    <xf numFmtId="165" fontId="2" fillId="16" borderId="0" pivotButton="0" quotePrefix="0" xfId="0"/>
    <xf numFmtId="165" fontId="2" fillId="9" borderId="0" applyAlignment="1" pivotButton="0" quotePrefix="0" xfId="0">
      <alignment vertical="center"/>
    </xf>
    <xf numFmtId="165" fontId="2" fillId="16" borderId="0" applyAlignment="1" pivotButton="0" quotePrefix="0" xfId="0">
      <alignment vertical="center"/>
    </xf>
    <xf numFmtId="165" fontId="2" fillId="9" borderId="45" applyAlignment="1" pivotButton="0" quotePrefix="0" xfId="0">
      <alignment vertical="center"/>
    </xf>
    <xf numFmtId="165" fontId="3" fillId="9" borderId="0" pivotButton="0" quotePrefix="0" xfId="0"/>
    <xf numFmtId="165" fontId="3" fillId="19" borderId="45" applyAlignment="1" applyProtection="1" pivotButton="0" quotePrefix="0" xfId="0">
      <alignment vertical="center"/>
      <protection locked="0" hidden="0"/>
    </xf>
    <xf numFmtId="165" fontId="2" fillId="9" borderId="0" applyAlignment="1" pivotButton="0" quotePrefix="0" xfId="0">
      <alignment horizontal="right" vertical="center"/>
    </xf>
    <xf numFmtId="165" fontId="2" fillId="16" borderId="0" applyAlignment="1" pivotButton="0" quotePrefix="0" xfId="0">
      <alignment horizontal="right" vertical="center"/>
    </xf>
    <xf numFmtId="168" fontId="17" fillId="9" borderId="0" pivotButton="0" quotePrefix="0" xfId="0"/>
    <xf numFmtId="169" fontId="17" fillId="9" borderId="0" pivotButton="0" quotePrefix="0" xfId="0"/>
    <xf numFmtId="165" fontId="2" fillId="9" borderId="0" applyAlignment="1" pivotButton="0" quotePrefix="0" xfId="0">
      <alignment horizontal="right"/>
    </xf>
    <xf numFmtId="170" fontId="17" fillId="9" borderId="0" pivotButton="0" quotePrefix="0" xfId="0"/>
    <xf numFmtId="165" fontId="2" fillId="9" borderId="4" applyAlignment="1" pivotButton="0" quotePrefix="0" xfId="0">
      <alignment vertical="center"/>
    </xf>
    <xf numFmtId="167" fontId="17" fillId="25" borderId="0" applyAlignment="1" pivotButton="0" quotePrefix="0" xfId="0">
      <alignment horizontal="center"/>
    </xf>
    <xf numFmtId="167" fontId="17" fillId="3" borderId="0" applyAlignment="1" pivotButton="0" quotePrefix="0" xfId="0">
      <alignment horizontal="center"/>
    </xf>
    <xf numFmtId="168" fontId="2" fillId="9" borderId="45" applyAlignment="1" pivotButton="0" quotePrefix="0" xfId="0">
      <alignment horizontal="right" vertical="center"/>
    </xf>
    <xf numFmtId="165" fontId="7" fillId="9" borderId="0" pivotButton="0" quotePrefix="0" xfId="0"/>
    <xf numFmtId="167" fontId="17" fillId="18" borderId="0" applyAlignment="1" pivotButton="0" quotePrefix="0" xfId="0">
      <alignment horizontal="center"/>
    </xf>
    <xf numFmtId="165" fontId="63" fillId="9" borderId="45" applyAlignment="1" pivotButton="0" quotePrefix="0" xfId="0">
      <alignment horizontal="left" vertical="center"/>
    </xf>
    <xf numFmtId="167" fontId="65" fillId="25" borderId="0" applyAlignment="1" pivotButton="0" quotePrefix="0" xfId="0">
      <alignment horizontal="center"/>
    </xf>
    <xf numFmtId="167" fontId="65" fillId="18" borderId="0" applyAlignment="1" pivotButton="0" quotePrefix="0" xfId="0">
      <alignment horizontal="center"/>
    </xf>
    <xf numFmtId="167" fontId="65" fillId="3" borderId="0" applyAlignment="1" pivotButton="0" quotePrefix="0" xfId="0">
      <alignment horizontal="center"/>
    </xf>
    <xf numFmtId="165" fontId="2" fillId="9" borderId="41" applyAlignment="1" pivotButton="0" quotePrefix="0" xfId="0">
      <alignment horizontal="left" vertical="center"/>
    </xf>
    <xf numFmtId="165" fontId="2" fillId="9" borderId="75" applyAlignment="1" pivotButton="0" quotePrefix="0" xfId="0">
      <alignment horizontal="right"/>
    </xf>
    <xf numFmtId="168" fontId="3" fillId="9" borderId="0" applyAlignment="1" pivotButton="0" quotePrefix="0" xfId="0">
      <alignment horizontal="center"/>
    </xf>
    <xf numFmtId="165" fontId="2" fillId="9" borderId="0" applyAlignment="1" pivotButton="0" quotePrefix="0" xfId="0">
      <alignment horizontal="left" vertical="center"/>
    </xf>
    <xf numFmtId="165" fontId="2" fillId="9" borderId="28" applyAlignment="1" pivotButton="0" quotePrefix="0" xfId="0">
      <alignment horizontal="right"/>
    </xf>
    <xf numFmtId="167" fontId="25" fillId="25" borderId="0" applyAlignment="1" pivotButton="0" quotePrefix="0" xfId="0">
      <alignment horizontal="center"/>
    </xf>
    <xf numFmtId="167" fontId="25" fillId="18" borderId="0" applyAlignment="1" pivotButton="0" quotePrefix="0" xfId="0">
      <alignment horizontal="center"/>
    </xf>
    <xf numFmtId="167" fontId="25" fillId="3" borderId="0" applyAlignment="1" pivotButton="0" quotePrefix="0" xfId="0">
      <alignment horizontal="center"/>
    </xf>
    <xf numFmtId="165" fontId="3" fillId="19" borderId="0" applyProtection="1" pivotButton="0" quotePrefix="0" xfId="0">
      <protection locked="0" hidden="0"/>
    </xf>
    <xf numFmtId="0" fontId="0" fillId="0" borderId="77" pivotButton="0" quotePrefix="0" xfId="0"/>
    <xf numFmtId="165" fontId="74" fillId="16" borderId="0" pivotButton="0" quotePrefix="0" xfId="3"/>
    <xf numFmtId="165" fontId="91" fillId="9" borderId="0" pivotButton="0" quotePrefix="0" xfId="3"/>
    <xf numFmtId="165" fontId="3" fillId="9" borderId="0" pivotButton="0" quotePrefix="0" xfId="3"/>
    <xf numFmtId="165" fontId="3" fillId="16" borderId="41" pivotButton="0" quotePrefix="0" xfId="3"/>
    <xf numFmtId="165" fontId="3" fillId="9" borderId="45" pivotButton="0" quotePrefix="0" xfId="3"/>
    <xf numFmtId="165" fontId="3" fillId="16" borderId="45" pivotButton="0" quotePrefix="0" xfId="3"/>
    <xf numFmtId="167" fontId="17" fillId="25" borderId="0" applyAlignment="1" pivotButton="0" quotePrefix="0" xfId="3">
      <alignment horizontal="center"/>
    </xf>
    <xf numFmtId="167" fontId="65" fillId="25" borderId="0" applyAlignment="1" pivotButton="0" quotePrefix="0" xfId="3">
      <alignment horizontal="center"/>
    </xf>
    <xf numFmtId="167" fontId="25" fillId="25" borderId="0" applyAlignment="1" pivotButton="0" quotePrefix="0" xfId="3">
      <alignment horizontal="center"/>
    </xf>
    <xf numFmtId="167" fontId="17" fillId="3" borderId="0" applyAlignment="1" pivotButton="0" quotePrefix="0" xfId="3">
      <alignment horizontal="center"/>
    </xf>
    <xf numFmtId="0" fontId="69" fillId="3" borderId="61" applyAlignment="1" pivotButton="0" quotePrefix="0" xfId="3">
      <alignment horizontal="left" vertical="center"/>
    </xf>
    <xf numFmtId="0" fontId="0" fillId="0" borderId="56" pivotButton="0" quotePrefix="0" xfId="0"/>
    <xf numFmtId="0" fontId="0" fillId="0" borderId="53" pivotButton="0" quotePrefix="0" xfId="0"/>
    <xf numFmtId="172" fontId="2" fillId="9" borderId="11" applyAlignment="1" pivotButton="0" quotePrefix="0" xfId="3">
      <alignment horizontal="center" vertical="center"/>
    </xf>
    <xf numFmtId="186" fontId="2" fillId="9" borderId="8" applyAlignment="1" pivotButton="0" quotePrefix="0" xfId="3">
      <alignment horizontal="left" vertical="center"/>
    </xf>
    <xf numFmtId="0" fontId="0" fillId="0" borderId="9" pivotButton="0" quotePrefix="0" xfId="0"/>
    <xf numFmtId="174" fontId="2" fillId="20" borderId="11" applyAlignment="1" pivotButton="0" quotePrefix="0" xfId="3">
      <alignment horizontal="center" vertical="center"/>
    </xf>
    <xf numFmtId="187" fontId="2" fillId="20" borderId="8" applyAlignment="1" pivotButton="0" quotePrefix="0" xfId="3">
      <alignment horizontal="left" vertical="center"/>
    </xf>
    <xf numFmtId="173" fontId="2" fillId="20" borderId="11" applyAlignment="1" pivotButton="0" quotePrefix="0" xfId="3">
      <alignment horizontal="center" vertical="center"/>
    </xf>
    <xf numFmtId="189" fontId="2" fillId="20" borderId="8" applyAlignment="1" pivotButton="0" quotePrefix="0" xfId="3">
      <alignment horizontal="left" vertical="center"/>
    </xf>
    <xf numFmtId="172" fontId="2" fillId="20" borderId="11" applyAlignment="1" pivotButton="0" quotePrefix="0" xfId="3">
      <alignment horizontal="center" vertical="center"/>
    </xf>
    <xf numFmtId="190" fontId="2" fillId="20" borderId="8" applyAlignment="1" pivotButton="0" quotePrefix="0" xfId="3">
      <alignment horizontal="left" vertical="center"/>
    </xf>
    <xf numFmtId="188" fontId="2" fillId="20" borderId="8" applyAlignment="1" pivotButton="0" quotePrefix="0" xfId="3">
      <alignment horizontal="left" vertical="center"/>
    </xf>
    <xf numFmtId="172" fontId="2" fillId="16" borderId="11" applyAlignment="1" pivotButton="0" quotePrefix="0" xfId="3">
      <alignment horizontal="center" vertical="center"/>
    </xf>
    <xf numFmtId="186" fontId="2" fillId="16" borderId="8" applyAlignment="1" pivotButton="0" quotePrefix="0" xfId="3">
      <alignment horizontal="left" vertical="center"/>
    </xf>
    <xf numFmtId="175" fontId="2" fillId="20" borderId="11" applyAlignment="1" pivotButton="0" quotePrefix="0" xfId="3">
      <alignment horizontal="center" vertical="center"/>
    </xf>
    <xf numFmtId="185" fontId="2" fillId="20" borderId="11" applyAlignment="1" pivotButton="0" quotePrefix="0" xfId="3">
      <alignment horizontal="left" vertical="center"/>
    </xf>
    <xf numFmtId="0" fontId="0" fillId="0" borderId="15" pivotButton="0" quotePrefix="0" xfId="0"/>
    <xf numFmtId="183" fontId="2" fillId="16" borderId="11" applyAlignment="1" pivotButton="0" quotePrefix="0" xfId="3">
      <alignment horizontal="left" vertical="center"/>
    </xf>
    <xf numFmtId="171" fontId="2" fillId="21" borderId="11" applyAlignment="1" pivotButton="0" quotePrefix="0" xfId="3">
      <alignment horizontal="center" vertical="center"/>
    </xf>
    <xf numFmtId="182" fontId="2" fillId="21" borderId="11" applyAlignment="1" pivotButton="0" quotePrefix="0" xfId="3">
      <alignment horizontal="left" vertical="center"/>
    </xf>
    <xf numFmtId="179" fontId="2" fillId="21" borderId="11" applyAlignment="1" pivotButton="0" quotePrefix="0" xfId="3">
      <alignment horizontal="center" vertical="center"/>
    </xf>
    <xf numFmtId="184" fontId="2" fillId="21" borderId="11" applyAlignment="1" pivotButton="0" quotePrefix="0" xfId="3">
      <alignment horizontal="left" vertical="center"/>
    </xf>
    <xf numFmtId="171" fontId="2" fillId="16" borderId="11" applyAlignment="1" pivotButton="0" quotePrefix="0" xfId="3">
      <alignment horizontal="center" vertical="center"/>
    </xf>
    <xf numFmtId="182" fontId="2" fillId="16" borderId="11" applyAlignment="1" pivotButton="0" quotePrefix="0" xfId="3">
      <alignment horizontal="left" vertical="center"/>
    </xf>
    <xf numFmtId="181" fontId="2" fillId="16" borderId="11" applyAlignment="1" pivotButton="0" quotePrefix="0" xfId="3">
      <alignment horizontal="left" vertical="center"/>
    </xf>
    <xf numFmtId="0" fontId="3" fillId="9" borderId="18" applyAlignment="1" pivotButton="0" quotePrefix="0" xfId="3">
      <alignment horizontal="center" vertical="center"/>
    </xf>
    <xf numFmtId="0" fontId="3" fillId="9" borderId="11" applyAlignment="1" pivotButton="0" quotePrefix="0" xfId="3">
      <alignment horizontal="left" vertical="center" wrapText="1"/>
    </xf>
    <xf numFmtId="0" fontId="58" fillId="9" borderId="11" applyAlignment="1" pivotButton="0" quotePrefix="0" xfId="3">
      <alignment horizontal="center" vertical="center"/>
    </xf>
    <xf numFmtId="0" fontId="0" fillId="0" borderId="10" pivotButton="0" quotePrefix="0" xfId="0"/>
    <xf numFmtId="0" fontId="0" fillId="0" borderId="16" pivotButton="0" quotePrefix="0" xfId="0"/>
    <xf numFmtId="0" fontId="3" fillId="9" borderId="11" applyAlignment="1" pivotButton="0" quotePrefix="0" xfId="3">
      <alignment horizontal="left" vertical="center"/>
    </xf>
    <xf numFmtId="0" fontId="58" fillId="9" borderId="11" applyAlignment="1" pivotButton="0" quotePrefix="0" xfId="3">
      <alignment horizontal="left" vertical="center"/>
    </xf>
    <xf numFmtId="0" fontId="0" fillId="0" borderId="67" pivotButton="0" quotePrefix="0" xfId="0"/>
    <xf numFmtId="0" fontId="0" fillId="0" borderId="12" pivotButton="0" quotePrefix="0" xfId="0"/>
    <xf numFmtId="0" fontId="0" fillId="0" borderId="69" pivotButton="0" quotePrefix="0" xfId="0"/>
    <xf numFmtId="0" fontId="0" fillId="0" borderId="4" pivotButton="0" quotePrefix="0" xfId="0"/>
    <xf numFmtId="0" fontId="0" fillId="0" borderId="17" pivotButton="0" quotePrefix="0" xfId="0"/>
    <xf numFmtId="168" fontId="0" fillId="22" borderId="0" pivotButton="0" quotePrefix="0" xfId="0"/>
    <xf numFmtId="165" fontId="0" fillId="22" borderId="0" pivotButton="0" quotePrefix="0" xfId="0"/>
    <xf numFmtId="165" fontId="0" fillId="0" borderId="0" pivotButton="0" quotePrefix="0" xfId="0"/>
    <xf numFmtId="165" fontId="0" fillId="16" borderId="0" pivotButton="0" quotePrefix="0" xfId="0"/>
    <xf numFmtId="165" fontId="2" fillId="12" borderId="45" pivotButton="0" quotePrefix="0" xfId="0"/>
    <xf numFmtId="168" fontId="3" fillId="0" borderId="2" pivotButton="0" quotePrefix="0" xfId="0"/>
    <xf numFmtId="168" fontId="7" fillId="12" borderId="0" pivotButton="0" quotePrefix="0" xfId="0"/>
    <xf numFmtId="168" fontId="7" fillId="0" borderId="0" pivotButton="0" quotePrefix="0" xfId="0"/>
    <xf numFmtId="168" fontId="8" fillId="0" borderId="0" pivotButton="0" quotePrefix="0" xfId="0"/>
    <xf numFmtId="168" fontId="0" fillId="0" borderId="0" pivotButton="0" quotePrefix="0" xfId="0"/>
    <xf numFmtId="168" fontId="2" fillId="22" borderId="0" pivotButton="0" quotePrefix="0" xfId="0"/>
    <xf numFmtId="168" fontId="2" fillId="0" borderId="0" pivotButton="0" quotePrefix="0" xfId="0"/>
    <xf numFmtId="168" fontId="8" fillId="12" borderId="0" pivotButton="0" quotePrefix="0" xfId="0"/>
    <xf numFmtId="177" fontId="8" fillId="12" borderId="0" pivotButton="0" quotePrefix="0" xfId="0"/>
    <xf numFmtId="177" fontId="8" fillId="0" borderId="0" pivotButton="0" quotePrefix="0" xfId="0"/>
    <xf numFmtId="170" fontId="7" fillId="12" borderId="0" pivotButton="0" quotePrefix="0" xfId="0"/>
    <xf numFmtId="170" fontId="0" fillId="0" borderId="0" pivotButton="0" quotePrefix="0" xfId="0"/>
    <xf numFmtId="168" fontId="0" fillId="13" borderId="0" pivotButton="0" quotePrefix="0" xfId="0"/>
    <xf numFmtId="170" fontId="0" fillId="22" borderId="0" pivotButton="0" quotePrefix="0" xfId="0"/>
    <xf numFmtId="170" fontId="0" fillId="12" borderId="0" pivotButton="0" quotePrefix="0" xfId="0"/>
    <xf numFmtId="168" fontId="3" fillId="24" borderId="0" applyAlignment="1" pivotButton="0" quotePrefix="0" xfId="0">
      <alignment horizontal="right"/>
    </xf>
    <xf numFmtId="168" fontId="3" fillId="0" borderId="0" applyAlignment="1" pivotButton="0" quotePrefix="0" xfId="0">
      <alignment horizontal="right"/>
    </xf>
    <xf numFmtId="168" fontId="0" fillId="12" borderId="2" pivotButton="0" quotePrefix="0" xfId="0"/>
    <xf numFmtId="168" fontId="0" fillId="0" borderId="2" pivotButton="0" quotePrefix="0" xfId="0"/>
    <xf numFmtId="178" fontId="3" fillId="12" borderId="0" pivotButton="0" quotePrefix="0" xfId="0"/>
    <xf numFmtId="178" fontId="3" fillId="0" borderId="0" pivotButton="0" quotePrefix="0" xfId="0"/>
    <xf numFmtId="178" fontId="2" fillId="4" borderId="0" pivotButton="0" quotePrefix="0" xfId="0"/>
    <xf numFmtId="178" fontId="2" fillId="0" borderId="0" pivotButton="0" quotePrefix="0" xfId="0"/>
    <xf numFmtId="170" fontId="3" fillId="12" borderId="0" pivotButton="0" quotePrefix="0" xfId="0"/>
    <xf numFmtId="170" fontId="3" fillId="0" borderId="0" pivotButton="0" quotePrefix="0" xfId="0"/>
    <xf numFmtId="170" fontId="2" fillId="22" borderId="31" pivotButton="0" quotePrefix="0" xfId="0"/>
    <xf numFmtId="170" fontId="2" fillId="0" borderId="31" pivotButton="0" quotePrefix="0" xfId="0"/>
    <xf numFmtId="165" fontId="30" fillId="0" borderId="0" pivotButton="0" quotePrefix="0" xfId="0"/>
    <xf numFmtId="164" fontId="0" fillId="0" borderId="0" pivotButton="0" quotePrefix="0" xfId="0"/>
    <xf numFmtId="165" fontId="30" fillId="22" borderId="0" applyAlignment="1" pivotButton="0" quotePrefix="0" xfId="0">
      <alignment horizontal="right"/>
    </xf>
    <xf numFmtId="178" fontId="30" fillId="4" borderId="0" pivotButton="0" quotePrefix="0" xfId="0"/>
    <xf numFmtId="165" fontId="15" fillId="4" borderId="0" applyAlignment="1" pivotButton="0" quotePrefix="0" xfId="0">
      <alignment horizontal="right"/>
    </xf>
    <xf numFmtId="168" fontId="30" fillId="22" borderId="0" pivotButton="0" quotePrefix="0" xfId="0"/>
    <xf numFmtId="168" fontId="30" fillId="0" borderId="0" pivotButton="0" quotePrefix="0" xfId="0"/>
    <xf numFmtId="170" fontId="30" fillId="22" borderId="34" pivotButton="0" quotePrefix="0" xfId="0"/>
    <xf numFmtId="178" fontId="0" fillId="12" borderId="0" pivotButton="0" quotePrefix="0" xfId="0"/>
    <xf numFmtId="178" fontId="0" fillId="4" borderId="31" pivotButton="0" quotePrefix="0" xfId="0"/>
    <xf numFmtId="168" fontId="0" fillId="4" borderId="2" pivotButton="0" quotePrefix="0" xfId="0"/>
    <xf numFmtId="178" fontId="0" fillId="4" borderId="0" pivotButton="0" quotePrefix="0" xfId="0"/>
    <xf numFmtId="168" fontId="2" fillId="0" borderId="77" pivotButton="0" quotePrefix="0" xfId="0"/>
    <xf numFmtId="168" fontId="58" fillId="0" borderId="0" pivotButton="0" quotePrefix="0" xfId="0"/>
    <xf numFmtId="168" fontId="61" fillId="0" borderId="0" pivotButton="0" quotePrefix="0" xfId="0"/>
    <xf numFmtId="180" fontId="90" fillId="27" borderId="0" pivotButton="0" quotePrefix="0" xfId="6"/>
    <xf numFmtId="165" fontId="2" fillId="22" borderId="0" pivotButton="0" quotePrefix="0" xfId="0"/>
    <xf numFmtId="165" fontId="2" fillId="0" borderId="0" pivotButton="0" quotePrefix="0" xfId="0"/>
    <xf numFmtId="166" fontId="3" fillId="0" borderId="0" pivotButton="0" quotePrefix="0" xfId="0"/>
    <xf numFmtId="168" fontId="0" fillId="12" borderId="0" pivotButton="0" quotePrefix="0" xfId="0"/>
    <xf numFmtId="165" fontId="15" fillId="0" borderId="0" pivotButton="0" quotePrefix="0" xfId="0"/>
    <xf numFmtId="165" fontId="0" fillId="0" borderId="0" applyAlignment="1" pivotButton="0" quotePrefix="0" xfId="0">
      <alignment horizontal="left"/>
    </xf>
    <xf numFmtId="0" fontId="3" fillId="0" borderId="87" applyAlignment="1" pivotButton="0" quotePrefix="0" xfId="3">
      <alignment horizontal="center"/>
    </xf>
    <xf numFmtId="0" fontId="0" fillId="0" borderId="57" pivotButton="0" quotePrefix="0" xfId="0"/>
    <xf numFmtId="0" fontId="3" fillId="0" borderId="62" applyAlignment="1" pivotButton="0" quotePrefix="0" xfId="3">
      <alignment horizontal="center"/>
    </xf>
    <xf numFmtId="170" fontId="2" fillId="0" borderId="0" pivotButton="0" quotePrefix="0" xfId="3"/>
    <xf numFmtId="168" fontId="2" fillId="0" borderId="11" pivotButton="0" quotePrefix="0" xfId="3"/>
    <xf numFmtId="165" fontId="2" fillId="0" borderId="11" pivotButton="0" quotePrefix="0" xfId="3"/>
    <xf numFmtId="165" fontId="2" fillId="0" borderId="8" pivotButton="0" quotePrefix="0" xfId="3"/>
    <xf numFmtId="168" fontId="2" fillId="8" borderId="11" pivotButton="0" quotePrefix="0" xfId="3"/>
    <xf numFmtId="168" fontId="2" fillId="8" borderId="8" pivotButton="0" quotePrefix="0" xfId="3"/>
    <xf numFmtId="168" fontId="2" fillId="0" borderId="45" pivotButton="0" quotePrefix="0" xfId="3"/>
    <xf numFmtId="168" fontId="2" fillId="0" borderId="44" pivotButton="0" quotePrefix="0" xfId="3"/>
    <xf numFmtId="168" fontId="2" fillId="0" borderId="0" pivotButton="0" quotePrefix="0" xfId="3"/>
    <xf numFmtId="0" fontId="74" fillId="4" borderId="88" applyAlignment="1" pivotButton="0" quotePrefix="0" xfId="3">
      <alignment horizontal="center" vertical="top" shrinkToFit="1"/>
    </xf>
    <xf numFmtId="0" fontId="74" fillId="4" borderId="87" applyAlignment="1" pivotButton="0" quotePrefix="0" xfId="3">
      <alignment horizontal="center" vertical="center"/>
    </xf>
    <xf numFmtId="0" fontId="74" fillId="4" borderId="87" applyAlignment="1" pivotButton="0" quotePrefix="0" xfId="3">
      <alignment horizontal="center"/>
    </xf>
    <xf numFmtId="0" fontId="0" fillId="0" borderId="73" pivotButton="0" quotePrefix="0" xfId="0"/>
    <xf numFmtId="0" fontId="0" fillId="0" borderId="66" pivotButton="0" quotePrefix="0" xfId="0"/>
    <xf numFmtId="0" fontId="3" fillId="0" borderId="63" applyAlignment="1" pivotButton="0" quotePrefix="0" xfId="3">
      <alignment horizontal="center"/>
    </xf>
    <xf numFmtId="0" fontId="0" fillId="0" borderId="65" pivotButton="0" quotePrefix="0" xfId="0"/>
    <xf numFmtId="0" fontId="0" fillId="0" borderId="72" pivotButton="0" quotePrefix="0" xfId="0"/>
    <xf numFmtId="170" fontId="2" fillId="0" borderId="67" applyAlignment="1" pivotButton="0" quotePrefix="0" xfId="3">
      <alignment horizontal="center"/>
    </xf>
    <xf numFmtId="170" fontId="2" fillId="0" borderId="12" applyAlignment="1" pivotButton="0" quotePrefix="0" xfId="3">
      <alignment horizontal="center"/>
    </xf>
    <xf numFmtId="170" fontId="2" fillId="0" borderId="68" applyAlignment="1" pivotButton="0" quotePrefix="0" xfId="3">
      <alignment horizontal="center"/>
    </xf>
    <xf numFmtId="170" fontId="2" fillId="0" borderId="69" applyAlignment="1" pivotButton="0" quotePrefix="0" xfId="3">
      <alignment horizontal="center"/>
    </xf>
    <xf numFmtId="170" fontId="2" fillId="0" borderId="62" applyAlignment="1" pivotButton="0" quotePrefix="0" xfId="3">
      <alignment horizontal="center"/>
    </xf>
    <xf numFmtId="170" fontId="2" fillId="0" borderId="4" applyAlignment="1" pivotButton="0" quotePrefix="0" xfId="3">
      <alignment horizontal="center"/>
    </xf>
    <xf numFmtId="170" fontId="2" fillId="0" borderId="61" applyAlignment="1" pivotButton="0" quotePrefix="0" xfId="3">
      <alignment horizontal="center"/>
    </xf>
    <xf numFmtId="176" fontId="2" fillId="0" borderId="67" applyAlignment="1" pivotButton="0" quotePrefix="0" xfId="3">
      <alignment horizontal="center"/>
    </xf>
    <xf numFmtId="176" fontId="2" fillId="0" borderId="68" applyAlignment="1" pivotButton="0" quotePrefix="0" xfId="3">
      <alignment horizontal="center"/>
    </xf>
    <xf numFmtId="170" fontId="2" fillId="0" borderId="11" applyAlignment="1" pivotButton="0" quotePrefix="0" xfId="3">
      <alignment horizontal="center"/>
    </xf>
    <xf numFmtId="170" fontId="2" fillId="0" borderId="58" applyAlignment="1" pivotButton="0" quotePrefix="0" xfId="3">
      <alignment horizontal="center"/>
    </xf>
    <xf numFmtId="170" fontId="2" fillId="0" borderId="18" applyAlignment="1" pivotButton="0" quotePrefix="0" xfId="3">
      <alignment horizontal="center"/>
    </xf>
    <xf numFmtId="170" fontId="2" fillId="0" borderId="15" applyAlignment="1" pivotButton="0" quotePrefix="0" xfId="3">
      <alignment horizontal="center"/>
    </xf>
    <xf numFmtId="170" fontId="2" fillId="0" borderId="65" applyAlignment="1" pivotButton="0" quotePrefix="0" xfId="3">
      <alignment horizontal="center"/>
    </xf>
    <xf numFmtId="170" fontId="2" fillId="0" borderId="0" applyAlignment="1" pivotButton="0" quotePrefix="0" xfId="3">
      <alignment horizontal="center"/>
    </xf>
    <xf numFmtId="176" fontId="2" fillId="0" borderId="0" applyAlignment="1" pivotButton="0" quotePrefix="0" xfId="3">
      <alignment horizontal="center"/>
    </xf>
    <xf numFmtId="170" fontId="2" fillId="0" borderId="8" applyAlignment="1" pivotButton="0" quotePrefix="0" xfId="3">
      <alignment horizontal="center"/>
    </xf>
    <xf numFmtId="176" fontId="2" fillId="0" borderId="58" applyAlignment="1" pivotButton="0" quotePrefix="0" xfId="3">
      <alignment horizontal="center"/>
    </xf>
    <xf numFmtId="0" fontId="3" fillId="4" borderId="87" applyAlignment="1" pivotButton="0" quotePrefix="0" xfId="0">
      <alignment horizontal="center"/>
    </xf>
    <xf numFmtId="164" fontId="3" fillId="4" borderId="87" applyAlignment="1" pivotButton="0" quotePrefix="0" xfId="0">
      <alignment horizontal="center"/>
    </xf>
    <xf numFmtId="170" fontId="3" fillId="4" borderId="2" applyAlignment="1" pivotButton="0" quotePrefix="0" xfId="0">
      <alignment horizontal="center"/>
    </xf>
    <xf numFmtId="0" fontId="3" fillId="4" borderId="89" applyAlignment="1" pivotButton="0" quotePrefix="0" xfId="0">
      <alignment horizontal="center"/>
    </xf>
    <xf numFmtId="0" fontId="0" fillId="0" borderId="19" pivotButton="0" quotePrefix="0" xfId="0"/>
    <xf numFmtId="0" fontId="0" fillId="0" borderId="20" pivotButton="0" quotePrefix="0" xfId="0"/>
    <xf numFmtId="168" fontId="3" fillId="2" borderId="6" applyAlignment="1" pivotButton="0" quotePrefix="0" xfId="0">
      <alignment horizontal="center" vertical="center" wrapText="1"/>
    </xf>
    <xf numFmtId="170" fontId="3" fillId="2" borderId="6" applyAlignment="1" pivotButton="0" quotePrefix="0" xfId="0">
      <alignment horizontal="center" vertical="center" wrapText="1"/>
    </xf>
    <xf numFmtId="164" fontId="3" fillId="2" borderId="6" applyAlignment="1" pivotButton="0" quotePrefix="0" xfId="0">
      <alignment horizontal="center" vertical="center" wrapText="1"/>
    </xf>
    <xf numFmtId="170" fontId="3" fillId="2" borderId="5" applyAlignment="1" pivotButton="0" quotePrefix="0" xfId="0">
      <alignment horizontal="center" vertical="center" wrapText="1"/>
    </xf>
    <xf numFmtId="170" fontId="3" fillId="7" borderId="23" applyAlignment="1" pivotButton="0" quotePrefix="0" xfId="0">
      <alignment horizontal="center" vertical="center" wrapText="1"/>
    </xf>
    <xf numFmtId="168" fontId="77" fillId="26" borderId="0" applyAlignment="1" pivotButton="0" quotePrefix="0" xfId="0">
      <alignment horizontal="center" vertical="center"/>
    </xf>
    <xf numFmtId="170" fontId="3" fillId="26" borderId="0" applyAlignment="1" pivotButton="0" quotePrefix="0" xfId="0">
      <alignment horizontal="center" vertical="center" wrapText="1"/>
    </xf>
    <xf numFmtId="168" fontId="0" fillId="0" borderId="0" applyAlignment="1" pivotButton="0" quotePrefix="0" xfId="0">
      <alignment horizontal="right"/>
    </xf>
    <xf numFmtId="177" fontId="0" fillId="0" borderId="0" pivotButton="0" quotePrefix="0" xfId="0"/>
    <xf numFmtId="165" fontId="75" fillId="0" borderId="0" pivotButton="0" quotePrefix="0" xfId="0"/>
    <xf numFmtId="170" fontId="15" fillId="7" borderId="0" pivotButton="0" quotePrefix="0" xfId="0"/>
    <xf numFmtId="168" fontId="8" fillId="7" borderId="11" pivotButton="0" quotePrefix="0" xfId="0"/>
    <xf numFmtId="168" fontId="15" fillId="7" borderId="11" pivotButton="0" quotePrefix="0" xfId="0"/>
    <xf numFmtId="168" fontId="0" fillId="7" borderId="11" pivotButton="0" quotePrefix="0" xfId="0"/>
    <xf numFmtId="166" fontId="0" fillId="0" borderId="0" pivotButton="0" quotePrefix="0" xfId="0"/>
  </cellXfs>
  <cellStyles count="7">
    <cellStyle name="Normal" xfId="0" builtinId="0"/>
    <cellStyle name="Comma" xfId="1" builtinId="3"/>
    <cellStyle name="Hyperlink" xfId="2" builtinId="8"/>
    <cellStyle name="Normal 2" xfId="3"/>
    <cellStyle name="Normal 3" xfId="4"/>
    <cellStyle name="Comma 2" xfId="5"/>
    <cellStyle name="Bad" xfId="6" builtinId="27"/>
  </cellStyles>
  <dxfs count="35">
    <dxf>
      <font>
        <color theme="0"/>
      </font>
      <fill>
        <patternFill>
          <bgColor auto="1"/>
        </patternFill>
      </fill>
    </dxf>
    <dxf>
      <font>
        <color theme="0"/>
      </font>
      <border>
        <left/>
        <right/>
        <top/>
        <bottom/>
      </border>
    </dxf>
    <dxf>
      <font>
        <color theme="0"/>
      </font>
      <fill>
        <patternFill patternType="solid">
          <bgColor theme="0"/>
        </patternFill>
      </fill>
      <border>
        <right/>
        <top/>
        <bottom/>
        <vertical/>
        <horizontal/>
      </border>
    </dxf>
    <dxf>
      <font>
        <color theme="0"/>
      </font>
      <border>
        <left/>
        <right/>
        <top/>
        <bottom/>
      </border>
    </dxf>
    <dxf>
      <font>
        <color theme="0"/>
      </font>
      <border>
        <left/>
        <right/>
        <top/>
        <bottom/>
      </border>
    </dxf>
    <dxf>
      <font>
        <color theme="0"/>
      </font>
      <fill>
        <patternFill patternType="solid">
          <bgColor theme="0"/>
        </patternFill>
      </fill>
      <border>
        <right/>
        <top/>
        <bottom/>
        <vertical/>
        <horizontal/>
      </border>
    </dxf>
    <dxf>
      <font>
        <color theme="0"/>
      </font>
      <border>
        <left/>
        <right/>
        <top/>
        <bottom/>
      </border>
    </dxf>
    <dxf>
      <font>
        <color theme="0"/>
      </font>
      <fill>
        <patternFill patternType="solid">
          <bgColor theme="0"/>
        </patternFill>
      </fill>
      <border>
        <right/>
        <top/>
        <bottom/>
        <vertical/>
        <horizontal/>
      </border>
    </dxf>
    <dxf>
      <font>
        <b val="1"/>
        <color rgb="FFC00000"/>
      </font>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border>
        <left/>
        <right/>
        <top style="thin">
          <color auto="1"/>
        </top>
        <bottom/>
        <vertical/>
        <horizontal/>
      </border>
    </dxf>
    <dxf>
      <font>
        <color rgb="FFC00000"/>
      </font>
    </dxf>
    <dxf>
      <font>
        <color theme="0"/>
      </font>
      <fill>
        <patternFill>
          <bgColor theme="0"/>
        </patternFill>
      </fill>
      <border>
        <right/>
        <top/>
        <bottom/>
        <vertical/>
        <horizontal/>
      </border>
    </dxf>
    <dxf>
      <font>
        <color theme="0"/>
      </font>
    </dxf>
    <dxf>
      <font>
        <color theme="0"/>
      </font>
      <fill>
        <patternFill>
          <bgColor theme="0"/>
        </patternFill>
      </fill>
    </dxf>
    <dxf>
      <font>
        <color theme="0"/>
      </font>
      <fill>
        <patternFill patternType="solid">
          <bgColor theme="0"/>
        </patternFill>
      </fill>
      <border>
        <right/>
        <top/>
        <bottom/>
        <vertical/>
        <horizontal/>
      </border>
    </dxf>
    <dxf>
      <font>
        <color theme="0"/>
      </font>
      <fill>
        <patternFill patternType="solid">
          <bgColor theme="0"/>
        </patternFill>
      </fill>
      <border>
        <right/>
        <bottom/>
        <vertical/>
        <horizontal/>
      </border>
    </dxf>
    <dxf>
      <font>
        <color rgb="FFFF0000"/>
      </font>
    </dxf>
    <dxf>
      <font>
        <color rgb="FFFF0000"/>
      </font>
    </dxf>
    <dxf>
      <font>
        <color rgb="FFFF0000"/>
      </font>
    </dxf>
    <dxf>
      <font>
        <b val="1"/>
        <color rgb="FFFF0000"/>
      </font>
    </dxf>
    <dxf>
      <font>
        <b val="1"/>
        <color rgb="FFFF0000"/>
      </font>
    </dxf>
    <dxf>
      <font>
        <b val="1"/>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1"/>
        <color rgb="FFFF0000"/>
      </font>
    </dxf>
    <dxf>
      <font>
        <b val="1"/>
        <condense val="0"/>
        <color indexed="10"/>
        <extend val="0"/>
      </font>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rPr lang="en-US"/>
              <a:t>LM5143-Q1 Bode Plot</a:t>
            </a:r>
          </a:p>
        </rich>
      </tx>
      <layout>
        <manualLayout>
          <xMode val="edge"/>
          <yMode val="edge"/>
          <wMode val="factor"/>
          <hMode val="factor"/>
          <x val="0.3853255587949466"/>
          <y val="0.02444984699493209"/>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1034985422740526"/>
          <y val="0.09580364212193195"/>
          <w val="0.8027210884353759"/>
          <h val="0.7173404994392298"/>
        </manualLayout>
      </layout>
      <scatterChart>
        <scatterStyle val="smoothMarker"/>
        <varyColors val="0"/>
        <ser>
          <idx val="0"/>
          <order val="0"/>
          <tx>
            <strRef>
              <f>'Stability Calculations'!$U$12</f>
              <strCache>
                <ptCount val="1"/>
                <pt idx="0">
                  <v>Gain (dB)</v>
                </pt>
              </strCache>
            </strRef>
          </tx>
          <spPr>
            <a:ln xmlns:a="http://schemas.openxmlformats.org/drawingml/2006/main" w="25400">
              <a:solidFill>
                <a:srgbClr val="FF0000"/>
              </a:solidFill>
              <a:prstDash val="solid"/>
            </a:ln>
          </spPr>
          <marker>
            <symbol val="none"/>
            <spPr>
              <a:ln xmlns:a="http://schemas.openxmlformats.org/drawingml/2006/main">
                <a:prstDash val="solid"/>
              </a:ln>
            </spPr>
          </marker>
          <xVal>
            <numRef>
              <f>'Stability Calculations'!$A$13:$A$613</f>
              <numCache>
                <formatCode>General</formatCode>
                <ptCount val="601"/>
                <pt idx="0">
                  <v>1</v>
                </pt>
                <pt idx="1">
                  <v>1.0965</v>
                </pt>
                <pt idx="2">
                  <v>1.2023</v>
                </pt>
                <pt idx="3">
                  <v>1.3183</v>
                </pt>
                <pt idx="4">
                  <v>1.4454</v>
                </pt>
                <pt idx="5">
                  <v>1.5849</v>
                </pt>
                <pt idx="6">
                  <v>1.7378</v>
                </pt>
                <pt idx="7">
                  <v>1.9055</v>
                </pt>
                <pt idx="8">
                  <v>2.0893</v>
                </pt>
                <pt idx="9">
                  <v>2.2909</v>
                </pt>
                <pt idx="10">
                  <v>2.5119</v>
                </pt>
                <pt idx="11">
                  <v>2.7542</v>
                </pt>
                <pt idx="12">
                  <v>3.02</v>
                </pt>
                <pt idx="13">
                  <v>3.3113</v>
                </pt>
                <pt idx="14">
                  <v>3.6308</v>
                </pt>
                <pt idx="15">
                  <v>3.9811</v>
                </pt>
                <pt idx="16">
                  <v>4.3652</v>
                </pt>
                <pt idx="17">
                  <v>4.7863</v>
                </pt>
                <pt idx="18">
                  <v>5.2481</v>
                </pt>
                <pt idx="19">
                  <v>5.7544</v>
                </pt>
                <pt idx="20">
                  <v>6.3096</v>
                </pt>
                <pt idx="21">
                  <v>6.9183</v>
                </pt>
                <pt idx="22">
                  <v>7.5858</v>
                </pt>
                <pt idx="23">
                  <v>8.317600000000001</v>
                </pt>
                <pt idx="24">
                  <v>9.120100000000001</v>
                </pt>
                <pt idx="25">
                  <v>10</v>
                </pt>
                <pt idx="26">
                  <v>10.965</v>
                </pt>
                <pt idx="27">
                  <v>12.023</v>
                </pt>
                <pt idx="28">
                  <v>13.183</v>
                </pt>
                <pt idx="29">
                  <v>14.454</v>
                </pt>
                <pt idx="30">
                  <v>15.849</v>
                </pt>
                <pt idx="31">
                  <v>17.378</v>
                </pt>
                <pt idx="32">
                  <v>19.055</v>
                </pt>
                <pt idx="33">
                  <v>20.893</v>
                </pt>
                <pt idx="34">
                  <v>22.909</v>
                </pt>
                <pt idx="35">
                  <v>25.119</v>
                </pt>
                <pt idx="36">
                  <v>27.542</v>
                </pt>
                <pt idx="37">
                  <v>30.2</v>
                </pt>
                <pt idx="38">
                  <v>33.113</v>
                </pt>
                <pt idx="39">
                  <v>36.308</v>
                </pt>
                <pt idx="40">
                  <v>39.811</v>
                </pt>
                <pt idx="41">
                  <v>43.652</v>
                </pt>
                <pt idx="42">
                  <v>47.863</v>
                </pt>
                <pt idx="43">
                  <v>52.481</v>
                </pt>
                <pt idx="44">
                  <v>57.544</v>
                </pt>
                <pt idx="45">
                  <v>63.096</v>
                </pt>
                <pt idx="46">
                  <v>69.18300000000001</v>
                </pt>
                <pt idx="47">
                  <v>75.858</v>
                </pt>
                <pt idx="48">
                  <v>83.176</v>
                </pt>
                <pt idx="49">
                  <v>91.20100000000001</v>
                </pt>
                <pt idx="50">
                  <v>100</v>
                </pt>
                <pt idx="51">
                  <v>109.65</v>
                </pt>
                <pt idx="52">
                  <v>120.23</v>
                </pt>
                <pt idx="53">
                  <v>131.83</v>
                </pt>
                <pt idx="54">
                  <v>144.54</v>
                </pt>
                <pt idx="55">
                  <v>158.49</v>
                </pt>
                <pt idx="56">
                  <v>173.78</v>
                </pt>
                <pt idx="57">
                  <v>190.55</v>
                </pt>
                <pt idx="58">
                  <v>208.93</v>
                </pt>
                <pt idx="59">
                  <v>229.09</v>
                </pt>
                <pt idx="60">
                  <v>251.19</v>
                </pt>
                <pt idx="61">
                  <v>275.42</v>
                </pt>
                <pt idx="62">
                  <v>302</v>
                </pt>
                <pt idx="63">
                  <v>331.13</v>
                </pt>
                <pt idx="64">
                  <v>363.08</v>
                </pt>
                <pt idx="65">
                  <v>398.11</v>
                </pt>
                <pt idx="66">
                  <v>436.52</v>
                </pt>
                <pt idx="67">
                  <v>478.63</v>
                </pt>
                <pt idx="68">
                  <v>524.8099999999999</v>
                </pt>
                <pt idx="69">
                  <v>575.4400000000001</v>
                </pt>
                <pt idx="70">
                  <v>630.96</v>
                </pt>
                <pt idx="71">
                  <v>691.83</v>
                </pt>
                <pt idx="72">
                  <v>758.58</v>
                </pt>
                <pt idx="73">
                  <v>831.76</v>
                </pt>
                <pt idx="74">
                  <v>912.01</v>
                </pt>
                <pt idx="75">
                  <v>1000</v>
                </pt>
                <pt idx="76">
                  <v>1096.5</v>
                </pt>
                <pt idx="77">
                  <v>1202.3</v>
                </pt>
                <pt idx="78">
                  <v>1318.3</v>
                </pt>
                <pt idx="79">
                  <v>1445.4</v>
                </pt>
                <pt idx="80">
                  <v>1584.9</v>
                </pt>
                <pt idx="81">
                  <v>1737.8</v>
                </pt>
                <pt idx="82">
                  <v>1905.5</v>
                </pt>
                <pt idx="83">
                  <v>2089.3</v>
                </pt>
                <pt idx="84">
                  <v>2290.9</v>
                </pt>
                <pt idx="85">
                  <v>2511.9</v>
                </pt>
                <pt idx="86">
                  <v>2754.2</v>
                </pt>
                <pt idx="87">
                  <v>3020</v>
                </pt>
                <pt idx="88">
                  <v>3311.3</v>
                </pt>
                <pt idx="89">
                  <v>3630.8</v>
                </pt>
                <pt idx="90">
                  <v>3981.1</v>
                </pt>
                <pt idx="91">
                  <v>4365.2</v>
                </pt>
                <pt idx="92">
                  <v>4786.3</v>
                </pt>
                <pt idx="93">
                  <v>5248.1</v>
                </pt>
                <pt idx="94">
                  <v>5370.3</v>
                </pt>
                <pt idx="95">
                  <v>5432.85</v>
                </pt>
                <pt idx="96">
                  <v>5495.4</v>
                </pt>
                <pt idx="97">
                  <v>5559.4</v>
                </pt>
                <pt idx="98">
                  <v>5623.4</v>
                </pt>
                <pt idx="99">
                  <v>5688.9</v>
                </pt>
                <pt idx="100">
                  <v>5754.4</v>
                </pt>
                <pt idx="101">
                  <v>5821.4</v>
                </pt>
                <pt idx="102">
                  <v>5888.4</v>
                </pt>
                <pt idx="103">
                  <v>5957</v>
                </pt>
                <pt idx="104">
                  <v>6025.6</v>
                </pt>
                <pt idx="105">
                  <v>6095.8</v>
                </pt>
                <pt idx="106">
                  <v>6166</v>
                </pt>
                <pt idx="107">
                  <v>6237.8</v>
                </pt>
                <pt idx="108">
                  <v>6309.6</v>
                </pt>
                <pt idx="109">
                  <v>6383.05</v>
                </pt>
                <pt idx="110">
                  <v>6456.5</v>
                </pt>
                <pt idx="111">
                  <v>6531.7</v>
                </pt>
                <pt idx="112">
                  <v>6606.9</v>
                </pt>
                <pt idx="113">
                  <v>6683.85</v>
                </pt>
                <pt idx="114">
                  <v>6760.8</v>
                </pt>
                <pt idx="115">
                  <v>6839.55</v>
                </pt>
                <pt idx="116">
                  <v>6918.3</v>
                </pt>
                <pt idx="117">
                  <v>6998.9</v>
                </pt>
                <pt idx="118">
                  <v>7079.5</v>
                </pt>
                <pt idx="119">
                  <v>7161.95</v>
                </pt>
                <pt idx="120">
                  <v>7244.4</v>
                </pt>
                <pt idx="121">
                  <v>7328.75</v>
                </pt>
                <pt idx="122">
                  <v>7413.1</v>
                </pt>
                <pt idx="123">
                  <v>7499.45</v>
                </pt>
                <pt idx="124">
                  <v>7585.8</v>
                </pt>
                <pt idx="125">
                  <v>7674.15</v>
                </pt>
                <pt idx="126">
                  <v>7762.5</v>
                </pt>
                <pt idx="127">
                  <v>7852.9</v>
                </pt>
                <pt idx="128">
                  <v>7943.3</v>
                </pt>
                <pt idx="129">
                  <v>8035.8</v>
                </pt>
                <pt idx="130">
                  <v>8128.3</v>
                </pt>
                <pt idx="131">
                  <v>8222.950000000001</v>
                </pt>
                <pt idx="132">
                  <v>8270.275000000001</v>
                </pt>
                <pt idx="133">
                  <v>8317.6</v>
                </pt>
                <pt idx="134">
                  <v>8366.049999999999</v>
                </pt>
                <pt idx="135">
                  <v>8414.5</v>
                </pt>
                <pt idx="136">
                  <v>8462.950000000001</v>
                </pt>
                <pt idx="137">
                  <v>8511.4</v>
                </pt>
                <pt idx="138">
                  <v>8560.950000000001</v>
                </pt>
                <pt idx="139">
                  <v>8610.5</v>
                </pt>
                <pt idx="140">
                  <v>8660.049999999999</v>
                </pt>
                <pt idx="141">
                  <v>8709.6</v>
                </pt>
                <pt idx="142">
                  <v>8760.325000000001</v>
                </pt>
                <pt idx="143">
                  <v>8811.049999999999</v>
                </pt>
                <pt idx="144">
                  <v>8861.775</v>
                </pt>
                <pt idx="145">
                  <v>8912.5</v>
                </pt>
                <pt idx="146">
                  <v>8964.4</v>
                </pt>
                <pt idx="147">
                  <v>9016.299999999999</v>
                </pt>
                <pt idx="148">
                  <v>9068.200000000001</v>
                </pt>
                <pt idx="149">
                  <v>9120.1</v>
                </pt>
                <pt idx="150">
                  <v>9173.200000000001</v>
                </pt>
                <pt idx="151">
                  <v>9226.299999999999</v>
                </pt>
                <pt idx="152">
                  <v>9279.4</v>
                </pt>
                <pt idx="153">
                  <v>9332.5</v>
                </pt>
                <pt idx="154">
                  <v>9386.85</v>
                </pt>
                <pt idx="155">
                  <v>9441.200000000001</v>
                </pt>
                <pt idx="156">
                  <v>9495.549999999999</v>
                </pt>
                <pt idx="157">
                  <v>9549.9</v>
                </pt>
                <pt idx="158">
                  <v>9605.525</v>
                </pt>
                <pt idx="159">
                  <v>9661.15</v>
                </pt>
                <pt idx="160">
                  <v>9716.775</v>
                </pt>
                <pt idx="161">
                  <v>9772.4</v>
                </pt>
                <pt idx="162">
                  <v>9829.299999999999</v>
                </pt>
                <pt idx="163">
                  <v>9886.200000000001</v>
                </pt>
                <pt idx="164">
                  <v>9943.1</v>
                </pt>
                <pt idx="165">
                  <v>10000</v>
                </pt>
                <pt idx="166">
                  <v>10058.25</v>
                </pt>
                <pt idx="167">
                  <v>10116.5</v>
                </pt>
                <pt idx="168">
                  <v>10174.75</v>
                </pt>
                <pt idx="169">
                  <v>10233</v>
                </pt>
                <pt idx="170">
                  <v>10292.5</v>
                </pt>
                <pt idx="171">
                  <v>10352</v>
                </pt>
                <pt idx="172">
                  <v>10411.5</v>
                </pt>
                <pt idx="173">
                  <v>10471</v>
                </pt>
                <pt idx="174">
                  <v>10532</v>
                </pt>
                <pt idx="175">
                  <v>10593</v>
                </pt>
                <pt idx="176">
                  <v>10654</v>
                </pt>
                <pt idx="177">
                  <v>10715</v>
                </pt>
                <pt idx="178">
                  <v>10777.5</v>
                </pt>
                <pt idx="179">
                  <v>10840</v>
                </pt>
                <pt idx="180">
                  <v>10902.5</v>
                </pt>
                <pt idx="181">
                  <v>10965</v>
                </pt>
                <pt idx="182">
                  <v>11028.75</v>
                </pt>
                <pt idx="183">
                  <v>11092.5</v>
                </pt>
                <pt idx="184">
                  <v>11156.25</v>
                </pt>
                <pt idx="185">
                  <v>11220</v>
                </pt>
                <pt idx="186">
                  <v>11285.5</v>
                </pt>
                <pt idx="187">
                  <v>11351</v>
                </pt>
                <pt idx="188">
                  <v>11416.5</v>
                </pt>
                <pt idx="189">
                  <v>11482</v>
                </pt>
                <pt idx="190">
                  <v>11548.75</v>
                </pt>
                <pt idx="191">
                  <v>11615.5</v>
                </pt>
                <pt idx="192">
                  <v>11682.25</v>
                </pt>
                <pt idx="193">
                  <v>11749</v>
                </pt>
                <pt idx="194">
                  <v>11817.5</v>
                </pt>
                <pt idx="195">
                  <v>11886</v>
                </pt>
                <pt idx="196">
                  <v>11954.5</v>
                </pt>
                <pt idx="197">
                  <v>12023</v>
                </pt>
                <pt idx="198">
                  <v>12093</v>
                </pt>
                <pt idx="199">
                  <v>12163</v>
                </pt>
                <pt idx="200">
                  <v>12233</v>
                </pt>
                <pt idx="201">
                  <v>12303</v>
                </pt>
                <pt idx="202">
                  <v>12374.5</v>
                </pt>
                <pt idx="203">
                  <v>12446</v>
                </pt>
                <pt idx="204">
                  <v>12517.5</v>
                </pt>
                <pt idx="205">
                  <v>12589</v>
                </pt>
                <pt idx="206">
                  <v>12662.25</v>
                </pt>
                <pt idx="207">
                  <v>12735.5</v>
                </pt>
                <pt idx="208">
                  <v>12808.75</v>
                </pt>
                <pt idx="209">
                  <v>12882</v>
                </pt>
                <pt idx="210">
                  <v>12957.25</v>
                </pt>
                <pt idx="211">
                  <v>13032.5</v>
                </pt>
                <pt idx="212">
                  <v>13107.75</v>
                </pt>
                <pt idx="213">
                  <v>13183</v>
                </pt>
                <pt idx="214">
                  <v>13259.75</v>
                </pt>
                <pt idx="215">
                  <v>13336.5</v>
                </pt>
                <pt idx="216">
                  <v>13413.25</v>
                </pt>
                <pt idx="217">
                  <v>13490</v>
                </pt>
                <pt idx="218">
                  <v>13568.5</v>
                </pt>
                <pt idx="219">
                  <v>13647</v>
                </pt>
                <pt idx="220">
                  <v>13725.5</v>
                </pt>
                <pt idx="221">
                  <v>13804</v>
                </pt>
                <pt idx="222">
                  <v>13884.25</v>
                </pt>
                <pt idx="223">
                  <v>13964.5</v>
                </pt>
                <pt idx="224">
                  <v>14044.75</v>
                </pt>
                <pt idx="225">
                  <v>14125</v>
                </pt>
                <pt idx="226">
                  <v>14207.25</v>
                </pt>
                <pt idx="227">
                  <v>14289.5</v>
                </pt>
                <pt idx="228">
                  <v>14371.75</v>
                </pt>
                <pt idx="229">
                  <v>14454</v>
                </pt>
                <pt idx="230">
                  <v>14622.5</v>
                </pt>
                <pt idx="231">
                  <v>14706.75</v>
                </pt>
                <pt idx="232">
                  <v>14791</v>
                </pt>
                <pt idx="233">
                  <v>14877.25</v>
                </pt>
                <pt idx="234">
                  <v>14963.5</v>
                </pt>
                <pt idx="235">
                  <v>15049.75</v>
                </pt>
                <pt idx="236">
                  <v>15136</v>
                </pt>
                <pt idx="237">
                  <v>15224</v>
                </pt>
                <pt idx="238">
                  <v>15312</v>
                </pt>
                <pt idx="239">
                  <v>15400</v>
                </pt>
                <pt idx="240">
                  <v>15488</v>
                </pt>
                <pt idx="241">
                  <v>15578.25</v>
                </pt>
                <pt idx="242">
                  <v>15668.5</v>
                </pt>
                <pt idx="243">
                  <v>15758.75</v>
                </pt>
                <pt idx="244">
                  <v>15849</v>
                </pt>
                <pt idx="245">
                  <v>15941.25</v>
                </pt>
                <pt idx="246">
                  <v>16033.5</v>
                </pt>
                <pt idx="247">
                  <v>16125.75</v>
                </pt>
                <pt idx="248">
                  <v>16218</v>
                </pt>
                <pt idx="249">
                  <v>16312.5</v>
                </pt>
                <pt idx="250">
                  <v>16407</v>
                </pt>
                <pt idx="251">
                  <v>16501.5</v>
                </pt>
                <pt idx="252">
                  <v>16596</v>
                </pt>
                <pt idx="253">
                  <v>16692.5</v>
                </pt>
                <pt idx="254">
                  <v>16789</v>
                </pt>
                <pt idx="255">
                  <v>16885.5</v>
                </pt>
                <pt idx="256">
                  <v>16982</v>
                </pt>
                <pt idx="257">
                  <v>17081</v>
                </pt>
                <pt idx="258">
                  <v>17180</v>
                </pt>
                <pt idx="259">
                  <v>17279</v>
                </pt>
                <pt idx="260">
                  <v>17378</v>
                </pt>
                <pt idx="261">
                  <v>17479.25</v>
                </pt>
                <pt idx="262">
                  <v>17580.5</v>
                </pt>
                <pt idx="263">
                  <v>17681.75</v>
                </pt>
                <pt idx="264">
                  <v>17783</v>
                </pt>
                <pt idx="265">
                  <v>17886.5</v>
                </pt>
                <pt idx="266">
                  <v>17990</v>
                </pt>
                <pt idx="267">
                  <v>18093.5</v>
                </pt>
                <pt idx="268">
                  <v>18197</v>
                </pt>
                <pt idx="269">
                  <v>18303</v>
                </pt>
                <pt idx="270">
                  <v>18409</v>
                </pt>
                <pt idx="271">
                  <v>18515</v>
                </pt>
                <pt idx="272">
                  <v>18621</v>
                </pt>
                <pt idx="273">
                  <v>18729.5</v>
                </pt>
                <pt idx="274">
                  <v>18838</v>
                </pt>
                <pt idx="275">
                  <v>18946.5</v>
                </pt>
                <pt idx="276">
                  <v>19055</v>
                </pt>
                <pt idx="277">
                  <v>19165.75</v>
                </pt>
                <pt idx="278">
                  <v>19276.5</v>
                </pt>
                <pt idx="279">
                  <v>19387.25</v>
                </pt>
                <pt idx="280">
                  <v>19498</v>
                </pt>
                <pt idx="281">
                  <v>19611.75</v>
                </pt>
                <pt idx="282">
                  <v>19725.5</v>
                </pt>
                <pt idx="283">
                  <v>19839.25</v>
                </pt>
                <pt idx="284">
                  <v>19953</v>
                </pt>
                <pt idx="285">
                  <v>20069</v>
                </pt>
                <pt idx="286">
                  <v>20185</v>
                </pt>
                <pt idx="287">
                  <v>20301</v>
                </pt>
                <pt idx="288">
                  <v>20417</v>
                </pt>
                <pt idx="289">
                  <v>20536</v>
                </pt>
                <pt idx="290">
                  <v>20655</v>
                </pt>
                <pt idx="291">
                  <v>20774</v>
                </pt>
                <pt idx="292">
                  <v>20893</v>
                </pt>
                <pt idx="293">
                  <v>21014.75</v>
                </pt>
                <pt idx="294">
                  <v>21136.5</v>
                </pt>
                <pt idx="295">
                  <v>21258.25</v>
                </pt>
                <pt idx="296">
                  <v>21380</v>
                </pt>
                <pt idx="297">
                  <v>21504.5</v>
                </pt>
                <pt idx="298">
                  <v>21629</v>
                </pt>
                <pt idx="299">
                  <v>21753.5</v>
                </pt>
                <pt idx="300">
                  <v>21878</v>
                </pt>
                <pt idx="301">
                  <v>22005.25</v>
                </pt>
                <pt idx="302">
                  <v>22132.5</v>
                </pt>
                <pt idx="303">
                  <v>22259.75</v>
                </pt>
                <pt idx="304">
                  <v>22387</v>
                </pt>
                <pt idx="305">
                  <v>22517.5</v>
                </pt>
                <pt idx="306">
                  <v>22648</v>
                </pt>
                <pt idx="307">
                  <v>22778.5</v>
                </pt>
                <pt idx="308">
                  <v>22909</v>
                </pt>
                <pt idx="309">
                  <v>23042.25</v>
                </pt>
                <pt idx="310">
                  <v>23175.5</v>
                </pt>
                <pt idx="311">
                  <v>23308.75</v>
                </pt>
                <pt idx="312">
                  <v>23442</v>
                </pt>
                <pt idx="313">
                  <v>23578.5</v>
                </pt>
                <pt idx="314">
                  <v>23715</v>
                </pt>
                <pt idx="315">
                  <v>23851.5</v>
                </pt>
                <pt idx="316">
                  <v>23988</v>
                </pt>
                <pt idx="317">
                  <v>24127.75</v>
                </pt>
                <pt idx="318">
                  <v>24267.5</v>
                </pt>
                <pt idx="319">
                  <v>24407.25</v>
                </pt>
                <pt idx="320">
                  <v>24547</v>
                </pt>
                <pt idx="321">
                  <v>24690</v>
                </pt>
                <pt idx="322">
                  <v>24833</v>
                </pt>
                <pt idx="323">
                  <v>24976</v>
                </pt>
                <pt idx="324">
                  <v>25119</v>
                </pt>
                <pt idx="325">
                  <v>25265.25</v>
                </pt>
                <pt idx="326">
                  <v>25411.5</v>
                </pt>
                <pt idx="327">
                  <v>25557.75</v>
                </pt>
                <pt idx="328">
                  <v>25704</v>
                </pt>
                <pt idx="329">
                  <v>25853.75</v>
                </pt>
                <pt idx="330">
                  <v>26003.5</v>
                </pt>
                <pt idx="331">
                  <v>26153.25</v>
                </pt>
                <pt idx="332">
                  <v>26303</v>
                </pt>
                <pt idx="333">
                  <v>26456</v>
                </pt>
                <pt idx="334">
                  <v>26609</v>
                </pt>
                <pt idx="335">
                  <v>26762</v>
                </pt>
                <pt idx="336">
                  <v>26915</v>
                </pt>
                <pt idx="337">
                  <v>27071.75</v>
                </pt>
                <pt idx="338">
                  <v>27228.5</v>
                </pt>
                <pt idx="339">
                  <v>27385.25</v>
                </pt>
                <pt idx="340">
                  <v>27542</v>
                </pt>
                <pt idx="341">
                  <v>27702.5</v>
                </pt>
                <pt idx="342">
                  <v>27863</v>
                </pt>
                <pt idx="343">
                  <v>28023.5</v>
                </pt>
                <pt idx="344">
                  <v>28184</v>
                </pt>
                <pt idx="345">
                  <v>28348</v>
                </pt>
                <pt idx="346">
                  <v>28512</v>
                </pt>
                <pt idx="347">
                  <v>28676</v>
                </pt>
                <pt idx="348">
                  <v>28840</v>
                </pt>
                <pt idx="349">
                  <v>29008</v>
                </pt>
                <pt idx="350">
                  <v>29176</v>
                </pt>
                <pt idx="351">
                  <v>29344</v>
                </pt>
                <pt idx="352">
                  <v>29512</v>
                </pt>
                <pt idx="353">
                  <v>29684</v>
                </pt>
                <pt idx="354">
                  <v>29856</v>
                </pt>
                <pt idx="355">
                  <v>30028</v>
                </pt>
                <pt idx="356">
                  <v>30200</v>
                </pt>
                <pt idx="357">
                  <v>30375.75</v>
                </pt>
                <pt idx="358">
                  <v>30551.5</v>
                </pt>
                <pt idx="359">
                  <v>30727.25</v>
                </pt>
                <pt idx="360">
                  <v>30903</v>
                </pt>
                <pt idx="361">
                  <v>31083</v>
                </pt>
                <pt idx="362">
                  <v>31263</v>
                </pt>
                <pt idx="363">
                  <v>31443</v>
                </pt>
                <pt idx="364">
                  <v>31623</v>
                </pt>
                <pt idx="365">
                  <v>31807</v>
                </pt>
                <pt idx="366">
                  <v>31991</v>
                </pt>
                <pt idx="367">
                  <v>32175</v>
                </pt>
                <pt idx="368">
                  <v>32359</v>
                </pt>
                <pt idx="369">
                  <v>32547.5</v>
                </pt>
                <pt idx="370">
                  <v>32736</v>
                </pt>
                <pt idx="371">
                  <v>32924.5</v>
                </pt>
                <pt idx="372">
                  <v>33113</v>
                </pt>
                <pt idx="373">
                  <v>33305.75</v>
                </pt>
                <pt idx="374">
                  <v>33498.5</v>
                </pt>
                <pt idx="375">
                  <v>33691.25</v>
                </pt>
                <pt idx="376">
                  <v>33884</v>
                </pt>
                <pt idx="377">
                  <v>34081.5</v>
                </pt>
                <pt idx="378">
                  <v>34279</v>
                </pt>
                <pt idx="379">
                  <v>34476.5</v>
                </pt>
                <pt idx="380">
                  <v>34674</v>
                </pt>
                <pt idx="381">
                  <v>34875.75</v>
                </pt>
                <pt idx="382">
                  <v>35077.5</v>
                </pt>
                <pt idx="383">
                  <v>35279.25</v>
                </pt>
                <pt idx="384">
                  <v>35481</v>
                </pt>
                <pt idx="385">
                  <v>35687.75</v>
                </pt>
                <pt idx="386">
                  <v>35894.5</v>
                </pt>
                <pt idx="387">
                  <v>36101.25</v>
                </pt>
                <pt idx="388">
                  <v>36308</v>
                </pt>
                <pt idx="389">
                  <v>36519.5</v>
                </pt>
                <pt idx="390">
                  <v>36731</v>
                </pt>
                <pt idx="391">
                  <v>36942.5</v>
                </pt>
                <pt idx="392">
                  <v>37154</v>
                </pt>
                <pt idx="393">
                  <v>37370.25</v>
                </pt>
                <pt idx="394">
                  <v>37586.5</v>
                </pt>
                <pt idx="395">
                  <v>37802.75</v>
                </pt>
                <pt idx="396">
                  <v>38019</v>
                </pt>
                <pt idx="397">
                  <v>38240.5</v>
                </pt>
                <pt idx="398">
                  <v>38462</v>
                </pt>
                <pt idx="399">
                  <v>38683.5</v>
                </pt>
                <pt idx="400">
                  <v>38905</v>
                </pt>
                <pt idx="401">
                  <v>39131.5</v>
                </pt>
                <pt idx="402">
                  <v>39358</v>
                </pt>
                <pt idx="403">
                  <v>39584.5</v>
                </pt>
                <pt idx="404">
                  <v>39811</v>
                </pt>
                <pt idx="405">
                  <v>40042.75</v>
                </pt>
                <pt idx="406">
                  <v>40274.5</v>
                </pt>
                <pt idx="407">
                  <v>40506.25</v>
                </pt>
                <pt idx="408">
                  <v>40738</v>
                </pt>
                <pt idx="409">
                  <v>40975.25</v>
                </pt>
                <pt idx="410">
                  <v>41212.5</v>
                </pt>
                <pt idx="411">
                  <v>41449.75</v>
                </pt>
                <pt idx="412">
                  <v>41687</v>
                </pt>
                <pt idx="413">
                  <v>41929.75</v>
                </pt>
                <pt idx="414">
                  <v>42172.5</v>
                </pt>
                <pt idx="415">
                  <v>42415.25</v>
                </pt>
                <pt idx="416">
                  <v>42658</v>
                </pt>
                <pt idx="417">
                  <v>42906.5</v>
                </pt>
                <pt idx="418">
                  <v>43155</v>
                </pt>
                <pt idx="419">
                  <v>43403.5</v>
                </pt>
                <pt idx="420">
                  <v>43652</v>
                </pt>
                <pt idx="421">
                  <v>43906</v>
                </pt>
                <pt idx="422">
                  <v>44160</v>
                </pt>
                <pt idx="423">
                  <v>44414</v>
                </pt>
                <pt idx="424">
                  <v>44668</v>
                </pt>
                <pt idx="425">
                  <v>44928.25</v>
                </pt>
                <pt idx="426">
                  <v>45188.5</v>
                </pt>
                <pt idx="427">
                  <v>45448.75</v>
                </pt>
                <pt idx="428">
                  <v>45709</v>
                </pt>
                <pt idx="429">
                  <v>45975.25</v>
                </pt>
                <pt idx="430">
                  <v>46241.5</v>
                </pt>
                <pt idx="431">
                  <v>46507.75</v>
                </pt>
                <pt idx="432">
                  <v>46774</v>
                </pt>
                <pt idx="433">
                  <v>47046.25</v>
                </pt>
                <pt idx="434">
                  <v>47318.5</v>
                </pt>
                <pt idx="435">
                  <v>47590.75</v>
                </pt>
                <pt idx="436">
                  <v>47863</v>
                </pt>
                <pt idx="437">
                  <v>48141.75</v>
                </pt>
                <pt idx="438">
                  <v>48420.5</v>
                </pt>
                <pt idx="439">
                  <v>48699.25</v>
                </pt>
                <pt idx="440">
                  <v>48978</v>
                </pt>
                <pt idx="441">
                  <v>49263.25</v>
                </pt>
                <pt idx="442">
                  <v>49548.5</v>
                </pt>
                <pt idx="443">
                  <v>49833.75</v>
                </pt>
                <pt idx="444">
                  <v>50119</v>
                </pt>
                <pt idx="445">
                  <v>50410.75</v>
                </pt>
                <pt idx="446">
                  <v>50702.5</v>
                </pt>
                <pt idx="447">
                  <v>50994.25</v>
                </pt>
                <pt idx="448">
                  <v>51286</v>
                </pt>
                <pt idx="449">
                  <v>51584.75</v>
                </pt>
                <pt idx="450">
                  <v>51883.5</v>
                </pt>
                <pt idx="451">
                  <v>52182.25</v>
                </pt>
                <pt idx="452">
                  <v>52481</v>
                </pt>
                <pt idx="453">
                  <v>52786.5</v>
                </pt>
                <pt idx="454">
                  <v>53092</v>
                </pt>
                <pt idx="455">
                  <v>53397.5</v>
                </pt>
                <pt idx="456">
                  <v>53703</v>
                </pt>
                <pt idx="457">
                  <v>54015.75</v>
                </pt>
                <pt idx="458">
                  <v>54328.5</v>
                </pt>
                <pt idx="459">
                  <v>54641.25</v>
                </pt>
                <pt idx="460">
                  <v>54954</v>
                </pt>
                <pt idx="461">
                  <v>55274</v>
                </pt>
                <pt idx="462">
                  <v>55594</v>
                </pt>
                <pt idx="463">
                  <v>55914</v>
                </pt>
                <pt idx="464">
                  <v>56234</v>
                </pt>
                <pt idx="465">
                  <v>56561.5</v>
                </pt>
                <pt idx="466">
                  <v>56889</v>
                </pt>
                <pt idx="467">
                  <v>57216.5</v>
                </pt>
                <pt idx="468">
                  <v>57544</v>
                </pt>
                <pt idx="469">
                  <v>57879</v>
                </pt>
                <pt idx="470">
                  <v>58214</v>
                </pt>
                <pt idx="471">
                  <v>58549</v>
                </pt>
                <pt idx="472">
                  <v>58884</v>
                </pt>
                <pt idx="473">
                  <v>59227</v>
                </pt>
                <pt idx="474">
                  <v>59570</v>
                </pt>
                <pt idx="475">
                  <v>59913</v>
                </pt>
                <pt idx="476">
                  <v>60256</v>
                </pt>
                <pt idx="477">
                  <v>60607</v>
                </pt>
                <pt idx="478">
                  <v>60958</v>
                </pt>
                <pt idx="479">
                  <v>61309</v>
                </pt>
                <pt idx="480">
                  <v>61660</v>
                </pt>
                <pt idx="481">
                  <v>62019</v>
                </pt>
                <pt idx="482">
                  <v>62378</v>
                </pt>
                <pt idx="483">
                  <v>62737</v>
                </pt>
                <pt idx="484">
                  <v>63096</v>
                </pt>
                <pt idx="485">
                  <v>63463.25</v>
                </pt>
                <pt idx="486">
                  <v>63830.5</v>
                </pt>
                <pt idx="487">
                  <v>64197.75</v>
                </pt>
                <pt idx="488">
                  <v>64565</v>
                </pt>
                <pt idx="489">
                  <v>64941</v>
                </pt>
                <pt idx="490">
                  <v>65317</v>
                </pt>
                <pt idx="491">
                  <v>65693</v>
                </pt>
                <pt idx="492">
                  <v>66069</v>
                </pt>
                <pt idx="493">
                  <v>66453.75</v>
                </pt>
                <pt idx="494">
                  <v>66838.5</v>
                </pt>
                <pt idx="495">
                  <v>67223.25</v>
                </pt>
                <pt idx="496">
                  <v>67608</v>
                </pt>
                <pt idx="497">
                  <v>68001.75</v>
                </pt>
                <pt idx="498">
                  <v>68395.5</v>
                </pt>
                <pt idx="499">
                  <v>68789.25</v>
                </pt>
                <pt idx="500">
                  <v>69183</v>
                </pt>
                <pt idx="501">
                  <v>69586</v>
                </pt>
                <pt idx="502">
                  <v>69989</v>
                </pt>
                <pt idx="503">
                  <v>70392</v>
                </pt>
                <pt idx="504">
                  <v>70795</v>
                </pt>
                <pt idx="505">
                  <v>71207.25</v>
                </pt>
                <pt idx="506">
                  <v>71619.5</v>
                </pt>
                <pt idx="507">
                  <v>72031.75</v>
                </pt>
                <pt idx="508">
                  <v>72444</v>
                </pt>
                <pt idx="509">
                  <v>72865.75</v>
                </pt>
                <pt idx="510">
                  <v>73287.5</v>
                </pt>
                <pt idx="511">
                  <v>73709.25</v>
                </pt>
                <pt idx="512">
                  <v>74131</v>
                </pt>
                <pt idx="513">
                  <v>74562.75</v>
                </pt>
                <pt idx="514">
                  <v>74994.5</v>
                </pt>
                <pt idx="515">
                  <v>75426.25</v>
                </pt>
                <pt idx="516">
                  <v>75858</v>
                </pt>
                <pt idx="517">
                  <v>76299.75</v>
                </pt>
                <pt idx="518">
                  <v>76741.5</v>
                </pt>
                <pt idx="519">
                  <v>77183.25</v>
                </pt>
                <pt idx="520">
                  <v>77625</v>
                </pt>
                <pt idx="521">
                  <v>78077</v>
                </pt>
                <pt idx="522">
                  <v>78529</v>
                </pt>
                <pt idx="523">
                  <v>78981</v>
                </pt>
                <pt idx="524">
                  <v>79433</v>
                </pt>
                <pt idx="525">
                  <v>79895.5</v>
                </pt>
                <pt idx="526">
                  <v>80358</v>
                </pt>
                <pt idx="527">
                  <v>80820.5</v>
                </pt>
                <pt idx="528">
                  <v>81283</v>
                </pt>
                <pt idx="529">
                  <v>81756.25</v>
                </pt>
                <pt idx="530">
                  <v>82229.5</v>
                </pt>
                <pt idx="531">
                  <v>82702.75</v>
                </pt>
                <pt idx="532">
                  <v>83176</v>
                </pt>
                <pt idx="533">
                  <v>83660.5</v>
                </pt>
                <pt idx="534">
                  <v>84145</v>
                </pt>
                <pt idx="535">
                  <v>84629.5</v>
                </pt>
                <pt idx="536">
                  <v>85114</v>
                </pt>
                <pt idx="537">
                  <v>85609.5</v>
                </pt>
                <pt idx="538">
                  <v>86105</v>
                </pt>
                <pt idx="539">
                  <v>86600.5</v>
                </pt>
                <pt idx="540">
                  <v>87096</v>
                </pt>
                <pt idx="541">
                  <v>87603.25</v>
                </pt>
                <pt idx="542">
                  <v>88110.5</v>
                </pt>
                <pt idx="543">
                  <v>88617.75</v>
                </pt>
                <pt idx="544">
                  <v>89125</v>
                </pt>
                <pt idx="545">
                  <v>89644</v>
                </pt>
                <pt idx="546">
                  <v>90163</v>
                </pt>
                <pt idx="547">
                  <v>90682</v>
                </pt>
                <pt idx="548">
                  <v>91201</v>
                </pt>
                <pt idx="549">
                  <v>91732</v>
                </pt>
                <pt idx="550">
                  <v>92263</v>
                </pt>
                <pt idx="551">
                  <v>92794</v>
                </pt>
                <pt idx="552">
                  <v>93325</v>
                </pt>
                <pt idx="553">
                  <v>93868.5</v>
                </pt>
                <pt idx="554">
                  <v>94412</v>
                </pt>
                <pt idx="555">
                  <v>94955.5</v>
                </pt>
                <pt idx="556">
                  <v>95499</v>
                </pt>
                <pt idx="557">
                  <v>96611.5</v>
                </pt>
                <pt idx="558">
                  <v>97724</v>
                </pt>
                <pt idx="559">
                  <v>98862</v>
                </pt>
                <pt idx="560">
                  <v>100000</v>
                </pt>
                <pt idx="561">
                  <v>101165</v>
                </pt>
                <pt idx="562">
                  <v>102330</v>
                </pt>
                <pt idx="563">
                  <v>103520</v>
                </pt>
                <pt idx="564">
                  <v>104710</v>
                </pt>
                <pt idx="565">
                  <v>105930</v>
                </pt>
                <pt idx="566">
                  <v>107150</v>
                </pt>
                <pt idx="567">
                  <v>108400</v>
                </pt>
                <pt idx="568">
                  <v>109650</v>
                </pt>
                <pt idx="569">
                  <v>110925</v>
                </pt>
                <pt idx="570">
                  <v>112200</v>
                </pt>
                <pt idx="571">
                  <v>113510</v>
                </pt>
                <pt idx="572">
                  <v>114820</v>
                </pt>
                <pt idx="573">
                  <v>116155</v>
                </pt>
                <pt idx="574">
                  <v>117490</v>
                </pt>
                <pt idx="575">
                  <v>118860</v>
                </pt>
                <pt idx="576">
                  <v>120230</v>
                </pt>
                <pt idx="577">
                  <v>126030</v>
                </pt>
                <pt idx="578">
                  <v>131830</v>
                </pt>
                <pt idx="579">
                  <v>144540</v>
                </pt>
                <pt idx="580">
                  <v>158490</v>
                </pt>
                <pt idx="581">
                  <v>173780</v>
                </pt>
                <pt idx="582">
                  <v>190550</v>
                </pt>
                <pt idx="583">
                  <v>208930</v>
                </pt>
                <pt idx="584">
                  <v>229090</v>
                </pt>
                <pt idx="585">
                  <v>251190</v>
                </pt>
                <pt idx="586">
                  <v>275420</v>
                </pt>
                <pt idx="587">
                  <v>302000</v>
                </pt>
                <pt idx="588">
                  <v>331130</v>
                </pt>
                <pt idx="589">
                  <v>363080</v>
                </pt>
                <pt idx="590">
                  <v>398110</v>
                </pt>
                <pt idx="591">
                  <v>436520</v>
                </pt>
                <pt idx="592">
                  <v>478630</v>
                </pt>
                <pt idx="593">
                  <v>524810</v>
                </pt>
                <pt idx="594">
                  <v>575440</v>
                </pt>
                <pt idx="595">
                  <v>630960</v>
                </pt>
                <pt idx="596">
                  <v>691830</v>
                </pt>
                <pt idx="597">
                  <v>758580</v>
                </pt>
                <pt idx="598">
                  <v>831760</v>
                </pt>
                <pt idx="599">
                  <v>912010</v>
                </pt>
                <pt idx="600">
                  <v>1000000</v>
                </pt>
              </numCache>
            </numRef>
          </xVal>
          <yVal>
            <numRef>
              <f>'Stability Calculations'!$U$13:$U$613</f>
              <numCache>
                <formatCode>0.00</formatCode>
                <ptCount val="601"/>
                <pt idx="0">
                  <v>100.799269320494</v>
                </pt>
                <pt idx="1">
                  <v>100.5708332818664</v>
                </pt>
                <pt idx="2">
                  <v>100.3112282846387</v>
                </pt>
                <pt idx="3">
                  <v>100.0183763333321</v>
                </pt>
                <pt idx="4">
                  <v>99.69082279462194</v>
                </pt>
                <pt idx="5">
                  <v>99.32682027812469</v>
                </pt>
                <pt idx="6">
                  <v>98.92624135043118</v>
                </pt>
                <pt idx="7">
                  <v>98.48883066474272</v>
                </pt>
                <pt idx="8">
                  <v>98.01553092513825</v>
                </pt>
                <pt idx="9">
                  <v>97.50717727034994</v>
                </pt>
                <pt idx="10">
                  <v>96.96574119197919</v>
                </pt>
                <pt idx="11">
                  <v>96.39324177246922</v>
                </pt>
                <pt idx="12">
                  <v>95.79172420723724</v>
                </pt>
                <pt idx="13">
                  <v>95.16430133386523</v>
                </pt>
                <pt idx="14">
                  <v>94.51307679203552</v>
                </pt>
                <pt idx="15">
                  <v>93.84086211227159</v>
                </pt>
                <pt idx="16">
                  <v>93.15007541422966</v>
                </pt>
                <pt idx="17">
                  <v>92.44313700522513</v>
                </pt>
                <pt idx="18">
                  <v>91.72197558893407</v>
                </pt>
                <pt idx="19">
                  <v>90.98871620724103</v>
                </pt>
                <pt idx="20">
                  <v>90.24493829503746</v>
                </pt>
                <pt idx="21">
                  <v>89.49231591109088</v>
                </pt>
                <pt idx="22">
                  <v>88.73201826948419</v>
                </pt>
                <pt idx="23">
                  <v>87.96538583563881</v>
                </pt>
                <pt idx="24">
                  <v>87.19321476059375</v>
                </pt>
                <pt idx="25">
                  <v>86.41647115131349</v>
                </pt>
                <pt idx="26">
                  <v>85.63569360748525</v>
                </pt>
                <pt idx="27">
                  <v>84.85174002780562</v>
                </pt>
                <pt idx="28">
                  <v>84.06509446462748</v>
                </pt>
                <pt idx="29">
                  <v>83.27667887043793</v>
                </pt>
                <pt idx="30">
                  <v>82.48551847430411</v>
                </pt>
                <pt idx="31">
                  <v>81.69301539567314</v>
                </pt>
                <pt idx="32">
                  <v>80.89887839669584</v>
                </pt>
                <pt idx="33">
                  <v>80.1038744334349</v>
                </pt>
                <pt idx="34">
                  <v>79.30755238271556</v>
                </pt>
                <pt idx="35">
                  <v>78.51048789636943</v>
                </pt>
                <pt idx="36">
                  <v>77.7126568042498</v>
                </pt>
                <pt idx="37">
                  <v>76.91369923230967</v>
                </pt>
                <pt idx="38">
                  <v>76.11442110303967</v>
                </pt>
                <pt idx="39">
                  <v>75.31419977597589</v>
                </pt>
                <pt idx="40">
                  <v>74.51333521110446</v>
                </pt>
                <pt idx="41">
                  <v>73.71173222657279</v>
                </pt>
                <pt idx="42">
                  <v>72.90945008476572</v>
                </pt>
                <pt idx="43">
                  <v>72.10617486611559</v>
                </pt>
                <pt idx="44">
                  <v>71.30201275789707</v>
                </pt>
                <pt idx="45">
                  <v>70.49666167569465</v>
                </pt>
                <pt idx="46">
                  <v>69.69010769840003</v>
                </pt>
                <pt idx="47">
                  <v>68.8819585514517</v>
                </pt>
                <pt idx="48">
                  <v>68.07214617384972</v>
                </pt>
                <pt idx="49">
                  <v>67.26014056735984</v>
                </pt>
                <pt idx="50">
                  <v>66.44567836065252</v>
                </pt>
                <pt idx="51">
                  <v>65.62810490126954</v>
                </pt>
                <pt idx="52">
                  <v>64.80712860168794</v>
                </pt>
                <pt idx="53">
                  <v>63.98206659070248</v>
                </pt>
                <pt idx="54">
                  <v>63.15267018943644</v>
                </pt>
                <pt idx="55">
                  <v>62.31663722422024</v>
                </pt>
                <pt idx="56">
                  <v>61.47408694443737</v>
                </pt>
                <pt idx="57">
                  <v>60.62324277864205</v>
                </pt>
                <pt idx="58">
                  <v>59.76333186626984</v>
                </pt>
                <pt idx="59">
                  <v>58.89212514066593</v>
                </pt>
                <pt idx="60">
                  <v>58.00835405848205</v>
                </pt>
                <pt idx="61">
                  <v>57.10994641490818</v>
                </pt>
                <pt idx="62">
                  <v>56.19429554750636</v>
                </pt>
                <pt idx="63">
                  <v>55.26002189755462</v>
                </pt>
                <pt idx="64">
                  <v>54.30403496780455</v>
                </pt>
                <pt idx="65">
                  <v>53.32432508652833</v>
                </pt>
                <pt idx="66">
                  <v>52.31851574027474</v>
                </pt>
                <pt idx="67">
                  <v>51.28463401102963</v>
                </pt>
                <pt idx="68">
                  <v>50.22055724082922</v>
                </pt>
                <pt idx="69">
                  <v>49.12517356885403</v>
                </pt>
                <pt idx="70">
                  <v>47.99741441514846</v>
                </pt>
                <pt idx="71">
                  <v>46.83730495597808</v>
                </pt>
                <pt idx="72">
                  <v>45.64510783993958</v>
                </pt>
                <pt idx="73">
                  <v>44.42237908430747</v>
                </pt>
                <pt idx="74">
                  <v>43.17081072147332</v>
                </pt>
                <pt idx="75">
                  <v>41.89329341508635</v>
                </pt>
                <pt idx="76">
                  <v>40.59284833596514</v>
                </pt>
                <pt idx="77">
                  <v>39.2737398377831</v>
                </pt>
                <pt idx="78">
                  <v>37.94019633182118</v>
                </pt>
                <pt idx="79">
                  <v>36.59764391455432</v>
                </pt>
                <pt idx="80">
                  <v>35.2486012555463</v>
                </pt>
                <pt idx="81">
                  <v>33.89984654408907</v>
                </pt>
                <pt idx="82">
                  <v>32.555371325868</v>
                </pt>
                <pt idx="83">
                  <v>31.22094311728009</v>
                </pt>
                <pt idx="84">
                  <v>29.9001498075342</v>
                </pt>
                <pt idx="85">
                  <v>28.59805446799553</v>
                </pt>
                <pt idx="86">
                  <v>27.31835756903038</v>
                </pt>
                <pt idx="87">
                  <v>26.06377808637234</v>
                </pt>
                <pt idx="88">
                  <v>24.83829020164147</v>
                </pt>
                <pt idx="89">
                  <v>23.64298979024287</v>
                </pt>
                <pt idx="90">
                  <v>22.47969221164169</v>
                </pt>
                <pt idx="91">
                  <v>21.34889737576432</v>
                </pt>
                <pt idx="92">
                  <v>20.25063789705079</v>
                </pt>
                <pt idx="93">
                  <v>19.18382220829387</v>
                </pt>
                <pt idx="94">
                  <v>18.92202151831663</v>
                </pt>
                <pt idx="95">
                  <v>18.79101898711398</v>
                </pt>
                <pt idx="96">
                  <v>18.661977732194</v>
                </pt>
                <pt idx="97">
                  <v>18.53191994908033</v>
                </pt>
                <pt idx="98">
                  <v>18.40380546533206</v>
                </pt>
                <pt idx="99">
                  <v>18.27464559385774</v>
                </pt>
                <pt idx="100">
                  <v>18.14741183008458</v>
                </pt>
                <pt idx="101">
                  <v>18.01920260583777</v>
                </pt>
                <pt idx="102">
                  <v>17.892900153705</v>
                </pt>
                <pt idx="103">
                  <v>17.76550298408509</v>
                </pt>
                <pt idx="104">
                  <v>17.63999677955</v>
                </pt>
                <pt idx="105">
                  <v>17.51346714096148</v>
                </pt>
                <pt idx="106">
                  <v>17.38881048115649</v>
                </pt>
                <pt idx="107">
                  <v>17.263196783787</v>
                </pt>
                <pt idx="108">
                  <v>17.13943614103631</v>
                </pt>
                <pt idx="109">
                  <v>17.01469596079957</v>
                </pt>
                <pt idx="110">
                  <v>16.89178966537375</v>
                </pt>
                <pt idx="111">
                  <v>16.7678025141439</v>
                </pt>
                <pt idx="112">
                  <v>16.645633122648</v>
                </pt>
                <pt idx="113">
                  <v>16.52245035437193</v>
                </pt>
                <pt idx="114">
                  <v>16.40106727490548</v>
                </pt>
                <pt idx="115">
                  <v>16.27865657205764</v>
                </pt>
                <pt idx="116">
                  <v>16.15802800119702</v>
                </pt>
                <pt idx="117">
                  <v>16.03635991649808</v>
                </pt>
                <pt idx="118">
                  <v>15.91645685695951</v>
                </pt>
                <pt idx="119">
                  <v>15.79557733018176</v>
                </pt>
                <pt idx="120">
                  <v>15.67644402654623</v>
                </pt>
                <pt idx="121">
                  <v>15.55632236662341</v>
                </pt>
                <pt idx="122">
                  <v>15.43792866594409</v>
                </pt>
                <pt idx="123">
                  <v>15.31846808855969</v>
                </pt>
                <pt idx="124">
                  <v>15.20071964415567</v>
                </pt>
                <pt idx="125">
                  <v>15.08196696659835</v>
                </pt>
                <pt idx="126">
                  <v>14.96490895823093</v>
                </pt>
                <pt idx="127">
                  <v>14.84684040622971</v>
                </pt>
                <pt idx="128">
                  <v>14.73044945735585</v>
                </pt>
                <pt idx="129">
                  <v>14.61304324952127</v>
                </pt>
                <pt idx="130">
                  <v>14.49729793898813</v>
                </pt>
                <pt idx="131">
                  <v>14.38053412110476</v>
                </pt>
                <pt idx="132">
                  <v>14.32277176125888</v>
                </pt>
                <pt idx="133">
                  <v>14.26541482224665</v>
                </pt>
                <pt idx="134">
                  <v>14.20710858488338</v>
                </pt>
                <pt idx="135">
                  <v>14.1492155818571</v>
                </pt>
                <pt idx="136">
                  <v>14.09173007487243</v>
                </pt>
                <pt idx="137">
                  <v>14.03464643991462</v>
                </pt>
                <pt idx="138">
                  <v>13.97667670585346</v>
                </pt>
                <pt idx="139">
                  <v>13.91911575450127</v>
                </pt>
                <pt idx="140">
                  <v>13.86195792245825</v>
                </pt>
                <pt idx="141">
                  <v>13.8051976591878</v>
                </pt>
                <pt idx="142">
                  <v>13.74749755858923</v>
                </pt>
                <pt idx="143">
                  <v>13.69020268418772</v>
                </pt>
                <pt idx="144">
                  <v>13.63330743035542</v>
                </pt>
                <pt idx="145">
                  <v>13.5768063033302</v>
                </pt>
                <pt idx="146">
                  <v>13.51939868869204</v>
                </pt>
                <pt idx="147">
                  <v>13.46239238236419</v>
                </pt>
                <pt idx="148">
                  <v>13.40578184531439</v>
                </pt>
                <pt idx="149">
                  <v>13.34956164911229</v>
                </pt>
                <pt idx="150">
                  <v>13.29243999860654</v>
                </pt>
                <pt idx="151">
                  <v>13.23571579447564</v>
                </pt>
                <pt idx="152">
                  <v>13.17938356439243</v>
                </pt>
                <pt idx="153">
                  <v>13.123437945333</v>
                </pt>
                <pt idx="154">
                  <v>13.06657022302818</v>
                </pt>
                <pt idx="155">
                  <v>13.01009649762632</v>
                </pt>
                <pt idx="156">
                  <v>12.95401135621806</v>
                </pt>
                <pt idx="157">
                  <v>12.89830949406152</v>
                </pt>
                <pt idx="158">
                  <v>12.84169236507164</v>
                </pt>
                <pt idx="159">
                  <v>12.78546580078401</v>
                </pt>
                <pt idx="160">
                  <v>12.72962444849399</v>
                </pt>
                <pt idx="161">
                  <v>12.67416306247841</v>
                </pt>
                <pt idx="162">
                  <v>12.61781819717728</v>
                </pt>
                <pt idx="163">
                  <v>12.56186014375384</v>
                </pt>
                <pt idx="164">
                  <v>12.50628361732491</v>
                </pt>
                <pt idx="165">
                  <v>12.45108343857193</v>
                </pt>
                <pt idx="166">
                  <v>12.39495813732766</v>
                </pt>
                <pt idx="167">
                  <v>12.33921659651533</v>
                </pt>
                <pt idx="168">
                  <v>12.28385358573673</v>
                </pt>
                <pt idx="169">
                  <v>12.22886397906829</v>
                </pt>
                <pt idx="170">
                  <v>12.17307462389866</v>
                </pt>
                <pt idx="171">
                  <v>12.11766438128141</v>
                </pt>
                <pt idx="172">
                  <v>12.06262810866421</v>
                </pt>
                <pt idx="173">
                  <v>12.00796076596861</v>
                </pt>
                <pt idx="174">
                  <v>11.95229308218763</v>
                </pt>
                <pt idx="175">
                  <v>11.89700275505046</v>
                </pt>
                <pt idx="176">
                  <v>11.84208467201368</v>
                </pt>
                <pt idx="177">
                  <v>11.78753382251519</v>
                </pt>
                <pt idx="178">
                  <v>11.73201731378283</v>
                </pt>
                <pt idx="179">
                  <v>11.67687598891506</v>
                </pt>
                <pt idx="180">
                  <v>11.62210477471535</v>
                </pt>
                <pt idx="181">
                  <v>11.56769869920518</v>
                </pt>
                <pt idx="182">
                  <v>11.51257561454655</v>
                </pt>
                <pt idx="183">
                  <v>11.45782228155453</v>
                </pt>
                <pt idx="184">
                  <v>11.40343373281565</v>
                </pt>
                <pt idx="185">
                  <v>11.34940509959034</v>
                </pt>
                <pt idx="186">
                  <v>11.29426318285842</v>
                </pt>
                <pt idx="187">
                  <v>11.23949110158942</v>
                </pt>
                <pt idx="188">
                  <v>11.18508388388214</v>
                </pt>
                <pt idx="189">
                  <v>11.13103665685984</v>
                </pt>
                <pt idx="190">
                  <v>11.07632341071999</v>
                </pt>
                <pt idx="191">
                  <v>11.0219741116067</v>
                </pt>
                <pt idx="192">
                  <v>10.96798390352529</v>
                </pt>
                <pt idx="193">
                  <v>10.91434802665628</v>
                </pt>
                <pt idx="194">
                  <v>10.85966946012185</v>
                </pt>
                <pt idx="195">
                  <v>10.80535419105262</v>
                </pt>
                <pt idx="196">
                  <v>10.7513973751721</v>
                </pt>
                <pt idx="197">
                  <v>10.69779426425902</v>
                </pt>
                <pt idx="198">
                  <v>10.64337792718376</v>
                </pt>
                <pt idx="199">
                  <v>10.58932122619364</v>
                </pt>
                <pt idx="200">
                  <v>10.53561938928459</v>
                </pt>
                <pt idx="201">
                  <v>10.48226773877574</v>
                </pt>
                <pt idx="202">
                  <v>10.42812959384754</v>
                </pt>
                <pt idx="203">
                  <v>10.37434722947683</v>
                </pt>
                <pt idx="204">
                  <v>10.3209159500496</v>
                </pt>
                <pt idx="205">
                  <v>10.26783115242157</v>
                </pt>
                <pt idx="206">
                  <v>10.21380166488271</v>
                </pt>
                <pt idx="207">
                  <v>10.16012633396482</v>
                </pt>
                <pt idx="208">
                  <v>10.10680049676117</v>
                </pt>
                <pt idx="209">
                  <v>10.05381958211081</v>
                </pt>
                <pt idx="210">
                  <v>9.999746558380231</v>
                </pt>
                <pt idx="211">
                  <v>9.946028056953196</v>
                </pt>
                <pt idx="212">
                  <v>9.892659408984958</v>
                </pt>
                <pt idx="213">
                  <v>9.839636037648528</v>
                </pt>
                <pt idx="214">
                  <v>9.785906738643865</v>
                </pt>
                <pt idx="215">
                  <v>9.732527283753637</v>
                </pt>
                <pt idx="216">
                  <v>9.679493097695543</v>
                </pt>
                <pt idx="217">
                  <v>9.62679969486215</v>
                </pt>
                <pt idx="218">
                  <v>9.573252757169184</v>
                </pt>
                <pt idx="219">
                  <v>9.520053105819221</v>
                </pt>
                <pt idx="220">
                  <v>9.467196217657385</v>
                </pt>
                <pt idx="221">
                  <v>9.414677657933121</v>
                </pt>
                <pt idx="222">
                  <v>9.361333500304214</v>
                </pt>
                <pt idx="223">
                  <v>9.308333824295721</v>
                </pt>
                <pt idx="224">
                  <v>9.2556741638736</v>
                </pt>
                <pt idx="225">
                  <v>9.20335013999834</v>
                </pt>
                <pt idx="226">
                  <v>9.15006588592801</v>
                </pt>
                <pt idx="227">
                  <v>9.097125162404897</v>
                </pt>
                <pt idx="228">
                  <v>9.044523524824395</v>
                </pt>
                <pt idx="229">
                  <v>8.992256615080702</v>
                </pt>
                <pt idx="230">
                  <v>8.886208295048835</v>
                </pt>
                <pt idx="231">
                  <v>8.833693044010559</v>
                </pt>
                <pt idx="232">
                  <v>8.781511263634091</v>
                </pt>
                <pt idx="233">
                  <v>8.728431752437228</v>
                </pt>
                <pt idx="234">
                  <v>8.675692814494512</v>
                </pt>
                <pt idx="235">
                  <v>8.623290069313814</v>
                </pt>
                <pt idx="236">
                  <v>8.571219221330116</v>
                </pt>
                <pt idx="237">
                  <v>8.518429559286769</v>
                </pt>
                <pt idx="238">
                  <v>8.46597662617434</v>
                </pt>
                <pt idx="239">
                  <v>8.413856119154653</v>
                </pt>
                <pt idx="240">
                  <v>8.362063818347131</v>
                </pt>
                <pt idx="241">
                  <v>8.309283848279948</v>
                </pt>
                <pt idx="242">
                  <v>8.256840350562925</v>
                </pt>
                <pt idx="243">
                  <v>8.204729031462787</v>
                </pt>
                <pt idx="244">
                  <v>8.152945679986969</v>
                </pt>
                <pt idx="245">
                  <v>8.100349425392931</v>
                </pt>
                <pt idx="246">
                  <v>8.048087194049915</v>
                </pt>
                <pt idx="247">
                  <v>7.996154743287807</v>
                </pt>
                <pt idx="248">
                  <v>7.944547911879632</v>
                </pt>
                <pt idx="249">
                  <v>7.892015740057426</v>
                </pt>
                <pt idx="250">
                  <v>7.839816678386833</v>
                </pt>
                <pt idx="251">
                  <v>7.78794650615716</v>
                </pt>
                <pt idx="252">
                  <v>7.736401083540782</v>
                </pt>
                <pt idx="253">
                  <v>7.68409566439454</v>
                </pt>
                <pt idx="254">
                  <v>7.63212041023889</v>
                </pt>
                <pt idx="255">
                  <v>7.580471160814394</v>
                </pt>
                <pt idx="256">
                  <v>7.529143835201124</v>
                </pt>
                <pt idx="257">
                  <v>7.476817132035812</v>
                </pt>
                <pt idx="258">
                  <v>7.4248207949147</v>
                </pt>
                <pt idx="259">
                  <v>7.373150664754471</v>
                </pt>
                <pt idx="260">
                  <v>7.321802661767233</v>
                </pt>
                <pt idx="261">
                  <v>7.269616679789595</v>
                </pt>
                <pt idx="262">
                  <v>7.217759247163577</v>
                </pt>
                <pt idx="263">
                  <v>7.166226244055704</v>
                </pt>
                <pt idx="264">
                  <v>7.1150136289145</v>
                </pt>
                <pt idx="265">
                  <v>7.062989974006672</v>
                </pt>
                <pt idx="266">
                  <v>7.011292806408315</v>
                </pt>
                <pt idx="267">
                  <v>6.959918050084094</v>
                </pt>
                <pt idx="268">
                  <v>6.908861706150706</v>
                </pt>
                <pt idx="269">
                  <v>6.856898059894006</v>
                </pt>
                <pt idx="270">
                  <v>6.805260143625156</v>
                </pt>
                <pt idx="271">
                  <v>6.753943900744124</v>
                </pt>
                <pt idx="272">
                  <v>6.702945351283539</v>
                </pt>
                <pt idx="273">
                  <v>6.651068950926681</v>
                </pt>
                <pt idx="274">
                  <v>6.599517205774097</v>
                </pt>
                <pt idx="275">
                  <v>6.548286084622585</v>
                </pt>
                <pt idx="276">
                  <v>6.497371632229144</v>
                </pt>
                <pt idx="277">
                  <v>6.445723907291327</v>
                </pt>
                <pt idx="278">
                  <v>6.39439802733515</v>
                </pt>
                <pt idx="279">
                  <v>6.343390018648244</v>
                </pt>
                <pt idx="280">
                  <v>6.292695982002777</v>
                </pt>
                <pt idx="281">
                  <v>6.240951569070275</v>
                </pt>
                <pt idx="282">
                  <v>6.189530263631302</v>
                </pt>
                <pt idx="283">
                  <v>6.138428074182824</v>
                </pt>
                <pt idx="284">
                  <v>6.087641084106401</v>
                </pt>
                <pt idx="285">
                  <v>6.036170145175431</v>
                </pt>
                <pt idx="286">
                  <v>5.985019001451723</v>
                </pt>
                <pt idx="287">
                  <v>5.934183728000725</v>
                </pt>
                <pt idx="288">
                  <v>5.883660473070814</v>
                </pt>
                <pt idx="289">
                  <v>5.832150847574956</v>
                </pt>
                <pt idx="290">
                  <v>5.780961604788927</v>
                </pt>
                <pt idx="291">
                  <v>5.730088814597</v>
                </pt>
                <pt idx="292">
                  <v>5.679528620145035</v>
                </pt>
                <pt idx="293">
                  <v>5.628119585424809</v>
                </pt>
                <pt idx="294">
                  <v>5.57702982047253</v>
                </pt>
                <pt idx="295">
                  <v>5.526255421207437</v>
                </pt>
                <pt idx="296">
                  <v>5.475792556113422</v>
                </pt>
                <pt idx="297">
                  <v>5.424508123409087</v>
                </pt>
                <pt idx="298">
                  <v>5.373541578170564</v>
                </pt>
                <pt idx="299">
                  <v>5.32288904720581</v>
                </pt>
                <pt idx="300">
                  <v>5.272546729070427</v>
                </pt>
                <pt idx="301">
                  <v>5.221409114649481</v>
                </pt>
                <pt idx="302">
                  <v>5.170587760140133</v>
                </pt>
                <pt idx="303">
                  <v>5.120078827589285</v>
                </pt>
                <pt idx="304">
                  <v>5.069878549868249</v>
                </pt>
                <pt idx="305">
                  <v>5.018712850261889</v>
                </pt>
                <pt idx="306">
                  <v>4.96786396891572</v>
                </pt>
                <pt idx="307">
                  <v>4.917328063397753</v>
                </pt>
                <pt idx="308">
                  <v>4.867101362150744</v>
                </pt>
                <pt idx="309">
                  <v>4.816131443703434</v>
                </pt>
                <pt idx="310">
                  <v>4.765476169631869</v>
                </pt>
                <pt idx="311">
                  <v>4.71513174248119</v>
                </pt>
                <pt idx="312">
                  <v>4.66509443450968</v>
                </pt>
                <pt idx="313">
                  <v>4.614151325841583</v>
                </pt>
                <pt idx="314">
                  <v>4.563522798376938</v>
                </pt>
                <pt idx="315">
                  <v>4.513205061413698</v>
                </pt>
                <pt idx="316">
                  <v>4.463194393735097</v>
                </pt>
                <pt idx="317">
                  <v>4.412307304379447</v>
                </pt>
                <pt idx="318">
                  <v>4.361734402663403</v>
                </pt>
                <pt idx="319">
                  <v>4.311471910576833</v>
                </pt>
                <pt idx="320">
                  <v>4.261516119220699</v>
                </pt>
                <pt idx="321">
                  <v>4.210712249492313</v>
                </pt>
                <pt idx="322">
                  <v>4.160221868753663</v>
                </pt>
                <pt idx="323">
                  <v>4.110041217122297</v>
                </pt>
                <pt idx="324">
                  <v>4.060166603319555</v>
                </pt>
                <pt idx="325">
                  <v>4.009471248686248</v>
                </pt>
                <pt idx="326">
                  <v>3.959088403573953</v>
                </pt>
                <pt idx="327">
                  <v>3.90901433117548</v>
                </pt>
                <pt idx="328">
                  <v>3.859245362659852</v>
                </pt>
                <pt idx="329">
                  <v>3.80859772337152</v>
                </pt>
                <pt idx="330">
                  <v>3.758262392133573</v>
                </pt>
                <pt idx="331">
                  <v>3.708235641222999</v>
                </pt>
                <pt idx="332">
                  <v>3.658513810602961</v>
                </pt>
                <pt idx="333">
                  <v>3.60802405536919</v>
                </pt>
                <pt idx="334">
                  <v>3.55784508422166</v>
                </pt>
                <pt idx="335">
                  <v>3.507973202006772</v>
                </pt>
                <pt idx="336">
                  <v>3.458404780400198</v>
                </pt>
                <pt idx="337">
                  <v>3.407932429935094</v>
                </pt>
                <pt idx="338">
                  <v>3.357771095924476</v>
                </pt>
                <pt idx="339">
                  <v>3.307917084430332</v>
                </pt>
                <pt idx="340">
                  <v>3.258366768240502</v>
                </pt>
                <pt idx="341">
                  <v>3.207941998173243</v>
                </pt>
                <pt idx="342">
                  <v>3.15782813888164</v>
                </pt>
                <pt idx="343">
                  <v>3.108021503589918</v>
                </pt>
                <pt idx="344">
                  <v>3.058518471999536</v>
                </pt>
                <pt idx="345">
                  <v>3.008245842990121</v>
                </pt>
                <pt idx="346">
                  <v>2.95828276652315</v>
                </pt>
                <pt idx="347">
                  <v>2.908625585055786</v>
                </pt>
                <pt idx="348">
                  <v>2.859270706744073</v>
                </pt>
                <pt idx="349">
                  <v>2.809021816678314</v>
                </pt>
                <pt idx="350">
                  <v>2.75908273032637</v>
                </pt>
                <pt idx="351">
                  <v>2.70944979078855</v>
                </pt>
                <pt idx="352">
                  <v>2.660119406767149</v>
                </pt>
                <pt idx="353">
                  <v>2.60992425376024</v>
                </pt>
                <pt idx="354">
                  <v>2.560038820782253</v>
                </pt>
                <pt idx="355">
                  <v>2.510459457386159</v>
                </pt>
                <pt idx="356">
                  <v>2.461182578488341</v>
                </pt>
                <pt idx="357">
                  <v>2.411140134354341</v>
                </pt>
                <pt idx="358">
                  <v>2.361406142427493</v>
                </pt>
                <pt idx="359">
                  <v>2.311976979403223</v>
                </pt>
                <pt idx="360">
                  <v>2.262849086607597</v>
                </pt>
                <pt idx="361">
                  <v>2.212841813432655</v>
                </pt>
                <pt idx="362">
                  <v>2.163143202471968</v>
                </pt>
                <pt idx="363">
                  <v>2.1137496314019</v>
                </pt>
                <pt idx="364">
                  <v>2.064657542414704</v>
                </pt>
                <pt idx="365">
                  <v>2.014782485447158</v>
                </pt>
                <pt idx="366">
                  <v>1.96521514032561</v>
                </pt>
                <pt idx="367">
                  <v>1.915951905874087</v>
                </pt>
                <pt idx="368">
                  <v>1.866989244836927</v>
                </pt>
                <pt idx="369">
                  <v>1.817137184828952</v>
                </pt>
                <pt idx="370">
                  <v>1.767593263503712</v>
                </pt>
                <pt idx="371">
                  <v>1.718353876502314</v>
                </pt>
                <pt idx="372">
                  <v>1.669415483360725</v>
                </pt>
                <pt idx="373">
                  <v>1.619681331282659</v>
                </pt>
                <pt idx="374">
                  <v>1.570254609399301</v>
                </pt>
                <pt idx="375">
                  <v>1.52113172979019</v>
                </pt>
                <pt idx="376">
                  <v>1.472309167936914</v>
                </pt>
                <pt idx="377">
                  <v>1.422591345449198</v>
                </pt>
                <pt idx="378">
                  <v>1.373181530425784</v>
                </pt>
                <pt idx="379">
                  <v>1.324076128665676</v>
                </pt>
                <pt idx="380">
                  <v>1.27527160940504</v>
                </pt>
                <pt idx="381">
                  <v>1.225723923543668</v>
                </pt>
                <pt idx="382">
                  <v>1.176482956865591</v>
                </pt>
                <pt idx="383">
                  <v>1.127545141108593</v>
                </pt>
                <pt idx="384">
                  <v>1.078906970721094</v>
                </pt>
                <pt idx="385">
                  <v>1.029370667446092</v>
                </pt>
                <pt idx="386">
                  <v>0.9801417872777897</v>
                </pt>
                <pt idx="387">
                  <v>0.9312167528426096</v>
                </pt>
                <pt idx="388">
                  <v>0.8825920495633371</v>
                </pt>
                <pt idx="389">
                  <v>0.833157373042319</v>
                </pt>
                <pt idx="390">
                  <v>0.7840297406476399</v>
                </pt>
                <pt idx="391">
                  <v>0.7352055843454637</v>
                </pt>
                <pt idx="392">
                  <v>0.6866813985443265</v>
                </pt>
                <pt idx="393">
                  <v>0.6373739897493818</v>
                </pt>
                <pt idx="394">
                  <v>0.5883729581012399</v>
                </pt>
                <pt idx="395">
                  <v>0.5396747494376228</v>
                </pt>
                <pt idx="396">
                  <v>0.4912758715704114</v>
                </pt>
                <pt idx="397">
                  <v>0.4420087254603471</v>
                </pt>
                <pt idx="398">
                  <v>0.3930483969739006</v>
                </pt>
                <pt idx="399">
                  <v>0.344391326077842</v>
                </pt>
                <pt idx="400">
                  <v>0.2960340146914544</v>
                </pt>
                <pt idx="401">
                  <v>0.2468915206225591</v>
                </pt>
                <pt idx="402">
                  <v>0.1980552658134794</v>
                </pt>
                <pt idx="403">
                  <v>0.149521701444743</v>
                </pt>
                <pt idx="404">
                  <v>0.1012873402197704</v>
                </pt>
                <pt idx="405">
                  <v>0.05224107591414566</v>
                </pt>
                <pt idx="406">
                  <v>0.003500850554374312</v>
                </pt>
                <pt idx="407">
                  <v>-0.04493688069930386</v>
                </pt>
                <pt idx="408">
                  <v>-0.09307560144024533</v>
                </pt>
                <pt idx="409">
                  <v>-0.1420506081750583</v>
                </pt>
                <pt idx="410">
                  <v>-0.1907194414835797</v>
                </pt>
                <pt idx="411">
                  <v>-0.2390856487938681</v>
                </pt>
                <pt idx="412">
                  <v>-0.2871527164297868</v>
                </pt>
                <pt idx="413">
                  <v>-0.3360280407359618</v>
                </pt>
                <pt idx="414">
                  <v>-0.3845973897054397</v>
                </pt>
                <pt idx="415">
                  <v>-0.4328643084672367</v>
                </pt>
                <pt idx="416">
                  <v>-0.4808322813190804</v>
                </pt>
                <pt idx="417">
                  <v>-0.529630391509335</v>
                </pt>
                <pt idx="418">
                  <v>-0.578122425844058</v>
                </pt>
                <pt idx="419">
                  <v>-0.626311933327266</v>
                </pt>
                <pt idx="420">
                  <v>-0.6742024022849914</v>
                </pt>
                <pt idx="421">
                  <v>-0.7228473512307365</v>
                </pt>
                <pt idx="422">
                  <v>-0.7711870597866727</v>
                </pt>
                <pt idx="423">
                  <v>-0.8192250657364522</v>
                </pt>
                <pt idx="424">
                  <v>-0.8669648467046897</v>
                </pt>
                <pt idx="425">
                  <v>-0.9155735792528487</v>
                </pt>
                <pt idx="426">
                  <v>-0.9638764338885742</v>
                </pt>
                <pt idx="427">
                  <v>-1.011876964018739</v>
                </pt>
                <pt idx="428">
                  <v>-1.059578662829856</v>
                </pt>
                <pt idx="429">
                  <v>-1.108074448703715</v>
                </pt>
                <pt idx="430">
                  <v>-1.156264675094801</v>
                </pt>
                <pt idx="431">
                  <v>-1.20415289592033</v>
                </pt>
                <pt idx="432">
                  <v>-1.251742605187661</v>
                </pt>
                <pt idx="433">
                  <v>-1.300099659591707</v>
                </pt>
                <pt idx="434">
                  <v>-1.348151800006453</v>
                </pt>
                <pt idx="435">
                  <v>-1.395902576827804</v>
                </pt>
                <pt idx="436">
                  <v>-1.443355480975163</v>
                </pt>
                <pt idx="437">
                  <v>-1.491636288193665</v>
                </pt>
                <pt idx="438">
                  <v>-1.53961205104247</v>
                </pt>
                <pt idx="439">
                  <v>-1.587286331811302</v>
                </pt>
                <pt idx="440">
                  <v>-1.63466263344129</v>
                </pt>
                <pt idx="441">
                  <v>-1.682838785018781</v>
                </pt>
                <pt idx="442">
                  <v>-1.730710136318584</v>
                </pt>
                <pt idx="443">
                  <v>-1.778280257170461</v>
                </pt>
                <pt idx="444">
                  <v>-1.825552658323915</v>
                </pt>
                <pt idx="445">
                  <v>-1.873597882634139</v>
                </pt>
                <pt idx="446">
                  <v>-1.921338910022776</v>
                </pt>
                <pt idx="447">
                  <v>-1.968779314011358</v>
                </pt>
                <pt idx="448">
                  <v>-2.01592260944163</v>
                </pt>
                <pt idx="449">
                  <v>-2.063892745157022</v>
                </pt>
                <pt idx="450">
                  <v>-2.111558621091192</v>
                </pt>
                <pt idx="451">
                  <v>-2.158923828973911</v>
                </pt>
                <pt idx="452">
                  <v>-2.205991901993335</v>
                </pt>
                <pt idx="453">
                  <v>-2.253819778272679</v>
                </pt>
                <pt idx="454">
                  <v>-2.301344232401457</v>
                </pt>
                <pt idx="455">
                  <v>-2.348568861607088</v>
                </pt>
                <pt idx="456">
                  <v>-2.395497205049874</v>
                </pt>
                <pt idx="457">
                  <v>-2.443235952022653</v>
                </pt>
                <pt idx="458">
                  <v>-2.490671509538023</v>
                </pt>
                <pt idx="459">
                  <v>-2.537807494647748</v>
                </pt>
                <pt idx="460">
                  <v>-2.584647466571015</v>
                </pt>
                <pt idx="461">
                  <v>-2.632270524646714</v>
                </pt>
                <pt idx="462">
                  <v>-2.679591045682353</v>
                </pt>
                <pt idx="463">
                  <v>-2.726612663202055</v>
                </pt>
                <pt idx="464">
                  <v>-2.773338953280333</v>
                </pt>
                <pt idx="465">
                  <v>-2.820858272497351</v>
                </pt>
                <pt idx="466">
                  <v>-2.868075659359812</v>
                </pt>
                <pt idx="467">
                  <v>-2.91499476939568</v>
                </pt>
                <pt idx="468">
                  <v>-2.96161920103542</v>
                </pt>
                <pt idx="469">
                  <v>-3.009010182549959</v>
                </pt>
                <pt idx="470">
                  <v>-3.056100273952222</v>
                </pt>
                <pt idx="471">
                  <v>-3.102893150133541</v>
                </pt>
                <pt idx="472">
                  <v>-3.14939242938889</v>
                </pt>
                <pt idx="473">
                  <v>-3.196701662433631</v>
                </pt>
                <pt idx="474">
                  <v>-3.243710609669904</v>
                </pt>
                <pt idx="475">
                  <v>-3.290422979406663</v>
                </pt>
                <pt idx="476">
                  <v>-3.336842423676167</v>
                </pt>
                <pt idx="477">
                  <v>-3.384045036536688</v>
                </pt>
                <pt idx="478">
                  <v>-3.430948463846165</v>
                </pt>
                <pt idx="479">
                  <v>-3.477556445123163</v>
                </pt>
                <pt idx="480">
                  <v>-3.523872664093522</v>
                </pt>
                <pt idx="481">
                  <v>-3.570946493068417</v>
                </pt>
                <pt idx="482">
                  <v>-3.617722730699348</v>
                </pt>
                <pt idx="483">
                  <v>-3.664205146201438</v>
                </pt>
                <pt idx="484">
                  <v>-3.710397453638556</v>
                </pt>
                <pt idx="485">
                  <v>-3.757354914687279</v>
                </pt>
                <pt idx="486">
                  <v>-3.804016472811378</v>
                </pt>
                <pt idx="487">
                  <v>-3.85038593383104</v>
                </pt>
                <pt idx="488">
                  <v>-3.89646704906091</v>
                </pt>
                <pt idx="489">
                  <v>-3.943351209395034</v>
                </pt>
                <pt idx="490">
                  <v>-3.989940909129702</v>
                </pt>
                <pt idx="491">
                  <v>-4.036240005522793</v>
                </pt>
                <pt idx="492">
                  <v>-4.082252301847409</v>
                </pt>
                <pt idx="493">
                  <v>-4.129042386436791</v>
                </pt>
                <pt idx="494">
                  <v>-4.175540057434974</v>
                </pt>
                <pt idx="495">
                  <v>-4.221749223265409</v>
                </pt>
                <pt idx="496">
                  <v>-4.267673739066369</v>
                </pt>
                <pt idx="497">
                  <v>-4.314381765042733</v>
                </pt>
                <pt idx="498">
                  <v>-4.36079967295039</v>
                </pt>
                <pt idx="499">
                  <v>-4.406931430446296</v>
                </pt>
                <pt idx="500">
                  <v>-4.452780952641455</v>
                </pt>
                <pt idx="501">
                  <v>-4.499419348311217</v>
                </pt>
                <pt idx="502">
                  <v>-4.545770228469549</v>
                </pt>
                <pt idx="503">
                  <v>-4.591837628634808</v>
                </pt>
                <pt idx="504">
                  <v>-4.637625532568484</v>
                </pt>
                <pt idx="505">
                  <v>-4.684179307544134</v>
                </pt>
                <pt idx="506">
                  <v>-4.73044888184462</v>
                </pt>
                <pt idx="507">
                  <v>-4.776438360703146</v>
                </pt>
                <pt idx="508">
                  <v>-4.822151798565676</v>
                </pt>
                <pt idx="509">
                  <v>-4.868637189255219</v>
                </pt>
                <pt idx="510">
                  <v>-4.914842097909075</v>
                </pt>
                <pt idx="511">
                  <v>-4.960770709657708</v>
                </pt>
                <pt idx="512">
                  <v>-5.006427159866549</v>
                </pt>
                <pt idx="513">
                  <v>-5.052888506683034</v>
                </pt>
                <pt idx="514">
                  <v>-5.099073249126943</v>
                </pt>
                <pt idx="515">
                  <v>-5.144985670568855</v>
                </pt>
                <pt idx="516">
                  <v>-5.19063000558274</v>
                </pt>
                <pt idx="517">
                  <v>-5.237058428870036</v>
                </pt>
                <pt idx="518">
                  <v>-5.283215021454347</v>
                </pt>
                <pt idx="519">
                  <v>-5.329104169244014</v>
                </pt>
                <pt idx="520">
                  <v>-5.374730210497704</v>
                </pt>
                <pt idx="521">
                  <v>-5.421147062383442</v>
                </pt>
                <pt idx="522">
                  <v>-5.467297498560528</v>
                </pt>
                <pt idx="523">
                  <v>-5.513186020202811</v>
                </pt>
                <pt idx="524">
                  <v>-5.558817082036928</v>
                </pt>
                <pt idx="525">
                  <v>-5.605246256531483</v>
                </pt>
                <pt idx="526">
                  <v>-5.651415164054159</v>
                </pt>
                <pt idx="527">
                  <v>-5.69732843472497</v>
                </pt>
                <pt idx="528">
                  <v>-5.74299065346527</v>
                </pt>
                <pt idx="529">
                  <v>-5.789459074390741</v>
                </pt>
                <pt idx="530">
                  <v>-5.83567421065659</v>
                </pt>
                <pt idx="531">
                  <v>-5.88164083597957</v>
                </pt>
                <pt idx="532">
                  <v>-5.927363680154915</v>
                </pt>
                <pt idx="533">
                  <v>-5.973925789375078</v>
                </pt>
                <pt idx="534">
                  <v>-6.02024228653681</v>
                </pt>
                <pt idx="535">
                  <v>-6.066318112163016</v>
                </pt>
                <pt idx="536">
                  <v>-6.112158164046031</v>
                </pt>
                <pt idx="537">
                  <v>-6.158800156934884</v>
                </pt>
                <pt idx="538">
                  <v>-6.205205778989878</v>
                </pt>
                <pt idx="539">
                  <v>-6.251380138707455</v>
                </pt>
                <pt idx="540">
                  <v>-6.297328303179706</v>
                </pt>
                <pt idx="541">
                  <v>-6.344136999224603</v>
                </pt>
                <pt idx="542">
                  <v>-6.390719263843845</v>
                </pt>
                <pt idx="543">
                  <v>-6.437080406227945</v>
                </pt>
                <pt idx="544">
                  <v>-6.483225695222203</v>
                </pt>
                <pt idx="545">
                  <v>-6.530221942201769</v>
                </pt>
                <pt idx="546">
                  <v>-6.577003254803157</v>
                </pt>
                <pt idx="547">
                  <v>-6.623575152849494</v>
                </pt>
                <pt idx="548">
                  <v>-6.669943116783128</v>
                </pt>
                <pt idx="549">
                  <v>-6.717177786413774</v>
                </pt>
                <pt idx="550">
                  <v>-6.764210467064093</v>
                </pt>
                <pt idx="551">
                  <v>-6.811046907067199</v>
                </pt>
                <pt idx="552">
                  <v>-6.857692816054529</v>
                </pt>
                <pt idx="553">
                  <v>-6.905245400603691</v>
                </pt>
                <pt idx="554">
                  <v>-6.952610362157402</v>
                </pt>
                <pt idx="555">
                  <v>-6.999793703347626</v>
                </pt>
                <pt idx="556">
                  <v>-7.046801388291843</v>
                </pt>
                <pt idx="557">
                  <v>-7.142499394582812</v>
                </pt>
                <pt idx="558">
                  <v>-7.237536563433159</v>
                </pt>
                <pt idx="559">
                  <v>-7.334120219438001</v>
                </pt>
                <pt idx="560">
                  <v>-7.430116999275404</v>
                </pt>
                <pt idx="561">
                  <v>-7.527837670867181</v>
                </pt>
                <pt idx="562">
                  <v>-7.62505274399139</v>
                </pt>
                <pt idx="563">
                  <v>-7.723888502305645</v>
                </pt>
                <pt idx="564">
                  <v>-7.82231064249773</v>
                </pt>
                <pt idx="565">
                  <v>-7.922843732319992</v>
                </pt>
                <pt idx="566">
                  <v>-8.023061476290625</v>
                </pt>
                <pt idx="567">
                  <v>-8.125478431364217</v>
                </pt>
                <pt idx="568">
                  <v>-8.227689267213385</v>
                </pt>
                <pt idx="569">
                  <v>-8.331796072934246</v>
                </pt>
                <pt idx="570">
                  <v>-8.435817270508586</v>
                </pt>
                <pt idx="571">
                  <v>-8.542671439166975</v>
                </pt>
                <pt idx="572">
                  <v>-8.649569693306184</v>
                </pt>
                <pt idx="573">
                  <v>-8.758621838104276</v>
                </pt>
                <pt idx="574">
                  <v>-8.867856975529056</v>
                </pt>
                <pt idx="575">
                  <v>-8.980216351777862</v>
                </pt>
                <pt idx="576">
                  <v>-9.092909321804566</v>
                </pt>
                <pt idx="577">
                  <v>-9.575235644002918</v>
                </pt>
                <pt idx="578">
                  <v>-10.0694622871341</v>
                </pt>
                <pt idx="579">
                  <v>-11.21194366440097</v>
                </pt>
                <pt idx="580">
                  <v>-12.58045061554666</v>
                </pt>
                <pt idx="581">
                  <v>-14.21675525297472</v>
                </pt>
                <pt idx="582">
                  <v>-16.13323484483247</v>
                </pt>
                <pt idx="583">
                  <v>-18.30284876740176</v>
                </pt>
                <pt idx="584">
                  <v>-20.67683641889457</v>
                </pt>
                <pt idx="585">
                  <v>-23.19761827087618</v>
                </pt>
                <pt idx="586">
                  <v>-25.8169465814968</v>
                </pt>
                <pt idx="587">
                  <v>-28.50025166244547</v>
                </pt>
                <pt idx="588">
                  <v>-31.22058137611618</v>
                </pt>
                <pt idx="589">
                  <v>-33.96431697797329</v>
                </pt>
                <pt idx="590">
                  <v>-36.72021373906293</v>
                </pt>
                <pt idx="591">
                  <v>-39.48158900400942</v>
                </pt>
                <pt idx="592">
                  <v>-42.24293706090526</v>
                </pt>
                <pt idx="593">
                  <v>-45.00085393195921</v>
                </pt>
                <pt idx="594">
                  <v>-47.7508525801921</v>
                </pt>
                <pt idx="595">
                  <v>-50.49002996937826</v>
                </pt>
                <pt idx="596">
                  <v>-53.21467292976828</v>
                </pt>
                <pt idx="597">
                  <v>-55.92258943683055</v>
                </pt>
                <pt idx="598">
                  <v>-58.61082661915441</v>
                </pt>
                <pt idx="599">
                  <v>-61.2783687165834</v>
                </pt>
                <pt idx="600">
                  <v>-63.92373820755865</v>
                </pt>
              </numCache>
            </numRef>
          </yVal>
          <smooth val="0"/>
        </ser>
        <dLbls>
          <showLegendKey val="0"/>
          <showVal val="0"/>
          <showCatName val="0"/>
          <showSerName val="0"/>
          <showPercent val="0"/>
          <showBubbleSize val="0"/>
        </dLbls>
        <axId val="235397888"/>
        <axId val="235399808"/>
      </scatterChart>
      <scatterChart>
        <scatterStyle val="lineMarker"/>
        <varyColors val="0"/>
        <ser>
          <idx val="1"/>
          <order val="1"/>
          <tx>
            <strRef>
              <f>'Stability Calculations'!$W$12</f>
              <strCache>
                <ptCount val="1"/>
                <pt idx="0">
                  <v>Phase Margin (°)</v>
                </pt>
              </strCache>
            </strRef>
          </tx>
          <spPr>
            <a:ln xmlns:a="http://schemas.openxmlformats.org/drawingml/2006/main" w="25400">
              <a:solidFill>
                <a:srgbClr val="0000FF"/>
              </a:solidFill>
              <a:prstDash val="solid"/>
            </a:ln>
          </spPr>
          <marker>
            <symbol val="none"/>
            <spPr>
              <a:ln xmlns:a="http://schemas.openxmlformats.org/drawingml/2006/main">
                <a:prstDash val="solid"/>
              </a:ln>
            </spPr>
          </marker>
          <xVal>
            <numRef>
              <f>'Stability Calculations'!$A$13:$A$613</f>
              <numCache>
                <formatCode>General</formatCode>
                <ptCount val="601"/>
                <pt idx="0">
                  <v>1</v>
                </pt>
                <pt idx="1">
                  <v>1.0965</v>
                </pt>
                <pt idx="2">
                  <v>1.2023</v>
                </pt>
                <pt idx="3">
                  <v>1.3183</v>
                </pt>
                <pt idx="4">
                  <v>1.4454</v>
                </pt>
                <pt idx="5">
                  <v>1.5849</v>
                </pt>
                <pt idx="6">
                  <v>1.7378</v>
                </pt>
                <pt idx="7">
                  <v>1.9055</v>
                </pt>
                <pt idx="8">
                  <v>2.0893</v>
                </pt>
                <pt idx="9">
                  <v>2.2909</v>
                </pt>
                <pt idx="10">
                  <v>2.5119</v>
                </pt>
                <pt idx="11">
                  <v>2.7542</v>
                </pt>
                <pt idx="12">
                  <v>3.02</v>
                </pt>
                <pt idx="13">
                  <v>3.3113</v>
                </pt>
                <pt idx="14">
                  <v>3.6308</v>
                </pt>
                <pt idx="15">
                  <v>3.9811</v>
                </pt>
                <pt idx="16">
                  <v>4.3652</v>
                </pt>
                <pt idx="17">
                  <v>4.7863</v>
                </pt>
                <pt idx="18">
                  <v>5.2481</v>
                </pt>
                <pt idx="19">
                  <v>5.7544</v>
                </pt>
                <pt idx="20">
                  <v>6.3096</v>
                </pt>
                <pt idx="21">
                  <v>6.9183</v>
                </pt>
                <pt idx="22">
                  <v>7.5858</v>
                </pt>
                <pt idx="23">
                  <v>8.317600000000001</v>
                </pt>
                <pt idx="24">
                  <v>9.120100000000001</v>
                </pt>
                <pt idx="25">
                  <v>10</v>
                </pt>
                <pt idx="26">
                  <v>10.965</v>
                </pt>
                <pt idx="27">
                  <v>12.023</v>
                </pt>
                <pt idx="28">
                  <v>13.183</v>
                </pt>
                <pt idx="29">
                  <v>14.454</v>
                </pt>
                <pt idx="30">
                  <v>15.849</v>
                </pt>
                <pt idx="31">
                  <v>17.378</v>
                </pt>
                <pt idx="32">
                  <v>19.055</v>
                </pt>
                <pt idx="33">
                  <v>20.893</v>
                </pt>
                <pt idx="34">
                  <v>22.909</v>
                </pt>
                <pt idx="35">
                  <v>25.119</v>
                </pt>
                <pt idx="36">
                  <v>27.542</v>
                </pt>
                <pt idx="37">
                  <v>30.2</v>
                </pt>
                <pt idx="38">
                  <v>33.113</v>
                </pt>
                <pt idx="39">
                  <v>36.308</v>
                </pt>
                <pt idx="40">
                  <v>39.811</v>
                </pt>
                <pt idx="41">
                  <v>43.652</v>
                </pt>
                <pt idx="42">
                  <v>47.863</v>
                </pt>
                <pt idx="43">
                  <v>52.481</v>
                </pt>
                <pt idx="44">
                  <v>57.544</v>
                </pt>
                <pt idx="45">
                  <v>63.096</v>
                </pt>
                <pt idx="46">
                  <v>69.18300000000001</v>
                </pt>
                <pt idx="47">
                  <v>75.858</v>
                </pt>
                <pt idx="48">
                  <v>83.176</v>
                </pt>
                <pt idx="49">
                  <v>91.20100000000001</v>
                </pt>
                <pt idx="50">
                  <v>100</v>
                </pt>
                <pt idx="51">
                  <v>109.65</v>
                </pt>
                <pt idx="52">
                  <v>120.23</v>
                </pt>
                <pt idx="53">
                  <v>131.83</v>
                </pt>
                <pt idx="54">
                  <v>144.54</v>
                </pt>
                <pt idx="55">
                  <v>158.49</v>
                </pt>
                <pt idx="56">
                  <v>173.78</v>
                </pt>
                <pt idx="57">
                  <v>190.55</v>
                </pt>
                <pt idx="58">
                  <v>208.93</v>
                </pt>
                <pt idx="59">
                  <v>229.09</v>
                </pt>
                <pt idx="60">
                  <v>251.19</v>
                </pt>
                <pt idx="61">
                  <v>275.42</v>
                </pt>
                <pt idx="62">
                  <v>302</v>
                </pt>
                <pt idx="63">
                  <v>331.13</v>
                </pt>
                <pt idx="64">
                  <v>363.08</v>
                </pt>
                <pt idx="65">
                  <v>398.11</v>
                </pt>
                <pt idx="66">
                  <v>436.52</v>
                </pt>
                <pt idx="67">
                  <v>478.63</v>
                </pt>
                <pt idx="68">
                  <v>524.8099999999999</v>
                </pt>
                <pt idx="69">
                  <v>575.4400000000001</v>
                </pt>
                <pt idx="70">
                  <v>630.96</v>
                </pt>
                <pt idx="71">
                  <v>691.83</v>
                </pt>
                <pt idx="72">
                  <v>758.58</v>
                </pt>
                <pt idx="73">
                  <v>831.76</v>
                </pt>
                <pt idx="74">
                  <v>912.01</v>
                </pt>
                <pt idx="75">
                  <v>1000</v>
                </pt>
                <pt idx="76">
                  <v>1096.5</v>
                </pt>
                <pt idx="77">
                  <v>1202.3</v>
                </pt>
                <pt idx="78">
                  <v>1318.3</v>
                </pt>
                <pt idx="79">
                  <v>1445.4</v>
                </pt>
                <pt idx="80">
                  <v>1584.9</v>
                </pt>
                <pt idx="81">
                  <v>1737.8</v>
                </pt>
                <pt idx="82">
                  <v>1905.5</v>
                </pt>
                <pt idx="83">
                  <v>2089.3</v>
                </pt>
                <pt idx="84">
                  <v>2290.9</v>
                </pt>
                <pt idx="85">
                  <v>2511.9</v>
                </pt>
                <pt idx="86">
                  <v>2754.2</v>
                </pt>
                <pt idx="87">
                  <v>3020</v>
                </pt>
                <pt idx="88">
                  <v>3311.3</v>
                </pt>
                <pt idx="89">
                  <v>3630.8</v>
                </pt>
                <pt idx="90">
                  <v>3981.1</v>
                </pt>
                <pt idx="91">
                  <v>4365.2</v>
                </pt>
                <pt idx="92">
                  <v>4786.3</v>
                </pt>
                <pt idx="93">
                  <v>5248.1</v>
                </pt>
                <pt idx="94">
                  <v>5370.3</v>
                </pt>
                <pt idx="95">
                  <v>5432.85</v>
                </pt>
                <pt idx="96">
                  <v>5495.4</v>
                </pt>
                <pt idx="97">
                  <v>5559.4</v>
                </pt>
                <pt idx="98">
                  <v>5623.4</v>
                </pt>
                <pt idx="99">
                  <v>5688.9</v>
                </pt>
                <pt idx="100">
                  <v>5754.4</v>
                </pt>
                <pt idx="101">
                  <v>5821.4</v>
                </pt>
                <pt idx="102">
                  <v>5888.4</v>
                </pt>
                <pt idx="103">
                  <v>5957</v>
                </pt>
                <pt idx="104">
                  <v>6025.6</v>
                </pt>
                <pt idx="105">
                  <v>6095.8</v>
                </pt>
                <pt idx="106">
                  <v>6166</v>
                </pt>
                <pt idx="107">
                  <v>6237.8</v>
                </pt>
                <pt idx="108">
                  <v>6309.6</v>
                </pt>
                <pt idx="109">
                  <v>6383.05</v>
                </pt>
                <pt idx="110">
                  <v>6456.5</v>
                </pt>
                <pt idx="111">
                  <v>6531.7</v>
                </pt>
                <pt idx="112">
                  <v>6606.9</v>
                </pt>
                <pt idx="113">
                  <v>6683.85</v>
                </pt>
                <pt idx="114">
                  <v>6760.8</v>
                </pt>
                <pt idx="115">
                  <v>6839.55</v>
                </pt>
                <pt idx="116">
                  <v>6918.3</v>
                </pt>
                <pt idx="117">
                  <v>6998.9</v>
                </pt>
                <pt idx="118">
                  <v>7079.5</v>
                </pt>
                <pt idx="119">
                  <v>7161.95</v>
                </pt>
                <pt idx="120">
                  <v>7244.4</v>
                </pt>
                <pt idx="121">
                  <v>7328.75</v>
                </pt>
                <pt idx="122">
                  <v>7413.1</v>
                </pt>
                <pt idx="123">
                  <v>7499.45</v>
                </pt>
                <pt idx="124">
                  <v>7585.8</v>
                </pt>
                <pt idx="125">
                  <v>7674.15</v>
                </pt>
                <pt idx="126">
                  <v>7762.5</v>
                </pt>
                <pt idx="127">
                  <v>7852.9</v>
                </pt>
                <pt idx="128">
                  <v>7943.3</v>
                </pt>
                <pt idx="129">
                  <v>8035.8</v>
                </pt>
                <pt idx="130">
                  <v>8128.3</v>
                </pt>
                <pt idx="131">
                  <v>8222.950000000001</v>
                </pt>
                <pt idx="132">
                  <v>8270.275000000001</v>
                </pt>
                <pt idx="133">
                  <v>8317.6</v>
                </pt>
                <pt idx="134">
                  <v>8366.049999999999</v>
                </pt>
                <pt idx="135">
                  <v>8414.5</v>
                </pt>
                <pt idx="136">
                  <v>8462.950000000001</v>
                </pt>
                <pt idx="137">
                  <v>8511.4</v>
                </pt>
                <pt idx="138">
                  <v>8560.950000000001</v>
                </pt>
                <pt idx="139">
                  <v>8610.5</v>
                </pt>
                <pt idx="140">
                  <v>8660.049999999999</v>
                </pt>
                <pt idx="141">
                  <v>8709.6</v>
                </pt>
                <pt idx="142">
                  <v>8760.325000000001</v>
                </pt>
                <pt idx="143">
                  <v>8811.049999999999</v>
                </pt>
                <pt idx="144">
                  <v>8861.775</v>
                </pt>
                <pt idx="145">
                  <v>8912.5</v>
                </pt>
                <pt idx="146">
                  <v>8964.4</v>
                </pt>
                <pt idx="147">
                  <v>9016.299999999999</v>
                </pt>
                <pt idx="148">
                  <v>9068.200000000001</v>
                </pt>
                <pt idx="149">
                  <v>9120.1</v>
                </pt>
                <pt idx="150">
                  <v>9173.200000000001</v>
                </pt>
                <pt idx="151">
                  <v>9226.299999999999</v>
                </pt>
                <pt idx="152">
                  <v>9279.4</v>
                </pt>
                <pt idx="153">
                  <v>9332.5</v>
                </pt>
                <pt idx="154">
                  <v>9386.85</v>
                </pt>
                <pt idx="155">
                  <v>9441.200000000001</v>
                </pt>
                <pt idx="156">
                  <v>9495.549999999999</v>
                </pt>
                <pt idx="157">
                  <v>9549.9</v>
                </pt>
                <pt idx="158">
                  <v>9605.525</v>
                </pt>
                <pt idx="159">
                  <v>9661.15</v>
                </pt>
                <pt idx="160">
                  <v>9716.775</v>
                </pt>
                <pt idx="161">
                  <v>9772.4</v>
                </pt>
                <pt idx="162">
                  <v>9829.299999999999</v>
                </pt>
                <pt idx="163">
                  <v>9886.200000000001</v>
                </pt>
                <pt idx="164">
                  <v>9943.1</v>
                </pt>
                <pt idx="165">
                  <v>10000</v>
                </pt>
                <pt idx="166">
                  <v>10058.25</v>
                </pt>
                <pt idx="167">
                  <v>10116.5</v>
                </pt>
                <pt idx="168">
                  <v>10174.75</v>
                </pt>
                <pt idx="169">
                  <v>10233</v>
                </pt>
                <pt idx="170">
                  <v>10292.5</v>
                </pt>
                <pt idx="171">
                  <v>10352</v>
                </pt>
                <pt idx="172">
                  <v>10411.5</v>
                </pt>
                <pt idx="173">
                  <v>10471</v>
                </pt>
                <pt idx="174">
                  <v>10532</v>
                </pt>
                <pt idx="175">
                  <v>10593</v>
                </pt>
                <pt idx="176">
                  <v>10654</v>
                </pt>
                <pt idx="177">
                  <v>10715</v>
                </pt>
                <pt idx="178">
                  <v>10777.5</v>
                </pt>
                <pt idx="179">
                  <v>10840</v>
                </pt>
                <pt idx="180">
                  <v>10902.5</v>
                </pt>
                <pt idx="181">
                  <v>10965</v>
                </pt>
                <pt idx="182">
                  <v>11028.75</v>
                </pt>
                <pt idx="183">
                  <v>11092.5</v>
                </pt>
                <pt idx="184">
                  <v>11156.25</v>
                </pt>
                <pt idx="185">
                  <v>11220</v>
                </pt>
                <pt idx="186">
                  <v>11285.5</v>
                </pt>
                <pt idx="187">
                  <v>11351</v>
                </pt>
                <pt idx="188">
                  <v>11416.5</v>
                </pt>
                <pt idx="189">
                  <v>11482</v>
                </pt>
                <pt idx="190">
                  <v>11548.75</v>
                </pt>
                <pt idx="191">
                  <v>11615.5</v>
                </pt>
                <pt idx="192">
                  <v>11682.25</v>
                </pt>
                <pt idx="193">
                  <v>11749</v>
                </pt>
                <pt idx="194">
                  <v>11817.5</v>
                </pt>
                <pt idx="195">
                  <v>11886</v>
                </pt>
                <pt idx="196">
                  <v>11954.5</v>
                </pt>
                <pt idx="197">
                  <v>12023</v>
                </pt>
                <pt idx="198">
                  <v>12093</v>
                </pt>
                <pt idx="199">
                  <v>12163</v>
                </pt>
                <pt idx="200">
                  <v>12233</v>
                </pt>
                <pt idx="201">
                  <v>12303</v>
                </pt>
                <pt idx="202">
                  <v>12374.5</v>
                </pt>
                <pt idx="203">
                  <v>12446</v>
                </pt>
                <pt idx="204">
                  <v>12517.5</v>
                </pt>
                <pt idx="205">
                  <v>12589</v>
                </pt>
                <pt idx="206">
                  <v>12662.25</v>
                </pt>
                <pt idx="207">
                  <v>12735.5</v>
                </pt>
                <pt idx="208">
                  <v>12808.75</v>
                </pt>
                <pt idx="209">
                  <v>12882</v>
                </pt>
                <pt idx="210">
                  <v>12957.25</v>
                </pt>
                <pt idx="211">
                  <v>13032.5</v>
                </pt>
                <pt idx="212">
                  <v>13107.75</v>
                </pt>
                <pt idx="213">
                  <v>13183</v>
                </pt>
                <pt idx="214">
                  <v>13259.75</v>
                </pt>
                <pt idx="215">
                  <v>13336.5</v>
                </pt>
                <pt idx="216">
                  <v>13413.25</v>
                </pt>
                <pt idx="217">
                  <v>13490</v>
                </pt>
                <pt idx="218">
                  <v>13568.5</v>
                </pt>
                <pt idx="219">
                  <v>13647</v>
                </pt>
                <pt idx="220">
                  <v>13725.5</v>
                </pt>
                <pt idx="221">
                  <v>13804</v>
                </pt>
                <pt idx="222">
                  <v>13884.25</v>
                </pt>
                <pt idx="223">
                  <v>13964.5</v>
                </pt>
                <pt idx="224">
                  <v>14044.75</v>
                </pt>
                <pt idx="225">
                  <v>14125</v>
                </pt>
                <pt idx="226">
                  <v>14207.25</v>
                </pt>
                <pt idx="227">
                  <v>14289.5</v>
                </pt>
                <pt idx="228">
                  <v>14371.75</v>
                </pt>
                <pt idx="229">
                  <v>14454</v>
                </pt>
                <pt idx="230">
                  <v>14622.5</v>
                </pt>
                <pt idx="231">
                  <v>14706.75</v>
                </pt>
                <pt idx="232">
                  <v>14791</v>
                </pt>
                <pt idx="233">
                  <v>14877.25</v>
                </pt>
                <pt idx="234">
                  <v>14963.5</v>
                </pt>
                <pt idx="235">
                  <v>15049.75</v>
                </pt>
                <pt idx="236">
                  <v>15136</v>
                </pt>
                <pt idx="237">
                  <v>15224</v>
                </pt>
                <pt idx="238">
                  <v>15312</v>
                </pt>
                <pt idx="239">
                  <v>15400</v>
                </pt>
                <pt idx="240">
                  <v>15488</v>
                </pt>
                <pt idx="241">
                  <v>15578.25</v>
                </pt>
                <pt idx="242">
                  <v>15668.5</v>
                </pt>
                <pt idx="243">
                  <v>15758.75</v>
                </pt>
                <pt idx="244">
                  <v>15849</v>
                </pt>
                <pt idx="245">
                  <v>15941.25</v>
                </pt>
                <pt idx="246">
                  <v>16033.5</v>
                </pt>
                <pt idx="247">
                  <v>16125.75</v>
                </pt>
                <pt idx="248">
                  <v>16218</v>
                </pt>
                <pt idx="249">
                  <v>16312.5</v>
                </pt>
                <pt idx="250">
                  <v>16407</v>
                </pt>
                <pt idx="251">
                  <v>16501.5</v>
                </pt>
                <pt idx="252">
                  <v>16596</v>
                </pt>
                <pt idx="253">
                  <v>16692.5</v>
                </pt>
                <pt idx="254">
                  <v>16789</v>
                </pt>
                <pt idx="255">
                  <v>16885.5</v>
                </pt>
                <pt idx="256">
                  <v>16982</v>
                </pt>
                <pt idx="257">
                  <v>17081</v>
                </pt>
                <pt idx="258">
                  <v>17180</v>
                </pt>
                <pt idx="259">
                  <v>17279</v>
                </pt>
                <pt idx="260">
                  <v>17378</v>
                </pt>
                <pt idx="261">
                  <v>17479.25</v>
                </pt>
                <pt idx="262">
                  <v>17580.5</v>
                </pt>
                <pt idx="263">
                  <v>17681.75</v>
                </pt>
                <pt idx="264">
                  <v>17783</v>
                </pt>
                <pt idx="265">
                  <v>17886.5</v>
                </pt>
                <pt idx="266">
                  <v>17990</v>
                </pt>
                <pt idx="267">
                  <v>18093.5</v>
                </pt>
                <pt idx="268">
                  <v>18197</v>
                </pt>
                <pt idx="269">
                  <v>18303</v>
                </pt>
                <pt idx="270">
                  <v>18409</v>
                </pt>
                <pt idx="271">
                  <v>18515</v>
                </pt>
                <pt idx="272">
                  <v>18621</v>
                </pt>
                <pt idx="273">
                  <v>18729.5</v>
                </pt>
                <pt idx="274">
                  <v>18838</v>
                </pt>
                <pt idx="275">
                  <v>18946.5</v>
                </pt>
                <pt idx="276">
                  <v>19055</v>
                </pt>
                <pt idx="277">
                  <v>19165.75</v>
                </pt>
                <pt idx="278">
                  <v>19276.5</v>
                </pt>
                <pt idx="279">
                  <v>19387.25</v>
                </pt>
                <pt idx="280">
                  <v>19498</v>
                </pt>
                <pt idx="281">
                  <v>19611.75</v>
                </pt>
                <pt idx="282">
                  <v>19725.5</v>
                </pt>
                <pt idx="283">
                  <v>19839.25</v>
                </pt>
                <pt idx="284">
                  <v>19953</v>
                </pt>
                <pt idx="285">
                  <v>20069</v>
                </pt>
                <pt idx="286">
                  <v>20185</v>
                </pt>
                <pt idx="287">
                  <v>20301</v>
                </pt>
                <pt idx="288">
                  <v>20417</v>
                </pt>
                <pt idx="289">
                  <v>20536</v>
                </pt>
                <pt idx="290">
                  <v>20655</v>
                </pt>
                <pt idx="291">
                  <v>20774</v>
                </pt>
                <pt idx="292">
                  <v>20893</v>
                </pt>
                <pt idx="293">
                  <v>21014.75</v>
                </pt>
                <pt idx="294">
                  <v>21136.5</v>
                </pt>
                <pt idx="295">
                  <v>21258.25</v>
                </pt>
                <pt idx="296">
                  <v>21380</v>
                </pt>
                <pt idx="297">
                  <v>21504.5</v>
                </pt>
                <pt idx="298">
                  <v>21629</v>
                </pt>
                <pt idx="299">
                  <v>21753.5</v>
                </pt>
                <pt idx="300">
                  <v>21878</v>
                </pt>
                <pt idx="301">
                  <v>22005.25</v>
                </pt>
                <pt idx="302">
                  <v>22132.5</v>
                </pt>
                <pt idx="303">
                  <v>22259.75</v>
                </pt>
                <pt idx="304">
                  <v>22387</v>
                </pt>
                <pt idx="305">
                  <v>22517.5</v>
                </pt>
                <pt idx="306">
                  <v>22648</v>
                </pt>
                <pt idx="307">
                  <v>22778.5</v>
                </pt>
                <pt idx="308">
                  <v>22909</v>
                </pt>
                <pt idx="309">
                  <v>23042.25</v>
                </pt>
                <pt idx="310">
                  <v>23175.5</v>
                </pt>
                <pt idx="311">
                  <v>23308.75</v>
                </pt>
                <pt idx="312">
                  <v>23442</v>
                </pt>
                <pt idx="313">
                  <v>23578.5</v>
                </pt>
                <pt idx="314">
                  <v>23715</v>
                </pt>
                <pt idx="315">
                  <v>23851.5</v>
                </pt>
                <pt idx="316">
                  <v>23988</v>
                </pt>
                <pt idx="317">
                  <v>24127.75</v>
                </pt>
                <pt idx="318">
                  <v>24267.5</v>
                </pt>
                <pt idx="319">
                  <v>24407.25</v>
                </pt>
                <pt idx="320">
                  <v>24547</v>
                </pt>
                <pt idx="321">
                  <v>24690</v>
                </pt>
                <pt idx="322">
                  <v>24833</v>
                </pt>
                <pt idx="323">
                  <v>24976</v>
                </pt>
                <pt idx="324">
                  <v>25119</v>
                </pt>
                <pt idx="325">
                  <v>25265.25</v>
                </pt>
                <pt idx="326">
                  <v>25411.5</v>
                </pt>
                <pt idx="327">
                  <v>25557.75</v>
                </pt>
                <pt idx="328">
                  <v>25704</v>
                </pt>
                <pt idx="329">
                  <v>25853.75</v>
                </pt>
                <pt idx="330">
                  <v>26003.5</v>
                </pt>
                <pt idx="331">
                  <v>26153.25</v>
                </pt>
                <pt idx="332">
                  <v>26303</v>
                </pt>
                <pt idx="333">
                  <v>26456</v>
                </pt>
                <pt idx="334">
                  <v>26609</v>
                </pt>
                <pt idx="335">
                  <v>26762</v>
                </pt>
                <pt idx="336">
                  <v>26915</v>
                </pt>
                <pt idx="337">
                  <v>27071.75</v>
                </pt>
                <pt idx="338">
                  <v>27228.5</v>
                </pt>
                <pt idx="339">
                  <v>27385.25</v>
                </pt>
                <pt idx="340">
                  <v>27542</v>
                </pt>
                <pt idx="341">
                  <v>27702.5</v>
                </pt>
                <pt idx="342">
                  <v>27863</v>
                </pt>
                <pt idx="343">
                  <v>28023.5</v>
                </pt>
                <pt idx="344">
                  <v>28184</v>
                </pt>
                <pt idx="345">
                  <v>28348</v>
                </pt>
                <pt idx="346">
                  <v>28512</v>
                </pt>
                <pt idx="347">
                  <v>28676</v>
                </pt>
                <pt idx="348">
                  <v>28840</v>
                </pt>
                <pt idx="349">
                  <v>29008</v>
                </pt>
                <pt idx="350">
                  <v>29176</v>
                </pt>
                <pt idx="351">
                  <v>29344</v>
                </pt>
                <pt idx="352">
                  <v>29512</v>
                </pt>
                <pt idx="353">
                  <v>29684</v>
                </pt>
                <pt idx="354">
                  <v>29856</v>
                </pt>
                <pt idx="355">
                  <v>30028</v>
                </pt>
                <pt idx="356">
                  <v>30200</v>
                </pt>
                <pt idx="357">
                  <v>30375.75</v>
                </pt>
                <pt idx="358">
                  <v>30551.5</v>
                </pt>
                <pt idx="359">
                  <v>30727.25</v>
                </pt>
                <pt idx="360">
                  <v>30903</v>
                </pt>
                <pt idx="361">
                  <v>31083</v>
                </pt>
                <pt idx="362">
                  <v>31263</v>
                </pt>
                <pt idx="363">
                  <v>31443</v>
                </pt>
                <pt idx="364">
                  <v>31623</v>
                </pt>
                <pt idx="365">
                  <v>31807</v>
                </pt>
                <pt idx="366">
                  <v>31991</v>
                </pt>
                <pt idx="367">
                  <v>32175</v>
                </pt>
                <pt idx="368">
                  <v>32359</v>
                </pt>
                <pt idx="369">
                  <v>32547.5</v>
                </pt>
                <pt idx="370">
                  <v>32736</v>
                </pt>
                <pt idx="371">
                  <v>32924.5</v>
                </pt>
                <pt idx="372">
                  <v>33113</v>
                </pt>
                <pt idx="373">
                  <v>33305.75</v>
                </pt>
                <pt idx="374">
                  <v>33498.5</v>
                </pt>
                <pt idx="375">
                  <v>33691.25</v>
                </pt>
                <pt idx="376">
                  <v>33884</v>
                </pt>
                <pt idx="377">
                  <v>34081.5</v>
                </pt>
                <pt idx="378">
                  <v>34279</v>
                </pt>
                <pt idx="379">
                  <v>34476.5</v>
                </pt>
                <pt idx="380">
                  <v>34674</v>
                </pt>
                <pt idx="381">
                  <v>34875.75</v>
                </pt>
                <pt idx="382">
                  <v>35077.5</v>
                </pt>
                <pt idx="383">
                  <v>35279.25</v>
                </pt>
                <pt idx="384">
                  <v>35481</v>
                </pt>
                <pt idx="385">
                  <v>35687.75</v>
                </pt>
                <pt idx="386">
                  <v>35894.5</v>
                </pt>
                <pt idx="387">
                  <v>36101.25</v>
                </pt>
                <pt idx="388">
                  <v>36308</v>
                </pt>
                <pt idx="389">
                  <v>36519.5</v>
                </pt>
                <pt idx="390">
                  <v>36731</v>
                </pt>
                <pt idx="391">
                  <v>36942.5</v>
                </pt>
                <pt idx="392">
                  <v>37154</v>
                </pt>
                <pt idx="393">
                  <v>37370.25</v>
                </pt>
                <pt idx="394">
                  <v>37586.5</v>
                </pt>
                <pt idx="395">
                  <v>37802.75</v>
                </pt>
                <pt idx="396">
                  <v>38019</v>
                </pt>
                <pt idx="397">
                  <v>38240.5</v>
                </pt>
                <pt idx="398">
                  <v>38462</v>
                </pt>
                <pt idx="399">
                  <v>38683.5</v>
                </pt>
                <pt idx="400">
                  <v>38905</v>
                </pt>
                <pt idx="401">
                  <v>39131.5</v>
                </pt>
                <pt idx="402">
                  <v>39358</v>
                </pt>
                <pt idx="403">
                  <v>39584.5</v>
                </pt>
                <pt idx="404">
                  <v>39811</v>
                </pt>
                <pt idx="405">
                  <v>40042.75</v>
                </pt>
                <pt idx="406">
                  <v>40274.5</v>
                </pt>
                <pt idx="407">
                  <v>40506.25</v>
                </pt>
                <pt idx="408">
                  <v>40738</v>
                </pt>
                <pt idx="409">
                  <v>40975.25</v>
                </pt>
                <pt idx="410">
                  <v>41212.5</v>
                </pt>
                <pt idx="411">
                  <v>41449.75</v>
                </pt>
                <pt idx="412">
                  <v>41687</v>
                </pt>
                <pt idx="413">
                  <v>41929.75</v>
                </pt>
                <pt idx="414">
                  <v>42172.5</v>
                </pt>
                <pt idx="415">
                  <v>42415.25</v>
                </pt>
                <pt idx="416">
                  <v>42658</v>
                </pt>
                <pt idx="417">
                  <v>42906.5</v>
                </pt>
                <pt idx="418">
                  <v>43155</v>
                </pt>
                <pt idx="419">
                  <v>43403.5</v>
                </pt>
                <pt idx="420">
                  <v>43652</v>
                </pt>
                <pt idx="421">
                  <v>43906</v>
                </pt>
                <pt idx="422">
                  <v>44160</v>
                </pt>
                <pt idx="423">
                  <v>44414</v>
                </pt>
                <pt idx="424">
                  <v>44668</v>
                </pt>
                <pt idx="425">
                  <v>44928.25</v>
                </pt>
                <pt idx="426">
                  <v>45188.5</v>
                </pt>
                <pt idx="427">
                  <v>45448.75</v>
                </pt>
                <pt idx="428">
                  <v>45709</v>
                </pt>
                <pt idx="429">
                  <v>45975.25</v>
                </pt>
                <pt idx="430">
                  <v>46241.5</v>
                </pt>
                <pt idx="431">
                  <v>46507.75</v>
                </pt>
                <pt idx="432">
                  <v>46774</v>
                </pt>
                <pt idx="433">
                  <v>47046.25</v>
                </pt>
                <pt idx="434">
                  <v>47318.5</v>
                </pt>
                <pt idx="435">
                  <v>47590.75</v>
                </pt>
                <pt idx="436">
                  <v>47863</v>
                </pt>
                <pt idx="437">
                  <v>48141.75</v>
                </pt>
                <pt idx="438">
                  <v>48420.5</v>
                </pt>
                <pt idx="439">
                  <v>48699.25</v>
                </pt>
                <pt idx="440">
                  <v>48978</v>
                </pt>
                <pt idx="441">
                  <v>49263.25</v>
                </pt>
                <pt idx="442">
                  <v>49548.5</v>
                </pt>
                <pt idx="443">
                  <v>49833.75</v>
                </pt>
                <pt idx="444">
                  <v>50119</v>
                </pt>
                <pt idx="445">
                  <v>50410.75</v>
                </pt>
                <pt idx="446">
                  <v>50702.5</v>
                </pt>
                <pt idx="447">
                  <v>50994.25</v>
                </pt>
                <pt idx="448">
                  <v>51286</v>
                </pt>
                <pt idx="449">
                  <v>51584.75</v>
                </pt>
                <pt idx="450">
                  <v>51883.5</v>
                </pt>
                <pt idx="451">
                  <v>52182.25</v>
                </pt>
                <pt idx="452">
                  <v>52481</v>
                </pt>
                <pt idx="453">
                  <v>52786.5</v>
                </pt>
                <pt idx="454">
                  <v>53092</v>
                </pt>
                <pt idx="455">
                  <v>53397.5</v>
                </pt>
                <pt idx="456">
                  <v>53703</v>
                </pt>
                <pt idx="457">
                  <v>54015.75</v>
                </pt>
                <pt idx="458">
                  <v>54328.5</v>
                </pt>
                <pt idx="459">
                  <v>54641.25</v>
                </pt>
                <pt idx="460">
                  <v>54954</v>
                </pt>
                <pt idx="461">
                  <v>55274</v>
                </pt>
                <pt idx="462">
                  <v>55594</v>
                </pt>
                <pt idx="463">
                  <v>55914</v>
                </pt>
                <pt idx="464">
                  <v>56234</v>
                </pt>
                <pt idx="465">
                  <v>56561.5</v>
                </pt>
                <pt idx="466">
                  <v>56889</v>
                </pt>
                <pt idx="467">
                  <v>57216.5</v>
                </pt>
                <pt idx="468">
                  <v>57544</v>
                </pt>
                <pt idx="469">
                  <v>57879</v>
                </pt>
                <pt idx="470">
                  <v>58214</v>
                </pt>
                <pt idx="471">
                  <v>58549</v>
                </pt>
                <pt idx="472">
                  <v>58884</v>
                </pt>
                <pt idx="473">
                  <v>59227</v>
                </pt>
                <pt idx="474">
                  <v>59570</v>
                </pt>
                <pt idx="475">
                  <v>59913</v>
                </pt>
                <pt idx="476">
                  <v>60256</v>
                </pt>
                <pt idx="477">
                  <v>60607</v>
                </pt>
                <pt idx="478">
                  <v>60958</v>
                </pt>
                <pt idx="479">
                  <v>61309</v>
                </pt>
                <pt idx="480">
                  <v>61660</v>
                </pt>
                <pt idx="481">
                  <v>62019</v>
                </pt>
                <pt idx="482">
                  <v>62378</v>
                </pt>
                <pt idx="483">
                  <v>62737</v>
                </pt>
                <pt idx="484">
                  <v>63096</v>
                </pt>
                <pt idx="485">
                  <v>63463.25</v>
                </pt>
                <pt idx="486">
                  <v>63830.5</v>
                </pt>
                <pt idx="487">
                  <v>64197.75</v>
                </pt>
                <pt idx="488">
                  <v>64565</v>
                </pt>
                <pt idx="489">
                  <v>64941</v>
                </pt>
                <pt idx="490">
                  <v>65317</v>
                </pt>
                <pt idx="491">
                  <v>65693</v>
                </pt>
                <pt idx="492">
                  <v>66069</v>
                </pt>
                <pt idx="493">
                  <v>66453.75</v>
                </pt>
                <pt idx="494">
                  <v>66838.5</v>
                </pt>
                <pt idx="495">
                  <v>67223.25</v>
                </pt>
                <pt idx="496">
                  <v>67608</v>
                </pt>
                <pt idx="497">
                  <v>68001.75</v>
                </pt>
                <pt idx="498">
                  <v>68395.5</v>
                </pt>
                <pt idx="499">
                  <v>68789.25</v>
                </pt>
                <pt idx="500">
                  <v>69183</v>
                </pt>
                <pt idx="501">
                  <v>69586</v>
                </pt>
                <pt idx="502">
                  <v>69989</v>
                </pt>
                <pt idx="503">
                  <v>70392</v>
                </pt>
                <pt idx="504">
                  <v>70795</v>
                </pt>
                <pt idx="505">
                  <v>71207.25</v>
                </pt>
                <pt idx="506">
                  <v>71619.5</v>
                </pt>
                <pt idx="507">
                  <v>72031.75</v>
                </pt>
                <pt idx="508">
                  <v>72444</v>
                </pt>
                <pt idx="509">
                  <v>72865.75</v>
                </pt>
                <pt idx="510">
                  <v>73287.5</v>
                </pt>
                <pt idx="511">
                  <v>73709.25</v>
                </pt>
                <pt idx="512">
                  <v>74131</v>
                </pt>
                <pt idx="513">
                  <v>74562.75</v>
                </pt>
                <pt idx="514">
                  <v>74994.5</v>
                </pt>
                <pt idx="515">
                  <v>75426.25</v>
                </pt>
                <pt idx="516">
                  <v>75858</v>
                </pt>
                <pt idx="517">
                  <v>76299.75</v>
                </pt>
                <pt idx="518">
                  <v>76741.5</v>
                </pt>
                <pt idx="519">
                  <v>77183.25</v>
                </pt>
                <pt idx="520">
                  <v>77625</v>
                </pt>
                <pt idx="521">
                  <v>78077</v>
                </pt>
                <pt idx="522">
                  <v>78529</v>
                </pt>
                <pt idx="523">
                  <v>78981</v>
                </pt>
                <pt idx="524">
                  <v>79433</v>
                </pt>
                <pt idx="525">
                  <v>79895.5</v>
                </pt>
                <pt idx="526">
                  <v>80358</v>
                </pt>
                <pt idx="527">
                  <v>80820.5</v>
                </pt>
                <pt idx="528">
                  <v>81283</v>
                </pt>
                <pt idx="529">
                  <v>81756.25</v>
                </pt>
                <pt idx="530">
                  <v>82229.5</v>
                </pt>
                <pt idx="531">
                  <v>82702.75</v>
                </pt>
                <pt idx="532">
                  <v>83176</v>
                </pt>
                <pt idx="533">
                  <v>83660.5</v>
                </pt>
                <pt idx="534">
                  <v>84145</v>
                </pt>
                <pt idx="535">
                  <v>84629.5</v>
                </pt>
                <pt idx="536">
                  <v>85114</v>
                </pt>
                <pt idx="537">
                  <v>85609.5</v>
                </pt>
                <pt idx="538">
                  <v>86105</v>
                </pt>
                <pt idx="539">
                  <v>86600.5</v>
                </pt>
                <pt idx="540">
                  <v>87096</v>
                </pt>
                <pt idx="541">
                  <v>87603.25</v>
                </pt>
                <pt idx="542">
                  <v>88110.5</v>
                </pt>
                <pt idx="543">
                  <v>88617.75</v>
                </pt>
                <pt idx="544">
                  <v>89125</v>
                </pt>
                <pt idx="545">
                  <v>89644</v>
                </pt>
                <pt idx="546">
                  <v>90163</v>
                </pt>
                <pt idx="547">
                  <v>90682</v>
                </pt>
                <pt idx="548">
                  <v>91201</v>
                </pt>
                <pt idx="549">
                  <v>91732</v>
                </pt>
                <pt idx="550">
                  <v>92263</v>
                </pt>
                <pt idx="551">
                  <v>92794</v>
                </pt>
                <pt idx="552">
                  <v>93325</v>
                </pt>
                <pt idx="553">
                  <v>93868.5</v>
                </pt>
                <pt idx="554">
                  <v>94412</v>
                </pt>
                <pt idx="555">
                  <v>94955.5</v>
                </pt>
                <pt idx="556">
                  <v>95499</v>
                </pt>
                <pt idx="557">
                  <v>96611.5</v>
                </pt>
                <pt idx="558">
                  <v>97724</v>
                </pt>
                <pt idx="559">
                  <v>98862</v>
                </pt>
                <pt idx="560">
                  <v>100000</v>
                </pt>
                <pt idx="561">
                  <v>101165</v>
                </pt>
                <pt idx="562">
                  <v>102330</v>
                </pt>
                <pt idx="563">
                  <v>103520</v>
                </pt>
                <pt idx="564">
                  <v>104710</v>
                </pt>
                <pt idx="565">
                  <v>105930</v>
                </pt>
                <pt idx="566">
                  <v>107150</v>
                </pt>
                <pt idx="567">
                  <v>108400</v>
                </pt>
                <pt idx="568">
                  <v>109650</v>
                </pt>
                <pt idx="569">
                  <v>110925</v>
                </pt>
                <pt idx="570">
                  <v>112200</v>
                </pt>
                <pt idx="571">
                  <v>113510</v>
                </pt>
                <pt idx="572">
                  <v>114820</v>
                </pt>
                <pt idx="573">
                  <v>116155</v>
                </pt>
                <pt idx="574">
                  <v>117490</v>
                </pt>
                <pt idx="575">
                  <v>118860</v>
                </pt>
                <pt idx="576">
                  <v>120230</v>
                </pt>
                <pt idx="577">
                  <v>126030</v>
                </pt>
                <pt idx="578">
                  <v>131830</v>
                </pt>
                <pt idx="579">
                  <v>144540</v>
                </pt>
                <pt idx="580">
                  <v>158490</v>
                </pt>
                <pt idx="581">
                  <v>173780</v>
                </pt>
                <pt idx="582">
                  <v>190550</v>
                </pt>
                <pt idx="583">
                  <v>208930</v>
                </pt>
                <pt idx="584">
                  <v>229090</v>
                </pt>
                <pt idx="585">
                  <v>251190</v>
                </pt>
                <pt idx="586">
                  <v>275420</v>
                </pt>
                <pt idx="587">
                  <v>302000</v>
                </pt>
                <pt idx="588">
                  <v>331130</v>
                </pt>
                <pt idx="589">
                  <v>363080</v>
                </pt>
                <pt idx="590">
                  <v>398110</v>
                </pt>
                <pt idx="591">
                  <v>436520</v>
                </pt>
                <pt idx="592">
                  <v>478630</v>
                </pt>
                <pt idx="593">
                  <v>524810</v>
                </pt>
                <pt idx="594">
                  <v>575440</v>
                </pt>
                <pt idx="595">
                  <v>630960</v>
                </pt>
                <pt idx="596">
                  <v>691830</v>
                </pt>
                <pt idx="597">
                  <v>758580</v>
                </pt>
                <pt idx="598">
                  <v>831760</v>
                </pt>
                <pt idx="599">
                  <v>912010</v>
                </pt>
                <pt idx="600">
                  <v>1000000</v>
                </pt>
              </numCache>
            </numRef>
          </xVal>
          <yVal>
            <numRef>
              <f>'Stability Calculations'!$V$13:$V$613</f>
              <numCache>
                <formatCode>0.00</formatCode>
                <ptCount val="601"/>
                <pt idx="0">
                  <v>-31.17761135403498</v>
                </pt>
                <pt idx="1">
                  <v>-33.56727364715405</v>
                </pt>
                <pt idx="2">
                  <v>-36.04453429037301</v>
                </pt>
                <pt idx="3">
                  <v>-38.59378562557929</v>
                </pt>
                <pt idx="4">
                  <v>-41.19506008425219</v>
                </pt>
                <pt idx="5">
                  <v>-43.83237381137496</v>
                </pt>
                <pt idx="6">
                  <v>-46.48033878335957</v>
                </pt>
                <pt idx="7">
                  <v>-49.11856144656736</v>
                </pt>
                <pt idx="8">
                  <v>-51.72347854903069</v>
                </pt>
                <pt idx="9">
                  <v>-54.27677934252318</v>
                </pt>
                <pt idx="10">
                  <v>-56.75881851515003</v>
                </pt>
                <pt idx="11">
                  <v>-59.15448754796392</v>
                </pt>
                <pt idx="12">
                  <v>-61.45250678751772</v>
                </pt>
                <pt idx="13">
                  <v>-63.64130247333482</v>
                </pt>
                <pt idx="14">
                  <v>-65.71631862917486</v>
                </pt>
                <pt idx="15">
                  <v>-67.6731947641283</v>
                </pt>
                <pt idx="16">
                  <v>-69.51105922860768</v>
                </pt>
                <pt idx="17">
                  <v>-71.23073103673313</v>
                </pt>
                <pt idx="18">
                  <v>-72.83546756782745</v>
                </pt>
                <pt idx="19">
                  <v>-74.32891656855803</v>
                </pt>
                <pt idx="20">
                  <v>-75.71644857279811</v>
                </pt>
                <pt idx="21">
                  <v>-77.00353623296947</v>
                </pt>
                <pt idx="22">
                  <v>-78.19664348899643</v>
                </pt>
                <pt idx="23">
                  <v>-79.30190089277839</v>
                </pt>
                <pt idx="24">
                  <v>-80.32609181609998</v>
                </pt>
                <pt idx="25">
                  <v>-81.27550618246727</v>
                </pt>
                <pt idx="26">
                  <v>-82.15668172082694</v>
                </pt>
                <pt idx="27">
                  <v>-82.97547975596997</v>
                </pt>
                <pt idx="28">
                  <v>-83.73787859248729</v>
                </pt>
                <pt idx="29">
                  <v>-84.44914996449872</v>
                </pt>
                <pt idx="30">
                  <v>-85.11591388788247</v>
                </pt>
                <pt idx="31">
                  <v>-85.74239419974772</v>
                </pt>
                <pt idx="32">
                  <v>-86.33398905756644</v>
                </pt>
                <pt idx="33">
                  <v>-86.89503125912258</v>
                </pt>
                <pt idx="34">
                  <v>-87.43050962936557</v>
                </pt>
                <pt idx="35">
                  <v>-87.94449594742977</v>
                </pt>
                <pt idx="36">
                  <v>-88.4413067891287</v>
                </pt>
                <pt idx="37">
                  <v>-88.92530855406028</v>
                </pt>
                <pt idx="38">
                  <v>-89.40005181217883</v>
                </pt>
                <pt idx="39">
                  <v>-89.86986487003671</v>
                </pt>
                <pt idx="40">
                  <v>-90.33846965797231</v>
                </pt>
                <pt idx="41">
                  <v>-90.80979328695902</v>
                </pt>
                <pt idx="42">
                  <v>-91.28766732449535</v>
                </pt>
                <pt idx="43">
                  <v>-91.77616702928249</v>
                </pt>
                <pt idx="44">
                  <v>-92.27915850689662</v>
                </pt>
                <pt idx="45">
                  <v>-92.80082232953561</v>
                </pt>
                <pt idx="46">
                  <v>-93.34523559162167</v>
                </pt>
                <pt idx="47">
                  <v>-93.91682042431886</v>
                </pt>
                <pt idx="48">
                  <v>-94.51987383032811</v>
                </pt>
                <pt idx="49">
                  <v>-95.15913112926933</v>
                </pt>
                <pt idx="50">
                  <v>-95.83922355787602</v>
                </pt>
                <pt idx="51">
                  <v>-96.56518084480929</v>
                </pt>
                <pt idx="52">
                  <v>-97.34175018731911</v>
                </pt>
                <pt idx="53">
                  <v>-98.17399230576548</v>
                </pt>
                <pt idx="54">
                  <v>-99.06637840466801</v>
                </pt>
                <pt idx="55">
                  <v>-100.0254334527672</v>
                </pt>
                <pt idx="56">
                  <v>-101.0546777556971</v>
                </pt>
                <pt idx="57">
                  <v>-102.1592611495206</v>
                </pt>
                <pt idx="58">
                  <v>-103.3423050192464</v>
                </pt>
                <pt idx="59">
                  <v>-104.6078579708298</v>
                </pt>
                <pt idx="60">
                  <v>-105.9572951918971</v>
                </pt>
                <pt idx="61">
                  <v>-107.3914442496255</v>
                </pt>
                <pt idx="62">
                  <v>-108.9099882017761</v>
                </pt>
                <pt idx="63">
                  <v>-110.5081355194883</v>
                </pt>
                <pt idx="64">
                  <v>-112.1811991011579</v>
                </pt>
                <pt idx="65">
                  <v>-113.9196424577005</v>
                </pt>
                <pt idx="66">
                  <v>-115.7114156621261</v>
                </pt>
                <pt idx="67">
                  <v>-117.5406592271607</v>
                </pt>
                <pt idx="68">
                  <v>-119.3889251613651</v>
                </pt>
                <pt idx="69">
                  <v>-121.2336092999641</v>
                </pt>
                <pt idx="70">
                  <v>-123.050325378284</v>
                </pt>
                <pt idx="71">
                  <v>-124.8120224298328</v>
                </pt>
                <pt idx="72">
                  <v>-126.4913496652517</v>
                </pt>
                <pt idx="73">
                  <v>-128.0601256479011</v>
                </pt>
                <pt idx="74">
                  <v>-129.4919455997945</v>
                </pt>
                <pt idx="75">
                  <v>-130.7616802770587</v>
                </pt>
                <pt idx="76">
                  <v>-131.847423312014</v>
                </pt>
                <pt idx="77">
                  <v>-132.7300346522794</v>
                </pt>
                <pt idx="78">
                  <v>-133.3947027511036</v>
                </pt>
                <pt idx="79">
                  <v>-133.8305559090604</v>
                </pt>
                <pt idx="80">
                  <v>-134.0318722807965</v>
                </pt>
                <pt idx="81">
                  <v>-133.9962721915206</v>
                </pt>
                <pt idx="82">
                  <v>-133.7263893004646</v>
                </pt>
                <pt idx="83">
                  <v>-133.2295662042387</v>
                </pt>
                <pt idx="84">
                  <v>-132.5169552285528</v>
                </pt>
                <pt idx="85">
                  <v>-131.6046565148896</v>
                </pt>
                <pt idx="86">
                  <v>-130.5122966870344</v>
                </pt>
                <pt idx="87">
                  <v>-129.2623747038951</v>
                </pt>
                <pt idx="88">
                  <v>-127.8821459906381</v>
                </pt>
                <pt idx="89">
                  <v>-126.3986879682291</v>
                </pt>
                <pt idx="90">
                  <v>-124.8418374089255</v>
                </pt>
                <pt idx="91">
                  <v>-123.240942782543</v>
                </pt>
                <pt idx="92">
                  <v>-121.6248758860808</v>
                </pt>
                <pt idx="93">
                  <v>-120.0200971563663</v>
                </pt>
                <pt idx="94">
                  <v>-119.6238025469654</v>
                </pt>
                <pt idx="95">
                  <v>-119.4253979142419</v>
                </pt>
                <pt idx="96">
                  <v>-119.2299601077099</v>
                </pt>
                <pt idx="97">
                  <v>-119.0330272880909</v>
                </pt>
                <pt idx="98">
                  <v>-118.8391280027231</v>
                </pt>
                <pt idx="99">
                  <v>-118.6437858292175</v>
                </pt>
                <pt idx="100">
                  <v>-118.4515404369244</v>
                </pt>
                <pt idx="101">
                  <v>-118.2580530951711</v>
                </pt>
                <pt idx="102">
                  <v>-118.0677175601052</v>
                </pt>
                <pt idx="103">
                  <v>-117.876055069239</v>
                </pt>
                <pt idx="104">
                  <v>-117.6876005419707</v>
                </pt>
                <pt idx="105">
                  <v>-117.4980206570507</v>
                </pt>
                <pt idx="106">
                  <v>-117.3116965695031</v>
                </pt>
                <pt idx="107">
                  <v>-117.1244392261247</v>
                </pt>
                <pt idx="108">
                  <v>-116.9404773162591</v>
                </pt>
                <pt idx="109">
                  <v>-116.7556399169752</v>
                </pt>
                <pt idx="110">
                  <v>-116.5741340703781</v>
                </pt>
                <pt idx="111">
                  <v>-116.3916941358368</v>
                </pt>
                <pt idx="112">
                  <v>-116.2126227608461</v>
                </pt>
                <pt idx="113">
                  <v>-116.0328069519874</v>
                </pt>
                <pt idx="114">
                  <v>-115.8563885450146</v>
                </pt>
                <pt idx="115">
                  <v>-115.6792937147048</v>
                </pt>
                <pt idx="116">
                  <v>-115.5056215194471</v>
                </pt>
                <pt idx="117">
                  <v>-115.3313435756286</v>
                </pt>
                <pt idx="118">
                  <v>-115.1605098759489</v>
                </pt>
                <pt idx="119">
                  <v>-114.9892461972997</v>
                </pt>
                <pt idx="120">
                  <v>-114.8214405900944</v>
                </pt>
                <pt idx="121">
                  <v>-114.6532715818293</v>
                </pt>
                <pt idx="122">
                  <v>-114.4885710970503</v>
                </pt>
                <pt idx="123">
                  <v>-114.323481032763</v>
                </pt>
                <pt idx="124">
                  <v>-114.1618705764054</v>
                </pt>
                <pt idx="125">
                  <v>-114.0000390082524</v>
                </pt>
                <pt idx="126">
                  <v>-113.8416906522815</v>
                </pt>
                <pt idx="127">
                  <v>-113.6831921863386</v>
                </pt>
                <pt idx="128">
                  <v>-113.5281772564495</v>
                </pt>
                <pt idx="129">
                  <v>-113.3730841082039</v>
                </pt>
                <pt idx="130">
                  <v>-113.2214715907561</v>
                </pt>
                <pt idx="131">
                  <v>-113.0698533573197</v>
                </pt>
                <pt idx="132">
                  <v>-112.995352411117</v>
                </pt>
                <pt idx="133">
                  <v>-112.9217096808975</v>
                </pt>
                <pt idx="134">
                  <v>-112.8471946868027</v>
                </pt>
                <pt idx="135">
                  <v>-112.773557595298</v>
                </pt>
                <pt idx="136">
                  <v>-112.7007876975088</v>
                </pt>
                <pt idx="137">
                  <v>-112.6288744295743</v>
                </pt>
                <pt idx="138">
                  <v>-112.5562036209915</v>
                </pt>
                <pt idx="139">
                  <v>-112.4844068901747</v>
                </pt>
                <pt idx="140">
                  <v>-112.4134733977864</v>
                </pt>
                <pt idx="141">
                  <v>-112.343392456215</v>
                </pt>
                <pt idx="142">
                  <v>-112.2725217708234</v>
                </pt>
                <pt idx="143">
                  <v>-112.2025223622286</v>
                </pt>
                <pt idx="144">
                  <v>-112.1333832466046</v>
                </pt>
                <pt idx="145">
                  <v>-112.0650935987231</v>
                </pt>
                <pt idx="146">
                  <v>-111.9960901660624</v>
                </pt>
                <pt idx="147">
                  <v>-111.9279535832415</v>
                </pt>
                <pt idx="148">
                  <v>-111.860672757249</v>
                </pt>
                <pt idx="149">
                  <v>-111.7942367597753</v>
                </pt>
                <pt idx="150">
                  <v>-111.7271277975528</v>
                </pt>
                <pt idx="151">
                  <v>-111.6608805572142</v>
                </pt>
                <pt idx="152">
                  <v>-111.5954838550042</v>
                </pt>
                <pt idx="153">
                  <v>-111.5309266775082</v>
                </pt>
                <pt idx="154">
                  <v>-111.465707875315</v>
                </pt>
                <pt idx="155">
                  <v>-111.4013457767487</v>
                </pt>
                <pt idx="156">
                  <v>-111.337829110013</v>
                </pt>
                <pt idx="157">
                  <v>-111.2751467791435</v>
                </pt>
                <pt idx="158">
                  <v>-111.2118465065051</v>
                </pt>
                <pt idx="159">
                  <v>-111.1493972086161</v>
                </pt>
                <pt idx="160">
                  <v>-111.0877875442643</v>
                </pt>
                <pt idx="161">
                  <v>-111.0270063530869</v>
                </pt>
                <pt idx="162">
                  <v>-110.9656777017071</v>
                </pt>
                <pt idx="163">
                  <v>-110.9051928814235</v>
                </pt>
                <pt idx="164">
                  <v>-110.8455405147419</v>
                </pt>
                <pt idx="165">
                  <v>-110.7867094092376</v>
                </pt>
                <pt idx="166">
                  <v>-110.7273217120655</v>
                </pt>
                <pt idx="167">
                  <v>-110.6687715512118</v>
                </pt>
                <pt idx="168">
                  <v>-110.6110475006272</v>
                </pt>
                <pt idx="169">
                  <v>-110.554138323727</v>
                </pt>
                <pt idx="170">
                  <v>-110.4968377216839</v>
                </pt>
                <pt idx="171">
                  <v>-110.440364232121</v>
                </pt>
                <pt idx="172">
                  <v>-110.384706469973</v>
                </pt>
                <pt idx="173">
                  <v>-110.3298532419512</v>
                </pt>
                <pt idx="174">
                  <v>-110.274440853323</v>
                </pt>
                <pt idx="175">
                  <v>-110.2198508519127</v>
                </pt>
                <pt idx="176">
                  <v>-110.1660717811228</v>
                </pt>
                <pt idx="177">
                  <v>-110.1130923808778</v>
                </pt>
                <pt idx="178">
                  <v>-110.0596280451525</v>
                </pt>
                <pt idx="179">
                  <v>-110.0069798761016</v>
                </pt>
                <pt idx="180">
                  <v>-109.9551363800944</v>
                </pt>
                <pt idx="181">
                  <v>-109.904086263939</v>
                </pt>
                <pt idx="182">
                  <v>-109.852820978405</v>
                </pt>
                <pt idx="183">
                  <v>-109.8023580116512</v>
                </pt>
                <pt idx="184">
                  <v>-109.7526859988035</v>
                </pt>
                <pt idx="185">
                  <v>-109.7037937753925</v>
                </pt>
                <pt idx="186">
                  <v>-109.6543600777963</v>
                </pt>
                <pt idx="187">
                  <v>-109.6057263069965</v>
                </pt>
                <pt idx="188">
                  <v>-109.5578809884798</v>
                </pt>
                <pt idx="189">
                  <v>-109.510812853625</v>
                </pt>
                <pt idx="190">
                  <v>-109.4636345875426</v>
                </pt>
                <pt idx="191">
                  <v>-109.4172404573477</v>
                </pt>
                <pt idx="192">
                  <v>-109.3716191701059</v>
                </pt>
                <pt idx="193">
                  <v>-109.3267596372468</v>
                </pt>
                <pt idx="194">
                  <v>-109.2815045666205</v>
                </pt>
                <pt idx="195">
                  <v>-109.2370286972541</v>
                </pt>
                <pt idx="196">
                  <v>-109.1933206889582</v>
                </pt>
                <pt idx="197">
                  <v>-109.1503694097957</v>
                </pt>
                <pt idx="198">
                  <v>-109.1072479873778</v>
                </pt>
                <pt idx="199">
                  <v>-109.0648939406044</v>
                </pt>
                <pt idx="200">
                  <v>-109.0232960357769</v>
                </pt>
                <pt idx="201">
                  <v>-108.9824432475249</v>
                </pt>
                <pt idx="202">
                  <v>-108.9414730296848</v>
                </pt>
                <pt idx="203">
                  <v>-108.9012575972211</v>
                </pt>
                <pt idx="204">
                  <v>-108.8617858451225</v>
                </pt>
                <pt idx="205">
                  <v>-108.8230468761249</v>
                </pt>
                <pt idx="206">
                  <v>-108.7841084769473</v>
                </pt>
                <pt idx="207">
                  <v>-108.7459166649404</v>
                </pt>
                <pt idx="208">
                  <v>-108.7084603718925</v>
                </pt>
                <pt idx="209">
                  <v>-108.6717287389612</v>
                </pt>
                <pt idx="210">
                  <v>-108.6347376097382</v>
                </pt>
                <pt idx="211">
                  <v>-108.5984886789891</v>
                </pt>
                <pt idx="212">
                  <v>-108.5629708337698</v>
                </pt>
                <pt idx="213">
                  <v>-108.5281731741564</v>
                </pt>
                <pt idx="214">
                  <v>-108.4934126503272</v>
                </pt>
                <pt idx="215">
                  <v>-108.4593790626512</v>
                </pt>
                <pt idx="216">
                  <v>-108.4260615005097</v>
                </pt>
                <pt idx="217">
                  <v>-108.393449263602</v>
                </pt>
                <pt idx="218">
                  <v>-108.3608121195353</v>
                </pt>
                <pt idx="219">
                  <v>-108.3288908422465</v>
                </pt>
                <pt idx="220">
                  <v>-108.2976746346602</v>
                </pt>
                <pt idx="221">
                  <v>-108.2671529094925</v>
                </pt>
                <pt idx="222">
                  <v>-108.2366578311662</v>
                </pt>
                <pt idx="223">
                  <v>-108.2068668189995</v>
                </pt>
                <pt idx="224">
                  <v>-108.1777692106205</v>
                </pt>
                <pt idx="225">
                  <v>-108.1493545522935</v>
                </pt>
                <pt idx="226">
                  <v>-108.1209297101139</v>
                </pt>
                <pt idx="227">
                  <v>-108.0932006983369</v>
                </pt>
                <pt idx="228">
                  <v>-108.0661569128042</v>
                </pt>
                <pt idx="229">
                  <v>-108.0397879587654</v>
                </pt>
                <pt idx="230">
                  <v>-107.9878322844891</v>
                </pt>
                <pt idx="231">
                  <v>-107.9628738622686</v>
                </pt>
                <pt idx="232">
                  <v>-107.9385812326251</v>
                </pt>
                <pt idx="233">
                  <v>-107.9143910607754</v>
                </pt>
                <pt idx="234">
                  <v>-107.8908774497062</v>
                </pt>
                <pt idx="235">
                  <v>-107.8680299869329</v>
                </pt>
                <pt idx="236">
                  <v>-107.8458384687957</v>
                </pt>
                <pt idx="237">
                  <v>-107.8238623562595</v>
                </pt>
                <pt idx="238">
                  <v>-107.8025482598163</v>
                </pt>
                <pt idx="239">
                  <v>-107.7818859822323</v>
                </pt>
                <pt idx="240">
                  <v>-107.7618655315231</v>
                </pt>
                <pt idx="241">
                  <v>-107.7419895906886</v>
                </pt>
                <pt idx="242">
                  <v>-107.7227680704587</v>
                </pt>
                <pt idx="243">
                  <v>-107.7041908331424</v>
                </pt>
                <pt idx="244">
                  <v>-107.6862479468272</v>
                </pt>
                <pt idx="245">
                  <v>-107.6685528972779</v>
                </pt>
                <pt idx="246">
                  <v>-107.6515002779909</v>
                </pt>
                <pt idx="247">
                  <v>-107.6350801164315</v>
                </pt>
                <pt idx="248">
                  <v>-107.6192826434741</v>
                </pt>
                <pt idx="249">
                  <v>-107.6037355182605</v>
                </pt>
                <pt idx="250">
                  <v>-107.5888217070303</v>
                </pt>
                <pt idx="251">
                  <v>-107.5745313399518</v>
                </pt>
                <pt idx="252">
                  <v>-107.5608547498694</v>
                </pt>
                <pt idx="253">
                  <v>-107.547512267476</v>
                </pt>
                <pt idx="254">
                  <v>-107.5347900669953</v>
                </pt>
                <pt idx="255">
                  <v>-107.5226784766724</v>
                </pt>
                <pt idx="256">
                  <v>-107.5111680240347</v>
                </pt>
                <pt idx="257">
                  <v>-107.499974349051</v>
                </pt>
                <pt idx="258">
                  <v>-107.4893937871357</v>
                </pt>
                <pt idx="259">
                  <v>-107.4794167320398</v>
                </pt>
                <pt idx="260">
                  <v>-107.4700337769842</v>
                </pt>
                <pt idx="261">
                  <v>-107.4610424800299</v>
                </pt>
                <pt idx="262">
                  <v>-107.4526533097548</v>
                </pt>
                <pt idx="263">
                  <v>-107.4448568186015</v>
                </pt>
                <pt idx="264">
                  <v>-107.4376437560617</v>
                </pt>
                <pt idx="265">
                  <v>-107.430863992657</v>
                </pt>
                <pt idx="266">
                  <v>-107.4246749377163</v>
                </pt>
                <pt idx="267">
                  <v>-107.4190673168229</v>
                </pt>
                <pt idx="268">
                  <v>-107.4140320497311</v>
                </pt>
                <pt idx="269">
                  <v>-107.4094591273003</v>
                </pt>
                <pt idx="270">
                  <v>-107.4054678671853</v>
                </pt>
                <pt idx="271">
                  <v>-107.4020491166711</v>
                </pt>
                <pt idx="272">
                  <v>-107.3991939157178</v>
                </pt>
                <pt idx="273">
                  <v>-107.3968458629649</v>
                </pt>
                <pt idx="274">
                  <v>-107.3950698563918</v>
                </pt>
                <pt idx="275">
                  <v>-107.3938568824862</v>
                </pt>
                <pt idx="276">
                  <v>-107.3931981183861</v>
                </pt>
                <pt idx="277">
                  <v>-107.3930882932813</v>
                </pt>
                <pt idx="278">
                  <v>-107.3935379124166</v>
                </pt>
                <pt idx="279">
                  <v>-107.3945381760296</v>
                </pt>
                <pt idx="280">
                  <v>-107.3960804708386</v>
                </pt>
                <pt idx="281">
                  <v>-107.3982199420168</v>
                </pt>
                <pt idx="282">
                  <v>-107.4009133723664</v>
                </pt>
                <pt idx="283">
                  <v>-107.4041520126054</v>
                </pt>
                <pt idx="284">
                  <v>-107.4079273003293</v>
                </pt>
                <pt idx="285">
                  <v>-107.4123212524034</v>
                </pt>
                <pt idx="286">
                  <v>-107.417255879699</v>
                </pt>
                <pt idx="287">
                  <v>-107.4227226713174</v>
                </pt>
                <pt idx="288">
                  <v>-107.428713298274</v>
                </pt>
                <pt idx="289">
                  <v>-107.4353946443628</v>
                </pt>
                <pt idx="290">
                  <v>-107.4426100809582</v>
                </pt>
                <pt idx="291">
                  <v>-107.4503511821749</v>
                </pt>
                <pt idx="292">
                  <v>-107.4586097033977</v>
                </pt>
                <pt idx="293">
                  <v>-107.4675861535666</v>
                </pt>
                <pt idx="294">
                  <v>-107.4770873156411</v>
                </pt>
                <pt idx="295">
                  <v>-107.4871049188328</v>
                </pt>
                <pt idx="296">
                  <v>-107.4976308709543</v>
                </pt>
                <pt idx="297">
                  <v>-107.5089120283007</v>
                </pt>
                <pt idx="298">
                  <v>-107.5207081951093</v>
                </pt>
                <pt idx="299">
                  <v>-107.5330112677743</v>
                </pt>
                <pt idx="300">
                  <v>-107.545813318237</v>
                </pt>
                <pt idx="301">
                  <v>-107.5594057027463</v>
                </pt>
                <pt idx="302">
                  <v>-107.573503145819</v>
                </pt>
                <pt idx="303">
                  <v>-107.5880977213594</v>
                </pt>
                <pt idx="304">
                  <v>-107.6031816754319</v>
                </pt>
                <pt idx="305">
                  <v>-107.6191512188757</v>
                </pt>
                <pt idx="306">
                  <v>-107.635619475469</v>
                </pt>
                <pt idx="307">
                  <v>-107.6525786166439</v>
                </pt>
                <pt idx="308">
                  <v>-107.6700209848891</v>
                </pt>
                <pt idx="309">
                  <v>-107.6883217385671</v>
                </pt>
                <pt idx="310">
                  <v>-107.7071106901451</v>
                </pt>
                <pt idx="311">
                  <v>-107.7263802109283</v>
                </pt>
                <pt idx="312">
                  <v>-107.7461228391817</v>
                </pt>
                <pt idx="313">
                  <v>-107.7668299230225</v>
                </pt>
                <pt idx="314">
                  <v>-107.7880181409839</v>
                </pt>
                <pt idx="315">
                  <v>-107.8096799883549</v>
                </pt>
                <pt idx="316">
                  <v>-107.8318081254684</v>
                </pt>
                <pt idx="317">
                  <v>-107.8549387026109</v>
                </pt>
                <pt idx="318">
                  <v>-107.8785429794932</v>
                </pt>
                <pt idx="319">
                  <v>-107.9026135889881</v>
                </pt>
                <pt idx="320">
                  <v>-107.9271433266818</v>
                </pt>
                <pt idx="321">
                  <v>-107.9527114425034</v>
                </pt>
                <pt idx="322">
                  <v>-107.9787455305786</v>
                </pt>
                <pt idx="323">
                  <v>-108.0052383732378</v>
                </pt>
                <pt idx="324">
                  <v>-108.0321829128284</v>
                </pt>
                <pt idx="325">
                  <v>-108.0601998484918</v>
                </pt>
                <pt idx="326">
                  <v>-108.0886748081507</v>
                </pt>
                <pt idx="327">
                  <v>-108.1176007338262</v>
                </pt>
                <pt idx="328">
                  <v>-108.1469707245403</v>
                </pt>
                <pt idx="329">
                  <v>-108.1774966726159</v>
                </pt>
                <pt idx="330">
                  <v>-108.2084740371812</v>
                </pt>
                <pt idx="331">
                  <v>-108.2398958944052</v>
                </pt>
                <pt idx="332">
                  <v>-108.2717554751819</v>
                </pt>
                <pt idx="333">
                  <v>-108.3047516915022</v>
                </pt>
                <pt idx="334">
                  <v>-108.3381910278949</v>
                </pt>
                <pt idx="335">
                  <v>-108.3720667387345</v>
                </pt>
                <pt idx="336">
                  <v>-108.4063722295223</v>
                </pt>
                <pt idx="337">
                  <v>-108.4419575108141</v>
                </pt>
                <pt idx="338">
                  <v>-108.4779803536431</v>
                </pt>
                <pt idx="339">
                  <v>-108.5144341338874</v>
                </pt>
                <pt idx="340">
                  <v>-108.5513123766327</v>
                </pt>
                <pt idx="341">
                  <v>-108.5895060797575</v>
                </pt>
                <pt idx="342">
                  <v>-108.6281315203512</v>
                </pt>
                <pt idx="343">
                  <v>-108.6671822078975</v>
                </pt>
                <pt idx="344">
                  <v>-108.7066517988065</v>
                </pt>
                <pt idx="345">
                  <v>-108.7474083520111</v>
                </pt>
                <pt idx="346">
                  <v>-108.7885893389878</v>
                </pt>
                <pt idx="347">
                  <v>-108.8301884419834</v>
                </pt>
                <pt idx="348">
                  <v>-108.8721994867073</v>
                </pt>
                <pt idx="349">
                  <v>-108.9156560190603</v>
                </pt>
                <pt idx="350">
                  <v>-108.959532161412</v>
                </pt>
                <pt idx="351">
                  <v>-109.0038217198008</v>
                </pt>
                <pt idx="352">
                  <v>-109.048518641741</v>
                </pt>
                <pt idx="353">
                  <v>-109.0946956282511</v>
                </pt>
                <pt idx="354">
                  <v>-109.1412872060895</v>
                </pt>
                <pt idx="355">
                  <v>-109.1882873162189</v>
                </pt>
                <pt idx="356">
                  <v>-109.2356900387621</v>
                </pt>
                <pt idx="357">
                  <v>-109.2845361081011</v>
                </pt>
                <pt idx="358">
                  <v>-109.3337904688556</v>
                </pt>
                <pt idx="359">
                  <v>-109.3834472314756</v>
                </pt>
                <pt idx="360">
                  <v>-109.433500642205</v>
                </pt>
                <pt idx="361">
                  <v>-109.4851697267289</v>
                </pt>
                <pt idx="362">
                  <v>-109.5372430788319</v>
                </pt>
                <pt idx="363">
                  <v>-109.5897149362736</v>
                </pt>
                <pt idx="364">
                  <v>-109.6425796705416</v>
                </pt>
                <pt idx="365">
                  <v>-109.6970195219739</v>
                </pt>
                <pt idx="366">
                  <v>-109.7518584238326</v>
                </pt>
                <pt idx="367">
                  <v>-109.8070907739011</v>
                </pt>
                <pt idx="368">
                  <v>-109.862711100631</v>
                </pt>
                <pt idx="369">
                  <v>-109.9200884461265</v>
                </pt>
                <pt idx="370">
                  <v>-109.9778617572194</v>
                </pt>
                <pt idx="371">
                  <v>-110.0360255546159</v>
                </pt>
                <pt idx="372">
                  <v>-110.0945744877992</v>
                </pt>
                <pt idx="373">
                  <v>-110.1548363053935</v>
                </pt>
                <pt idx="374">
                  <v>-110.2154899033255</v>
                </pt>
                <pt idx="375">
                  <v>-110.2765299560763</v>
                </pt>
                <pt idx="376">
                  <v>-110.3379512640735</v>
                </pt>
                <pt idx="377">
                  <v>-110.4012763523671</v>
                </pt>
                <pt idx="378">
                  <v>-110.4649910563302</v>
                </pt>
                <pt idx="379">
                  <v>-110.5290901716315</v>
                </pt>
                <pt idx="380">
                  <v>-110.5935686181103</v>
                </pt>
                <pt idx="381">
                  <v>-110.6598210820015</v>
                </pt>
                <pt idx="382">
                  <v>-110.7264590436893</v>
                </pt>
                <pt idx="383">
                  <v>-110.7934774675401</v>
                </pt>
                <pt idx="384">
                  <v>-110.8608714388402</v>
                </pt>
                <pt idx="385">
                  <v>-110.9303202512341</v>
                </pt>
                <pt idx="386">
                  <v>-111.0001533808038</v>
                </pt>
                <pt idx="387">
                  <v>-111.0703659120973</v>
                </pt>
                <pt idx="388">
                  <v>-111.1409530489153</v>
                </pt>
                <pt idx="389">
                  <v>-111.2135446323121</v>
                </pt>
                <pt idx="390">
                  <v>-111.2865184463198</v>
                </pt>
                <pt idx="391">
                  <v>-111.359869722846</v>
                </pt>
                <pt idx="392">
                  <v>-111.4335938105571</v>
                </pt>
                <pt idx="393">
                  <v>-111.5093543783601</v>
                </pt>
                <pt idx="394">
                  <v>-111.5854952164614</v>
                </pt>
                <pt idx="395">
                  <v>-111.6620117110742</v>
                </pt>
                <pt idx="396">
                  <v>-111.7388993624923</v>
                </pt>
                <pt idx="397">
                  <v>-111.8180338468166</v>
                </pt>
                <pt idx="398">
                  <v>-111.8975485252801</v>
                </pt>
                <pt idx="399">
                  <v>-111.97743891441</v>
                </pt>
                <pt idx="400">
                  <v>-112.0577006429771</v>
                </pt>
                <pt idx="401">
                  <v>-112.1401537163083</v>
                </pt>
                <pt idx="402">
                  <v>-112.2229861842699</v>
                </pt>
                <pt idx="403">
                  <v>-112.3061937171518</v>
                </pt>
                <pt idx="404">
                  <v>-112.389772094933</v>
                </pt>
                <pt idx="405">
                  <v>-112.4756672682698</v>
                </pt>
                <pt idx="406">
                  <v>-112.5619420776908</v>
                </pt>
                <pt idx="407">
                  <v>-112.6485923399993</v>
                </pt>
                <pt idx="408">
                  <v>-112.7356139794377</v>
                </pt>
                <pt idx="409">
                  <v>-112.825081413922</v>
                </pt>
                <pt idx="410">
                  <v>-112.9149297499657</v>
                </pt>
                <pt idx="411">
                  <v>-113.0051549454981</v>
                </pt>
                <pt idx="412">
                  <v>-113.0957530638955</v>
                </pt>
                <pt idx="413">
                  <v>-113.1888334471703</v>
                </pt>
                <pt idx="414">
                  <v>-113.2822962316572</v>
                </pt>
                <pt idx="415">
                  <v>-113.3761375245996</v>
                </pt>
                <pt idx="416">
                  <v>-113.4703535364953</v>
                </pt>
                <pt idx="417">
                  <v>-113.5671855227914</v>
                </pt>
                <pt idx="418">
                  <v>-113.6644024730353</v>
                </pt>
                <pt idx="419">
                  <v>-113.762000639839</v>
                </pt>
                <pt idx="420">
                  <v>-113.8599763771044</v>
                </pt>
                <pt idx="421">
                  <v>-113.9605070966658</v>
                </pt>
                <pt idx="422">
                  <v>-114.0614248939298</v>
                </pt>
                <pt idx="423">
                  <v>-114.1627261854085</v>
                </pt>
                <pt idx="424">
                  <v>-114.2644074863618</v>
                </pt>
                <pt idx="425">
                  <v>-114.3689813952238</v>
                </pt>
                <pt idx="426">
                  <v>-114.4739471442666</v>
                </pt>
                <pt idx="427">
                  <v>-114.5793012899941</v>
                </pt>
                <pt idx="428">
                  <v>-114.6850404860939</v>
                </pt>
                <pt idx="429">
                  <v>-114.793612551562</v>
                </pt>
                <pt idx="430">
                  <v>-114.9025808409002</v>
                </pt>
                <pt idx="431">
                  <v>-115.0119420693761</v>
                </pt>
                <pt idx="432">
                  <v>-115.1216930472958</v>
                </pt>
                <pt idx="433">
                  <v>-115.2343170834036</v>
                </pt>
                <pt idx="434">
                  <v>-115.3473421805481</v>
                </pt>
                <pt idx="435">
                  <v>-115.4607652197591</v>
                </pt>
                <pt idx="436">
                  <v>-115.5745831747952</v>
                </pt>
                <pt idx="437">
                  <v>-115.6915246521876</v>
                </pt>
                <pt idx="438">
                  <v>-115.808873993895</v>
                </pt>
                <pt idx="439">
                  <v>-115.9266282371492</v>
                </pt>
                <pt idx="440">
                  <v>-116.0447845101006</v>
                </pt>
                <pt idx="441">
                  <v>-116.1661092941386</v>
                </pt>
                <pt idx="442">
                  <v>-116.2878492716824</v>
                </pt>
                <pt idx="443">
                  <v>-116.4100016445333</v>
                </pt>
                <pt idx="444">
                  <v>-116.5325637033984</v>
                </pt>
                <pt idx="445">
                  <v>-116.6583396497747</v>
                </pt>
                <pt idx="446">
                  <v>-116.7845387070031</v>
                </pt>
                <pt idx="447">
                  <v>-116.9111582488513</v>
                </pt>
                <pt idx="448">
                  <v>-117.0381957357976</v>
                </pt>
                <pt idx="449">
                  <v>-117.1687117945106</v>
                </pt>
                <pt idx="450">
                  <v>-117.2996609730454</v>
                </pt>
                <pt idx="451">
                  <v>-117.4310408114676</v>
                </pt>
                <pt idx="452">
                  <v>-117.5628489347485</v>
                </pt>
                <pt idx="453">
                  <v>-117.698075670573</v>
                </pt>
                <pt idx="454">
                  <v>-117.833745501488</v>
                </pt>
                <pt idx="455">
                  <v>-117.9698561477017</v>
                </pt>
                <pt idx="456">
                  <v>-118.1064054120323</v>
                </pt>
                <pt idx="457">
                  <v>-118.2466473527</v>
                </pt>
                <pt idx="458">
                  <v>-118.387344571706</v>
                </pt>
                <pt idx="459">
                  <v>-118.5284949654091</v>
                </pt>
                <pt idx="460">
                  <v>-118.67009651081</v>
                </pt>
                <pt idx="461">
                  <v>-118.81544551854</v>
                </pt>
                <pt idx="462">
                  <v>-118.9612628007247</v>
                </pt>
                <pt idx="463">
                  <v>-119.1075464374139</v>
                </pt>
                <pt idx="464">
                  <v>-119.2542945870914</v>
                </pt>
                <pt idx="465">
                  <v>-119.4049612758517</v>
                </pt>
                <pt idx="466">
                  <v>-119.5561108456028</v>
                </pt>
                <pt idx="467">
                  <v>-119.7077415625463</v>
                </pt>
                <pt idx="468">
                  <v>-119.8598517691028</v>
                </pt>
                <pt idx="469">
                  <v>-120.0159398513169</v>
                </pt>
                <pt idx="470">
                  <v>-120.1725263618516</v>
                </pt>
                <pt idx="471">
                  <v>-120.3296097594012</v>
                </pt>
                <pt idx="472">
                  <v>-120.4871885763943</v>
                </pt>
                <pt idx="473">
                  <v>-120.6490423190947</v>
                </pt>
                <pt idx="474">
                  <v>-120.8114125389677</v>
                </pt>
                <pt idx="475">
                  <v>-120.9742978863949</v>
                </pt>
                <pt idx="476">
                  <v>-121.1376970831408</v>
                </pt>
                <pt idx="477">
                  <v>-121.3054380451223</v>
                </pt>
                <pt idx="478">
                  <v>-121.4737146165242</v>
                </pt>
                <pt idx="479">
                  <v>-121.6425256451709</v>
                </pt>
                <pt idx="480">
                  <v>-121.8118700475666</v>
                </pt>
                <pt idx="481">
                  <v>-121.9856248390141</v>
                </pt>
                <pt idx="482">
                  <v>-122.1599355121968</v>
                </pt>
                <pt idx="483">
                  <v>-122.3348011163116</v>
                </pt>
                <pt idx="484">
                  <v>-122.5102207661609</v>
                </pt>
                <pt idx="485">
                  <v>-122.6902440813915</v>
                </pt>
                <pt idx="486">
                  <v>-122.8708455260533</v>
                </pt>
                <pt idx="487">
                  <v>-123.0520243511624</v>
                </pt>
                <pt idx="488">
                  <v>-123.233779870032</v>
                </pt>
                <pt idx="489">
                  <v>-123.4204626608071</v>
                </pt>
                <pt idx="490">
                  <v>-123.6077486866857</v>
                </pt>
                <pt idx="491">
                  <v>-123.7956373991182</v>
                </pt>
                <pt idx="492">
                  <v>-123.984128308378</v>
                </pt>
                <pt idx="493">
                  <v>-124.1776285708776</v>
                </pt>
                <pt idx="494">
                  <v>-124.3717585254695</v>
                </pt>
                <pt idx="495">
                  <v>-124.566517824004</v>
                </pt>
                <pt idx="496">
                  <v>-124.7619061730917</v>
                </pt>
                <pt idx="497">
                  <v>-124.9625160533835</v>
                </pt>
                <pt idx="498">
                  <v>-125.1637843017088</v>
                </pt>
                <pt idx="499">
                  <v>-125.3657107667999</v>
                </pt>
                <pt idx="500">
                  <v>-125.5682953475553</v>
                </pt>
                <pt idx="501">
                  <v>-125.7763204908105</v>
                </pt>
                <pt idx="502">
                  <v>-125.9850349704585</v>
                </pt>
                <pt idx="503">
                  <v>-126.1944388260686</v>
                </pt>
                <pt idx="504">
                  <v>-126.4045321421175</v>
                </pt>
                <pt idx="505">
                  <v>-126.6201612115787</v>
                </pt>
                <pt idx="506">
                  <v>-126.8365120671745</v>
                </pt>
                <pt idx="507">
                  <v>-127.0535849294856</v>
                </pt>
                <pt idx="508">
                  <v>-127.271380057828</v>
                </pt>
                <pt idx="509">
                  <v>-127.494941848085</v>
                </pt>
                <pt idx="510">
                  <v>-127.7192602385426</v>
                </pt>
                <pt idx="511">
                  <v>-127.9443356164452</v>
                </pt>
                <pt idx="512">
                  <v>-128.1701684006396</v>
                </pt>
                <pt idx="513">
                  <v>-128.4021408697002</v>
                </pt>
                <pt idx="514">
                  <v>-128.6349080666855</v>
                </pt>
                <pt idx="515">
                  <v>-128.8684705268294</v>
                </pt>
                <pt idx="516">
                  <v>-129.1028288087157</v>
                </pt>
                <pt idx="517">
                  <v>-129.3434394801852</v>
                </pt>
                <pt idx="518">
                  <v>-129.5848845113171</v>
                </pt>
                <pt idx="519">
                  <v>-129.8271645583606</v>
                </pt>
                <pt idx="520">
                  <v>-130.0702802911684</v>
                </pt>
                <pt idx="521">
                  <v>-130.3199027859207</v>
                </pt>
                <pt idx="522">
                  <v>-130.5704016473871</v>
                </pt>
                <pt idx="523">
                  <v>-130.8217776182996</v>
                </pt>
                <pt idx="524">
                  <v>-131.0740314435508</v>
                </pt>
                <pt idx="525">
                  <v>-131.3330546036246</v>
                </pt>
                <pt idx="526">
                  <v>-131.5929984484336</v>
                </pt>
                <pt idx="527">
                  <v>-131.8538637626168</v>
                </pt>
                <pt idx="528">
                  <v>-132.1156513195129</v>
                </pt>
                <pt idx="529">
                  <v>-132.3844791052756</v>
                </pt>
                <pt idx="530">
                  <v>-132.6542740913302</v>
                </pt>
                <pt idx="531">
                  <v>-132.9250370474589</v>
                </pt>
                <pt idx="532">
                  <v>-133.1967687162977</v>
                </pt>
                <pt idx="533">
                  <v>-133.4759642050489</v>
                </pt>
                <pt idx="534">
                  <v>-133.756176482323</v>
                </pt>
                <pt idx="535">
                  <v>-134.0374062326392</v>
                </pt>
                <pt idx="536">
                  <v>-134.3196540946265</v>
                </pt>
                <pt idx="537">
                  <v>-134.609363720656</v>
                </pt>
                <pt idx="538">
                  <v>-134.9001394002317</v>
                </pt>
                <pt idx="539">
                  <v>-135.1919816414979</v>
                </pt>
                <pt idx="540">
                  <v>-135.4848908848993</v>
                </pt>
                <pt idx="541">
                  <v>-135.7858516481297</v>
                </pt>
                <pt idx="542">
                  <v>-136.0879313160339</v>
                </pt>
                <pt idx="543">
                  <v>-136.3911301121261</v>
                </pt>
                <pt idx="544">
                  <v>-136.6954481663763</v>
                </pt>
                <pt idx="545">
                  <v>-137.0079739614049</v>
                </pt>
                <pt idx="546">
                  <v>-137.3216714232621</v>
                </pt>
                <pt idx="547">
                  <v>-137.6365403558103</v>
                </pt>
                <pt idx="548">
                  <v>-137.9525804393645</v>
                </pt>
                <pt idx="549">
                  <v>-138.2771394215704</v>
                </pt>
                <pt idx="550">
                  <v>-138.6029232426179</v>
                </pt>
                <pt idx="551">
                  <v>-138.9299311243474</v>
                </pt>
                <pt idx="552">
                  <v>-139.2581621302121</v>
                </pt>
                <pt idx="553">
                  <v>-139.59538535731</v>
                </pt>
                <pt idx="554">
                  <v>-139.9338874539182</v>
                </pt>
                <pt idx="555">
                  <v>-140.2736668628362</v>
                </pt>
                <pt idx="556">
                  <v>-140.614721827894</v>
                </pt>
                <pt idx="557">
                  <v>-141.3168026224857</v>
                </pt>
                <pt idx="558">
                  <v>-142.0241997582542</v>
                </pt>
                <pt idx="559">
                  <v>-142.7532873345119</v>
                </pt>
                <pt idx="560">
                  <v>-143.4878834011705</v>
                </pt>
                <pt idx="561">
                  <v>-144.245578439268</v>
                </pt>
                <pt idx="562">
                  <v>-145.0089679128227</v>
                </pt>
                <pt idx="563">
                  <v>-145.7945680972086</v>
                </pt>
                <pt idx="564">
                  <v>-146.5860017650394</v>
                </pt>
                <pt idx="565">
                  <v>-147.4033759340683</v>
                </pt>
                <pt idx="566">
                  <v>-148.2267365316656</v>
                </pt>
                <pt idx="567">
                  <v>-149.076463759156</v>
                </pt>
                <pt idx="568">
                  <v>-149.9322857216146</v>
                </pt>
                <pt idx="569">
                  <v>-150.811389137848</v>
                </pt>
                <pt idx="570">
                  <v>-151.6965928513322</v>
                </pt>
                <pt idx="571">
                  <v>-152.612305999914</v>
                </pt>
                <pt idx="572">
                  <v>-153.5341540478187</v>
                </pt>
                <pt idx="573">
                  <v>-154.4797278756193</v>
                </pt>
                <pt idx="574">
                  <v>-155.4312989176675</v>
                </pt>
                <pt idx="575">
                  <v>-156.4138341473071</v>
                </pt>
                <pt idx="576">
                  <v>-157.4022264411784</v>
                </pt>
                <pt idx="577">
                  <v>-161.6454424069466</v>
                </pt>
                <pt idx="578">
                  <v>-165.9667326845094</v>
                </pt>
                <pt idx="579">
                  <v>-175.5776628879572</v>
                </pt>
                <pt idx="580">
                  <v>-186.0357433746473</v>
                </pt>
                <pt idx="581">
                  <v>-196.9200940337691</v>
                </pt>
                <pt idx="582">
                  <v>-207.7172601138157</v>
                </pt>
                <pt idx="583">
                  <v>-217.93428071279</v>
                </pt>
                <pt idx="584">
                  <v>-227.2526079628954</v>
                </pt>
                <pt idx="585">
                  <v>-235.5292654975936</v>
                </pt>
                <pt idx="586">
                  <v>-242.7710228427381</v>
                </pt>
                <pt idx="587">
                  <v>-249.0625610259185</v>
                </pt>
                <pt idx="588">
                  <v>-254.5048690703974</v>
                </pt>
                <pt idx="589">
                  <v>-259.2071202908395</v>
                </pt>
                <pt idx="590">
                  <v>-263.2581010587774</v>
                </pt>
                <pt idx="591">
                  <v>-266.7333276510465</v>
                </pt>
                <pt idx="592">
                  <v>-269.6939727985782</v>
                </pt>
                <pt idx="593">
                  <v>-272.1924271918574</v>
                </pt>
                <pt idx="594">
                  <v>-274.2729926177868</v>
                </pt>
                <pt idx="595">
                  <v>-275.9774009393564</v>
                </pt>
                <pt idx="596">
                  <v>-277.3448891292293</v>
                </pt>
                <pt idx="597">
                  <v>-278.4147439658679</v>
                </pt>
                <pt idx="598">
                  <v>-279.2255237274018</v>
                </pt>
                <pt idx="599">
                  <v>-279.8159347185397</v>
                </pt>
                <pt idx="600">
                  <v>-280.2235209395023</v>
                </pt>
              </numCache>
            </numRef>
          </yVal>
          <smooth val="0"/>
        </ser>
        <dLbls>
          <showLegendKey val="0"/>
          <showVal val="0"/>
          <showCatName val="0"/>
          <showSerName val="0"/>
          <showPercent val="0"/>
          <showBubbleSize val="0"/>
        </dLbls>
        <axId val="235401984"/>
        <axId val="235403520"/>
      </scatterChart>
      <valAx>
        <axId val="235397888"/>
        <scaling>
          <logBase val="10"/>
          <orientation val="minMax"/>
          <max val="1000000"/>
          <min val="10"/>
        </scaling>
        <delete val="0"/>
        <axPos val="b"/>
        <majorGridlines>
          <spPr>
            <a:ln xmlns:a="http://schemas.openxmlformats.org/drawingml/2006/main" w="3175">
              <a:solidFill>
                <a:srgbClr val="000000"/>
              </a:solidFill>
              <a:prstDash val="solid"/>
            </a:ln>
          </spPr>
        </majorGridlines>
        <minorGridlines>
          <spPr>
            <a:ln xmlns:a="http://schemas.openxmlformats.org/drawingml/2006/main" w="3175">
              <a:solidFill>
                <a:srgbClr val="C0C0C0"/>
              </a:solidFill>
              <a:prstDash val="solid"/>
            </a:ln>
          </spPr>
        </minorGridlines>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rPr lang="en-US"/>
                  <a:t>Frequency (Hz)</a:t>
                </a:r>
              </a:p>
            </rich>
          </tx>
          <layout>
            <manualLayout>
              <xMode val="edge"/>
              <yMode val="edge"/>
              <wMode val="factor"/>
              <hMode val="factor"/>
              <x val="0.4285714285714285"/>
              <y val="0.8836114034132848"/>
            </manualLayout>
          </layout>
          <overlay val="0"/>
          <spPr>
            <a:noFill xmlns:a="http://schemas.openxmlformats.org/drawingml/2006/main"/>
            <a:ln xmlns:a="http://schemas.openxmlformats.org/drawingml/2006/main" w="25400">
              <a:noFill/>
              <a:prstDash val="solid"/>
            </a:ln>
          </spPr>
        </title>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800" b="0" i="0" strike="noStrike" baseline="0">
                <a:solidFill>
                  <a:srgbClr val="000000"/>
                </a:solidFill>
                <a:latin typeface="Arial"/>
                <a:ea typeface="Arial"/>
                <a:cs typeface="Arial"/>
              </a:defRPr>
            </a:pPr>
            <a:r>
              <a:t/>
            </a:r>
            <a:endParaRPr lang="en-US"/>
          </a:p>
        </txPr>
        <crossAx val="235399808"/>
        <crossesAt val="-40"/>
        <crossBetween val="midCat"/>
        <majorUnit val="10"/>
        <minorUnit val="10"/>
      </valAx>
      <valAx>
        <axId val="235399808"/>
        <scaling>
          <orientation val="minMax"/>
          <max val="150"/>
          <min val="-40"/>
        </scaling>
        <delete val="0"/>
        <axPos val="l"/>
        <majorGridlines>
          <spPr>
            <a:ln xmlns:a="http://schemas.openxmlformats.org/drawingml/2006/main" w="3175">
              <a:solidFill>
                <a:srgbClr val="000000"/>
              </a:solidFill>
              <a:prstDash val="solid"/>
            </a:ln>
          </spPr>
        </majorGridlines>
        <title>
          <tx>
            <rich>
              <a:bodyPr xmlns:a="http://schemas.openxmlformats.org/drawingml/2006/main"/>
              <a:lstStyle xmlns:a="http://schemas.openxmlformats.org/drawingml/2006/main"/>
              <a:p xmlns:a="http://schemas.openxmlformats.org/drawingml/2006/main">
                <a:pPr>
                  <a:defRPr sz="1200" b="1" i="0" strike="noStrike" baseline="0">
                    <a:solidFill>
                      <a:srgbClr val="FF0000"/>
                    </a:solidFill>
                    <a:latin typeface="Arial"/>
                    <a:ea typeface="Arial"/>
                    <a:cs typeface="Arial"/>
                  </a:defRPr>
                </a:pPr>
                <a:r>
                  <a:rPr lang="en-US"/>
                  <a:t>Gain (dB)</a:t>
                </a:r>
              </a:p>
            </rich>
          </tx>
          <layout>
            <manualLayout>
              <xMode val="edge"/>
              <yMode val="edge"/>
              <wMode val="factor"/>
              <hMode val="factor"/>
              <x val="0.01554907677356658"/>
              <y val="0.3927162330515138"/>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800" b="0" i="0" strike="noStrike" baseline="0">
                <a:solidFill>
                  <a:srgbClr val="FF0000"/>
                </a:solidFill>
                <a:latin typeface="Arial"/>
                <a:ea typeface="Arial"/>
                <a:cs typeface="Arial"/>
              </a:defRPr>
            </a:pPr>
            <a:r>
              <a:t/>
            </a:r>
            <a:endParaRPr lang="en-US"/>
          </a:p>
        </txPr>
        <crossAx val="235397888"/>
        <crossesAt val="0.1"/>
        <crossBetween val="midCat"/>
        <majorUnit val="20"/>
        <minorUnit val="4"/>
      </valAx>
      <valAx>
        <axId val="235401984"/>
        <scaling>
          <logBase val="10"/>
          <orientation val="minMax"/>
        </scaling>
        <delete val="1"/>
        <axPos val="t"/>
        <numFmt formatCode="General" sourceLinked="1"/>
        <majorTickMark val="out"/>
        <minorTickMark val="none"/>
        <crossAx val="235403520"/>
        <crossesAt val="0"/>
        <crossBetween val="midCat"/>
      </valAx>
      <valAx>
        <axId val="235403520"/>
        <scaling>
          <orientation val="minMax"/>
          <max val="-45"/>
          <min val="-180"/>
        </scaling>
        <delete val="0"/>
        <axPos val="r"/>
        <title>
          <tx>
            <rich>
              <a:bodyPr xmlns:a="http://schemas.openxmlformats.org/drawingml/2006/main"/>
              <a:lstStyle xmlns:a="http://schemas.openxmlformats.org/drawingml/2006/main"/>
              <a:p xmlns:a="http://schemas.openxmlformats.org/drawingml/2006/main">
                <a:pPr>
                  <a:defRPr sz="1200" b="1" i="0" strike="noStrike" baseline="0">
                    <a:solidFill>
                      <a:srgbClr val="0000FF"/>
                    </a:solidFill>
                    <a:latin typeface="Arial"/>
                    <a:ea typeface="Arial"/>
                    <a:cs typeface="Arial"/>
                  </a:defRPr>
                </a:pPr>
                <a:r>
                  <a:rPr lang="en-US"/>
                  <a:t>Phase (°)</a:t>
                </a:r>
              </a:p>
            </rich>
          </tx>
          <layout>
            <manualLayout>
              <xMode val="edge"/>
              <yMode val="edge"/>
              <wMode val="factor"/>
              <hMode val="factor"/>
              <x val="0.9655004859086486"/>
              <y val="0.3982582822308517"/>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800" b="0" i="0" strike="noStrike" baseline="0">
                <a:solidFill>
                  <a:srgbClr val="0000FF"/>
                </a:solidFill>
                <a:latin typeface="Arial"/>
                <a:ea typeface="Arial"/>
                <a:cs typeface="Arial"/>
              </a:defRPr>
            </a:pPr>
            <a:r>
              <a:t/>
            </a:r>
            <a:endParaRPr lang="en-US"/>
          </a:p>
        </txPr>
        <crossAx val="235401984"/>
        <crosses val="max"/>
        <crossBetween val="midCat"/>
        <majorUnit val="45"/>
        <minorUnit val="22.5"/>
      </valAx>
    </plotArea>
    <plotVisOnly val="1"/>
    <dispBlanksAs val="gap"/>
  </chart>
  <spPr>
    <a:solidFill xmlns:a="http://schemas.openxmlformats.org/drawingml/2006/main">
      <a:srgbClr val="FFFFFF"/>
    </a:solidFill>
    <a:ln xmlns:a="http://schemas.openxmlformats.org/drawingml/2006/main" w="25400">
      <a:solidFill>
        <a:srgbClr val="000000"/>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rPr lang="en-US"/>
              <a:t>LM5143-Q1 Bode Plot</a:t>
            </a:r>
          </a:p>
        </rich>
      </tx>
      <layout>
        <manualLayout>
          <xMode val="edge"/>
          <yMode val="edge"/>
          <wMode val="factor"/>
          <hMode val="factor"/>
          <x val="0.3853255587949466"/>
          <y val="0.02444984699493209"/>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1034985422740526"/>
          <y val="0.09580364212193195"/>
          <w val="0.8027210884353759"/>
          <h val="0.7173404994392298"/>
        </manualLayout>
      </layout>
      <scatterChart>
        <scatterStyle val="smoothMarker"/>
        <varyColors val="0"/>
        <ser>
          <idx val="0"/>
          <order val="0"/>
          <tx>
            <strRef>
              <f>'Stability Calculations'!$U$12</f>
              <strCache>
                <ptCount val="1"/>
                <pt idx="0">
                  <v>Gain (dB)</v>
                </pt>
              </strCache>
            </strRef>
          </tx>
          <spPr>
            <a:ln xmlns:a="http://schemas.openxmlformats.org/drawingml/2006/main" w="25400">
              <a:solidFill>
                <a:srgbClr val="FF0000"/>
              </a:solidFill>
              <a:prstDash val="solid"/>
            </a:ln>
          </spPr>
          <marker>
            <symbol val="none"/>
            <spPr>
              <a:ln xmlns:a="http://schemas.openxmlformats.org/drawingml/2006/main">
                <a:prstDash val="solid"/>
              </a:ln>
            </spPr>
          </marker>
          <xVal>
            <numRef>
              <f>'Stability Calculations'!$A$13:$A$613</f>
              <numCache>
                <formatCode>General</formatCode>
                <ptCount val="601"/>
                <pt idx="0">
                  <v>1</v>
                </pt>
                <pt idx="1">
                  <v>1.0965</v>
                </pt>
                <pt idx="2">
                  <v>1.2023</v>
                </pt>
                <pt idx="3">
                  <v>1.3183</v>
                </pt>
                <pt idx="4">
                  <v>1.4454</v>
                </pt>
                <pt idx="5">
                  <v>1.5849</v>
                </pt>
                <pt idx="6">
                  <v>1.7378</v>
                </pt>
                <pt idx="7">
                  <v>1.9055</v>
                </pt>
                <pt idx="8">
                  <v>2.0893</v>
                </pt>
                <pt idx="9">
                  <v>2.2909</v>
                </pt>
                <pt idx="10">
                  <v>2.5119</v>
                </pt>
                <pt idx="11">
                  <v>2.7542</v>
                </pt>
                <pt idx="12">
                  <v>3.02</v>
                </pt>
                <pt idx="13">
                  <v>3.3113</v>
                </pt>
                <pt idx="14">
                  <v>3.6308</v>
                </pt>
                <pt idx="15">
                  <v>3.9811</v>
                </pt>
                <pt idx="16">
                  <v>4.3652</v>
                </pt>
                <pt idx="17">
                  <v>4.7863</v>
                </pt>
                <pt idx="18">
                  <v>5.2481</v>
                </pt>
                <pt idx="19">
                  <v>5.7544</v>
                </pt>
                <pt idx="20">
                  <v>6.3096</v>
                </pt>
                <pt idx="21">
                  <v>6.9183</v>
                </pt>
                <pt idx="22">
                  <v>7.5858</v>
                </pt>
                <pt idx="23">
                  <v>8.317600000000001</v>
                </pt>
                <pt idx="24">
                  <v>9.120100000000001</v>
                </pt>
                <pt idx="25">
                  <v>10</v>
                </pt>
                <pt idx="26">
                  <v>10.965</v>
                </pt>
                <pt idx="27">
                  <v>12.023</v>
                </pt>
                <pt idx="28">
                  <v>13.183</v>
                </pt>
                <pt idx="29">
                  <v>14.454</v>
                </pt>
                <pt idx="30">
                  <v>15.849</v>
                </pt>
                <pt idx="31">
                  <v>17.378</v>
                </pt>
                <pt idx="32">
                  <v>19.055</v>
                </pt>
                <pt idx="33">
                  <v>20.893</v>
                </pt>
                <pt idx="34">
                  <v>22.909</v>
                </pt>
                <pt idx="35">
                  <v>25.119</v>
                </pt>
                <pt idx="36">
                  <v>27.542</v>
                </pt>
                <pt idx="37">
                  <v>30.2</v>
                </pt>
                <pt idx="38">
                  <v>33.113</v>
                </pt>
                <pt idx="39">
                  <v>36.308</v>
                </pt>
                <pt idx="40">
                  <v>39.811</v>
                </pt>
                <pt idx="41">
                  <v>43.652</v>
                </pt>
                <pt idx="42">
                  <v>47.863</v>
                </pt>
                <pt idx="43">
                  <v>52.481</v>
                </pt>
                <pt idx="44">
                  <v>57.544</v>
                </pt>
                <pt idx="45">
                  <v>63.096</v>
                </pt>
                <pt idx="46">
                  <v>69.18300000000001</v>
                </pt>
                <pt idx="47">
                  <v>75.858</v>
                </pt>
                <pt idx="48">
                  <v>83.176</v>
                </pt>
                <pt idx="49">
                  <v>91.20100000000001</v>
                </pt>
                <pt idx="50">
                  <v>100</v>
                </pt>
                <pt idx="51">
                  <v>109.65</v>
                </pt>
                <pt idx="52">
                  <v>120.23</v>
                </pt>
                <pt idx="53">
                  <v>131.83</v>
                </pt>
                <pt idx="54">
                  <v>144.54</v>
                </pt>
                <pt idx="55">
                  <v>158.49</v>
                </pt>
                <pt idx="56">
                  <v>173.78</v>
                </pt>
                <pt idx="57">
                  <v>190.55</v>
                </pt>
                <pt idx="58">
                  <v>208.93</v>
                </pt>
                <pt idx="59">
                  <v>229.09</v>
                </pt>
                <pt idx="60">
                  <v>251.19</v>
                </pt>
                <pt idx="61">
                  <v>275.42</v>
                </pt>
                <pt idx="62">
                  <v>302</v>
                </pt>
                <pt idx="63">
                  <v>331.13</v>
                </pt>
                <pt idx="64">
                  <v>363.08</v>
                </pt>
                <pt idx="65">
                  <v>398.11</v>
                </pt>
                <pt idx="66">
                  <v>436.52</v>
                </pt>
                <pt idx="67">
                  <v>478.63</v>
                </pt>
                <pt idx="68">
                  <v>524.8099999999999</v>
                </pt>
                <pt idx="69">
                  <v>575.4400000000001</v>
                </pt>
                <pt idx="70">
                  <v>630.96</v>
                </pt>
                <pt idx="71">
                  <v>691.83</v>
                </pt>
                <pt idx="72">
                  <v>758.58</v>
                </pt>
                <pt idx="73">
                  <v>831.76</v>
                </pt>
                <pt idx="74">
                  <v>912.01</v>
                </pt>
                <pt idx="75">
                  <v>1000</v>
                </pt>
                <pt idx="76">
                  <v>1096.5</v>
                </pt>
                <pt idx="77">
                  <v>1202.3</v>
                </pt>
                <pt idx="78">
                  <v>1318.3</v>
                </pt>
                <pt idx="79">
                  <v>1445.4</v>
                </pt>
                <pt idx="80">
                  <v>1584.9</v>
                </pt>
                <pt idx="81">
                  <v>1737.8</v>
                </pt>
                <pt idx="82">
                  <v>1905.5</v>
                </pt>
                <pt idx="83">
                  <v>2089.3</v>
                </pt>
                <pt idx="84">
                  <v>2290.9</v>
                </pt>
                <pt idx="85">
                  <v>2511.9</v>
                </pt>
                <pt idx="86">
                  <v>2754.2</v>
                </pt>
                <pt idx="87">
                  <v>3020</v>
                </pt>
                <pt idx="88">
                  <v>3311.3</v>
                </pt>
                <pt idx="89">
                  <v>3630.8</v>
                </pt>
                <pt idx="90">
                  <v>3981.1</v>
                </pt>
                <pt idx="91">
                  <v>4365.2</v>
                </pt>
                <pt idx="92">
                  <v>4786.3</v>
                </pt>
                <pt idx="93">
                  <v>5248.1</v>
                </pt>
                <pt idx="94">
                  <v>5370.3</v>
                </pt>
                <pt idx="95">
                  <v>5432.85</v>
                </pt>
                <pt idx="96">
                  <v>5495.4</v>
                </pt>
                <pt idx="97">
                  <v>5559.4</v>
                </pt>
                <pt idx="98">
                  <v>5623.4</v>
                </pt>
                <pt idx="99">
                  <v>5688.9</v>
                </pt>
                <pt idx="100">
                  <v>5754.4</v>
                </pt>
                <pt idx="101">
                  <v>5821.4</v>
                </pt>
                <pt idx="102">
                  <v>5888.4</v>
                </pt>
                <pt idx="103">
                  <v>5957</v>
                </pt>
                <pt idx="104">
                  <v>6025.6</v>
                </pt>
                <pt idx="105">
                  <v>6095.8</v>
                </pt>
                <pt idx="106">
                  <v>6166</v>
                </pt>
                <pt idx="107">
                  <v>6237.8</v>
                </pt>
                <pt idx="108">
                  <v>6309.6</v>
                </pt>
                <pt idx="109">
                  <v>6383.05</v>
                </pt>
                <pt idx="110">
                  <v>6456.5</v>
                </pt>
                <pt idx="111">
                  <v>6531.7</v>
                </pt>
                <pt idx="112">
                  <v>6606.9</v>
                </pt>
                <pt idx="113">
                  <v>6683.85</v>
                </pt>
                <pt idx="114">
                  <v>6760.8</v>
                </pt>
                <pt idx="115">
                  <v>6839.55</v>
                </pt>
                <pt idx="116">
                  <v>6918.3</v>
                </pt>
                <pt idx="117">
                  <v>6998.9</v>
                </pt>
                <pt idx="118">
                  <v>7079.5</v>
                </pt>
                <pt idx="119">
                  <v>7161.95</v>
                </pt>
                <pt idx="120">
                  <v>7244.4</v>
                </pt>
                <pt idx="121">
                  <v>7328.75</v>
                </pt>
                <pt idx="122">
                  <v>7413.1</v>
                </pt>
                <pt idx="123">
                  <v>7499.45</v>
                </pt>
                <pt idx="124">
                  <v>7585.8</v>
                </pt>
                <pt idx="125">
                  <v>7674.15</v>
                </pt>
                <pt idx="126">
                  <v>7762.5</v>
                </pt>
                <pt idx="127">
                  <v>7852.9</v>
                </pt>
                <pt idx="128">
                  <v>7943.3</v>
                </pt>
                <pt idx="129">
                  <v>8035.8</v>
                </pt>
                <pt idx="130">
                  <v>8128.3</v>
                </pt>
                <pt idx="131">
                  <v>8222.950000000001</v>
                </pt>
                <pt idx="132">
                  <v>8270.275000000001</v>
                </pt>
                <pt idx="133">
                  <v>8317.6</v>
                </pt>
                <pt idx="134">
                  <v>8366.049999999999</v>
                </pt>
                <pt idx="135">
                  <v>8414.5</v>
                </pt>
                <pt idx="136">
                  <v>8462.950000000001</v>
                </pt>
                <pt idx="137">
                  <v>8511.4</v>
                </pt>
                <pt idx="138">
                  <v>8560.950000000001</v>
                </pt>
                <pt idx="139">
                  <v>8610.5</v>
                </pt>
                <pt idx="140">
                  <v>8660.049999999999</v>
                </pt>
                <pt idx="141">
                  <v>8709.6</v>
                </pt>
                <pt idx="142">
                  <v>8760.325000000001</v>
                </pt>
                <pt idx="143">
                  <v>8811.049999999999</v>
                </pt>
                <pt idx="144">
                  <v>8861.775</v>
                </pt>
                <pt idx="145">
                  <v>8912.5</v>
                </pt>
                <pt idx="146">
                  <v>8964.4</v>
                </pt>
                <pt idx="147">
                  <v>9016.299999999999</v>
                </pt>
                <pt idx="148">
                  <v>9068.200000000001</v>
                </pt>
                <pt idx="149">
                  <v>9120.1</v>
                </pt>
                <pt idx="150">
                  <v>9173.200000000001</v>
                </pt>
                <pt idx="151">
                  <v>9226.299999999999</v>
                </pt>
                <pt idx="152">
                  <v>9279.4</v>
                </pt>
                <pt idx="153">
                  <v>9332.5</v>
                </pt>
                <pt idx="154">
                  <v>9386.85</v>
                </pt>
                <pt idx="155">
                  <v>9441.200000000001</v>
                </pt>
                <pt idx="156">
                  <v>9495.549999999999</v>
                </pt>
                <pt idx="157">
                  <v>9549.9</v>
                </pt>
                <pt idx="158">
                  <v>9605.525</v>
                </pt>
                <pt idx="159">
                  <v>9661.15</v>
                </pt>
                <pt idx="160">
                  <v>9716.775</v>
                </pt>
                <pt idx="161">
                  <v>9772.4</v>
                </pt>
                <pt idx="162">
                  <v>9829.299999999999</v>
                </pt>
                <pt idx="163">
                  <v>9886.200000000001</v>
                </pt>
                <pt idx="164">
                  <v>9943.1</v>
                </pt>
                <pt idx="165">
                  <v>10000</v>
                </pt>
                <pt idx="166">
                  <v>10058.25</v>
                </pt>
                <pt idx="167">
                  <v>10116.5</v>
                </pt>
                <pt idx="168">
                  <v>10174.75</v>
                </pt>
                <pt idx="169">
                  <v>10233</v>
                </pt>
                <pt idx="170">
                  <v>10292.5</v>
                </pt>
                <pt idx="171">
                  <v>10352</v>
                </pt>
                <pt idx="172">
                  <v>10411.5</v>
                </pt>
                <pt idx="173">
                  <v>10471</v>
                </pt>
                <pt idx="174">
                  <v>10532</v>
                </pt>
                <pt idx="175">
                  <v>10593</v>
                </pt>
                <pt idx="176">
                  <v>10654</v>
                </pt>
                <pt idx="177">
                  <v>10715</v>
                </pt>
                <pt idx="178">
                  <v>10777.5</v>
                </pt>
                <pt idx="179">
                  <v>10840</v>
                </pt>
                <pt idx="180">
                  <v>10902.5</v>
                </pt>
                <pt idx="181">
                  <v>10965</v>
                </pt>
                <pt idx="182">
                  <v>11028.75</v>
                </pt>
                <pt idx="183">
                  <v>11092.5</v>
                </pt>
                <pt idx="184">
                  <v>11156.25</v>
                </pt>
                <pt idx="185">
                  <v>11220</v>
                </pt>
                <pt idx="186">
                  <v>11285.5</v>
                </pt>
                <pt idx="187">
                  <v>11351</v>
                </pt>
                <pt idx="188">
                  <v>11416.5</v>
                </pt>
                <pt idx="189">
                  <v>11482</v>
                </pt>
                <pt idx="190">
                  <v>11548.75</v>
                </pt>
                <pt idx="191">
                  <v>11615.5</v>
                </pt>
                <pt idx="192">
                  <v>11682.25</v>
                </pt>
                <pt idx="193">
                  <v>11749</v>
                </pt>
                <pt idx="194">
                  <v>11817.5</v>
                </pt>
                <pt idx="195">
                  <v>11886</v>
                </pt>
                <pt idx="196">
                  <v>11954.5</v>
                </pt>
                <pt idx="197">
                  <v>12023</v>
                </pt>
                <pt idx="198">
                  <v>12093</v>
                </pt>
                <pt idx="199">
                  <v>12163</v>
                </pt>
                <pt idx="200">
                  <v>12233</v>
                </pt>
                <pt idx="201">
                  <v>12303</v>
                </pt>
                <pt idx="202">
                  <v>12374.5</v>
                </pt>
                <pt idx="203">
                  <v>12446</v>
                </pt>
                <pt idx="204">
                  <v>12517.5</v>
                </pt>
                <pt idx="205">
                  <v>12589</v>
                </pt>
                <pt idx="206">
                  <v>12662.25</v>
                </pt>
                <pt idx="207">
                  <v>12735.5</v>
                </pt>
                <pt idx="208">
                  <v>12808.75</v>
                </pt>
                <pt idx="209">
                  <v>12882</v>
                </pt>
                <pt idx="210">
                  <v>12957.25</v>
                </pt>
                <pt idx="211">
                  <v>13032.5</v>
                </pt>
                <pt idx="212">
                  <v>13107.75</v>
                </pt>
                <pt idx="213">
                  <v>13183</v>
                </pt>
                <pt idx="214">
                  <v>13259.75</v>
                </pt>
                <pt idx="215">
                  <v>13336.5</v>
                </pt>
                <pt idx="216">
                  <v>13413.25</v>
                </pt>
                <pt idx="217">
                  <v>13490</v>
                </pt>
                <pt idx="218">
                  <v>13568.5</v>
                </pt>
                <pt idx="219">
                  <v>13647</v>
                </pt>
                <pt idx="220">
                  <v>13725.5</v>
                </pt>
                <pt idx="221">
                  <v>13804</v>
                </pt>
                <pt idx="222">
                  <v>13884.25</v>
                </pt>
                <pt idx="223">
                  <v>13964.5</v>
                </pt>
                <pt idx="224">
                  <v>14044.75</v>
                </pt>
                <pt idx="225">
                  <v>14125</v>
                </pt>
                <pt idx="226">
                  <v>14207.25</v>
                </pt>
                <pt idx="227">
                  <v>14289.5</v>
                </pt>
                <pt idx="228">
                  <v>14371.75</v>
                </pt>
                <pt idx="229">
                  <v>14454</v>
                </pt>
                <pt idx="230">
                  <v>14622.5</v>
                </pt>
                <pt idx="231">
                  <v>14706.75</v>
                </pt>
                <pt idx="232">
                  <v>14791</v>
                </pt>
                <pt idx="233">
                  <v>14877.25</v>
                </pt>
                <pt idx="234">
                  <v>14963.5</v>
                </pt>
                <pt idx="235">
                  <v>15049.75</v>
                </pt>
                <pt idx="236">
                  <v>15136</v>
                </pt>
                <pt idx="237">
                  <v>15224</v>
                </pt>
                <pt idx="238">
                  <v>15312</v>
                </pt>
                <pt idx="239">
                  <v>15400</v>
                </pt>
                <pt idx="240">
                  <v>15488</v>
                </pt>
                <pt idx="241">
                  <v>15578.25</v>
                </pt>
                <pt idx="242">
                  <v>15668.5</v>
                </pt>
                <pt idx="243">
                  <v>15758.75</v>
                </pt>
                <pt idx="244">
                  <v>15849</v>
                </pt>
                <pt idx="245">
                  <v>15941.25</v>
                </pt>
                <pt idx="246">
                  <v>16033.5</v>
                </pt>
                <pt idx="247">
                  <v>16125.75</v>
                </pt>
                <pt idx="248">
                  <v>16218</v>
                </pt>
                <pt idx="249">
                  <v>16312.5</v>
                </pt>
                <pt idx="250">
                  <v>16407</v>
                </pt>
                <pt idx="251">
                  <v>16501.5</v>
                </pt>
                <pt idx="252">
                  <v>16596</v>
                </pt>
                <pt idx="253">
                  <v>16692.5</v>
                </pt>
                <pt idx="254">
                  <v>16789</v>
                </pt>
                <pt idx="255">
                  <v>16885.5</v>
                </pt>
                <pt idx="256">
                  <v>16982</v>
                </pt>
                <pt idx="257">
                  <v>17081</v>
                </pt>
                <pt idx="258">
                  <v>17180</v>
                </pt>
                <pt idx="259">
                  <v>17279</v>
                </pt>
                <pt idx="260">
                  <v>17378</v>
                </pt>
                <pt idx="261">
                  <v>17479.25</v>
                </pt>
                <pt idx="262">
                  <v>17580.5</v>
                </pt>
                <pt idx="263">
                  <v>17681.75</v>
                </pt>
                <pt idx="264">
                  <v>17783</v>
                </pt>
                <pt idx="265">
                  <v>17886.5</v>
                </pt>
                <pt idx="266">
                  <v>17990</v>
                </pt>
                <pt idx="267">
                  <v>18093.5</v>
                </pt>
                <pt idx="268">
                  <v>18197</v>
                </pt>
                <pt idx="269">
                  <v>18303</v>
                </pt>
                <pt idx="270">
                  <v>18409</v>
                </pt>
                <pt idx="271">
                  <v>18515</v>
                </pt>
                <pt idx="272">
                  <v>18621</v>
                </pt>
                <pt idx="273">
                  <v>18729.5</v>
                </pt>
                <pt idx="274">
                  <v>18838</v>
                </pt>
                <pt idx="275">
                  <v>18946.5</v>
                </pt>
                <pt idx="276">
                  <v>19055</v>
                </pt>
                <pt idx="277">
                  <v>19165.75</v>
                </pt>
                <pt idx="278">
                  <v>19276.5</v>
                </pt>
                <pt idx="279">
                  <v>19387.25</v>
                </pt>
                <pt idx="280">
                  <v>19498</v>
                </pt>
                <pt idx="281">
                  <v>19611.75</v>
                </pt>
                <pt idx="282">
                  <v>19725.5</v>
                </pt>
                <pt idx="283">
                  <v>19839.25</v>
                </pt>
                <pt idx="284">
                  <v>19953</v>
                </pt>
                <pt idx="285">
                  <v>20069</v>
                </pt>
                <pt idx="286">
                  <v>20185</v>
                </pt>
                <pt idx="287">
                  <v>20301</v>
                </pt>
                <pt idx="288">
                  <v>20417</v>
                </pt>
                <pt idx="289">
                  <v>20536</v>
                </pt>
                <pt idx="290">
                  <v>20655</v>
                </pt>
                <pt idx="291">
                  <v>20774</v>
                </pt>
                <pt idx="292">
                  <v>20893</v>
                </pt>
                <pt idx="293">
                  <v>21014.75</v>
                </pt>
                <pt idx="294">
                  <v>21136.5</v>
                </pt>
                <pt idx="295">
                  <v>21258.25</v>
                </pt>
                <pt idx="296">
                  <v>21380</v>
                </pt>
                <pt idx="297">
                  <v>21504.5</v>
                </pt>
                <pt idx="298">
                  <v>21629</v>
                </pt>
                <pt idx="299">
                  <v>21753.5</v>
                </pt>
                <pt idx="300">
                  <v>21878</v>
                </pt>
                <pt idx="301">
                  <v>22005.25</v>
                </pt>
                <pt idx="302">
                  <v>22132.5</v>
                </pt>
                <pt idx="303">
                  <v>22259.75</v>
                </pt>
                <pt idx="304">
                  <v>22387</v>
                </pt>
                <pt idx="305">
                  <v>22517.5</v>
                </pt>
                <pt idx="306">
                  <v>22648</v>
                </pt>
                <pt idx="307">
                  <v>22778.5</v>
                </pt>
                <pt idx="308">
                  <v>22909</v>
                </pt>
                <pt idx="309">
                  <v>23042.25</v>
                </pt>
                <pt idx="310">
                  <v>23175.5</v>
                </pt>
                <pt idx="311">
                  <v>23308.75</v>
                </pt>
                <pt idx="312">
                  <v>23442</v>
                </pt>
                <pt idx="313">
                  <v>23578.5</v>
                </pt>
                <pt idx="314">
                  <v>23715</v>
                </pt>
                <pt idx="315">
                  <v>23851.5</v>
                </pt>
                <pt idx="316">
                  <v>23988</v>
                </pt>
                <pt idx="317">
                  <v>24127.75</v>
                </pt>
                <pt idx="318">
                  <v>24267.5</v>
                </pt>
                <pt idx="319">
                  <v>24407.25</v>
                </pt>
                <pt idx="320">
                  <v>24547</v>
                </pt>
                <pt idx="321">
                  <v>24690</v>
                </pt>
                <pt idx="322">
                  <v>24833</v>
                </pt>
                <pt idx="323">
                  <v>24976</v>
                </pt>
                <pt idx="324">
                  <v>25119</v>
                </pt>
                <pt idx="325">
                  <v>25265.25</v>
                </pt>
                <pt idx="326">
                  <v>25411.5</v>
                </pt>
                <pt idx="327">
                  <v>25557.75</v>
                </pt>
                <pt idx="328">
                  <v>25704</v>
                </pt>
                <pt idx="329">
                  <v>25853.75</v>
                </pt>
                <pt idx="330">
                  <v>26003.5</v>
                </pt>
                <pt idx="331">
                  <v>26153.25</v>
                </pt>
                <pt idx="332">
                  <v>26303</v>
                </pt>
                <pt idx="333">
                  <v>26456</v>
                </pt>
                <pt idx="334">
                  <v>26609</v>
                </pt>
                <pt idx="335">
                  <v>26762</v>
                </pt>
                <pt idx="336">
                  <v>26915</v>
                </pt>
                <pt idx="337">
                  <v>27071.75</v>
                </pt>
                <pt idx="338">
                  <v>27228.5</v>
                </pt>
                <pt idx="339">
                  <v>27385.25</v>
                </pt>
                <pt idx="340">
                  <v>27542</v>
                </pt>
                <pt idx="341">
                  <v>27702.5</v>
                </pt>
                <pt idx="342">
                  <v>27863</v>
                </pt>
                <pt idx="343">
                  <v>28023.5</v>
                </pt>
                <pt idx="344">
                  <v>28184</v>
                </pt>
                <pt idx="345">
                  <v>28348</v>
                </pt>
                <pt idx="346">
                  <v>28512</v>
                </pt>
                <pt idx="347">
                  <v>28676</v>
                </pt>
                <pt idx="348">
                  <v>28840</v>
                </pt>
                <pt idx="349">
                  <v>29008</v>
                </pt>
                <pt idx="350">
                  <v>29176</v>
                </pt>
                <pt idx="351">
                  <v>29344</v>
                </pt>
                <pt idx="352">
                  <v>29512</v>
                </pt>
                <pt idx="353">
                  <v>29684</v>
                </pt>
                <pt idx="354">
                  <v>29856</v>
                </pt>
                <pt idx="355">
                  <v>30028</v>
                </pt>
                <pt idx="356">
                  <v>30200</v>
                </pt>
                <pt idx="357">
                  <v>30375.75</v>
                </pt>
                <pt idx="358">
                  <v>30551.5</v>
                </pt>
                <pt idx="359">
                  <v>30727.25</v>
                </pt>
                <pt idx="360">
                  <v>30903</v>
                </pt>
                <pt idx="361">
                  <v>31083</v>
                </pt>
                <pt idx="362">
                  <v>31263</v>
                </pt>
                <pt idx="363">
                  <v>31443</v>
                </pt>
                <pt idx="364">
                  <v>31623</v>
                </pt>
                <pt idx="365">
                  <v>31807</v>
                </pt>
                <pt idx="366">
                  <v>31991</v>
                </pt>
                <pt idx="367">
                  <v>32175</v>
                </pt>
                <pt idx="368">
                  <v>32359</v>
                </pt>
                <pt idx="369">
                  <v>32547.5</v>
                </pt>
                <pt idx="370">
                  <v>32736</v>
                </pt>
                <pt idx="371">
                  <v>32924.5</v>
                </pt>
                <pt idx="372">
                  <v>33113</v>
                </pt>
                <pt idx="373">
                  <v>33305.75</v>
                </pt>
                <pt idx="374">
                  <v>33498.5</v>
                </pt>
                <pt idx="375">
                  <v>33691.25</v>
                </pt>
                <pt idx="376">
                  <v>33884</v>
                </pt>
                <pt idx="377">
                  <v>34081.5</v>
                </pt>
                <pt idx="378">
                  <v>34279</v>
                </pt>
                <pt idx="379">
                  <v>34476.5</v>
                </pt>
                <pt idx="380">
                  <v>34674</v>
                </pt>
                <pt idx="381">
                  <v>34875.75</v>
                </pt>
                <pt idx="382">
                  <v>35077.5</v>
                </pt>
                <pt idx="383">
                  <v>35279.25</v>
                </pt>
                <pt idx="384">
                  <v>35481</v>
                </pt>
                <pt idx="385">
                  <v>35687.75</v>
                </pt>
                <pt idx="386">
                  <v>35894.5</v>
                </pt>
                <pt idx="387">
                  <v>36101.25</v>
                </pt>
                <pt idx="388">
                  <v>36308</v>
                </pt>
                <pt idx="389">
                  <v>36519.5</v>
                </pt>
                <pt idx="390">
                  <v>36731</v>
                </pt>
                <pt idx="391">
                  <v>36942.5</v>
                </pt>
                <pt idx="392">
                  <v>37154</v>
                </pt>
                <pt idx="393">
                  <v>37370.25</v>
                </pt>
                <pt idx="394">
                  <v>37586.5</v>
                </pt>
                <pt idx="395">
                  <v>37802.75</v>
                </pt>
                <pt idx="396">
                  <v>38019</v>
                </pt>
                <pt idx="397">
                  <v>38240.5</v>
                </pt>
                <pt idx="398">
                  <v>38462</v>
                </pt>
                <pt idx="399">
                  <v>38683.5</v>
                </pt>
                <pt idx="400">
                  <v>38905</v>
                </pt>
                <pt idx="401">
                  <v>39131.5</v>
                </pt>
                <pt idx="402">
                  <v>39358</v>
                </pt>
                <pt idx="403">
                  <v>39584.5</v>
                </pt>
                <pt idx="404">
                  <v>39811</v>
                </pt>
                <pt idx="405">
                  <v>40042.75</v>
                </pt>
                <pt idx="406">
                  <v>40274.5</v>
                </pt>
                <pt idx="407">
                  <v>40506.25</v>
                </pt>
                <pt idx="408">
                  <v>40738</v>
                </pt>
                <pt idx="409">
                  <v>40975.25</v>
                </pt>
                <pt idx="410">
                  <v>41212.5</v>
                </pt>
                <pt idx="411">
                  <v>41449.75</v>
                </pt>
                <pt idx="412">
                  <v>41687</v>
                </pt>
                <pt idx="413">
                  <v>41929.75</v>
                </pt>
                <pt idx="414">
                  <v>42172.5</v>
                </pt>
                <pt idx="415">
                  <v>42415.25</v>
                </pt>
                <pt idx="416">
                  <v>42658</v>
                </pt>
                <pt idx="417">
                  <v>42906.5</v>
                </pt>
                <pt idx="418">
                  <v>43155</v>
                </pt>
                <pt idx="419">
                  <v>43403.5</v>
                </pt>
                <pt idx="420">
                  <v>43652</v>
                </pt>
                <pt idx="421">
                  <v>43906</v>
                </pt>
                <pt idx="422">
                  <v>44160</v>
                </pt>
                <pt idx="423">
                  <v>44414</v>
                </pt>
                <pt idx="424">
                  <v>44668</v>
                </pt>
                <pt idx="425">
                  <v>44928.25</v>
                </pt>
                <pt idx="426">
                  <v>45188.5</v>
                </pt>
                <pt idx="427">
                  <v>45448.75</v>
                </pt>
                <pt idx="428">
                  <v>45709</v>
                </pt>
                <pt idx="429">
                  <v>45975.25</v>
                </pt>
                <pt idx="430">
                  <v>46241.5</v>
                </pt>
                <pt idx="431">
                  <v>46507.75</v>
                </pt>
                <pt idx="432">
                  <v>46774</v>
                </pt>
                <pt idx="433">
                  <v>47046.25</v>
                </pt>
                <pt idx="434">
                  <v>47318.5</v>
                </pt>
                <pt idx="435">
                  <v>47590.75</v>
                </pt>
                <pt idx="436">
                  <v>47863</v>
                </pt>
                <pt idx="437">
                  <v>48141.75</v>
                </pt>
                <pt idx="438">
                  <v>48420.5</v>
                </pt>
                <pt idx="439">
                  <v>48699.25</v>
                </pt>
                <pt idx="440">
                  <v>48978</v>
                </pt>
                <pt idx="441">
                  <v>49263.25</v>
                </pt>
                <pt idx="442">
                  <v>49548.5</v>
                </pt>
                <pt idx="443">
                  <v>49833.75</v>
                </pt>
                <pt idx="444">
                  <v>50119</v>
                </pt>
                <pt idx="445">
                  <v>50410.75</v>
                </pt>
                <pt idx="446">
                  <v>50702.5</v>
                </pt>
                <pt idx="447">
                  <v>50994.25</v>
                </pt>
                <pt idx="448">
                  <v>51286</v>
                </pt>
                <pt idx="449">
                  <v>51584.75</v>
                </pt>
                <pt idx="450">
                  <v>51883.5</v>
                </pt>
                <pt idx="451">
                  <v>52182.25</v>
                </pt>
                <pt idx="452">
                  <v>52481</v>
                </pt>
                <pt idx="453">
                  <v>52786.5</v>
                </pt>
                <pt idx="454">
                  <v>53092</v>
                </pt>
                <pt idx="455">
                  <v>53397.5</v>
                </pt>
                <pt idx="456">
                  <v>53703</v>
                </pt>
                <pt idx="457">
                  <v>54015.75</v>
                </pt>
                <pt idx="458">
                  <v>54328.5</v>
                </pt>
                <pt idx="459">
                  <v>54641.25</v>
                </pt>
                <pt idx="460">
                  <v>54954</v>
                </pt>
                <pt idx="461">
                  <v>55274</v>
                </pt>
                <pt idx="462">
                  <v>55594</v>
                </pt>
                <pt idx="463">
                  <v>55914</v>
                </pt>
                <pt idx="464">
                  <v>56234</v>
                </pt>
                <pt idx="465">
                  <v>56561.5</v>
                </pt>
                <pt idx="466">
                  <v>56889</v>
                </pt>
                <pt idx="467">
                  <v>57216.5</v>
                </pt>
                <pt idx="468">
                  <v>57544</v>
                </pt>
                <pt idx="469">
                  <v>57879</v>
                </pt>
                <pt idx="470">
                  <v>58214</v>
                </pt>
                <pt idx="471">
                  <v>58549</v>
                </pt>
                <pt idx="472">
                  <v>58884</v>
                </pt>
                <pt idx="473">
                  <v>59227</v>
                </pt>
                <pt idx="474">
                  <v>59570</v>
                </pt>
                <pt idx="475">
                  <v>59913</v>
                </pt>
                <pt idx="476">
                  <v>60256</v>
                </pt>
                <pt idx="477">
                  <v>60607</v>
                </pt>
                <pt idx="478">
                  <v>60958</v>
                </pt>
                <pt idx="479">
                  <v>61309</v>
                </pt>
                <pt idx="480">
                  <v>61660</v>
                </pt>
                <pt idx="481">
                  <v>62019</v>
                </pt>
                <pt idx="482">
                  <v>62378</v>
                </pt>
                <pt idx="483">
                  <v>62737</v>
                </pt>
                <pt idx="484">
                  <v>63096</v>
                </pt>
                <pt idx="485">
                  <v>63463.25</v>
                </pt>
                <pt idx="486">
                  <v>63830.5</v>
                </pt>
                <pt idx="487">
                  <v>64197.75</v>
                </pt>
                <pt idx="488">
                  <v>64565</v>
                </pt>
                <pt idx="489">
                  <v>64941</v>
                </pt>
                <pt idx="490">
                  <v>65317</v>
                </pt>
                <pt idx="491">
                  <v>65693</v>
                </pt>
                <pt idx="492">
                  <v>66069</v>
                </pt>
                <pt idx="493">
                  <v>66453.75</v>
                </pt>
                <pt idx="494">
                  <v>66838.5</v>
                </pt>
                <pt idx="495">
                  <v>67223.25</v>
                </pt>
                <pt idx="496">
                  <v>67608</v>
                </pt>
                <pt idx="497">
                  <v>68001.75</v>
                </pt>
                <pt idx="498">
                  <v>68395.5</v>
                </pt>
                <pt idx="499">
                  <v>68789.25</v>
                </pt>
                <pt idx="500">
                  <v>69183</v>
                </pt>
                <pt idx="501">
                  <v>69586</v>
                </pt>
                <pt idx="502">
                  <v>69989</v>
                </pt>
                <pt idx="503">
                  <v>70392</v>
                </pt>
                <pt idx="504">
                  <v>70795</v>
                </pt>
                <pt idx="505">
                  <v>71207.25</v>
                </pt>
                <pt idx="506">
                  <v>71619.5</v>
                </pt>
                <pt idx="507">
                  <v>72031.75</v>
                </pt>
                <pt idx="508">
                  <v>72444</v>
                </pt>
                <pt idx="509">
                  <v>72865.75</v>
                </pt>
                <pt idx="510">
                  <v>73287.5</v>
                </pt>
                <pt idx="511">
                  <v>73709.25</v>
                </pt>
                <pt idx="512">
                  <v>74131</v>
                </pt>
                <pt idx="513">
                  <v>74562.75</v>
                </pt>
                <pt idx="514">
                  <v>74994.5</v>
                </pt>
                <pt idx="515">
                  <v>75426.25</v>
                </pt>
                <pt idx="516">
                  <v>75858</v>
                </pt>
                <pt idx="517">
                  <v>76299.75</v>
                </pt>
                <pt idx="518">
                  <v>76741.5</v>
                </pt>
                <pt idx="519">
                  <v>77183.25</v>
                </pt>
                <pt idx="520">
                  <v>77625</v>
                </pt>
                <pt idx="521">
                  <v>78077</v>
                </pt>
                <pt idx="522">
                  <v>78529</v>
                </pt>
                <pt idx="523">
                  <v>78981</v>
                </pt>
                <pt idx="524">
                  <v>79433</v>
                </pt>
                <pt idx="525">
                  <v>79895.5</v>
                </pt>
                <pt idx="526">
                  <v>80358</v>
                </pt>
                <pt idx="527">
                  <v>80820.5</v>
                </pt>
                <pt idx="528">
                  <v>81283</v>
                </pt>
                <pt idx="529">
                  <v>81756.25</v>
                </pt>
                <pt idx="530">
                  <v>82229.5</v>
                </pt>
                <pt idx="531">
                  <v>82702.75</v>
                </pt>
                <pt idx="532">
                  <v>83176</v>
                </pt>
                <pt idx="533">
                  <v>83660.5</v>
                </pt>
                <pt idx="534">
                  <v>84145</v>
                </pt>
                <pt idx="535">
                  <v>84629.5</v>
                </pt>
                <pt idx="536">
                  <v>85114</v>
                </pt>
                <pt idx="537">
                  <v>85609.5</v>
                </pt>
                <pt idx="538">
                  <v>86105</v>
                </pt>
                <pt idx="539">
                  <v>86600.5</v>
                </pt>
                <pt idx="540">
                  <v>87096</v>
                </pt>
                <pt idx="541">
                  <v>87603.25</v>
                </pt>
                <pt idx="542">
                  <v>88110.5</v>
                </pt>
                <pt idx="543">
                  <v>88617.75</v>
                </pt>
                <pt idx="544">
                  <v>89125</v>
                </pt>
                <pt idx="545">
                  <v>89644</v>
                </pt>
                <pt idx="546">
                  <v>90163</v>
                </pt>
                <pt idx="547">
                  <v>90682</v>
                </pt>
                <pt idx="548">
                  <v>91201</v>
                </pt>
                <pt idx="549">
                  <v>91732</v>
                </pt>
                <pt idx="550">
                  <v>92263</v>
                </pt>
                <pt idx="551">
                  <v>92794</v>
                </pt>
                <pt idx="552">
                  <v>93325</v>
                </pt>
                <pt idx="553">
                  <v>93868.5</v>
                </pt>
                <pt idx="554">
                  <v>94412</v>
                </pt>
                <pt idx="555">
                  <v>94955.5</v>
                </pt>
                <pt idx="556">
                  <v>95499</v>
                </pt>
                <pt idx="557">
                  <v>96611.5</v>
                </pt>
                <pt idx="558">
                  <v>97724</v>
                </pt>
                <pt idx="559">
                  <v>98862</v>
                </pt>
                <pt idx="560">
                  <v>100000</v>
                </pt>
                <pt idx="561">
                  <v>101165</v>
                </pt>
                <pt idx="562">
                  <v>102330</v>
                </pt>
                <pt idx="563">
                  <v>103520</v>
                </pt>
                <pt idx="564">
                  <v>104710</v>
                </pt>
                <pt idx="565">
                  <v>105930</v>
                </pt>
                <pt idx="566">
                  <v>107150</v>
                </pt>
                <pt idx="567">
                  <v>108400</v>
                </pt>
                <pt idx="568">
                  <v>109650</v>
                </pt>
                <pt idx="569">
                  <v>110925</v>
                </pt>
                <pt idx="570">
                  <v>112200</v>
                </pt>
                <pt idx="571">
                  <v>113510</v>
                </pt>
                <pt idx="572">
                  <v>114820</v>
                </pt>
                <pt idx="573">
                  <v>116155</v>
                </pt>
                <pt idx="574">
                  <v>117490</v>
                </pt>
                <pt idx="575">
                  <v>118860</v>
                </pt>
                <pt idx="576">
                  <v>120230</v>
                </pt>
                <pt idx="577">
                  <v>126030</v>
                </pt>
                <pt idx="578">
                  <v>131830</v>
                </pt>
                <pt idx="579">
                  <v>144540</v>
                </pt>
                <pt idx="580">
                  <v>158490</v>
                </pt>
                <pt idx="581">
                  <v>173780</v>
                </pt>
                <pt idx="582">
                  <v>190550</v>
                </pt>
                <pt idx="583">
                  <v>208930</v>
                </pt>
                <pt idx="584">
                  <v>229090</v>
                </pt>
                <pt idx="585">
                  <v>251190</v>
                </pt>
                <pt idx="586">
                  <v>275420</v>
                </pt>
                <pt idx="587">
                  <v>302000</v>
                </pt>
                <pt idx="588">
                  <v>331130</v>
                </pt>
                <pt idx="589">
                  <v>363080</v>
                </pt>
                <pt idx="590">
                  <v>398110</v>
                </pt>
                <pt idx="591">
                  <v>436520</v>
                </pt>
                <pt idx="592">
                  <v>478630</v>
                </pt>
                <pt idx="593">
                  <v>524810</v>
                </pt>
                <pt idx="594">
                  <v>575440</v>
                </pt>
                <pt idx="595">
                  <v>630960</v>
                </pt>
                <pt idx="596">
                  <v>691830</v>
                </pt>
                <pt idx="597">
                  <v>758580</v>
                </pt>
                <pt idx="598">
                  <v>831760</v>
                </pt>
                <pt idx="599">
                  <v>912010</v>
                </pt>
                <pt idx="600">
                  <v>1000000</v>
                </pt>
              </numCache>
            </numRef>
          </xVal>
          <yVal>
            <numRef>
              <f>'Stability Calculations'!$U$13:$U$613</f>
              <numCache>
                <formatCode>0.00</formatCode>
                <ptCount val="601"/>
                <pt idx="0">
                  <v>100.799269320494</v>
                </pt>
                <pt idx="1">
                  <v>100.5708332818664</v>
                </pt>
                <pt idx="2">
                  <v>100.3112282846387</v>
                </pt>
                <pt idx="3">
                  <v>100.0183763333321</v>
                </pt>
                <pt idx="4">
                  <v>99.69082279462194</v>
                </pt>
                <pt idx="5">
                  <v>99.32682027812469</v>
                </pt>
                <pt idx="6">
                  <v>98.92624135043118</v>
                </pt>
                <pt idx="7">
                  <v>98.48883066474272</v>
                </pt>
                <pt idx="8">
                  <v>98.01553092513825</v>
                </pt>
                <pt idx="9">
                  <v>97.50717727034994</v>
                </pt>
                <pt idx="10">
                  <v>96.96574119197919</v>
                </pt>
                <pt idx="11">
                  <v>96.39324177246922</v>
                </pt>
                <pt idx="12">
                  <v>95.79172420723724</v>
                </pt>
                <pt idx="13">
                  <v>95.16430133386523</v>
                </pt>
                <pt idx="14">
                  <v>94.51307679203552</v>
                </pt>
                <pt idx="15">
                  <v>93.84086211227159</v>
                </pt>
                <pt idx="16">
                  <v>93.15007541422966</v>
                </pt>
                <pt idx="17">
                  <v>92.44313700522513</v>
                </pt>
                <pt idx="18">
                  <v>91.72197558893407</v>
                </pt>
                <pt idx="19">
                  <v>90.98871620724103</v>
                </pt>
                <pt idx="20">
                  <v>90.24493829503746</v>
                </pt>
                <pt idx="21">
                  <v>89.49231591109088</v>
                </pt>
                <pt idx="22">
                  <v>88.73201826948419</v>
                </pt>
                <pt idx="23">
                  <v>87.96538583563881</v>
                </pt>
                <pt idx="24">
                  <v>87.19321476059375</v>
                </pt>
                <pt idx="25">
                  <v>86.41647115131349</v>
                </pt>
                <pt idx="26">
                  <v>85.63569360748525</v>
                </pt>
                <pt idx="27">
                  <v>84.85174002780562</v>
                </pt>
                <pt idx="28">
                  <v>84.06509446462748</v>
                </pt>
                <pt idx="29">
                  <v>83.27667887043793</v>
                </pt>
                <pt idx="30">
                  <v>82.48551847430411</v>
                </pt>
                <pt idx="31">
                  <v>81.69301539567314</v>
                </pt>
                <pt idx="32">
                  <v>80.89887839669584</v>
                </pt>
                <pt idx="33">
                  <v>80.1038744334349</v>
                </pt>
                <pt idx="34">
                  <v>79.30755238271556</v>
                </pt>
                <pt idx="35">
                  <v>78.51048789636943</v>
                </pt>
                <pt idx="36">
                  <v>77.7126568042498</v>
                </pt>
                <pt idx="37">
                  <v>76.91369923230967</v>
                </pt>
                <pt idx="38">
                  <v>76.11442110303967</v>
                </pt>
                <pt idx="39">
                  <v>75.31419977597589</v>
                </pt>
                <pt idx="40">
                  <v>74.51333521110446</v>
                </pt>
                <pt idx="41">
                  <v>73.71173222657279</v>
                </pt>
                <pt idx="42">
                  <v>72.90945008476572</v>
                </pt>
                <pt idx="43">
                  <v>72.10617486611559</v>
                </pt>
                <pt idx="44">
                  <v>71.30201275789707</v>
                </pt>
                <pt idx="45">
                  <v>70.49666167569465</v>
                </pt>
                <pt idx="46">
                  <v>69.69010769840003</v>
                </pt>
                <pt idx="47">
                  <v>68.8819585514517</v>
                </pt>
                <pt idx="48">
                  <v>68.07214617384972</v>
                </pt>
                <pt idx="49">
                  <v>67.26014056735984</v>
                </pt>
                <pt idx="50">
                  <v>66.44567836065252</v>
                </pt>
                <pt idx="51">
                  <v>65.62810490126954</v>
                </pt>
                <pt idx="52">
                  <v>64.80712860168794</v>
                </pt>
                <pt idx="53">
                  <v>63.98206659070248</v>
                </pt>
                <pt idx="54">
                  <v>63.15267018943644</v>
                </pt>
                <pt idx="55">
                  <v>62.31663722422024</v>
                </pt>
                <pt idx="56">
                  <v>61.47408694443737</v>
                </pt>
                <pt idx="57">
                  <v>60.62324277864205</v>
                </pt>
                <pt idx="58">
                  <v>59.76333186626984</v>
                </pt>
                <pt idx="59">
                  <v>58.89212514066593</v>
                </pt>
                <pt idx="60">
                  <v>58.00835405848205</v>
                </pt>
                <pt idx="61">
                  <v>57.10994641490818</v>
                </pt>
                <pt idx="62">
                  <v>56.19429554750636</v>
                </pt>
                <pt idx="63">
                  <v>55.26002189755462</v>
                </pt>
                <pt idx="64">
                  <v>54.30403496780455</v>
                </pt>
                <pt idx="65">
                  <v>53.32432508652833</v>
                </pt>
                <pt idx="66">
                  <v>52.31851574027474</v>
                </pt>
                <pt idx="67">
                  <v>51.28463401102963</v>
                </pt>
                <pt idx="68">
                  <v>50.22055724082922</v>
                </pt>
                <pt idx="69">
                  <v>49.12517356885403</v>
                </pt>
                <pt idx="70">
                  <v>47.99741441514846</v>
                </pt>
                <pt idx="71">
                  <v>46.83730495597808</v>
                </pt>
                <pt idx="72">
                  <v>45.64510783993958</v>
                </pt>
                <pt idx="73">
                  <v>44.42237908430747</v>
                </pt>
                <pt idx="74">
                  <v>43.17081072147332</v>
                </pt>
                <pt idx="75">
                  <v>41.89329341508635</v>
                </pt>
                <pt idx="76">
                  <v>40.59284833596514</v>
                </pt>
                <pt idx="77">
                  <v>39.2737398377831</v>
                </pt>
                <pt idx="78">
                  <v>37.94019633182118</v>
                </pt>
                <pt idx="79">
                  <v>36.59764391455432</v>
                </pt>
                <pt idx="80">
                  <v>35.2486012555463</v>
                </pt>
                <pt idx="81">
                  <v>33.89984654408907</v>
                </pt>
                <pt idx="82">
                  <v>32.555371325868</v>
                </pt>
                <pt idx="83">
                  <v>31.22094311728009</v>
                </pt>
                <pt idx="84">
                  <v>29.9001498075342</v>
                </pt>
                <pt idx="85">
                  <v>28.59805446799553</v>
                </pt>
                <pt idx="86">
                  <v>27.31835756903038</v>
                </pt>
                <pt idx="87">
                  <v>26.06377808637234</v>
                </pt>
                <pt idx="88">
                  <v>24.83829020164147</v>
                </pt>
                <pt idx="89">
                  <v>23.64298979024287</v>
                </pt>
                <pt idx="90">
                  <v>22.47969221164169</v>
                </pt>
                <pt idx="91">
                  <v>21.34889737576432</v>
                </pt>
                <pt idx="92">
                  <v>20.25063789705079</v>
                </pt>
                <pt idx="93">
                  <v>19.18382220829387</v>
                </pt>
                <pt idx="94">
                  <v>18.92202151831663</v>
                </pt>
                <pt idx="95">
                  <v>18.79101898711398</v>
                </pt>
                <pt idx="96">
                  <v>18.661977732194</v>
                </pt>
                <pt idx="97">
                  <v>18.53191994908033</v>
                </pt>
                <pt idx="98">
                  <v>18.40380546533206</v>
                </pt>
                <pt idx="99">
                  <v>18.27464559385774</v>
                </pt>
                <pt idx="100">
                  <v>18.14741183008458</v>
                </pt>
                <pt idx="101">
                  <v>18.01920260583777</v>
                </pt>
                <pt idx="102">
                  <v>17.892900153705</v>
                </pt>
                <pt idx="103">
                  <v>17.76550298408509</v>
                </pt>
                <pt idx="104">
                  <v>17.63999677955</v>
                </pt>
                <pt idx="105">
                  <v>17.51346714096148</v>
                </pt>
                <pt idx="106">
                  <v>17.38881048115649</v>
                </pt>
                <pt idx="107">
                  <v>17.263196783787</v>
                </pt>
                <pt idx="108">
                  <v>17.13943614103631</v>
                </pt>
                <pt idx="109">
                  <v>17.01469596079957</v>
                </pt>
                <pt idx="110">
                  <v>16.89178966537375</v>
                </pt>
                <pt idx="111">
                  <v>16.7678025141439</v>
                </pt>
                <pt idx="112">
                  <v>16.645633122648</v>
                </pt>
                <pt idx="113">
                  <v>16.52245035437193</v>
                </pt>
                <pt idx="114">
                  <v>16.40106727490548</v>
                </pt>
                <pt idx="115">
                  <v>16.27865657205764</v>
                </pt>
                <pt idx="116">
                  <v>16.15802800119702</v>
                </pt>
                <pt idx="117">
                  <v>16.03635991649808</v>
                </pt>
                <pt idx="118">
                  <v>15.91645685695951</v>
                </pt>
                <pt idx="119">
                  <v>15.79557733018176</v>
                </pt>
                <pt idx="120">
                  <v>15.67644402654623</v>
                </pt>
                <pt idx="121">
                  <v>15.55632236662341</v>
                </pt>
                <pt idx="122">
                  <v>15.43792866594409</v>
                </pt>
                <pt idx="123">
                  <v>15.31846808855969</v>
                </pt>
                <pt idx="124">
                  <v>15.20071964415567</v>
                </pt>
                <pt idx="125">
                  <v>15.08196696659835</v>
                </pt>
                <pt idx="126">
                  <v>14.96490895823093</v>
                </pt>
                <pt idx="127">
                  <v>14.84684040622971</v>
                </pt>
                <pt idx="128">
                  <v>14.73044945735585</v>
                </pt>
                <pt idx="129">
                  <v>14.61304324952127</v>
                </pt>
                <pt idx="130">
                  <v>14.49729793898813</v>
                </pt>
                <pt idx="131">
                  <v>14.38053412110476</v>
                </pt>
                <pt idx="132">
                  <v>14.32277176125888</v>
                </pt>
                <pt idx="133">
                  <v>14.26541482224665</v>
                </pt>
                <pt idx="134">
                  <v>14.20710858488338</v>
                </pt>
                <pt idx="135">
                  <v>14.1492155818571</v>
                </pt>
                <pt idx="136">
                  <v>14.09173007487243</v>
                </pt>
                <pt idx="137">
                  <v>14.03464643991462</v>
                </pt>
                <pt idx="138">
                  <v>13.97667670585346</v>
                </pt>
                <pt idx="139">
                  <v>13.91911575450127</v>
                </pt>
                <pt idx="140">
                  <v>13.86195792245825</v>
                </pt>
                <pt idx="141">
                  <v>13.8051976591878</v>
                </pt>
                <pt idx="142">
                  <v>13.74749755858923</v>
                </pt>
                <pt idx="143">
                  <v>13.69020268418772</v>
                </pt>
                <pt idx="144">
                  <v>13.63330743035542</v>
                </pt>
                <pt idx="145">
                  <v>13.5768063033302</v>
                </pt>
                <pt idx="146">
                  <v>13.51939868869204</v>
                </pt>
                <pt idx="147">
                  <v>13.46239238236419</v>
                </pt>
                <pt idx="148">
                  <v>13.40578184531439</v>
                </pt>
                <pt idx="149">
                  <v>13.34956164911229</v>
                </pt>
                <pt idx="150">
                  <v>13.29243999860654</v>
                </pt>
                <pt idx="151">
                  <v>13.23571579447564</v>
                </pt>
                <pt idx="152">
                  <v>13.17938356439243</v>
                </pt>
                <pt idx="153">
                  <v>13.123437945333</v>
                </pt>
                <pt idx="154">
                  <v>13.06657022302818</v>
                </pt>
                <pt idx="155">
                  <v>13.01009649762632</v>
                </pt>
                <pt idx="156">
                  <v>12.95401135621806</v>
                </pt>
                <pt idx="157">
                  <v>12.89830949406152</v>
                </pt>
                <pt idx="158">
                  <v>12.84169236507164</v>
                </pt>
                <pt idx="159">
                  <v>12.78546580078401</v>
                </pt>
                <pt idx="160">
                  <v>12.72962444849399</v>
                </pt>
                <pt idx="161">
                  <v>12.67416306247841</v>
                </pt>
                <pt idx="162">
                  <v>12.61781819717728</v>
                </pt>
                <pt idx="163">
                  <v>12.56186014375384</v>
                </pt>
                <pt idx="164">
                  <v>12.50628361732491</v>
                </pt>
                <pt idx="165">
                  <v>12.45108343857193</v>
                </pt>
                <pt idx="166">
                  <v>12.39495813732766</v>
                </pt>
                <pt idx="167">
                  <v>12.33921659651533</v>
                </pt>
                <pt idx="168">
                  <v>12.28385358573673</v>
                </pt>
                <pt idx="169">
                  <v>12.22886397906829</v>
                </pt>
                <pt idx="170">
                  <v>12.17307462389866</v>
                </pt>
                <pt idx="171">
                  <v>12.11766438128141</v>
                </pt>
                <pt idx="172">
                  <v>12.06262810866421</v>
                </pt>
                <pt idx="173">
                  <v>12.00796076596861</v>
                </pt>
                <pt idx="174">
                  <v>11.95229308218763</v>
                </pt>
                <pt idx="175">
                  <v>11.89700275505046</v>
                </pt>
                <pt idx="176">
                  <v>11.84208467201368</v>
                </pt>
                <pt idx="177">
                  <v>11.78753382251519</v>
                </pt>
                <pt idx="178">
                  <v>11.73201731378283</v>
                </pt>
                <pt idx="179">
                  <v>11.67687598891506</v>
                </pt>
                <pt idx="180">
                  <v>11.62210477471535</v>
                </pt>
                <pt idx="181">
                  <v>11.56769869920518</v>
                </pt>
                <pt idx="182">
                  <v>11.51257561454655</v>
                </pt>
                <pt idx="183">
                  <v>11.45782228155453</v>
                </pt>
                <pt idx="184">
                  <v>11.40343373281565</v>
                </pt>
                <pt idx="185">
                  <v>11.34940509959034</v>
                </pt>
                <pt idx="186">
                  <v>11.29426318285842</v>
                </pt>
                <pt idx="187">
                  <v>11.23949110158942</v>
                </pt>
                <pt idx="188">
                  <v>11.18508388388214</v>
                </pt>
                <pt idx="189">
                  <v>11.13103665685984</v>
                </pt>
                <pt idx="190">
                  <v>11.07632341071999</v>
                </pt>
                <pt idx="191">
                  <v>11.0219741116067</v>
                </pt>
                <pt idx="192">
                  <v>10.96798390352529</v>
                </pt>
                <pt idx="193">
                  <v>10.91434802665628</v>
                </pt>
                <pt idx="194">
                  <v>10.85966946012185</v>
                </pt>
                <pt idx="195">
                  <v>10.80535419105262</v>
                </pt>
                <pt idx="196">
                  <v>10.7513973751721</v>
                </pt>
                <pt idx="197">
                  <v>10.69779426425902</v>
                </pt>
                <pt idx="198">
                  <v>10.64337792718376</v>
                </pt>
                <pt idx="199">
                  <v>10.58932122619364</v>
                </pt>
                <pt idx="200">
                  <v>10.53561938928459</v>
                </pt>
                <pt idx="201">
                  <v>10.48226773877574</v>
                </pt>
                <pt idx="202">
                  <v>10.42812959384754</v>
                </pt>
                <pt idx="203">
                  <v>10.37434722947683</v>
                </pt>
                <pt idx="204">
                  <v>10.3209159500496</v>
                </pt>
                <pt idx="205">
                  <v>10.26783115242157</v>
                </pt>
                <pt idx="206">
                  <v>10.21380166488271</v>
                </pt>
                <pt idx="207">
                  <v>10.16012633396482</v>
                </pt>
                <pt idx="208">
                  <v>10.10680049676117</v>
                </pt>
                <pt idx="209">
                  <v>10.05381958211081</v>
                </pt>
                <pt idx="210">
                  <v>9.999746558380231</v>
                </pt>
                <pt idx="211">
                  <v>9.946028056953196</v>
                </pt>
                <pt idx="212">
                  <v>9.892659408984958</v>
                </pt>
                <pt idx="213">
                  <v>9.839636037648528</v>
                </pt>
                <pt idx="214">
                  <v>9.785906738643865</v>
                </pt>
                <pt idx="215">
                  <v>9.732527283753637</v>
                </pt>
                <pt idx="216">
                  <v>9.679493097695543</v>
                </pt>
                <pt idx="217">
                  <v>9.62679969486215</v>
                </pt>
                <pt idx="218">
                  <v>9.573252757169184</v>
                </pt>
                <pt idx="219">
                  <v>9.520053105819221</v>
                </pt>
                <pt idx="220">
                  <v>9.467196217657385</v>
                </pt>
                <pt idx="221">
                  <v>9.414677657933121</v>
                </pt>
                <pt idx="222">
                  <v>9.361333500304214</v>
                </pt>
                <pt idx="223">
                  <v>9.308333824295721</v>
                </pt>
                <pt idx="224">
                  <v>9.2556741638736</v>
                </pt>
                <pt idx="225">
                  <v>9.20335013999834</v>
                </pt>
                <pt idx="226">
                  <v>9.15006588592801</v>
                </pt>
                <pt idx="227">
                  <v>9.097125162404897</v>
                </pt>
                <pt idx="228">
                  <v>9.044523524824395</v>
                </pt>
                <pt idx="229">
                  <v>8.992256615080702</v>
                </pt>
                <pt idx="230">
                  <v>8.886208295048835</v>
                </pt>
                <pt idx="231">
                  <v>8.833693044010559</v>
                </pt>
                <pt idx="232">
                  <v>8.781511263634091</v>
                </pt>
                <pt idx="233">
                  <v>8.728431752437228</v>
                </pt>
                <pt idx="234">
                  <v>8.675692814494512</v>
                </pt>
                <pt idx="235">
                  <v>8.623290069313814</v>
                </pt>
                <pt idx="236">
                  <v>8.571219221330116</v>
                </pt>
                <pt idx="237">
                  <v>8.518429559286769</v>
                </pt>
                <pt idx="238">
                  <v>8.46597662617434</v>
                </pt>
                <pt idx="239">
                  <v>8.413856119154653</v>
                </pt>
                <pt idx="240">
                  <v>8.362063818347131</v>
                </pt>
                <pt idx="241">
                  <v>8.309283848279948</v>
                </pt>
                <pt idx="242">
                  <v>8.256840350562925</v>
                </pt>
                <pt idx="243">
                  <v>8.204729031462787</v>
                </pt>
                <pt idx="244">
                  <v>8.152945679986969</v>
                </pt>
                <pt idx="245">
                  <v>8.100349425392931</v>
                </pt>
                <pt idx="246">
                  <v>8.048087194049915</v>
                </pt>
                <pt idx="247">
                  <v>7.996154743287807</v>
                </pt>
                <pt idx="248">
                  <v>7.944547911879632</v>
                </pt>
                <pt idx="249">
                  <v>7.892015740057426</v>
                </pt>
                <pt idx="250">
                  <v>7.839816678386833</v>
                </pt>
                <pt idx="251">
                  <v>7.78794650615716</v>
                </pt>
                <pt idx="252">
                  <v>7.736401083540782</v>
                </pt>
                <pt idx="253">
                  <v>7.68409566439454</v>
                </pt>
                <pt idx="254">
                  <v>7.63212041023889</v>
                </pt>
                <pt idx="255">
                  <v>7.580471160814394</v>
                </pt>
                <pt idx="256">
                  <v>7.529143835201124</v>
                </pt>
                <pt idx="257">
                  <v>7.476817132035812</v>
                </pt>
                <pt idx="258">
                  <v>7.4248207949147</v>
                </pt>
                <pt idx="259">
                  <v>7.373150664754471</v>
                </pt>
                <pt idx="260">
                  <v>7.321802661767233</v>
                </pt>
                <pt idx="261">
                  <v>7.269616679789595</v>
                </pt>
                <pt idx="262">
                  <v>7.217759247163577</v>
                </pt>
                <pt idx="263">
                  <v>7.166226244055704</v>
                </pt>
                <pt idx="264">
                  <v>7.1150136289145</v>
                </pt>
                <pt idx="265">
                  <v>7.062989974006672</v>
                </pt>
                <pt idx="266">
                  <v>7.011292806408315</v>
                </pt>
                <pt idx="267">
                  <v>6.959918050084094</v>
                </pt>
                <pt idx="268">
                  <v>6.908861706150706</v>
                </pt>
                <pt idx="269">
                  <v>6.856898059894006</v>
                </pt>
                <pt idx="270">
                  <v>6.805260143625156</v>
                </pt>
                <pt idx="271">
                  <v>6.753943900744124</v>
                </pt>
                <pt idx="272">
                  <v>6.702945351283539</v>
                </pt>
                <pt idx="273">
                  <v>6.651068950926681</v>
                </pt>
                <pt idx="274">
                  <v>6.599517205774097</v>
                </pt>
                <pt idx="275">
                  <v>6.548286084622585</v>
                </pt>
                <pt idx="276">
                  <v>6.497371632229144</v>
                </pt>
                <pt idx="277">
                  <v>6.445723907291327</v>
                </pt>
                <pt idx="278">
                  <v>6.39439802733515</v>
                </pt>
                <pt idx="279">
                  <v>6.343390018648244</v>
                </pt>
                <pt idx="280">
                  <v>6.292695982002777</v>
                </pt>
                <pt idx="281">
                  <v>6.240951569070275</v>
                </pt>
                <pt idx="282">
                  <v>6.189530263631302</v>
                </pt>
                <pt idx="283">
                  <v>6.138428074182824</v>
                </pt>
                <pt idx="284">
                  <v>6.087641084106401</v>
                </pt>
                <pt idx="285">
                  <v>6.036170145175431</v>
                </pt>
                <pt idx="286">
                  <v>5.985019001451723</v>
                </pt>
                <pt idx="287">
                  <v>5.934183728000725</v>
                </pt>
                <pt idx="288">
                  <v>5.883660473070814</v>
                </pt>
                <pt idx="289">
                  <v>5.832150847574956</v>
                </pt>
                <pt idx="290">
                  <v>5.780961604788927</v>
                </pt>
                <pt idx="291">
                  <v>5.730088814597</v>
                </pt>
                <pt idx="292">
                  <v>5.679528620145035</v>
                </pt>
                <pt idx="293">
                  <v>5.628119585424809</v>
                </pt>
                <pt idx="294">
                  <v>5.57702982047253</v>
                </pt>
                <pt idx="295">
                  <v>5.526255421207437</v>
                </pt>
                <pt idx="296">
                  <v>5.475792556113422</v>
                </pt>
                <pt idx="297">
                  <v>5.424508123409087</v>
                </pt>
                <pt idx="298">
                  <v>5.373541578170564</v>
                </pt>
                <pt idx="299">
                  <v>5.32288904720581</v>
                </pt>
                <pt idx="300">
                  <v>5.272546729070427</v>
                </pt>
                <pt idx="301">
                  <v>5.221409114649481</v>
                </pt>
                <pt idx="302">
                  <v>5.170587760140133</v>
                </pt>
                <pt idx="303">
                  <v>5.120078827589285</v>
                </pt>
                <pt idx="304">
                  <v>5.069878549868249</v>
                </pt>
                <pt idx="305">
                  <v>5.018712850261889</v>
                </pt>
                <pt idx="306">
                  <v>4.96786396891572</v>
                </pt>
                <pt idx="307">
                  <v>4.917328063397753</v>
                </pt>
                <pt idx="308">
                  <v>4.867101362150744</v>
                </pt>
                <pt idx="309">
                  <v>4.816131443703434</v>
                </pt>
                <pt idx="310">
                  <v>4.765476169631869</v>
                </pt>
                <pt idx="311">
                  <v>4.71513174248119</v>
                </pt>
                <pt idx="312">
                  <v>4.66509443450968</v>
                </pt>
                <pt idx="313">
                  <v>4.614151325841583</v>
                </pt>
                <pt idx="314">
                  <v>4.563522798376938</v>
                </pt>
                <pt idx="315">
                  <v>4.513205061413698</v>
                </pt>
                <pt idx="316">
                  <v>4.463194393735097</v>
                </pt>
                <pt idx="317">
                  <v>4.412307304379447</v>
                </pt>
                <pt idx="318">
                  <v>4.361734402663403</v>
                </pt>
                <pt idx="319">
                  <v>4.311471910576833</v>
                </pt>
                <pt idx="320">
                  <v>4.261516119220699</v>
                </pt>
                <pt idx="321">
                  <v>4.210712249492313</v>
                </pt>
                <pt idx="322">
                  <v>4.160221868753663</v>
                </pt>
                <pt idx="323">
                  <v>4.110041217122297</v>
                </pt>
                <pt idx="324">
                  <v>4.060166603319555</v>
                </pt>
                <pt idx="325">
                  <v>4.009471248686248</v>
                </pt>
                <pt idx="326">
                  <v>3.959088403573953</v>
                </pt>
                <pt idx="327">
                  <v>3.90901433117548</v>
                </pt>
                <pt idx="328">
                  <v>3.859245362659852</v>
                </pt>
                <pt idx="329">
                  <v>3.80859772337152</v>
                </pt>
                <pt idx="330">
                  <v>3.758262392133573</v>
                </pt>
                <pt idx="331">
                  <v>3.708235641222999</v>
                </pt>
                <pt idx="332">
                  <v>3.658513810602961</v>
                </pt>
                <pt idx="333">
                  <v>3.60802405536919</v>
                </pt>
                <pt idx="334">
                  <v>3.55784508422166</v>
                </pt>
                <pt idx="335">
                  <v>3.507973202006772</v>
                </pt>
                <pt idx="336">
                  <v>3.458404780400198</v>
                </pt>
                <pt idx="337">
                  <v>3.407932429935094</v>
                </pt>
                <pt idx="338">
                  <v>3.357771095924476</v>
                </pt>
                <pt idx="339">
                  <v>3.307917084430332</v>
                </pt>
                <pt idx="340">
                  <v>3.258366768240502</v>
                </pt>
                <pt idx="341">
                  <v>3.207941998173243</v>
                </pt>
                <pt idx="342">
                  <v>3.15782813888164</v>
                </pt>
                <pt idx="343">
                  <v>3.108021503589918</v>
                </pt>
                <pt idx="344">
                  <v>3.058518471999536</v>
                </pt>
                <pt idx="345">
                  <v>3.008245842990121</v>
                </pt>
                <pt idx="346">
                  <v>2.95828276652315</v>
                </pt>
                <pt idx="347">
                  <v>2.908625585055786</v>
                </pt>
                <pt idx="348">
                  <v>2.859270706744073</v>
                </pt>
                <pt idx="349">
                  <v>2.809021816678314</v>
                </pt>
                <pt idx="350">
                  <v>2.75908273032637</v>
                </pt>
                <pt idx="351">
                  <v>2.70944979078855</v>
                </pt>
                <pt idx="352">
                  <v>2.660119406767149</v>
                </pt>
                <pt idx="353">
                  <v>2.60992425376024</v>
                </pt>
                <pt idx="354">
                  <v>2.560038820782253</v>
                </pt>
                <pt idx="355">
                  <v>2.510459457386159</v>
                </pt>
                <pt idx="356">
                  <v>2.461182578488341</v>
                </pt>
                <pt idx="357">
                  <v>2.411140134354341</v>
                </pt>
                <pt idx="358">
                  <v>2.361406142427493</v>
                </pt>
                <pt idx="359">
                  <v>2.311976979403223</v>
                </pt>
                <pt idx="360">
                  <v>2.262849086607597</v>
                </pt>
                <pt idx="361">
                  <v>2.212841813432655</v>
                </pt>
                <pt idx="362">
                  <v>2.163143202471968</v>
                </pt>
                <pt idx="363">
                  <v>2.1137496314019</v>
                </pt>
                <pt idx="364">
                  <v>2.064657542414704</v>
                </pt>
                <pt idx="365">
                  <v>2.014782485447158</v>
                </pt>
                <pt idx="366">
                  <v>1.96521514032561</v>
                </pt>
                <pt idx="367">
                  <v>1.915951905874087</v>
                </pt>
                <pt idx="368">
                  <v>1.866989244836927</v>
                </pt>
                <pt idx="369">
                  <v>1.817137184828952</v>
                </pt>
                <pt idx="370">
                  <v>1.767593263503712</v>
                </pt>
                <pt idx="371">
                  <v>1.718353876502314</v>
                </pt>
                <pt idx="372">
                  <v>1.669415483360725</v>
                </pt>
                <pt idx="373">
                  <v>1.619681331282659</v>
                </pt>
                <pt idx="374">
                  <v>1.570254609399301</v>
                </pt>
                <pt idx="375">
                  <v>1.52113172979019</v>
                </pt>
                <pt idx="376">
                  <v>1.472309167936914</v>
                </pt>
                <pt idx="377">
                  <v>1.422591345449198</v>
                </pt>
                <pt idx="378">
                  <v>1.373181530425784</v>
                </pt>
                <pt idx="379">
                  <v>1.324076128665676</v>
                </pt>
                <pt idx="380">
                  <v>1.27527160940504</v>
                </pt>
                <pt idx="381">
                  <v>1.225723923543668</v>
                </pt>
                <pt idx="382">
                  <v>1.176482956865591</v>
                </pt>
                <pt idx="383">
                  <v>1.127545141108593</v>
                </pt>
                <pt idx="384">
                  <v>1.078906970721094</v>
                </pt>
                <pt idx="385">
                  <v>1.029370667446092</v>
                </pt>
                <pt idx="386">
                  <v>0.9801417872777897</v>
                </pt>
                <pt idx="387">
                  <v>0.9312167528426096</v>
                </pt>
                <pt idx="388">
                  <v>0.8825920495633371</v>
                </pt>
                <pt idx="389">
                  <v>0.833157373042319</v>
                </pt>
                <pt idx="390">
                  <v>0.7840297406476399</v>
                </pt>
                <pt idx="391">
                  <v>0.7352055843454637</v>
                </pt>
                <pt idx="392">
                  <v>0.6866813985443265</v>
                </pt>
                <pt idx="393">
                  <v>0.6373739897493818</v>
                </pt>
                <pt idx="394">
                  <v>0.5883729581012399</v>
                </pt>
                <pt idx="395">
                  <v>0.5396747494376228</v>
                </pt>
                <pt idx="396">
                  <v>0.4912758715704114</v>
                </pt>
                <pt idx="397">
                  <v>0.4420087254603471</v>
                </pt>
                <pt idx="398">
                  <v>0.3930483969739006</v>
                </pt>
                <pt idx="399">
                  <v>0.344391326077842</v>
                </pt>
                <pt idx="400">
                  <v>0.2960340146914544</v>
                </pt>
                <pt idx="401">
                  <v>0.2468915206225591</v>
                </pt>
                <pt idx="402">
                  <v>0.1980552658134794</v>
                </pt>
                <pt idx="403">
                  <v>0.149521701444743</v>
                </pt>
                <pt idx="404">
                  <v>0.1012873402197704</v>
                </pt>
                <pt idx="405">
                  <v>0.05224107591414566</v>
                </pt>
                <pt idx="406">
                  <v>0.003500850554374312</v>
                </pt>
                <pt idx="407">
                  <v>-0.04493688069930386</v>
                </pt>
                <pt idx="408">
                  <v>-0.09307560144024533</v>
                </pt>
                <pt idx="409">
                  <v>-0.1420506081750583</v>
                </pt>
                <pt idx="410">
                  <v>-0.1907194414835797</v>
                </pt>
                <pt idx="411">
                  <v>-0.2390856487938681</v>
                </pt>
                <pt idx="412">
                  <v>-0.2871527164297868</v>
                </pt>
                <pt idx="413">
                  <v>-0.3360280407359618</v>
                </pt>
                <pt idx="414">
                  <v>-0.3845973897054397</v>
                </pt>
                <pt idx="415">
                  <v>-0.4328643084672367</v>
                </pt>
                <pt idx="416">
                  <v>-0.4808322813190804</v>
                </pt>
                <pt idx="417">
                  <v>-0.529630391509335</v>
                </pt>
                <pt idx="418">
                  <v>-0.578122425844058</v>
                </pt>
                <pt idx="419">
                  <v>-0.626311933327266</v>
                </pt>
                <pt idx="420">
                  <v>-0.6742024022849914</v>
                </pt>
                <pt idx="421">
                  <v>-0.7228473512307365</v>
                </pt>
                <pt idx="422">
                  <v>-0.7711870597866727</v>
                </pt>
                <pt idx="423">
                  <v>-0.8192250657364522</v>
                </pt>
                <pt idx="424">
                  <v>-0.8669648467046897</v>
                </pt>
                <pt idx="425">
                  <v>-0.9155735792528487</v>
                </pt>
                <pt idx="426">
                  <v>-0.9638764338885742</v>
                </pt>
                <pt idx="427">
                  <v>-1.011876964018739</v>
                </pt>
                <pt idx="428">
                  <v>-1.059578662829856</v>
                </pt>
                <pt idx="429">
                  <v>-1.108074448703715</v>
                </pt>
                <pt idx="430">
                  <v>-1.156264675094801</v>
                </pt>
                <pt idx="431">
                  <v>-1.20415289592033</v>
                </pt>
                <pt idx="432">
                  <v>-1.251742605187661</v>
                </pt>
                <pt idx="433">
                  <v>-1.300099659591707</v>
                </pt>
                <pt idx="434">
                  <v>-1.348151800006453</v>
                </pt>
                <pt idx="435">
                  <v>-1.395902576827804</v>
                </pt>
                <pt idx="436">
                  <v>-1.443355480975163</v>
                </pt>
                <pt idx="437">
                  <v>-1.491636288193665</v>
                </pt>
                <pt idx="438">
                  <v>-1.53961205104247</v>
                </pt>
                <pt idx="439">
                  <v>-1.587286331811302</v>
                </pt>
                <pt idx="440">
                  <v>-1.63466263344129</v>
                </pt>
                <pt idx="441">
                  <v>-1.682838785018781</v>
                </pt>
                <pt idx="442">
                  <v>-1.730710136318584</v>
                </pt>
                <pt idx="443">
                  <v>-1.778280257170461</v>
                </pt>
                <pt idx="444">
                  <v>-1.825552658323915</v>
                </pt>
                <pt idx="445">
                  <v>-1.873597882634139</v>
                </pt>
                <pt idx="446">
                  <v>-1.921338910022776</v>
                </pt>
                <pt idx="447">
                  <v>-1.968779314011358</v>
                </pt>
                <pt idx="448">
                  <v>-2.01592260944163</v>
                </pt>
                <pt idx="449">
                  <v>-2.063892745157022</v>
                </pt>
                <pt idx="450">
                  <v>-2.111558621091192</v>
                </pt>
                <pt idx="451">
                  <v>-2.158923828973911</v>
                </pt>
                <pt idx="452">
                  <v>-2.205991901993335</v>
                </pt>
                <pt idx="453">
                  <v>-2.253819778272679</v>
                </pt>
                <pt idx="454">
                  <v>-2.301344232401457</v>
                </pt>
                <pt idx="455">
                  <v>-2.348568861607088</v>
                </pt>
                <pt idx="456">
                  <v>-2.395497205049874</v>
                </pt>
                <pt idx="457">
                  <v>-2.443235952022653</v>
                </pt>
                <pt idx="458">
                  <v>-2.490671509538023</v>
                </pt>
                <pt idx="459">
                  <v>-2.537807494647748</v>
                </pt>
                <pt idx="460">
                  <v>-2.584647466571015</v>
                </pt>
                <pt idx="461">
                  <v>-2.632270524646714</v>
                </pt>
                <pt idx="462">
                  <v>-2.679591045682353</v>
                </pt>
                <pt idx="463">
                  <v>-2.726612663202055</v>
                </pt>
                <pt idx="464">
                  <v>-2.773338953280333</v>
                </pt>
                <pt idx="465">
                  <v>-2.820858272497351</v>
                </pt>
                <pt idx="466">
                  <v>-2.868075659359812</v>
                </pt>
                <pt idx="467">
                  <v>-2.91499476939568</v>
                </pt>
                <pt idx="468">
                  <v>-2.96161920103542</v>
                </pt>
                <pt idx="469">
                  <v>-3.009010182549959</v>
                </pt>
                <pt idx="470">
                  <v>-3.056100273952222</v>
                </pt>
                <pt idx="471">
                  <v>-3.102893150133541</v>
                </pt>
                <pt idx="472">
                  <v>-3.14939242938889</v>
                </pt>
                <pt idx="473">
                  <v>-3.196701662433631</v>
                </pt>
                <pt idx="474">
                  <v>-3.243710609669904</v>
                </pt>
                <pt idx="475">
                  <v>-3.290422979406663</v>
                </pt>
                <pt idx="476">
                  <v>-3.336842423676167</v>
                </pt>
                <pt idx="477">
                  <v>-3.384045036536688</v>
                </pt>
                <pt idx="478">
                  <v>-3.430948463846165</v>
                </pt>
                <pt idx="479">
                  <v>-3.477556445123163</v>
                </pt>
                <pt idx="480">
                  <v>-3.523872664093522</v>
                </pt>
                <pt idx="481">
                  <v>-3.570946493068417</v>
                </pt>
                <pt idx="482">
                  <v>-3.617722730699348</v>
                </pt>
                <pt idx="483">
                  <v>-3.664205146201438</v>
                </pt>
                <pt idx="484">
                  <v>-3.710397453638556</v>
                </pt>
                <pt idx="485">
                  <v>-3.757354914687279</v>
                </pt>
                <pt idx="486">
                  <v>-3.804016472811378</v>
                </pt>
                <pt idx="487">
                  <v>-3.85038593383104</v>
                </pt>
                <pt idx="488">
                  <v>-3.89646704906091</v>
                </pt>
                <pt idx="489">
                  <v>-3.943351209395034</v>
                </pt>
                <pt idx="490">
                  <v>-3.989940909129702</v>
                </pt>
                <pt idx="491">
                  <v>-4.036240005522793</v>
                </pt>
                <pt idx="492">
                  <v>-4.082252301847409</v>
                </pt>
                <pt idx="493">
                  <v>-4.129042386436791</v>
                </pt>
                <pt idx="494">
                  <v>-4.175540057434974</v>
                </pt>
                <pt idx="495">
                  <v>-4.221749223265409</v>
                </pt>
                <pt idx="496">
                  <v>-4.267673739066369</v>
                </pt>
                <pt idx="497">
                  <v>-4.314381765042733</v>
                </pt>
                <pt idx="498">
                  <v>-4.36079967295039</v>
                </pt>
                <pt idx="499">
                  <v>-4.406931430446296</v>
                </pt>
                <pt idx="500">
                  <v>-4.452780952641455</v>
                </pt>
                <pt idx="501">
                  <v>-4.499419348311217</v>
                </pt>
                <pt idx="502">
                  <v>-4.545770228469549</v>
                </pt>
                <pt idx="503">
                  <v>-4.591837628634808</v>
                </pt>
                <pt idx="504">
                  <v>-4.637625532568484</v>
                </pt>
                <pt idx="505">
                  <v>-4.684179307544134</v>
                </pt>
                <pt idx="506">
                  <v>-4.73044888184462</v>
                </pt>
                <pt idx="507">
                  <v>-4.776438360703146</v>
                </pt>
                <pt idx="508">
                  <v>-4.822151798565676</v>
                </pt>
                <pt idx="509">
                  <v>-4.868637189255219</v>
                </pt>
                <pt idx="510">
                  <v>-4.914842097909075</v>
                </pt>
                <pt idx="511">
                  <v>-4.960770709657708</v>
                </pt>
                <pt idx="512">
                  <v>-5.006427159866549</v>
                </pt>
                <pt idx="513">
                  <v>-5.052888506683034</v>
                </pt>
                <pt idx="514">
                  <v>-5.099073249126943</v>
                </pt>
                <pt idx="515">
                  <v>-5.144985670568855</v>
                </pt>
                <pt idx="516">
                  <v>-5.19063000558274</v>
                </pt>
                <pt idx="517">
                  <v>-5.237058428870036</v>
                </pt>
                <pt idx="518">
                  <v>-5.283215021454347</v>
                </pt>
                <pt idx="519">
                  <v>-5.329104169244014</v>
                </pt>
                <pt idx="520">
                  <v>-5.374730210497704</v>
                </pt>
                <pt idx="521">
                  <v>-5.421147062383442</v>
                </pt>
                <pt idx="522">
                  <v>-5.467297498560528</v>
                </pt>
                <pt idx="523">
                  <v>-5.513186020202811</v>
                </pt>
                <pt idx="524">
                  <v>-5.558817082036928</v>
                </pt>
                <pt idx="525">
                  <v>-5.605246256531483</v>
                </pt>
                <pt idx="526">
                  <v>-5.651415164054159</v>
                </pt>
                <pt idx="527">
                  <v>-5.69732843472497</v>
                </pt>
                <pt idx="528">
                  <v>-5.74299065346527</v>
                </pt>
                <pt idx="529">
                  <v>-5.789459074390741</v>
                </pt>
                <pt idx="530">
                  <v>-5.83567421065659</v>
                </pt>
                <pt idx="531">
                  <v>-5.88164083597957</v>
                </pt>
                <pt idx="532">
                  <v>-5.927363680154915</v>
                </pt>
                <pt idx="533">
                  <v>-5.973925789375078</v>
                </pt>
                <pt idx="534">
                  <v>-6.02024228653681</v>
                </pt>
                <pt idx="535">
                  <v>-6.066318112163016</v>
                </pt>
                <pt idx="536">
                  <v>-6.112158164046031</v>
                </pt>
                <pt idx="537">
                  <v>-6.158800156934884</v>
                </pt>
                <pt idx="538">
                  <v>-6.205205778989878</v>
                </pt>
                <pt idx="539">
                  <v>-6.251380138707455</v>
                </pt>
                <pt idx="540">
                  <v>-6.297328303179706</v>
                </pt>
                <pt idx="541">
                  <v>-6.344136999224603</v>
                </pt>
                <pt idx="542">
                  <v>-6.390719263843845</v>
                </pt>
                <pt idx="543">
                  <v>-6.437080406227945</v>
                </pt>
                <pt idx="544">
                  <v>-6.483225695222203</v>
                </pt>
                <pt idx="545">
                  <v>-6.530221942201769</v>
                </pt>
                <pt idx="546">
                  <v>-6.577003254803157</v>
                </pt>
                <pt idx="547">
                  <v>-6.623575152849494</v>
                </pt>
                <pt idx="548">
                  <v>-6.669943116783128</v>
                </pt>
                <pt idx="549">
                  <v>-6.717177786413774</v>
                </pt>
                <pt idx="550">
                  <v>-6.764210467064093</v>
                </pt>
                <pt idx="551">
                  <v>-6.811046907067199</v>
                </pt>
                <pt idx="552">
                  <v>-6.857692816054529</v>
                </pt>
                <pt idx="553">
                  <v>-6.905245400603691</v>
                </pt>
                <pt idx="554">
                  <v>-6.952610362157402</v>
                </pt>
                <pt idx="555">
                  <v>-6.999793703347626</v>
                </pt>
                <pt idx="556">
                  <v>-7.046801388291843</v>
                </pt>
                <pt idx="557">
                  <v>-7.142499394582812</v>
                </pt>
                <pt idx="558">
                  <v>-7.237536563433159</v>
                </pt>
                <pt idx="559">
                  <v>-7.334120219438001</v>
                </pt>
                <pt idx="560">
                  <v>-7.430116999275404</v>
                </pt>
                <pt idx="561">
                  <v>-7.527837670867181</v>
                </pt>
                <pt idx="562">
                  <v>-7.62505274399139</v>
                </pt>
                <pt idx="563">
                  <v>-7.723888502305645</v>
                </pt>
                <pt idx="564">
                  <v>-7.82231064249773</v>
                </pt>
                <pt idx="565">
                  <v>-7.922843732319992</v>
                </pt>
                <pt idx="566">
                  <v>-8.023061476290625</v>
                </pt>
                <pt idx="567">
                  <v>-8.125478431364217</v>
                </pt>
                <pt idx="568">
                  <v>-8.227689267213385</v>
                </pt>
                <pt idx="569">
                  <v>-8.331796072934246</v>
                </pt>
                <pt idx="570">
                  <v>-8.435817270508586</v>
                </pt>
                <pt idx="571">
                  <v>-8.542671439166975</v>
                </pt>
                <pt idx="572">
                  <v>-8.649569693306184</v>
                </pt>
                <pt idx="573">
                  <v>-8.758621838104276</v>
                </pt>
                <pt idx="574">
                  <v>-8.867856975529056</v>
                </pt>
                <pt idx="575">
                  <v>-8.980216351777862</v>
                </pt>
                <pt idx="576">
                  <v>-9.092909321804566</v>
                </pt>
                <pt idx="577">
                  <v>-9.575235644002918</v>
                </pt>
                <pt idx="578">
                  <v>-10.0694622871341</v>
                </pt>
                <pt idx="579">
                  <v>-11.21194366440097</v>
                </pt>
                <pt idx="580">
                  <v>-12.58045061554666</v>
                </pt>
                <pt idx="581">
                  <v>-14.21675525297472</v>
                </pt>
                <pt idx="582">
                  <v>-16.13323484483247</v>
                </pt>
                <pt idx="583">
                  <v>-18.30284876740176</v>
                </pt>
                <pt idx="584">
                  <v>-20.67683641889457</v>
                </pt>
                <pt idx="585">
                  <v>-23.19761827087618</v>
                </pt>
                <pt idx="586">
                  <v>-25.8169465814968</v>
                </pt>
                <pt idx="587">
                  <v>-28.50025166244547</v>
                </pt>
                <pt idx="588">
                  <v>-31.22058137611618</v>
                </pt>
                <pt idx="589">
                  <v>-33.96431697797329</v>
                </pt>
                <pt idx="590">
                  <v>-36.72021373906293</v>
                </pt>
                <pt idx="591">
                  <v>-39.48158900400942</v>
                </pt>
                <pt idx="592">
                  <v>-42.24293706090526</v>
                </pt>
                <pt idx="593">
                  <v>-45.00085393195921</v>
                </pt>
                <pt idx="594">
                  <v>-47.7508525801921</v>
                </pt>
                <pt idx="595">
                  <v>-50.49002996937826</v>
                </pt>
                <pt idx="596">
                  <v>-53.21467292976828</v>
                </pt>
                <pt idx="597">
                  <v>-55.92258943683055</v>
                </pt>
                <pt idx="598">
                  <v>-58.61082661915441</v>
                </pt>
                <pt idx="599">
                  <v>-61.2783687165834</v>
                </pt>
                <pt idx="600">
                  <v>-63.92373820755865</v>
                </pt>
              </numCache>
            </numRef>
          </yVal>
          <smooth val="0"/>
        </ser>
        <dLbls>
          <showLegendKey val="0"/>
          <showVal val="0"/>
          <showCatName val="0"/>
          <showSerName val="0"/>
          <showPercent val="0"/>
          <showBubbleSize val="0"/>
        </dLbls>
        <axId val="332788864"/>
        <axId val="332790784"/>
      </scatterChart>
      <scatterChart>
        <scatterStyle val="lineMarker"/>
        <varyColors val="0"/>
        <ser>
          <idx val="1"/>
          <order val="1"/>
          <tx>
            <strRef>
              <f>'Stability Calculations'!$W$12</f>
              <strCache>
                <ptCount val="1"/>
                <pt idx="0">
                  <v>Phase Margin (°)</v>
                </pt>
              </strCache>
            </strRef>
          </tx>
          <spPr>
            <a:ln xmlns:a="http://schemas.openxmlformats.org/drawingml/2006/main" w="25400">
              <a:solidFill>
                <a:srgbClr val="0000FF"/>
              </a:solidFill>
              <a:prstDash val="solid"/>
            </a:ln>
          </spPr>
          <marker>
            <symbol val="none"/>
            <spPr>
              <a:ln xmlns:a="http://schemas.openxmlformats.org/drawingml/2006/main">
                <a:prstDash val="solid"/>
              </a:ln>
            </spPr>
          </marker>
          <xVal>
            <numRef>
              <f>'Stability Calculations'!$A$13:$A$613</f>
              <numCache>
                <formatCode>General</formatCode>
                <ptCount val="601"/>
                <pt idx="0">
                  <v>1</v>
                </pt>
                <pt idx="1">
                  <v>1.0965</v>
                </pt>
                <pt idx="2">
                  <v>1.2023</v>
                </pt>
                <pt idx="3">
                  <v>1.3183</v>
                </pt>
                <pt idx="4">
                  <v>1.4454</v>
                </pt>
                <pt idx="5">
                  <v>1.5849</v>
                </pt>
                <pt idx="6">
                  <v>1.7378</v>
                </pt>
                <pt idx="7">
                  <v>1.9055</v>
                </pt>
                <pt idx="8">
                  <v>2.0893</v>
                </pt>
                <pt idx="9">
                  <v>2.2909</v>
                </pt>
                <pt idx="10">
                  <v>2.5119</v>
                </pt>
                <pt idx="11">
                  <v>2.7542</v>
                </pt>
                <pt idx="12">
                  <v>3.02</v>
                </pt>
                <pt idx="13">
                  <v>3.3113</v>
                </pt>
                <pt idx="14">
                  <v>3.6308</v>
                </pt>
                <pt idx="15">
                  <v>3.9811</v>
                </pt>
                <pt idx="16">
                  <v>4.3652</v>
                </pt>
                <pt idx="17">
                  <v>4.7863</v>
                </pt>
                <pt idx="18">
                  <v>5.2481</v>
                </pt>
                <pt idx="19">
                  <v>5.7544</v>
                </pt>
                <pt idx="20">
                  <v>6.3096</v>
                </pt>
                <pt idx="21">
                  <v>6.9183</v>
                </pt>
                <pt idx="22">
                  <v>7.5858</v>
                </pt>
                <pt idx="23">
                  <v>8.317600000000001</v>
                </pt>
                <pt idx="24">
                  <v>9.120100000000001</v>
                </pt>
                <pt idx="25">
                  <v>10</v>
                </pt>
                <pt idx="26">
                  <v>10.965</v>
                </pt>
                <pt idx="27">
                  <v>12.023</v>
                </pt>
                <pt idx="28">
                  <v>13.183</v>
                </pt>
                <pt idx="29">
                  <v>14.454</v>
                </pt>
                <pt idx="30">
                  <v>15.849</v>
                </pt>
                <pt idx="31">
                  <v>17.378</v>
                </pt>
                <pt idx="32">
                  <v>19.055</v>
                </pt>
                <pt idx="33">
                  <v>20.893</v>
                </pt>
                <pt idx="34">
                  <v>22.909</v>
                </pt>
                <pt idx="35">
                  <v>25.119</v>
                </pt>
                <pt idx="36">
                  <v>27.542</v>
                </pt>
                <pt idx="37">
                  <v>30.2</v>
                </pt>
                <pt idx="38">
                  <v>33.113</v>
                </pt>
                <pt idx="39">
                  <v>36.308</v>
                </pt>
                <pt idx="40">
                  <v>39.811</v>
                </pt>
                <pt idx="41">
                  <v>43.652</v>
                </pt>
                <pt idx="42">
                  <v>47.863</v>
                </pt>
                <pt idx="43">
                  <v>52.481</v>
                </pt>
                <pt idx="44">
                  <v>57.544</v>
                </pt>
                <pt idx="45">
                  <v>63.096</v>
                </pt>
                <pt idx="46">
                  <v>69.18300000000001</v>
                </pt>
                <pt idx="47">
                  <v>75.858</v>
                </pt>
                <pt idx="48">
                  <v>83.176</v>
                </pt>
                <pt idx="49">
                  <v>91.20100000000001</v>
                </pt>
                <pt idx="50">
                  <v>100</v>
                </pt>
                <pt idx="51">
                  <v>109.65</v>
                </pt>
                <pt idx="52">
                  <v>120.23</v>
                </pt>
                <pt idx="53">
                  <v>131.83</v>
                </pt>
                <pt idx="54">
                  <v>144.54</v>
                </pt>
                <pt idx="55">
                  <v>158.49</v>
                </pt>
                <pt idx="56">
                  <v>173.78</v>
                </pt>
                <pt idx="57">
                  <v>190.55</v>
                </pt>
                <pt idx="58">
                  <v>208.93</v>
                </pt>
                <pt idx="59">
                  <v>229.09</v>
                </pt>
                <pt idx="60">
                  <v>251.19</v>
                </pt>
                <pt idx="61">
                  <v>275.42</v>
                </pt>
                <pt idx="62">
                  <v>302</v>
                </pt>
                <pt idx="63">
                  <v>331.13</v>
                </pt>
                <pt idx="64">
                  <v>363.08</v>
                </pt>
                <pt idx="65">
                  <v>398.11</v>
                </pt>
                <pt idx="66">
                  <v>436.52</v>
                </pt>
                <pt idx="67">
                  <v>478.63</v>
                </pt>
                <pt idx="68">
                  <v>524.8099999999999</v>
                </pt>
                <pt idx="69">
                  <v>575.4400000000001</v>
                </pt>
                <pt idx="70">
                  <v>630.96</v>
                </pt>
                <pt idx="71">
                  <v>691.83</v>
                </pt>
                <pt idx="72">
                  <v>758.58</v>
                </pt>
                <pt idx="73">
                  <v>831.76</v>
                </pt>
                <pt idx="74">
                  <v>912.01</v>
                </pt>
                <pt idx="75">
                  <v>1000</v>
                </pt>
                <pt idx="76">
                  <v>1096.5</v>
                </pt>
                <pt idx="77">
                  <v>1202.3</v>
                </pt>
                <pt idx="78">
                  <v>1318.3</v>
                </pt>
                <pt idx="79">
                  <v>1445.4</v>
                </pt>
                <pt idx="80">
                  <v>1584.9</v>
                </pt>
                <pt idx="81">
                  <v>1737.8</v>
                </pt>
                <pt idx="82">
                  <v>1905.5</v>
                </pt>
                <pt idx="83">
                  <v>2089.3</v>
                </pt>
                <pt idx="84">
                  <v>2290.9</v>
                </pt>
                <pt idx="85">
                  <v>2511.9</v>
                </pt>
                <pt idx="86">
                  <v>2754.2</v>
                </pt>
                <pt idx="87">
                  <v>3020</v>
                </pt>
                <pt idx="88">
                  <v>3311.3</v>
                </pt>
                <pt idx="89">
                  <v>3630.8</v>
                </pt>
                <pt idx="90">
                  <v>3981.1</v>
                </pt>
                <pt idx="91">
                  <v>4365.2</v>
                </pt>
                <pt idx="92">
                  <v>4786.3</v>
                </pt>
                <pt idx="93">
                  <v>5248.1</v>
                </pt>
                <pt idx="94">
                  <v>5370.3</v>
                </pt>
                <pt idx="95">
                  <v>5432.85</v>
                </pt>
                <pt idx="96">
                  <v>5495.4</v>
                </pt>
                <pt idx="97">
                  <v>5559.4</v>
                </pt>
                <pt idx="98">
                  <v>5623.4</v>
                </pt>
                <pt idx="99">
                  <v>5688.9</v>
                </pt>
                <pt idx="100">
                  <v>5754.4</v>
                </pt>
                <pt idx="101">
                  <v>5821.4</v>
                </pt>
                <pt idx="102">
                  <v>5888.4</v>
                </pt>
                <pt idx="103">
                  <v>5957</v>
                </pt>
                <pt idx="104">
                  <v>6025.6</v>
                </pt>
                <pt idx="105">
                  <v>6095.8</v>
                </pt>
                <pt idx="106">
                  <v>6166</v>
                </pt>
                <pt idx="107">
                  <v>6237.8</v>
                </pt>
                <pt idx="108">
                  <v>6309.6</v>
                </pt>
                <pt idx="109">
                  <v>6383.05</v>
                </pt>
                <pt idx="110">
                  <v>6456.5</v>
                </pt>
                <pt idx="111">
                  <v>6531.7</v>
                </pt>
                <pt idx="112">
                  <v>6606.9</v>
                </pt>
                <pt idx="113">
                  <v>6683.85</v>
                </pt>
                <pt idx="114">
                  <v>6760.8</v>
                </pt>
                <pt idx="115">
                  <v>6839.55</v>
                </pt>
                <pt idx="116">
                  <v>6918.3</v>
                </pt>
                <pt idx="117">
                  <v>6998.9</v>
                </pt>
                <pt idx="118">
                  <v>7079.5</v>
                </pt>
                <pt idx="119">
                  <v>7161.95</v>
                </pt>
                <pt idx="120">
                  <v>7244.4</v>
                </pt>
                <pt idx="121">
                  <v>7328.75</v>
                </pt>
                <pt idx="122">
                  <v>7413.1</v>
                </pt>
                <pt idx="123">
                  <v>7499.45</v>
                </pt>
                <pt idx="124">
                  <v>7585.8</v>
                </pt>
                <pt idx="125">
                  <v>7674.15</v>
                </pt>
                <pt idx="126">
                  <v>7762.5</v>
                </pt>
                <pt idx="127">
                  <v>7852.9</v>
                </pt>
                <pt idx="128">
                  <v>7943.3</v>
                </pt>
                <pt idx="129">
                  <v>8035.8</v>
                </pt>
                <pt idx="130">
                  <v>8128.3</v>
                </pt>
                <pt idx="131">
                  <v>8222.950000000001</v>
                </pt>
                <pt idx="132">
                  <v>8270.275000000001</v>
                </pt>
                <pt idx="133">
                  <v>8317.6</v>
                </pt>
                <pt idx="134">
                  <v>8366.049999999999</v>
                </pt>
                <pt idx="135">
                  <v>8414.5</v>
                </pt>
                <pt idx="136">
                  <v>8462.950000000001</v>
                </pt>
                <pt idx="137">
                  <v>8511.4</v>
                </pt>
                <pt idx="138">
                  <v>8560.950000000001</v>
                </pt>
                <pt idx="139">
                  <v>8610.5</v>
                </pt>
                <pt idx="140">
                  <v>8660.049999999999</v>
                </pt>
                <pt idx="141">
                  <v>8709.6</v>
                </pt>
                <pt idx="142">
                  <v>8760.325000000001</v>
                </pt>
                <pt idx="143">
                  <v>8811.049999999999</v>
                </pt>
                <pt idx="144">
                  <v>8861.775</v>
                </pt>
                <pt idx="145">
                  <v>8912.5</v>
                </pt>
                <pt idx="146">
                  <v>8964.4</v>
                </pt>
                <pt idx="147">
                  <v>9016.299999999999</v>
                </pt>
                <pt idx="148">
                  <v>9068.200000000001</v>
                </pt>
                <pt idx="149">
                  <v>9120.1</v>
                </pt>
                <pt idx="150">
                  <v>9173.200000000001</v>
                </pt>
                <pt idx="151">
                  <v>9226.299999999999</v>
                </pt>
                <pt idx="152">
                  <v>9279.4</v>
                </pt>
                <pt idx="153">
                  <v>9332.5</v>
                </pt>
                <pt idx="154">
                  <v>9386.85</v>
                </pt>
                <pt idx="155">
                  <v>9441.200000000001</v>
                </pt>
                <pt idx="156">
                  <v>9495.549999999999</v>
                </pt>
                <pt idx="157">
                  <v>9549.9</v>
                </pt>
                <pt idx="158">
                  <v>9605.525</v>
                </pt>
                <pt idx="159">
                  <v>9661.15</v>
                </pt>
                <pt idx="160">
                  <v>9716.775</v>
                </pt>
                <pt idx="161">
                  <v>9772.4</v>
                </pt>
                <pt idx="162">
                  <v>9829.299999999999</v>
                </pt>
                <pt idx="163">
                  <v>9886.200000000001</v>
                </pt>
                <pt idx="164">
                  <v>9943.1</v>
                </pt>
                <pt idx="165">
                  <v>10000</v>
                </pt>
                <pt idx="166">
                  <v>10058.25</v>
                </pt>
                <pt idx="167">
                  <v>10116.5</v>
                </pt>
                <pt idx="168">
                  <v>10174.75</v>
                </pt>
                <pt idx="169">
                  <v>10233</v>
                </pt>
                <pt idx="170">
                  <v>10292.5</v>
                </pt>
                <pt idx="171">
                  <v>10352</v>
                </pt>
                <pt idx="172">
                  <v>10411.5</v>
                </pt>
                <pt idx="173">
                  <v>10471</v>
                </pt>
                <pt idx="174">
                  <v>10532</v>
                </pt>
                <pt idx="175">
                  <v>10593</v>
                </pt>
                <pt idx="176">
                  <v>10654</v>
                </pt>
                <pt idx="177">
                  <v>10715</v>
                </pt>
                <pt idx="178">
                  <v>10777.5</v>
                </pt>
                <pt idx="179">
                  <v>10840</v>
                </pt>
                <pt idx="180">
                  <v>10902.5</v>
                </pt>
                <pt idx="181">
                  <v>10965</v>
                </pt>
                <pt idx="182">
                  <v>11028.75</v>
                </pt>
                <pt idx="183">
                  <v>11092.5</v>
                </pt>
                <pt idx="184">
                  <v>11156.25</v>
                </pt>
                <pt idx="185">
                  <v>11220</v>
                </pt>
                <pt idx="186">
                  <v>11285.5</v>
                </pt>
                <pt idx="187">
                  <v>11351</v>
                </pt>
                <pt idx="188">
                  <v>11416.5</v>
                </pt>
                <pt idx="189">
                  <v>11482</v>
                </pt>
                <pt idx="190">
                  <v>11548.75</v>
                </pt>
                <pt idx="191">
                  <v>11615.5</v>
                </pt>
                <pt idx="192">
                  <v>11682.25</v>
                </pt>
                <pt idx="193">
                  <v>11749</v>
                </pt>
                <pt idx="194">
                  <v>11817.5</v>
                </pt>
                <pt idx="195">
                  <v>11886</v>
                </pt>
                <pt idx="196">
                  <v>11954.5</v>
                </pt>
                <pt idx="197">
                  <v>12023</v>
                </pt>
                <pt idx="198">
                  <v>12093</v>
                </pt>
                <pt idx="199">
                  <v>12163</v>
                </pt>
                <pt idx="200">
                  <v>12233</v>
                </pt>
                <pt idx="201">
                  <v>12303</v>
                </pt>
                <pt idx="202">
                  <v>12374.5</v>
                </pt>
                <pt idx="203">
                  <v>12446</v>
                </pt>
                <pt idx="204">
                  <v>12517.5</v>
                </pt>
                <pt idx="205">
                  <v>12589</v>
                </pt>
                <pt idx="206">
                  <v>12662.25</v>
                </pt>
                <pt idx="207">
                  <v>12735.5</v>
                </pt>
                <pt idx="208">
                  <v>12808.75</v>
                </pt>
                <pt idx="209">
                  <v>12882</v>
                </pt>
                <pt idx="210">
                  <v>12957.25</v>
                </pt>
                <pt idx="211">
                  <v>13032.5</v>
                </pt>
                <pt idx="212">
                  <v>13107.75</v>
                </pt>
                <pt idx="213">
                  <v>13183</v>
                </pt>
                <pt idx="214">
                  <v>13259.75</v>
                </pt>
                <pt idx="215">
                  <v>13336.5</v>
                </pt>
                <pt idx="216">
                  <v>13413.25</v>
                </pt>
                <pt idx="217">
                  <v>13490</v>
                </pt>
                <pt idx="218">
                  <v>13568.5</v>
                </pt>
                <pt idx="219">
                  <v>13647</v>
                </pt>
                <pt idx="220">
                  <v>13725.5</v>
                </pt>
                <pt idx="221">
                  <v>13804</v>
                </pt>
                <pt idx="222">
                  <v>13884.25</v>
                </pt>
                <pt idx="223">
                  <v>13964.5</v>
                </pt>
                <pt idx="224">
                  <v>14044.75</v>
                </pt>
                <pt idx="225">
                  <v>14125</v>
                </pt>
                <pt idx="226">
                  <v>14207.25</v>
                </pt>
                <pt idx="227">
                  <v>14289.5</v>
                </pt>
                <pt idx="228">
                  <v>14371.75</v>
                </pt>
                <pt idx="229">
                  <v>14454</v>
                </pt>
                <pt idx="230">
                  <v>14622.5</v>
                </pt>
                <pt idx="231">
                  <v>14706.75</v>
                </pt>
                <pt idx="232">
                  <v>14791</v>
                </pt>
                <pt idx="233">
                  <v>14877.25</v>
                </pt>
                <pt idx="234">
                  <v>14963.5</v>
                </pt>
                <pt idx="235">
                  <v>15049.75</v>
                </pt>
                <pt idx="236">
                  <v>15136</v>
                </pt>
                <pt idx="237">
                  <v>15224</v>
                </pt>
                <pt idx="238">
                  <v>15312</v>
                </pt>
                <pt idx="239">
                  <v>15400</v>
                </pt>
                <pt idx="240">
                  <v>15488</v>
                </pt>
                <pt idx="241">
                  <v>15578.25</v>
                </pt>
                <pt idx="242">
                  <v>15668.5</v>
                </pt>
                <pt idx="243">
                  <v>15758.75</v>
                </pt>
                <pt idx="244">
                  <v>15849</v>
                </pt>
                <pt idx="245">
                  <v>15941.25</v>
                </pt>
                <pt idx="246">
                  <v>16033.5</v>
                </pt>
                <pt idx="247">
                  <v>16125.75</v>
                </pt>
                <pt idx="248">
                  <v>16218</v>
                </pt>
                <pt idx="249">
                  <v>16312.5</v>
                </pt>
                <pt idx="250">
                  <v>16407</v>
                </pt>
                <pt idx="251">
                  <v>16501.5</v>
                </pt>
                <pt idx="252">
                  <v>16596</v>
                </pt>
                <pt idx="253">
                  <v>16692.5</v>
                </pt>
                <pt idx="254">
                  <v>16789</v>
                </pt>
                <pt idx="255">
                  <v>16885.5</v>
                </pt>
                <pt idx="256">
                  <v>16982</v>
                </pt>
                <pt idx="257">
                  <v>17081</v>
                </pt>
                <pt idx="258">
                  <v>17180</v>
                </pt>
                <pt idx="259">
                  <v>17279</v>
                </pt>
                <pt idx="260">
                  <v>17378</v>
                </pt>
                <pt idx="261">
                  <v>17479.25</v>
                </pt>
                <pt idx="262">
                  <v>17580.5</v>
                </pt>
                <pt idx="263">
                  <v>17681.75</v>
                </pt>
                <pt idx="264">
                  <v>17783</v>
                </pt>
                <pt idx="265">
                  <v>17886.5</v>
                </pt>
                <pt idx="266">
                  <v>17990</v>
                </pt>
                <pt idx="267">
                  <v>18093.5</v>
                </pt>
                <pt idx="268">
                  <v>18197</v>
                </pt>
                <pt idx="269">
                  <v>18303</v>
                </pt>
                <pt idx="270">
                  <v>18409</v>
                </pt>
                <pt idx="271">
                  <v>18515</v>
                </pt>
                <pt idx="272">
                  <v>18621</v>
                </pt>
                <pt idx="273">
                  <v>18729.5</v>
                </pt>
                <pt idx="274">
                  <v>18838</v>
                </pt>
                <pt idx="275">
                  <v>18946.5</v>
                </pt>
                <pt idx="276">
                  <v>19055</v>
                </pt>
                <pt idx="277">
                  <v>19165.75</v>
                </pt>
                <pt idx="278">
                  <v>19276.5</v>
                </pt>
                <pt idx="279">
                  <v>19387.25</v>
                </pt>
                <pt idx="280">
                  <v>19498</v>
                </pt>
                <pt idx="281">
                  <v>19611.75</v>
                </pt>
                <pt idx="282">
                  <v>19725.5</v>
                </pt>
                <pt idx="283">
                  <v>19839.25</v>
                </pt>
                <pt idx="284">
                  <v>19953</v>
                </pt>
                <pt idx="285">
                  <v>20069</v>
                </pt>
                <pt idx="286">
                  <v>20185</v>
                </pt>
                <pt idx="287">
                  <v>20301</v>
                </pt>
                <pt idx="288">
                  <v>20417</v>
                </pt>
                <pt idx="289">
                  <v>20536</v>
                </pt>
                <pt idx="290">
                  <v>20655</v>
                </pt>
                <pt idx="291">
                  <v>20774</v>
                </pt>
                <pt idx="292">
                  <v>20893</v>
                </pt>
                <pt idx="293">
                  <v>21014.75</v>
                </pt>
                <pt idx="294">
                  <v>21136.5</v>
                </pt>
                <pt idx="295">
                  <v>21258.25</v>
                </pt>
                <pt idx="296">
                  <v>21380</v>
                </pt>
                <pt idx="297">
                  <v>21504.5</v>
                </pt>
                <pt idx="298">
                  <v>21629</v>
                </pt>
                <pt idx="299">
                  <v>21753.5</v>
                </pt>
                <pt idx="300">
                  <v>21878</v>
                </pt>
                <pt idx="301">
                  <v>22005.25</v>
                </pt>
                <pt idx="302">
                  <v>22132.5</v>
                </pt>
                <pt idx="303">
                  <v>22259.75</v>
                </pt>
                <pt idx="304">
                  <v>22387</v>
                </pt>
                <pt idx="305">
                  <v>22517.5</v>
                </pt>
                <pt idx="306">
                  <v>22648</v>
                </pt>
                <pt idx="307">
                  <v>22778.5</v>
                </pt>
                <pt idx="308">
                  <v>22909</v>
                </pt>
                <pt idx="309">
                  <v>23042.25</v>
                </pt>
                <pt idx="310">
                  <v>23175.5</v>
                </pt>
                <pt idx="311">
                  <v>23308.75</v>
                </pt>
                <pt idx="312">
                  <v>23442</v>
                </pt>
                <pt idx="313">
                  <v>23578.5</v>
                </pt>
                <pt idx="314">
                  <v>23715</v>
                </pt>
                <pt idx="315">
                  <v>23851.5</v>
                </pt>
                <pt idx="316">
                  <v>23988</v>
                </pt>
                <pt idx="317">
                  <v>24127.75</v>
                </pt>
                <pt idx="318">
                  <v>24267.5</v>
                </pt>
                <pt idx="319">
                  <v>24407.25</v>
                </pt>
                <pt idx="320">
                  <v>24547</v>
                </pt>
                <pt idx="321">
                  <v>24690</v>
                </pt>
                <pt idx="322">
                  <v>24833</v>
                </pt>
                <pt idx="323">
                  <v>24976</v>
                </pt>
                <pt idx="324">
                  <v>25119</v>
                </pt>
                <pt idx="325">
                  <v>25265.25</v>
                </pt>
                <pt idx="326">
                  <v>25411.5</v>
                </pt>
                <pt idx="327">
                  <v>25557.75</v>
                </pt>
                <pt idx="328">
                  <v>25704</v>
                </pt>
                <pt idx="329">
                  <v>25853.75</v>
                </pt>
                <pt idx="330">
                  <v>26003.5</v>
                </pt>
                <pt idx="331">
                  <v>26153.25</v>
                </pt>
                <pt idx="332">
                  <v>26303</v>
                </pt>
                <pt idx="333">
                  <v>26456</v>
                </pt>
                <pt idx="334">
                  <v>26609</v>
                </pt>
                <pt idx="335">
                  <v>26762</v>
                </pt>
                <pt idx="336">
                  <v>26915</v>
                </pt>
                <pt idx="337">
                  <v>27071.75</v>
                </pt>
                <pt idx="338">
                  <v>27228.5</v>
                </pt>
                <pt idx="339">
                  <v>27385.25</v>
                </pt>
                <pt idx="340">
                  <v>27542</v>
                </pt>
                <pt idx="341">
                  <v>27702.5</v>
                </pt>
                <pt idx="342">
                  <v>27863</v>
                </pt>
                <pt idx="343">
                  <v>28023.5</v>
                </pt>
                <pt idx="344">
                  <v>28184</v>
                </pt>
                <pt idx="345">
                  <v>28348</v>
                </pt>
                <pt idx="346">
                  <v>28512</v>
                </pt>
                <pt idx="347">
                  <v>28676</v>
                </pt>
                <pt idx="348">
                  <v>28840</v>
                </pt>
                <pt idx="349">
                  <v>29008</v>
                </pt>
                <pt idx="350">
                  <v>29176</v>
                </pt>
                <pt idx="351">
                  <v>29344</v>
                </pt>
                <pt idx="352">
                  <v>29512</v>
                </pt>
                <pt idx="353">
                  <v>29684</v>
                </pt>
                <pt idx="354">
                  <v>29856</v>
                </pt>
                <pt idx="355">
                  <v>30028</v>
                </pt>
                <pt idx="356">
                  <v>30200</v>
                </pt>
                <pt idx="357">
                  <v>30375.75</v>
                </pt>
                <pt idx="358">
                  <v>30551.5</v>
                </pt>
                <pt idx="359">
                  <v>30727.25</v>
                </pt>
                <pt idx="360">
                  <v>30903</v>
                </pt>
                <pt idx="361">
                  <v>31083</v>
                </pt>
                <pt idx="362">
                  <v>31263</v>
                </pt>
                <pt idx="363">
                  <v>31443</v>
                </pt>
                <pt idx="364">
                  <v>31623</v>
                </pt>
                <pt idx="365">
                  <v>31807</v>
                </pt>
                <pt idx="366">
                  <v>31991</v>
                </pt>
                <pt idx="367">
                  <v>32175</v>
                </pt>
                <pt idx="368">
                  <v>32359</v>
                </pt>
                <pt idx="369">
                  <v>32547.5</v>
                </pt>
                <pt idx="370">
                  <v>32736</v>
                </pt>
                <pt idx="371">
                  <v>32924.5</v>
                </pt>
                <pt idx="372">
                  <v>33113</v>
                </pt>
                <pt idx="373">
                  <v>33305.75</v>
                </pt>
                <pt idx="374">
                  <v>33498.5</v>
                </pt>
                <pt idx="375">
                  <v>33691.25</v>
                </pt>
                <pt idx="376">
                  <v>33884</v>
                </pt>
                <pt idx="377">
                  <v>34081.5</v>
                </pt>
                <pt idx="378">
                  <v>34279</v>
                </pt>
                <pt idx="379">
                  <v>34476.5</v>
                </pt>
                <pt idx="380">
                  <v>34674</v>
                </pt>
                <pt idx="381">
                  <v>34875.75</v>
                </pt>
                <pt idx="382">
                  <v>35077.5</v>
                </pt>
                <pt idx="383">
                  <v>35279.25</v>
                </pt>
                <pt idx="384">
                  <v>35481</v>
                </pt>
                <pt idx="385">
                  <v>35687.75</v>
                </pt>
                <pt idx="386">
                  <v>35894.5</v>
                </pt>
                <pt idx="387">
                  <v>36101.25</v>
                </pt>
                <pt idx="388">
                  <v>36308</v>
                </pt>
                <pt idx="389">
                  <v>36519.5</v>
                </pt>
                <pt idx="390">
                  <v>36731</v>
                </pt>
                <pt idx="391">
                  <v>36942.5</v>
                </pt>
                <pt idx="392">
                  <v>37154</v>
                </pt>
                <pt idx="393">
                  <v>37370.25</v>
                </pt>
                <pt idx="394">
                  <v>37586.5</v>
                </pt>
                <pt idx="395">
                  <v>37802.75</v>
                </pt>
                <pt idx="396">
                  <v>38019</v>
                </pt>
                <pt idx="397">
                  <v>38240.5</v>
                </pt>
                <pt idx="398">
                  <v>38462</v>
                </pt>
                <pt idx="399">
                  <v>38683.5</v>
                </pt>
                <pt idx="400">
                  <v>38905</v>
                </pt>
                <pt idx="401">
                  <v>39131.5</v>
                </pt>
                <pt idx="402">
                  <v>39358</v>
                </pt>
                <pt idx="403">
                  <v>39584.5</v>
                </pt>
                <pt idx="404">
                  <v>39811</v>
                </pt>
                <pt idx="405">
                  <v>40042.75</v>
                </pt>
                <pt idx="406">
                  <v>40274.5</v>
                </pt>
                <pt idx="407">
                  <v>40506.25</v>
                </pt>
                <pt idx="408">
                  <v>40738</v>
                </pt>
                <pt idx="409">
                  <v>40975.25</v>
                </pt>
                <pt idx="410">
                  <v>41212.5</v>
                </pt>
                <pt idx="411">
                  <v>41449.75</v>
                </pt>
                <pt idx="412">
                  <v>41687</v>
                </pt>
                <pt idx="413">
                  <v>41929.75</v>
                </pt>
                <pt idx="414">
                  <v>42172.5</v>
                </pt>
                <pt idx="415">
                  <v>42415.25</v>
                </pt>
                <pt idx="416">
                  <v>42658</v>
                </pt>
                <pt idx="417">
                  <v>42906.5</v>
                </pt>
                <pt idx="418">
                  <v>43155</v>
                </pt>
                <pt idx="419">
                  <v>43403.5</v>
                </pt>
                <pt idx="420">
                  <v>43652</v>
                </pt>
                <pt idx="421">
                  <v>43906</v>
                </pt>
                <pt idx="422">
                  <v>44160</v>
                </pt>
                <pt idx="423">
                  <v>44414</v>
                </pt>
                <pt idx="424">
                  <v>44668</v>
                </pt>
                <pt idx="425">
                  <v>44928.25</v>
                </pt>
                <pt idx="426">
                  <v>45188.5</v>
                </pt>
                <pt idx="427">
                  <v>45448.75</v>
                </pt>
                <pt idx="428">
                  <v>45709</v>
                </pt>
                <pt idx="429">
                  <v>45975.25</v>
                </pt>
                <pt idx="430">
                  <v>46241.5</v>
                </pt>
                <pt idx="431">
                  <v>46507.75</v>
                </pt>
                <pt idx="432">
                  <v>46774</v>
                </pt>
                <pt idx="433">
                  <v>47046.25</v>
                </pt>
                <pt idx="434">
                  <v>47318.5</v>
                </pt>
                <pt idx="435">
                  <v>47590.75</v>
                </pt>
                <pt idx="436">
                  <v>47863</v>
                </pt>
                <pt idx="437">
                  <v>48141.75</v>
                </pt>
                <pt idx="438">
                  <v>48420.5</v>
                </pt>
                <pt idx="439">
                  <v>48699.25</v>
                </pt>
                <pt idx="440">
                  <v>48978</v>
                </pt>
                <pt idx="441">
                  <v>49263.25</v>
                </pt>
                <pt idx="442">
                  <v>49548.5</v>
                </pt>
                <pt idx="443">
                  <v>49833.75</v>
                </pt>
                <pt idx="444">
                  <v>50119</v>
                </pt>
                <pt idx="445">
                  <v>50410.75</v>
                </pt>
                <pt idx="446">
                  <v>50702.5</v>
                </pt>
                <pt idx="447">
                  <v>50994.25</v>
                </pt>
                <pt idx="448">
                  <v>51286</v>
                </pt>
                <pt idx="449">
                  <v>51584.75</v>
                </pt>
                <pt idx="450">
                  <v>51883.5</v>
                </pt>
                <pt idx="451">
                  <v>52182.25</v>
                </pt>
                <pt idx="452">
                  <v>52481</v>
                </pt>
                <pt idx="453">
                  <v>52786.5</v>
                </pt>
                <pt idx="454">
                  <v>53092</v>
                </pt>
                <pt idx="455">
                  <v>53397.5</v>
                </pt>
                <pt idx="456">
                  <v>53703</v>
                </pt>
                <pt idx="457">
                  <v>54015.75</v>
                </pt>
                <pt idx="458">
                  <v>54328.5</v>
                </pt>
                <pt idx="459">
                  <v>54641.25</v>
                </pt>
                <pt idx="460">
                  <v>54954</v>
                </pt>
                <pt idx="461">
                  <v>55274</v>
                </pt>
                <pt idx="462">
                  <v>55594</v>
                </pt>
                <pt idx="463">
                  <v>55914</v>
                </pt>
                <pt idx="464">
                  <v>56234</v>
                </pt>
                <pt idx="465">
                  <v>56561.5</v>
                </pt>
                <pt idx="466">
                  <v>56889</v>
                </pt>
                <pt idx="467">
                  <v>57216.5</v>
                </pt>
                <pt idx="468">
                  <v>57544</v>
                </pt>
                <pt idx="469">
                  <v>57879</v>
                </pt>
                <pt idx="470">
                  <v>58214</v>
                </pt>
                <pt idx="471">
                  <v>58549</v>
                </pt>
                <pt idx="472">
                  <v>58884</v>
                </pt>
                <pt idx="473">
                  <v>59227</v>
                </pt>
                <pt idx="474">
                  <v>59570</v>
                </pt>
                <pt idx="475">
                  <v>59913</v>
                </pt>
                <pt idx="476">
                  <v>60256</v>
                </pt>
                <pt idx="477">
                  <v>60607</v>
                </pt>
                <pt idx="478">
                  <v>60958</v>
                </pt>
                <pt idx="479">
                  <v>61309</v>
                </pt>
                <pt idx="480">
                  <v>61660</v>
                </pt>
                <pt idx="481">
                  <v>62019</v>
                </pt>
                <pt idx="482">
                  <v>62378</v>
                </pt>
                <pt idx="483">
                  <v>62737</v>
                </pt>
                <pt idx="484">
                  <v>63096</v>
                </pt>
                <pt idx="485">
                  <v>63463.25</v>
                </pt>
                <pt idx="486">
                  <v>63830.5</v>
                </pt>
                <pt idx="487">
                  <v>64197.75</v>
                </pt>
                <pt idx="488">
                  <v>64565</v>
                </pt>
                <pt idx="489">
                  <v>64941</v>
                </pt>
                <pt idx="490">
                  <v>65317</v>
                </pt>
                <pt idx="491">
                  <v>65693</v>
                </pt>
                <pt idx="492">
                  <v>66069</v>
                </pt>
                <pt idx="493">
                  <v>66453.75</v>
                </pt>
                <pt idx="494">
                  <v>66838.5</v>
                </pt>
                <pt idx="495">
                  <v>67223.25</v>
                </pt>
                <pt idx="496">
                  <v>67608</v>
                </pt>
                <pt idx="497">
                  <v>68001.75</v>
                </pt>
                <pt idx="498">
                  <v>68395.5</v>
                </pt>
                <pt idx="499">
                  <v>68789.25</v>
                </pt>
                <pt idx="500">
                  <v>69183</v>
                </pt>
                <pt idx="501">
                  <v>69586</v>
                </pt>
                <pt idx="502">
                  <v>69989</v>
                </pt>
                <pt idx="503">
                  <v>70392</v>
                </pt>
                <pt idx="504">
                  <v>70795</v>
                </pt>
                <pt idx="505">
                  <v>71207.25</v>
                </pt>
                <pt idx="506">
                  <v>71619.5</v>
                </pt>
                <pt idx="507">
                  <v>72031.75</v>
                </pt>
                <pt idx="508">
                  <v>72444</v>
                </pt>
                <pt idx="509">
                  <v>72865.75</v>
                </pt>
                <pt idx="510">
                  <v>73287.5</v>
                </pt>
                <pt idx="511">
                  <v>73709.25</v>
                </pt>
                <pt idx="512">
                  <v>74131</v>
                </pt>
                <pt idx="513">
                  <v>74562.75</v>
                </pt>
                <pt idx="514">
                  <v>74994.5</v>
                </pt>
                <pt idx="515">
                  <v>75426.25</v>
                </pt>
                <pt idx="516">
                  <v>75858</v>
                </pt>
                <pt idx="517">
                  <v>76299.75</v>
                </pt>
                <pt idx="518">
                  <v>76741.5</v>
                </pt>
                <pt idx="519">
                  <v>77183.25</v>
                </pt>
                <pt idx="520">
                  <v>77625</v>
                </pt>
                <pt idx="521">
                  <v>78077</v>
                </pt>
                <pt idx="522">
                  <v>78529</v>
                </pt>
                <pt idx="523">
                  <v>78981</v>
                </pt>
                <pt idx="524">
                  <v>79433</v>
                </pt>
                <pt idx="525">
                  <v>79895.5</v>
                </pt>
                <pt idx="526">
                  <v>80358</v>
                </pt>
                <pt idx="527">
                  <v>80820.5</v>
                </pt>
                <pt idx="528">
                  <v>81283</v>
                </pt>
                <pt idx="529">
                  <v>81756.25</v>
                </pt>
                <pt idx="530">
                  <v>82229.5</v>
                </pt>
                <pt idx="531">
                  <v>82702.75</v>
                </pt>
                <pt idx="532">
                  <v>83176</v>
                </pt>
                <pt idx="533">
                  <v>83660.5</v>
                </pt>
                <pt idx="534">
                  <v>84145</v>
                </pt>
                <pt idx="535">
                  <v>84629.5</v>
                </pt>
                <pt idx="536">
                  <v>85114</v>
                </pt>
                <pt idx="537">
                  <v>85609.5</v>
                </pt>
                <pt idx="538">
                  <v>86105</v>
                </pt>
                <pt idx="539">
                  <v>86600.5</v>
                </pt>
                <pt idx="540">
                  <v>87096</v>
                </pt>
                <pt idx="541">
                  <v>87603.25</v>
                </pt>
                <pt idx="542">
                  <v>88110.5</v>
                </pt>
                <pt idx="543">
                  <v>88617.75</v>
                </pt>
                <pt idx="544">
                  <v>89125</v>
                </pt>
                <pt idx="545">
                  <v>89644</v>
                </pt>
                <pt idx="546">
                  <v>90163</v>
                </pt>
                <pt idx="547">
                  <v>90682</v>
                </pt>
                <pt idx="548">
                  <v>91201</v>
                </pt>
                <pt idx="549">
                  <v>91732</v>
                </pt>
                <pt idx="550">
                  <v>92263</v>
                </pt>
                <pt idx="551">
                  <v>92794</v>
                </pt>
                <pt idx="552">
                  <v>93325</v>
                </pt>
                <pt idx="553">
                  <v>93868.5</v>
                </pt>
                <pt idx="554">
                  <v>94412</v>
                </pt>
                <pt idx="555">
                  <v>94955.5</v>
                </pt>
                <pt idx="556">
                  <v>95499</v>
                </pt>
                <pt idx="557">
                  <v>96611.5</v>
                </pt>
                <pt idx="558">
                  <v>97724</v>
                </pt>
                <pt idx="559">
                  <v>98862</v>
                </pt>
                <pt idx="560">
                  <v>100000</v>
                </pt>
                <pt idx="561">
                  <v>101165</v>
                </pt>
                <pt idx="562">
                  <v>102330</v>
                </pt>
                <pt idx="563">
                  <v>103520</v>
                </pt>
                <pt idx="564">
                  <v>104710</v>
                </pt>
                <pt idx="565">
                  <v>105930</v>
                </pt>
                <pt idx="566">
                  <v>107150</v>
                </pt>
                <pt idx="567">
                  <v>108400</v>
                </pt>
                <pt idx="568">
                  <v>109650</v>
                </pt>
                <pt idx="569">
                  <v>110925</v>
                </pt>
                <pt idx="570">
                  <v>112200</v>
                </pt>
                <pt idx="571">
                  <v>113510</v>
                </pt>
                <pt idx="572">
                  <v>114820</v>
                </pt>
                <pt idx="573">
                  <v>116155</v>
                </pt>
                <pt idx="574">
                  <v>117490</v>
                </pt>
                <pt idx="575">
                  <v>118860</v>
                </pt>
                <pt idx="576">
                  <v>120230</v>
                </pt>
                <pt idx="577">
                  <v>126030</v>
                </pt>
                <pt idx="578">
                  <v>131830</v>
                </pt>
                <pt idx="579">
                  <v>144540</v>
                </pt>
                <pt idx="580">
                  <v>158490</v>
                </pt>
                <pt idx="581">
                  <v>173780</v>
                </pt>
                <pt idx="582">
                  <v>190550</v>
                </pt>
                <pt idx="583">
                  <v>208930</v>
                </pt>
                <pt idx="584">
                  <v>229090</v>
                </pt>
                <pt idx="585">
                  <v>251190</v>
                </pt>
                <pt idx="586">
                  <v>275420</v>
                </pt>
                <pt idx="587">
                  <v>302000</v>
                </pt>
                <pt idx="588">
                  <v>331130</v>
                </pt>
                <pt idx="589">
                  <v>363080</v>
                </pt>
                <pt idx="590">
                  <v>398110</v>
                </pt>
                <pt idx="591">
                  <v>436520</v>
                </pt>
                <pt idx="592">
                  <v>478630</v>
                </pt>
                <pt idx="593">
                  <v>524810</v>
                </pt>
                <pt idx="594">
                  <v>575440</v>
                </pt>
                <pt idx="595">
                  <v>630960</v>
                </pt>
                <pt idx="596">
                  <v>691830</v>
                </pt>
                <pt idx="597">
                  <v>758580</v>
                </pt>
                <pt idx="598">
                  <v>831760</v>
                </pt>
                <pt idx="599">
                  <v>912010</v>
                </pt>
                <pt idx="600">
                  <v>1000000</v>
                </pt>
              </numCache>
            </numRef>
          </xVal>
          <yVal>
            <numRef>
              <f>'Stability Calculations'!$V$13:$V$613</f>
              <numCache>
                <formatCode>0.00</formatCode>
                <ptCount val="601"/>
                <pt idx="0">
                  <v>-31.17761135403498</v>
                </pt>
                <pt idx="1">
                  <v>-33.56727364715405</v>
                </pt>
                <pt idx="2">
                  <v>-36.04453429037301</v>
                </pt>
                <pt idx="3">
                  <v>-38.59378562557929</v>
                </pt>
                <pt idx="4">
                  <v>-41.19506008425219</v>
                </pt>
                <pt idx="5">
                  <v>-43.83237381137496</v>
                </pt>
                <pt idx="6">
                  <v>-46.48033878335957</v>
                </pt>
                <pt idx="7">
                  <v>-49.11856144656736</v>
                </pt>
                <pt idx="8">
                  <v>-51.72347854903069</v>
                </pt>
                <pt idx="9">
                  <v>-54.27677934252318</v>
                </pt>
                <pt idx="10">
                  <v>-56.75881851515003</v>
                </pt>
                <pt idx="11">
                  <v>-59.15448754796392</v>
                </pt>
                <pt idx="12">
                  <v>-61.45250678751772</v>
                </pt>
                <pt idx="13">
                  <v>-63.64130247333482</v>
                </pt>
                <pt idx="14">
                  <v>-65.71631862917486</v>
                </pt>
                <pt idx="15">
                  <v>-67.6731947641283</v>
                </pt>
                <pt idx="16">
                  <v>-69.51105922860768</v>
                </pt>
                <pt idx="17">
                  <v>-71.23073103673313</v>
                </pt>
                <pt idx="18">
                  <v>-72.83546756782745</v>
                </pt>
                <pt idx="19">
                  <v>-74.32891656855803</v>
                </pt>
                <pt idx="20">
                  <v>-75.71644857279811</v>
                </pt>
                <pt idx="21">
                  <v>-77.00353623296947</v>
                </pt>
                <pt idx="22">
                  <v>-78.19664348899643</v>
                </pt>
                <pt idx="23">
                  <v>-79.30190089277839</v>
                </pt>
                <pt idx="24">
                  <v>-80.32609181609998</v>
                </pt>
                <pt idx="25">
                  <v>-81.27550618246727</v>
                </pt>
                <pt idx="26">
                  <v>-82.15668172082694</v>
                </pt>
                <pt idx="27">
                  <v>-82.97547975596997</v>
                </pt>
                <pt idx="28">
                  <v>-83.73787859248729</v>
                </pt>
                <pt idx="29">
                  <v>-84.44914996449872</v>
                </pt>
                <pt idx="30">
                  <v>-85.11591388788247</v>
                </pt>
                <pt idx="31">
                  <v>-85.74239419974772</v>
                </pt>
                <pt idx="32">
                  <v>-86.33398905756644</v>
                </pt>
                <pt idx="33">
                  <v>-86.89503125912258</v>
                </pt>
                <pt idx="34">
                  <v>-87.43050962936557</v>
                </pt>
                <pt idx="35">
                  <v>-87.94449594742977</v>
                </pt>
                <pt idx="36">
                  <v>-88.4413067891287</v>
                </pt>
                <pt idx="37">
                  <v>-88.92530855406028</v>
                </pt>
                <pt idx="38">
                  <v>-89.40005181217883</v>
                </pt>
                <pt idx="39">
                  <v>-89.86986487003671</v>
                </pt>
                <pt idx="40">
                  <v>-90.33846965797231</v>
                </pt>
                <pt idx="41">
                  <v>-90.80979328695902</v>
                </pt>
                <pt idx="42">
                  <v>-91.28766732449535</v>
                </pt>
                <pt idx="43">
                  <v>-91.77616702928249</v>
                </pt>
                <pt idx="44">
                  <v>-92.27915850689662</v>
                </pt>
                <pt idx="45">
                  <v>-92.80082232953561</v>
                </pt>
                <pt idx="46">
                  <v>-93.34523559162167</v>
                </pt>
                <pt idx="47">
                  <v>-93.91682042431886</v>
                </pt>
                <pt idx="48">
                  <v>-94.51987383032811</v>
                </pt>
                <pt idx="49">
                  <v>-95.15913112926933</v>
                </pt>
                <pt idx="50">
                  <v>-95.83922355787602</v>
                </pt>
                <pt idx="51">
                  <v>-96.56518084480929</v>
                </pt>
                <pt idx="52">
                  <v>-97.34175018731911</v>
                </pt>
                <pt idx="53">
                  <v>-98.17399230576548</v>
                </pt>
                <pt idx="54">
                  <v>-99.06637840466801</v>
                </pt>
                <pt idx="55">
                  <v>-100.0254334527672</v>
                </pt>
                <pt idx="56">
                  <v>-101.0546777556971</v>
                </pt>
                <pt idx="57">
                  <v>-102.1592611495206</v>
                </pt>
                <pt idx="58">
                  <v>-103.3423050192464</v>
                </pt>
                <pt idx="59">
                  <v>-104.6078579708298</v>
                </pt>
                <pt idx="60">
                  <v>-105.9572951918971</v>
                </pt>
                <pt idx="61">
                  <v>-107.3914442496255</v>
                </pt>
                <pt idx="62">
                  <v>-108.9099882017761</v>
                </pt>
                <pt idx="63">
                  <v>-110.5081355194883</v>
                </pt>
                <pt idx="64">
                  <v>-112.1811991011579</v>
                </pt>
                <pt idx="65">
                  <v>-113.9196424577005</v>
                </pt>
                <pt idx="66">
                  <v>-115.7114156621261</v>
                </pt>
                <pt idx="67">
                  <v>-117.5406592271607</v>
                </pt>
                <pt idx="68">
                  <v>-119.3889251613651</v>
                </pt>
                <pt idx="69">
                  <v>-121.2336092999641</v>
                </pt>
                <pt idx="70">
                  <v>-123.050325378284</v>
                </pt>
                <pt idx="71">
                  <v>-124.8120224298328</v>
                </pt>
                <pt idx="72">
                  <v>-126.4913496652517</v>
                </pt>
                <pt idx="73">
                  <v>-128.0601256479011</v>
                </pt>
                <pt idx="74">
                  <v>-129.4919455997945</v>
                </pt>
                <pt idx="75">
                  <v>-130.7616802770587</v>
                </pt>
                <pt idx="76">
                  <v>-131.847423312014</v>
                </pt>
                <pt idx="77">
                  <v>-132.7300346522794</v>
                </pt>
                <pt idx="78">
                  <v>-133.3947027511036</v>
                </pt>
                <pt idx="79">
                  <v>-133.8305559090604</v>
                </pt>
                <pt idx="80">
                  <v>-134.0318722807965</v>
                </pt>
                <pt idx="81">
                  <v>-133.9962721915206</v>
                </pt>
                <pt idx="82">
                  <v>-133.7263893004646</v>
                </pt>
                <pt idx="83">
                  <v>-133.2295662042387</v>
                </pt>
                <pt idx="84">
                  <v>-132.5169552285528</v>
                </pt>
                <pt idx="85">
                  <v>-131.6046565148896</v>
                </pt>
                <pt idx="86">
                  <v>-130.5122966870344</v>
                </pt>
                <pt idx="87">
                  <v>-129.2623747038951</v>
                </pt>
                <pt idx="88">
                  <v>-127.8821459906381</v>
                </pt>
                <pt idx="89">
                  <v>-126.3986879682291</v>
                </pt>
                <pt idx="90">
                  <v>-124.8418374089255</v>
                </pt>
                <pt idx="91">
                  <v>-123.240942782543</v>
                </pt>
                <pt idx="92">
                  <v>-121.6248758860808</v>
                </pt>
                <pt idx="93">
                  <v>-120.0200971563663</v>
                </pt>
                <pt idx="94">
                  <v>-119.6238025469654</v>
                </pt>
                <pt idx="95">
                  <v>-119.4253979142419</v>
                </pt>
                <pt idx="96">
                  <v>-119.2299601077099</v>
                </pt>
                <pt idx="97">
                  <v>-119.0330272880909</v>
                </pt>
                <pt idx="98">
                  <v>-118.8391280027231</v>
                </pt>
                <pt idx="99">
                  <v>-118.6437858292175</v>
                </pt>
                <pt idx="100">
                  <v>-118.4515404369244</v>
                </pt>
                <pt idx="101">
                  <v>-118.2580530951711</v>
                </pt>
                <pt idx="102">
                  <v>-118.0677175601052</v>
                </pt>
                <pt idx="103">
                  <v>-117.876055069239</v>
                </pt>
                <pt idx="104">
                  <v>-117.6876005419707</v>
                </pt>
                <pt idx="105">
                  <v>-117.4980206570507</v>
                </pt>
                <pt idx="106">
                  <v>-117.3116965695031</v>
                </pt>
                <pt idx="107">
                  <v>-117.1244392261247</v>
                </pt>
                <pt idx="108">
                  <v>-116.9404773162591</v>
                </pt>
                <pt idx="109">
                  <v>-116.7556399169752</v>
                </pt>
                <pt idx="110">
                  <v>-116.5741340703781</v>
                </pt>
                <pt idx="111">
                  <v>-116.3916941358368</v>
                </pt>
                <pt idx="112">
                  <v>-116.2126227608461</v>
                </pt>
                <pt idx="113">
                  <v>-116.0328069519874</v>
                </pt>
                <pt idx="114">
                  <v>-115.8563885450146</v>
                </pt>
                <pt idx="115">
                  <v>-115.6792937147048</v>
                </pt>
                <pt idx="116">
                  <v>-115.5056215194471</v>
                </pt>
                <pt idx="117">
                  <v>-115.3313435756286</v>
                </pt>
                <pt idx="118">
                  <v>-115.1605098759489</v>
                </pt>
                <pt idx="119">
                  <v>-114.9892461972997</v>
                </pt>
                <pt idx="120">
                  <v>-114.8214405900944</v>
                </pt>
                <pt idx="121">
                  <v>-114.6532715818293</v>
                </pt>
                <pt idx="122">
                  <v>-114.4885710970503</v>
                </pt>
                <pt idx="123">
                  <v>-114.323481032763</v>
                </pt>
                <pt idx="124">
                  <v>-114.1618705764054</v>
                </pt>
                <pt idx="125">
                  <v>-114.0000390082524</v>
                </pt>
                <pt idx="126">
                  <v>-113.8416906522815</v>
                </pt>
                <pt idx="127">
                  <v>-113.6831921863386</v>
                </pt>
                <pt idx="128">
                  <v>-113.5281772564495</v>
                </pt>
                <pt idx="129">
                  <v>-113.3730841082039</v>
                </pt>
                <pt idx="130">
                  <v>-113.2214715907561</v>
                </pt>
                <pt idx="131">
                  <v>-113.0698533573197</v>
                </pt>
                <pt idx="132">
                  <v>-112.995352411117</v>
                </pt>
                <pt idx="133">
                  <v>-112.9217096808975</v>
                </pt>
                <pt idx="134">
                  <v>-112.8471946868027</v>
                </pt>
                <pt idx="135">
                  <v>-112.773557595298</v>
                </pt>
                <pt idx="136">
                  <v>-112.7007876975088</v>
                </pt>
                <pt idx="137">
                  <v>-112.6288744295743</v>
                </pt>
                <pt idx="138">
                  <v>-112.5562036209915</v>
                </pt>
                <pt idx="139">
                  <v>-112.4844068901747</v>
                </pt>
                <pt idx="140">
                  <v>-112.4134733977864</v>
                </pt>
                <pt idx="141">
                  <v>-112.343392456215</v>
                </pt>
                <pt idx="142">
                  <v>-112.2725217708234</v>
                </pt>
                <pt idx="143">
                  <v>-112.2025223622286</v>
                </pt>
                <pt idx="144">
                  <v>-112.1333832466046</v>
                </pt>
                <pt idx="145">
                  <v>-112.0650935987231</v>
                </pt>
                <pt idx="146">
                  <v>-111.9960901660624</v>
                </pt>
                <pt idx="147">
                  <v>-111.9279535832415</v>
                </pt>
                <pt idx="148">
                  <v>-111.860672757249</v>
                </pt>
                <pt idx="149">
                  <v>-111.7942367597753</v>
                </pt>
                <pt idx="150">
                  <v>-111.7271277975528</v>
                </pt>
                <pt idx="151">
                  <v>-111.6608805572142</v>
                </pt>
                <pt idx="152">
                  <v>-111.5954838550042</v>
                </pt>
                <pt idx="153">
                  <v>-111.5309266775082</v>
                </pt>
                <pt idx="154">
                  <v>-111.465707875315</v>
                </pt>
                <pt idx="155">
                  <v>-111.4013457767487</v>
                </pt>
                <pt idx="156">
                  <v>-111.337829110013</v>
                </pt>
                <pt idx="157">
                  <v>-111.2751467791435</v>
                </pt>
                <pt idx="158">
                  <v>-111.2118465065051</v>
                </pt>
                <pt idx="159">
                  <v>-111.1493972086161</v>
                </pt>
                <pt idx="160">
                  <v>-111.0877875442643</v>
                </pt>
                <pt idx="161">
                  <v>-111.0270063530869</v>
                </pt>
                <pt idx="162">
                  <v>-110.9656777017071</v>
                </pt>
                <pt idx="163">
                  <v>-110.9051928814235</v>
                </pt>
                <pt idx="164">
                  <v>-110.8455405147419</v>
                </pt>
                <pt idx="165">
                  <v>-110.7867094092376</v>
                </pt>
                <pt idx="166">
                  <v>-110.7273217120655</v>
                </pt>
                <pt idx="167">
                  <v>-110.6687715512118</v>
                </pt>
                <pt idx="168">
                  <v>-110.6110475006272</v>
                </pt>
                <pt idx="169">
                  <v>-110.554138323727</v>
                </pt>
                <pt idx="170">
                  <v>-110.4968377216839</v>
                </pt>
                <pt idx="171">
                  <v>-110.440364232121</v>
                </pt>
                <pt idx="172">
                  <v>-110.384706469973</v>
                </pt>
                <pt idx="173">
                  <v>-110.3298532419512</v>
                </pt>
                <pt idx="174">
                  <v>-110.274440853323</v>
                </pt>
                <pt idx="175">
                  <v>-110.2198508519127</v>
                </pt>
                <pt idx="176">
                  <v>-110.1660717811228</v>
                </pt>
                <pt idx="177">
                  <v>-110.1130923808778</v>
                </pt>
                <pt idx="178">
                  <v>-110.0596280451525</v>
                </pt>
                <pt idx="179">
                  <v>-110.0069798761016</v>
                </pt>
                <pt idx="180">
                  <v>-109.9551363800944</v>
                </pt>
                <pt idx="181">
                  <v>-109.904086263939</v>
                </pt>
                <pt idx="182">
                  <v>-109.852820978405</v>
                </pt>
                <pt idx="183">
                  <v>-109.8023580116512</v>
                </pt>
                <pt idx="184">
                  <v>-109.7526859988035</v>
                </pt>
                <pt idx="185">
                  <v>-109.7037937753925</v>
                </pt>
                <pt idx="186">
                  <v>-109.6543600777963</v>
                </pt>
                <pt idx="187">
                  <v>-109.6057263069965</v>
                </pt>
                <pt idx="188">
                  <v>-109.5578809884798</v>
                </pt>
                <pt idx="189">
                  <v>-109.510812853625</v>
                </pt>
                <pt idx="190">
                  <v>-109.4636345875426</v>
                </pt>
                <pt idx="191">
                  <v>-109.4172404573477</v>
                </pt>
                <pt idx="192">
                  <v>-109.3716191701059</v>
                </pt>
                <pt idx="193">
                  <v>-109.3267596372468</v>
                </pt>
                <pt idx="194">
                  <v>-109.2815045666205</v>
                </pt>
                <pt idx="195">
                  <v>-109.2370286972541</v>
                </pt>
                <pt idx="196">
                  <v>-109.1933206889582</v>
                </pt>
                <pt idx="197">
                  <v>-109.1503694097957</v>
                </pt>
                <pt idx="198">
                  <v>-109.1072479873778</v>
                </pt>
                <pt idx="199">
                  <v>-109.0648939406044</v>
                </pt>
                <pt idx="200">
                  <v>-109.0232960357769</v>
                </pt>
                <pt idx="201">
                  <v>-108.9824432475249</v>
                </pt>
                <pt idx="202">
                  <v>-108.9414730296848</v>
                </pt>
                <pt idx="203">
                  <v>-108.9012575972211</v>
                </pt>
                <pt idx="204">
                  <v>-108.8617858451225</v>
                </pt>
                <pt idx="205">
                  <v>-108.8230468761249</v>
                </pt>
                <pt idx="206">
                  <v>-108.7841084769473</v>
                </pt>
                <pt idx="207">
                  <v>-108.7459166649404</v>
                </pt>
                <pt idx="208">
                  <v>-108.7084603718925</v>
                </pt>
                <pt idx="209">
                  <v>-108.6717287389612</v>
                </pt>
                <pt idx="210">
                  <v>-108.6347376097382</v>
                </pt>
                <pt idx="211">
                  <v>-108.5984886789891</v>
                </pt>
                <pt idx="212">
                  <v>-108.5629708337698</v>
                </pt>
                <pt idx="213">
                  <v>-108.5281731741564</v>
                </pt>
                <pt idx="214">
                  <v>-108.4934126503272</v>
                </pt>
                <pt idx="215">
                  <v>-108.4593790626512</v>
                </pt>
                <pt idx="216">
                  <v>-108.4260615005097</v>
                </pt>
                <pt idx="217">
                  <v>-108.393449263602</v>
                </pt>
                <pt idx="218">
                  <v>-108.3608121195353</v>
                </pt>
                <pt idx="219">
                  <v>-108.3288908422465</v>
                </pt>
                <pt idx="220">
                  <v>-108.2976746346602</v>
                </pt>
                <pt idx="221">
                  <v>-108.2671529094925</v>
                </pt>
                <pt idx="222">
                  <v>-108.2366578311662</v>
                </pt>
                <pt idx="223">
                  <v>-108.2068668189995</v>
                </pt>
                <pt idx="224">
                  <v>-108.1777692106205</v>
                </pt>
                <pt idx="225">
                  <v>-108.1493545522935</v>
                </pt>
                <pt idx="226">
                  <v>-108.1209297101139</v>
                </pt>
                <pt idx="227">
                  <v>-108.0932006983369</v>
                </pt>
                <pt idx="228">
                  <v>-108.0661569128042</v>
                </pt>
                <pt idx="229">
                  <v>-108.0397879587654</v>
                </pt>
                <pt idx="230">
                  <v>-107.9878322844891</v>
                </pt>
                <pt idx="231">
                  <v>-107.9628738622686</v>
                </pt>
                <pt idx="232">
                  <v>-107.9385812326251</v>
                </pt>
                <pt idx="233">
                  <v>-107.9143910607754</v>
                </pt>
                <pt idx="234">
                  <v>-107.8908774497062</v>
                </pt>
                <pt idx="235">
                  <v>-107.8680299869329</v>
                </pt>
                <pt idx="236">
                  <v>-107.8458384687957</v>
                </pt>
                <pt idx="237">
                  <v>-107.8238623562595</v>
                </pt>
                <pt idx="238">
                  <v>-107.8025482598163</v>
                </pt>
                <pt idx="239">
                  <v>-107.7818859822323</v>
                </pt>
                <pt idx="240">
                  <v>-107.7618655315231</v>
                </pt>
                <pt idx="241">
                  <v>-107.7419895906886</v>
                </pt>
                <pt idx="242">
                  <v>-107.7227680704587</v>
                </pt>
                <pt idx="243">
                  <v>-107.7041908331424</v>
                </pt>
                <pt idx="244">
                  <v>-107.6862479468272</v>
                </pt>
                <pt idx="245">
                  <v>-107.6685528972779</v>
                </pt>
                <pt idx="246">
                  <v>-107.6515002779909</v>
                </pt>
                <pt idx="247">
                  <v>-107.6350801164315</v>
                </pt>
                <pt idx="248">
                  <v>-107.6192826434741</v>
                </pt>
                <pt idx="249">
                  <v>-107.6037355182605</v>
                </pt>
                <pt idx="250">
                  <v>-107.5888217070303</v>
                </pt>
                <pt idx="251">
                  <v>-107.5745313399518</v>
                </pt>
                <pt idx="252">
                  <v>-107.5608547498694</v>
                </pt>
                <pt idx="253">
                  <v>-107.547512267476</v>
                </pt>
                <pt idx="254">
                  <v>-107.5347900669953</v>
                </pt>
                <pt idx="255">
                  <v>-107.5226784766724</v>
                </pt>
                <pt idx="256">
                  <v>-107.5111680240347</v>
                </pt>
                <pt idx="257">
                  <v>-107.499974349051</v>
                </pt>
                <pt idx="258">
                  <v>-107.4893937871357</v>
                </pt>
                <pt idx="259">
                  <v>-107.4794167320398</v>
                </pt>
                <pt idx="260">
                  <v>-107.4700337769842</v>
                </pt>
                <pt idx="261">
                  <v>-107.4610424800299</v>
                </pt>
                <pt idx="262">
                  <v>-107.4526533097548</v>
                </pt>
                <pt idx="263">
                  <v>-107.4448568186015</v>
                </pt>
                <pt idx="264">
                  <v>-107.4376437560617</v>
                </pt>
                <pt idx="265">
                  <v>-107.430863992657</v>
                </pt>
                <pt idx="266">
                  <v>-107.4246749377163</v>
                </pt>
                <pt idx="267">
                  <v>-107.4190673168229</v>
                </pt>
                <pt idx="268">
                  <v>-107.4140320497311</v>
                </pt>
                <pt idx="269">
                  <v>-107.4094591273003</v>
                </pt>
                <pt idx="270">
                  <v>-107.4054678671853</v>
                </pt>
                <pt idx="271">
                  <v>-107.4020491166711</v>
                </pt>
                <pt idx="272">
                  <v>-107.3991939157178</v>
                </pt>
                <pt idx="273">
                  <v>-107.3968458629649</v>
                </pt>
                <pt idx="274">
                  <v>-107.3950698563918</v>
                </pt>
                <pt idx="275">
                  <v>-107.3938568824862</v>
                </pt>
                <pt idx="276">
                  <v>-107.3931981183861</v>
                </pt>
                <pt idx="277">
                  <v>-107.3930882932813</v>
                </pt>
                <pt idx="278">
                  <v>-107.3935379124166</v>
                </pt>
                <pt idx="279">
                  <v>-107.3945381760296</v>
                </pt>
                <pt idx="280">
                  <v>-107.3960804708386</v>
                </pt>
                <pt idx="281">
                  <v>-107.3982199420168</v>
                </pt>
                <pt idx="282">
                  <v>-107.4009133723664</v>
                </pt>
                <pt idx="283">
                  <v>-107.4041520126054</v>
                </pt>
                <pt idx="284">
                  <v>-107.4079273003293</v>
                </pt>
                <pt idx="285">
                  <v>-107.4123212524034</v>
                </pt>
                <pt idx="286">
                  <v>-107.417255879699</v>
                </pt>
                <pt idx="287">
                  <v>-107.4227226713174</v>
                </pt>
                <pt idx="288">
                  <v>-107.428713298274</v>
                </pt>
                <pt idx="289">
                  <v>-107.4353946443628</v>
                </pt>
                <pt idx="290">
                  <v>-107.4426100809582</v>
                </pt>
                <pt idx="291">
                  <v>-107.4503511821749</v>
                </pt>
                <pt idx="292">
                  <v>-107.4586097033977</v>
                </pt>
                <pt idx="293">
                  <v>-107.4675861535666</v>
                </pt>
                <pt idx="294">
                  <v>-107.4770873156411</v>
                </pt>
                <pt idx="295">
                  <v>-107.4871049188328</v>
                </pt>
                <pt idx="296">
                  <v>-107.4976308709543</v>
                </pt>
                <pt idx="297">
                  <v>-107.5089120283007</v>
                </pt>
                <pt idx="298">
                  <v>-107.5207081951093</v>
                </pt>
                <pt idx="299">
                  <v>-107.5330112677743</v>
                </pt>
                <pt idx="300">
                  <v>-107.545813318237</v>
                </pt>
                <pt idx="301">
                  <v>-107.5594057027463</v>
                </pt>
                <pt idx="302">
                  <v>-107.573503145819</v>
                </pt>
                <pt idx="303">
                  <v>-107.5880977213594</v>
                </pt>
                <pt idx="304">
                  <v>-107.6031816754319</v>
                </pt>
                <pt idx="305">
                  <v>-107.6191512188757</v>
                </pt>
                <pt idx="306">
                  <v>-107.635619475469</v>
                </pt>
                <pt idx="307">
                  <v>-107.6525786166439</v>
                </pt>
                <pt idx="308">
                  <v>-107.6700209848891</v>
                </pt>
                <pt idx="309">
                  <v>-107.6883217385671</v>
                </pt>
                <pt idx="310">
                  <v>-107.7071106901451</v>
                </pt>
                <pt idx="311">
                  <v>-107.7263802109283</v>
                </pt>
                <pt idx="312">
                  <v>-107.7461228391817</v>
                </pt>
                <pt idx="313">
                  <v>-107.7668299230225</v>
                </pt>
                <pt idx="314">
                  <v>-107.7880181409839</v>
                </pt>
                <pt idx="315">
                  <v>-107.8096799883549</v>
                </pt>
                <pt idx="316">
                  <v>-107.8318081254684</v>
                </pt>
                <pt idx="317">
                  <v>-107.8549387026109</v>
                </pt>
                <pt idx="318">
                  <v>-107.8785429794932</v>
                </pt>
                <pt idx="319">
                  <v>-107.9026135889881</v>
                </pt>
                <pt idx="320">
                  <v>-107.9271433266818</v>
                </pt>
                <pt idx="321">
                  <v>-107.9527114425034</v>
                </pt>
                <pt idx="322">
                  <v>-107.9787455305786</v>
                </pt>
                <pt idx="323">
                  <v>-108.0052383732378</v>
                </pt>
                <pt idx="324">
                  <v>-108.0321829128284</v>
                </pt>
                <pt idx="325">
                  <v>-108.0601998484918</v>
                </pt>
                <pt idx="326">
                  <v>-108.0886748081507</v>
                </pt>
                <pt idx="327">
                  <v>-108.1176007338262</v>
                </pt>
                <pt idx="328">
                  <v>-108.1469707245403</v>
                </pt>
                <pt idx="329">
                  <v>-108.1774966726159</v>
                </pt>
                <pt idx="330">
                  <v>-108.2084740371812</v>
                </pt>
                <pt idx="331">
                  <v>-108.2398958944052</v>
                </pt>
                <pt idx="332">
                  <v>-108.2717554751819</v>
                </pt>
                <pt idx="333">
                  <v>-108.3047516915022</v>
                </pt>
                <pt idx="334">
                  <v>-108.3381910278949</v>
                </pt>
                <pt idx="335">
                  <v>-108.3720667387345</v>
                </pt>
                <pt idx="336">
                  <v>-108.4063722295223</v>
                </pt>
                <pt idx="337">
                  <v>-108.4419575108141</v>
                </pt>
                <pt idx="338">
                  <v>-108.4779803536431</v>
                </pt>
                <pt idx="339">
                  <v>-108.5144341338874</v>
                </pt>
                <pt idx="340">
                  <v>-108.5513123766327</v>
                </pt>
                <pt idx="341">
                  <v>-108.5895060797575</v>
                </pt>
                <pt idx="342">
                  <v>-108.6281315203512</v>
                </pt>
                <pt idx="343">
                  <v>-108.6671822078975</v>
                </pt>
                <pt idx="344">
                  <v>-108.7066517988065</v>
                </pt>
                <pt idx="345">
                  <v>-108.7474083520111</v>
                </pt>
                <pt idx="346">
                  <v>-108.7885893389878</v>
                </pt>
                <pt idx="347">
                  <v>-108.8301884419834</v>
                </pt>
                <pt idx="348">
                  <v>-108.8721994867073</v>
                </pt>
                <pt idx="349">
                  <v>-108.9156560190603</v>
                </pt>
                <pt idx="350">
                  <v>-108.959532161412</v>
                </pt>
                <pt idx="351">
                  <v>-109.0038217198008</v>
                </pt>
                <pt idx="352">
                  <v>-109.048518641741</v>
                </pt>
                <pt idx="353">
                  <v>-109.0946956282511</v>
                </pt>
                <pt idx="354">
                  <v>-109.1412872060895</v>
                </pt>
                <pt idx="355">
                  <v>-109.1882873162189</v>
                </pt>
                <pt idx="356">
                  <v>-109.2356900387621</v>
                </pt>
                <pt idx="357">
                  <v>-109.2845361081011</v>
                </pt>
                <pt idx="358">
                  <v>-109.3337904688556</v>
                </pt>
                <pt idx="359">
                  <v>-109.3834472314756</v>
                </pt>
                <pt idx="360">
                  <v>-109.433500642205</v>
                </pt>
                <pt idx="361">
                  <v>-109.4851697267289</v>
                </pt>
                <pt idx="362">
                  <v>-109.5372430788319</v>
                </pt>
                <pt idx="363">
                  <v>-109.5897149362736</v>
                </pt>
                <pt idx="364">
                  <v>-109.6425796705416</v>
                </pt>
                <pt idx="365">
                  <v>-109.6970195219739</v>
                </pt>
                <pt idx="366">
                  <v>-109.7518584238326</v>
                </pt>
                <pt idx="367">
                  <v>-109.8070907739011</v>
                </pt>
                <pt idx="368">
                  <v>-109.862711100631</v>
                </pt>
                <pt idx="369">
                  <v>-109.9200884461265</v>
                </pt>
                <pt idx="370">
                  <v>-109.9778617572194</v>
                </pt>
                <pt idx="371">
                  <v>-110.0360255546159</v>
                </pt>
                <pt idx="372">
                  <v>-110.0945744877992</v>
                </pt>
                <pt idx="373">
                  <v>-110.1548363053935</v>
                </pt>
                <pt idx="374">
                  <v>-110.2154899033255</v>
                </pt>
                <pt idx="375">
                  <v>-110.2765299560763</v>
                </pt>
                <pt idx="376">
                  <v>-110.3379512640735</v>
                </pt>
                <pt idx="377">
                  <v>-110.4012763523671</v>
                </pt>
                <pt idx="378">
                  <v>-110.4649910563302</v>
                </pt>
                <pt idx="379">
                  <v>-110.5290901716315</v>
                </pt>
                <pt idx="380">
                  <v>-110.5935686181103</v>
                </pt>
                <pt idx="381">
                  <v>-110.6598210820015</v>
                </pt>
                <pt idx="382">
                  <v>-110.7264590436893</v>
                </pt>
                <pt idx="383">
                  <v>-110.7934774675401</v>
                </pt>
                <pt idx="384">
                  <v>-110.8608714388402</v>
                </pt>
                <pt idx="385">
                  <v>-110.9303202512341</v>
                </pt>
                <pt idx="386">
                  <v>-111.0001533808038</v>
                </pt>
                <pt idx="387">
                  <v>-111.0703659120973</v>
                </pt>
                <pt idx="388">
                  <v>-111.1409530489153</v>
                </pt>
                <pt idx="389">
                  <v>-111.2135446323121</v>
                </pt>
                <pt idx="390">
                  <v>-111.2865184463198</v>
                </pt>
                <pt idx="391">
                  <v>-111.359869722846</v>
                </pt>
                <pt idx="392">
                  <v>-111.4335938105571</v>
                </pt>
                <pt idx="393">
                  <v>-111.5093543783601</v>
                </pt>
                <pt idx="394">
                  <v>-111.5854952164614</v>
                </pt>
                <pt idx="395">
                  <v>-111.6620117110742</v>
                </pt>
                <pt idx="396">
                  <v>-111.7388993624923</v>
                </pt>
                <pt idx="397">
                  <v>-111.8180338468166</v>
                </pt>
                <pt idx="398">
                  <v>-111.8975485252801</v>
                </pt>
                <pt idx="399">
                  <v>-111.97743891441</v>
                </pt>
                <pt idx="400">
                  <v>-112.0577006429771</v>
                </pt>
                <pt idx="401">
                  <v>-112.1401537163083</v>
                </pt>
                <pt idx="402">
                  <v>-112.2229861842699</v>
                </pt>
                <pt idx="403">
                  <v>-112.3061937171518</v>
                </pt>
                <pt idx="404">
                  <v>-112.389772094933</v>
                </pt>
                <pt idx="405">
                  <v>-112.4756672682698</v>
                </pt>
                <pt idx="406">
                  <v>-112.5619420776908</v>
                </pt>
                <pt idx="407">
                  <v>-112.6485923399993</v>
                </pt>
                <pt idx="408">
                  <v>-112.7356139794377</v>
                </pt>
                <pt idx="409">
                  <v>-112.825081413922</v>
                </pt>
                <pt idx="410">
                  <v>-112.9149297499657</v>
                </pt>
                <pt idx="411">
                  <v>-113.0051549454981</v>
                </pt>
                <pt idx="412">
                  <v>-113.0957530638955</v>
                </pt>
                <pt idx="413">
                  <v>-113.1888334471703</v>
                </pt>
                <pt idx="414">
                  <v>-113.2822962316572</v>
                </pt>
                <pt idx="415">
                  <v>-113.3761375245996</v>
                </pt>
                <pt idx="416">
                  <v>-113.4703535364953</v>
                </pt>
                <pt idx="417">
                  <v>-113.5671855227914</v>
                </pt>
                <pt idx="418">
                  <v>-113.6644024730353</v>
                </pt>
                <pt idx="419">
                  <v>-113.762000639839</v>
                </pt>
                <pt idx="420">
                  <v>-113.8599763771044</v>
                </pt>
                <pt idx="421">
                  <v>-113.9605070966658</v>
                </pt>
                <pt idx="422">
                  <v>-114.0614248939298</v>
                </pt>
                <pt idx="423">
                  <v>-114.1627261854085</v>
                </pt>
                <pt idx="424">
                  <v>-114.2644074863618</v>
                </pt>
                <pt idx="425">
                  <v>-114.3689813952238</v>
                </pt>
                <pt idx="426">
                  <v>-114.4739471442666</v>
                </pt>
                <pt idx="427">
                  <v>-114.5793012899941</v>
                </pt>
                <pt idx="428">
                  <v>-114.6850404860939</v>
                </pt>
                <pt idx="429">
                  <v>-114.793612551562</v>
                </pt>
                <pt idx="430">
                  <v>-114.9025808409002</v>
                </pt>
                <pt idx="431">
                  <v>-115.0119420693761</v>
                </pt>
                <pt idx="432">
                  <v>-115.1216930472958</v>
                </pt>
                <pt idx="433">
                  <v>-115.2343170834036</v>
                </pt>
                <pt idx="434">
                  <v>-115.3473421805481</v>
                </pt>
                <pt idx="435">
                  <v>-115.4607652197591</v>
                </pt>
                <pt idx="436">
                  <v>-115.5745831747952</v>
                </pt>
                <pt idx="437">
                  <v>-115.6915246521876</v>
                </pt>
                <pt idx="438">
                  <v>-115.808873993895</v>
                </pt>
                <pt idx="439">
                  <v>-115.9266282371492</v>
                </pt>
                <pt idx="440">
                  <v>-116.0447845101006</v>
                </pt>
                <pt idx="441">
                  <v>-116.1661092941386</v>
                </pt>
                <pt idx="442">
                  <v>-116.2878492716824</v>
                </pt>
                <pt idx="443">
                  <v>-116.4100016445333</v>
                </pt>
                <pt idx="444">
                  <v>-116.5325637033984</v>
                </pt>
                <pt idx="445">
                  <v>-116.6583396497747</v>
                </pt>
                <pt idx="446">
                  <v>-116.7845387070031</v>
                </pt>
                <pt idx="447">
                  <v>-116.9111582488513</v>
                </pt>
                <pt idx="448">
                  <v>-117.0381957357976</v>
                </pt>
                <pt idx="449">
                  <v>-117.1687117945106</v>
                </pt>
                <pt idx="450">
                  <v>-117.2996609730454</v>
                </pt>
                <pt idx="451">
                  <v>-117.4310408114676</v>
                </pt>
                <pt idx="452">
                  <v>-117.5628489347485</v>
                </pt>
                <pt idx="453">
                  <v>-117.698075670573</v>
                </pt>
                <pt idx="454">
                  <v>-117.833745501488</v>
                </pt>
                <pt idx="455">
                  <v>-117.9698561477017</v>
                </pt>
                <pt idx="456">
                  <v>-118.1064054120323</v>
                </pt>
                <pt idx="457">
                  <v>-118.2466473527</v>
                </pt>
                <pt idx="458">
                  <v>-118.387344571706</v>
                </pt>
                <pt idx="459">
                  <v>-118.5284949654091</v>
                </pt>
                <pt idx="460">
                  <v>-118.67009651081</v>
                </pt>
                <pt idx="461">
                  <v>-118.81544551854</v>
                </pt>
                <pt idx="462">
                  <v>-118.9612628007247</v>
                </pt>
                <pt idx="463">
                  <v>-119.1075464374139</v>
                </pt>
                <pt idx="464">
                  <v>-119.2542945870914</v>
                </pt>
                <pt idx="465">
                  <v>-119.4049612758517</v>
                </pt>
                <pt idx="466">
                  <v>-119.5561108456028</v>
                </pt>
                <pt idx="467">
                  <v>-119.7077415625463</v>
                </pt>
                <pt idx="468">
                  <v>-119.8598517691028</v>
                </pt>
                <pt idx="469">
                  <v>-120.0159398513169</v>
                </pt>
                <pt idx="470">
                  <v>-120.1725263618516</v>
                </pt>
                <pt idx="471">
                  <v>-120.3296097594012</v>
                </pt>
                <pt idx="472">
                  <v>-120.4871885763943</v>
                </pt>
                <pt idx="473">
                  <v>-120.6490423190947</v>
                </pt>
                <pt idx="474">
                  <v>-120.8114125389677</v>
                </pt>
                <pt idx="475">
                  <v>-120.9742978863949</v>
                </pt>
                <pt idx="476">
                  <v>-121.1376970831408</v>
                </pt>
                <pt idx="477">
                  <v>-121.3054380451223</v>
                </pt>
                <pt idx="478">
                  <v>-121.4737146165242</v>
                </pt>
                <pt idx="479">
                  <v>-121.6425256451709</v>
                </pt>
                <pt idx="480">
                  <v>-121.8118700475666</v>
                </pt>
                <pt idx="481">
                  <v>-121.9856248390141</v>
                </pt>
                <pt idx="482">
                  <v>-122.1599355121968</v>
                </pt>
                <pt idx="483">
                  <v>-122.3348011163116</v>
                </pt>
                <pt idx="484">
                  <v>-122.5102207661609</v>
                </pt>
                <pt idx="485">
                  <v>-122.6902440813915</v>
                </pt>
                <pt idx="486">
                  <v>-122.8708455260533</v>
                </pt>
                <pt idx="487">
                  <v>-123.0520243511624</v>
                </pt>
                <pt idx="488">
                  <v>-123.233779870032</v>
                </pt>
                <pt idx="489">
                  <v>-123.4204626608071</v>
                </pt>
                <pt idx="490">
                  <v>-123.6077486866857</v>
                </pt>
                <pt idx="491">
                  <v>-123.7956373991182</v>
                </pt>
                <pt idx="492">
                  <v>-123.984128308378</v>
                </pt>
                <pt idx="493">
                  <v>-124.1776285708776</v>
                </pt>
                <pt idx="494">
                  <v>-124.3717585254695</v>
                </pt>
                <pt idx="495">
                  <v>-124.566517824004</v>
                </pt>
                <pt idx="496">
                  <v>-124.7619061730917</v>
                </pt>
                <pt idx="497">
                  <v>-124.9625160533835</v>
                </pt>
                <pt idx="498">
                  <v>-125.1637843017088</v>
                </pt>
                <pt idx="499">
                  <v>-125.3657107667999</v>
                </pt>
                <pt idx="500">
                  <v>-125.5682953475553</v>
                </pt>
                <pt idx="501">
                  <v>-125.7763204908105</v>
                </pt>
                <pt idx="502">
                  <v>-125.9850349704585</v>
                </pt>
                <pt idx="503">
                  <v>-126.1944388260686</v>
                </pt>
                <pt idx="504">
                  <v>-126.4045321421175</v>
                </pt>
                <pt idx="505">
                  <v>-126.6201612115787</v>
                </pt>
                <pt idx="506">
                  <v>-126.8365120671745</v>
                </pt>
                <pt idx="507">
                  <v>-127.0535849294856</v>
                </pt>
                <pt idx="508">
                  <v>-127.271380057828</v>
                </pt>
                <pt idx="509">
                  <v>-127.494941848085</v>
                </pt>
                <pt idx="510">
                  <v>-127.7192602385426</v>
                </pt>
                <pt idx="511">
                  <v>-127.9443356164452</v>
                </pt>
                <pt idx="512">
                  <v>-128.1701684006396</v>
                </pt>
                <pt idx="513">
                  <v>-128.4021408697002</v>
                </pt>
                <pt idx="514">
                  <v>-128.6349080666855</v>
                </pt>
                <pt idx="515">
                  <v>-128.8684705268294</v>
                </pt>
                <pt idx="516">
                  <v>-129.1028288087157</v>
                </pt>
                <pt idx="517">
                  <v>-129.3434394801852</v>
                </pt>
                <pt idx="518">
                  <v>-129.5848845113171</v>
                </pt>
                <pt idx="519">
                  <v>-129.8271645583606</v>
                </pt>
                <pt idx="520">
                  <v>-130.0702802911684</v>
                </pt>
                <pt idx="521">
                  <v>-130.3199027859207</v>
                </pt>
                <pt idx="522">
                  <v>-130.5704016473871</v>
                </pt>
                <pt idx="523">
                  <v>-130.8217776182996</v>
                </pt>
                <pt idx="524">
                  <v>-131.0740314435508</v>
                </pt>
                <pt idx="525">
                  <v>-131.3330546036246</v>
                </pt>
                <pt idx="526">
                  <v>-131.5929984484336</v>
                </pt>
                <pt idx="527">
                  <v>-131.8538637626168</v>
                </pt>
                <pt idx="528">
                  <v>-132.1156513195129</v>
                </pt>
                <pt idx="529">
                  <v>-132.3844791052756</v>
                </pt>
                <pt idx="530">
                  <v>-132.6542740913302</v>
                </pt>
                <pt idx="531">
                  <v>-132.9250370474589</v>
                </pt>
                <pt idx="532">
                  <v>-133.1967687162977</v>
                </pt>
                <pt idx="533">
                  <v>-133.4759642050489</v>
                </pt>
                <pt idx="534">
                  <v>-133.756176482323</v>
                </pt>
                <pt idx="535">
                  <v>-134.0374062326392</v>
                </pt>
                <pt idx="536">
                  <v>-134.3196540946265</v>
                </pt>
                <pt idx="537">
                  <v>-134.609363720656</v>
                </pt>
                <pt idx="538">
                  <v>-134.9001394002317</v>
                </pt>
                <pt idx="539">
                  <v>-135.1919816414979</v>
                </pt>
                <pt idx="540">
                  <v>-135.4848908848993</v>
                </pt>
                <pt idx="541">
                  <v>-135.7858516481297</v>
                </pt>
                <pt idx="542">
                  <v>-136.0879313160339</v>
                </pt>
                <pt idx="543">
                  <v>-136.3911301121261</v>
                </pt>
                <pt idx="544">
                  <v>-136.6954481663763</v>
                </pt>
                <pt idx="545">
                  <v>-137.0079739614049</v>
                </pt>
                <pt idx="546">
                  <v>-137.3216714232621</v>
                </pt>
                <pt idx="547">
                  <v>-137.6365403558103</v>
                </pt>
                <pt idx="548">
                  <v>-137.9525804393645</v>
                </pt>
                <pt idx="549">
                  <v>-138.2771394215704</v>
                </pt>
                <pt idx="550">
                  <v>-138.6029232426179</v>
                </pt>
                <pt idx="551">
                  <v>-138.9299311243474</v>
                </pt>
                <pt idx="552">
                  <v>-139.2581621302121</v>
                </pt>
                <pt idx="553">
                  <v>-139.59538535731</v>
                </pt>
                <pt idx="554">
                  <v>-139.9338874539182</v>
                </pt>
                <pt idx="555">
                  <v>-140.2736668628362</v>
                </pt>
                <pt idx="556">
                  <v>-140.614721827894</v>
                </pt>
                <pt idx="557">
                  <v>-141.3168026224857</v>
                </pt>
                <pt idx="558">
                  <v>-142.0241997582542</v>
                </pt>
                <pt idx="559">
                  <v>-142.7532873345119</v>
                </pt>
                <pt idx="560">
                  <v>-143.4878834011705</v>
                </pt>
                <pt idx="561">
                  <v>-144.245578439268</v>
                </pt>
                <pt idx="562">
                  <v>-145.0089679128227</v>
                </pt>
                <pt idx="563">
                  <v>-145.7945680972086</v>
                </pt>
                <pt idx="564">
                  <v>-146.5860017650394</v>
                </pt>
                <pt idx="565">
                  <v>-147.4033759340683</v>
                </pt>
                <pt idx="566">
                  <v>-148.2267365316656</v>
                </pt>
                <pt idx="567">
                  <v>-149.076463759156</v>
                </pt>
                <pt idx="568">
                  <v>-149.9322857216146</v>
                </pt>
                <pt idx="569">
                  <v>-150.811389137848</v>
                </pt>
                <pt idx="570">
                  <v>-151.6965928513322</v>
                </pt>
                <pt idx="571">
                  <v>-152.612305999914</v>
                </pt>
                <pt idx="572">
                  <v>-153.5341540478187</v>
                </pt>
                <pt idx="573">
                  <v>-154.4797278756193</v>
                </pt>
                <pt idx="574">
                  <v>-155.4312989176675</v>
                </pt>
                <pt idx="575">
                  <v>-156.4138341473071</v>
                </pt>
                <pt idx="576">
                  <v>-157.4022264411784</v>
                </pt>
                <pt idx="577">
                  <v>-161.6454424069466</v>
                </pt>
                <pt idx="578">
                  <v>-165.9667326845094</v>
                </pt>
                <pt idx="579">
                  <v>-175.5776628879572</v>
                </pt>
                <pt idx="580">
                  <v>-186.0357433746473</v>
                </pt>
                <pt idx="581">
                  <v>-196.9200940337691</v>
                </pt>
                <pt idx="582">
                  <v>-207.7172601138157</v>
                </pt>
                <pt idx="583">
                  <v>-217.93428071279</v>
                </pt>
                <pt idx="584">
                  <v>-227.2526079628954</v>
                </pt>
                <pt idx="585">
                  <v>-235.5292654975936</v>
                </pt>
                <pt idx="586">
                  <v>-242.7710228427381</v>
                </pt>
                <pt idx="587">
                  <v>-249.0625610259185</v>
                </pt>
                <pt idx="588">
                  <v>-254.5048690703974</v>
                </pt>
                <pt idx="589">
                  <v>-259.2071202908395</v>
                </pt>
                <pt idx="590">
                  <v>-263.2581010587774</v>
                </pt>
                <pt idx="591">
                  <v>-266.7333276510465</v>
                </pt>
                <pt idx="592">
                  <v>-269.6939727985782</v>
                </pt>
                <pt idx="593">
                  <v>-272.1924271918574</v>
                </pt>
                <pt idx="594">
                  <v>-274.2729926177868</v>
                </pt>
                <pt idx="595">
                  <v>-275.9774009393564</v>
                </pt>
                <pt idx="596">
                  <v>-277.3448891292293</v>
                </pt>
                <pt idx="597">
                  <v>-278.4147439658679</v>
                </pt>
                <pt idx="598">
                  <v>-279.2255237274018</v>
                </pt>
                <pt idx="599">
                  <v>-279.8159347185397</v>
                </pt>
                <pt idx="600">
                  <v>-280.2235209395023</v>
                </pt>
              </numCache>
            </numRef>
          </yVal>
          <smooth val="0"/>
        </ser>
        <dLbls>
          <showLegendKey val="0"/>
          <showVal val="0"/>
          <showCatName val="0"/>
          <showSerName val="0"/>
          <showPercent val="0"/>
          <showBubbleSize val="0"/>
        </dLbls>
        <axId val="333321344"/>
        <axId val="333322880"/>
      </scatterChart>
      <valAx>
        <axId val="332788864"/>
        <scaling>
          <logBase val="10"/>
          <orientation val="minMax"/>
          <max val="1000000"/>
          <min val="10"/>
        </scaling>
        <delete val="0"/>
        <axPos val="b"/>
        <majorGridlines>
          <spPr>
            <a:ln xmlns:a="http://schemas.openxmlformats.org/drawingml/2006/main" w="3175">
              <a:solidFill>
                <a:srgbClr val="000000"/>
              </a:solidFill>
              <a:prstDash val="solid"/>
            </a:ln>
          </spPr>
        </majorGridlines>
        <minorGridlines>
          <spPr>
            <a:ln xmlns:a="http://schemas.openxmlformats.org/drawingml/2006/main" w="3175">
              <a:solidFill>
                <a:srgbClr val="C0C0C0"/>
              </a:solidFill>
              <a:prstDash val="solid"/>
            </a:ln>
          </spPr>
        </minorGridlines>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rPr lang="en-US"/>
                  <a:t>Frequency (Hz)</a:t>
                </a:r>
              </a:p>
            </rich>
          </tx>
          <layout>
            <manualLayout>
              <xMode val="edge"/>
              <yMode val="edge"/>
              <wMode val="factor"/>
              <hMode val="factor"/>
              <x val="0.4285714285714285"/>
              <y val="0.8836114034132848"/>
            </manualLayout>
          </layout>
          <overlay val="0"/>
          <spPr>
            <a:noFill xmlns:a="http://schemas.openxmlformats.org/drawingml/2006/main"/>
            <a:ln xmlns:a="http://schemas.openxmlformats.org/drawingml/2006/main" w="25400">
              <a:noFill/>
              <a:prstDash val="solid"/>
            </a:ln>
          </spPr>
        </title>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800" b="0" i="0" strike="noStrike" baseline="0">
                <a:solidFill>
                  <a:srgbClr val="000000"/>
                </a:solidFill>
                <a:latin typeface="Arial"/>
                <a:ea typeface="Arial"/>
                <a:cs typeface="Arial"/>
              </a:defRPr>
            </a:pPr>
            <a:r>
              <a:t/>
            </a:r>
            <a:endParaRPr lang="en-US"/>
          </a:p>
        </txPr>
        <crossAx val="332790784"/>
        <crossesAt val="-40"/>
        <crossBetween val="midCat"/>
        <majorUnit val="10"/>
        <minorUnit val="10"/>
      </valAx>
      <valAx>
        <axId val="332790784"/>
        <scaling>
          <orientation val="minMax"/>
          <max val="150"/>
          <min val="-40"/>
        </scaling>
        <delete val="0"/>
        <axPos val="l"/>
        <majorGridlines>
          <spPr>
            <a:ln xmlns:a="http://schemas.openxmlformats.org/drawingml/2006/main" w="3175">
              <a:solidFill>
                <a:srgbClr val="000000"/>
              </a:solidFill>
              <a:prstDash val="solid"/>
            </a:ln>
          </spPr>
        </majorGridlines>
        <title>
          <tx>
            <rich>
              <a:bodyPr xmlns:a="http://schemas.openxmlformats.org/drawingml/2006/main"/>
              <a:lstStyle xmlns:a="http://schemas.openxmlformats.org/drawingml/2006/main"/>
              <a:p xmlns:a="http://schemas.openxmlformats.org/drawingml/2006/main">
                <a:pPr>
                  <a:defRPr sz="1200" b="1" i="0" strike="noStrike" baseline="0">
                    <a:solidFill>
                      <a:srgbClr val="FF0000"/>
                    </a:solidFill>
                    <a:latin typeface="Arial"/>
                    <a:ea typeface="Arial"/>
                    <a:cs typeface="Arial"/>
                  </a:defRPr>
                </a:pPr>
                <a:r>
                  <a:rPr lang="en-US"/>
                  <a:t>Gain (dB)</a:t>
                </a:r>
              </a:p>
            </rich>
          </tx>
          <layout>
            <manualLayout>
              <xMode val="edge"/>
              <yMode val="edge"/>
              <wMode val="factor"/>
              <hMode val="factor"/>
              <x val="0.01554907677356658"/>
              <y val="0.3927162330515138"/>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800" b="0" i="0" strike="noStrike" baseline="0">
                <a:solidFill>
                  <a:srgbClr val="FF0000"/>
                </a:solidFill>
                <a:latin typeface="Arial"/>
                <a:ea typeface="Arial"/>
                <a:cs typeface="Arial"/>
              </a:defRPr>
            </a:pPr>
            <a:r>
              <a:t/>
            </a:r>
            <a:endParaRPr lang="en-US"/>
          </a:p>
        </txPr>
        <crossAx val="332788864"/>
        <crossesAt val="0.1"/>
        <crossBetween val="midCat"/>
        <majorUnit val="20"/>
        <minorUnit val="4"/>
      </valAx>
      <valAx>
        <axId val="333321344"/>
        <scaling>
          <logBase val="10"/>
          <orientation val="minMax"/>
        </scaling>
        <delete val="1"/>
        <axPos val="t"/>
        <numFmt formatCode="General" sourceLinked="1"/>
        <majorTickMark val="out"/>
        <minorTickMark val="none"/>
        <crossAx val="333322880"/>
        <crossesAt val="0"/>
        <crossBetween val="midCat"/>
      </valAx>
      <valAx>
        <axId val="333322880"/>
        <scaling>
          <orientation val="minMax"/>
          <max val="-45"/>
          <min val="-180"/>
        </scaling>
        <delete val="0"/>
        <axPos val="r"/>
        <title>
          <tx>
            <rich>
              <a:bodyPr xmlns:a="http://schemas.openxmlformats.org/drawingml/2006/main"/>
              <a:lstStyle xmlns:a="http://schemas.openxmlformats.org/drawingml/2006/main"/>
              <a:p xmlns:a="http://schemas.openxmlformats.org/drawingml/2006/main">
                <a:pPr>
                  <a:defRPr sz="1200" b="1" i="0" strike="noStrike" baseline="0">
                    <a:solidFill>
                      <a:srgbClr val="0000FF"/>
                    </a:solidFill>
                    <a:latin typeface="Arial"/>
                    <a:ea typeface="Arial"/>
                    <a:cs typeface="Arial"/>
                  </a:defRPr>
                </a:pPr>
                <a:r>
                  <a:rPr lang="en-US"/>
                  <a:t>Phase (°)</a:t>
                </a:r>
              </a:p>
            </rich>
          </tx>
          <layout>
            <manualLayout>
              <xMode val="edge"/>
              <yMode val="edge"/>
              <wMode val="factor"/>
              <hMode val="factor"/>
              <x val="0.9655004859086486"/>
              <y val="0.3982582822308517"/>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800" b="0" i="0" strike="noStrike" baseline="0">
                <a:solidFill>
                  <a:srgbClr val="0000FF"/>
                </a:solidFill>
                <a:latin typeface="Arial"/>
                <a:ea typeface="Arial"/>
                <a:cs typeface="Arial"/>
              </a:defRPr>
            </a:pPr>
            <a:r>
              <a:t/>
            </a:r>
            <a:endParaRPr lang="en-US"/>
          </a:p>
        </txPr>
        <crossAx val="333321344"/>
        <crosses val="max"/>
        <crossBetween val="midCat"/>
        <majorUnit val="45"/>
        <minorUnit val="22.5"/>
      </valAx>
    </plotArea>
    <plotVisOnly val="1"/>
    <dispBlanksAs val="gap"/>
  </chart>
  <spPr>
    <a:solidFill xmlns:a="http://schemas.openxmlformats.org/drawingml/2006/main">
      <a:srgbClr val="FFFFFF"/>
    </a:solidFill>
    <a:ln xmlns:a="http://schemas.openxmlformats.org/drawingml/2006/main" w="25400">
      <a:solidFill>
        <a:srgbClr val="000000"/>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2000" b="1" i="0" strike="noStrike" baseline="0">
                <a:solidFill>
                  <a:srgbClr val="000000"/>
                </a:solidFill>
                <a:latin typeface="Arial" pitchFamily="34" charset="0"/>
                <a:ea typeface="Calibri"/>
                <a:cs typeface="Arial" pitchFamily="34" charset="0"/>
              </a:defRPr>
            </a:pPr>
            <a:r>
              <a:rPr lang="en-US" sz="2000">
                <a:latin typeface="Arial" pitchFamily="34" charset="0"/>
                <a:cs typeface="Arial" pitchFamily="34" charset="0"/>
              </a:rPr>
              <a:t>Bode Plot, V</a:t>
            </a:r>
            <a:r>
              <a:rPr lang="en-US" sz="2000" baseline="-25000">
                <a:latin typeface="Arial" pitchFamily="34" charset="0"/>
                <a:cs typeface="Arial" pitchFamily="34" charset="0"/>
              </a:rPr>
              <a:t>IN</a:t>
            </a:r>
            <a:r>
              <a:rPr lang="en-US" sz="2000" baseline="0">
                <a:latin typeface="Arial" pitchFamily="34" charset="0"/>
                <a:cs typeface="Arial" pitchFamily="34" charset="0"/>
              </a:rPr>
              <a:t xml:space="preserve"> = </a:t>
            </a:r>
            <a:r>
              <a:rPr lang="en-US" sz="2000">
                <a:latin typeface="Arial" pitchFamily="34" charset="0"/>
                <a:cs typeface="Arial" pitchFamily="34" charset="0"/>
              </a:rPr>
              <a:t>V</a:t>
            </a:r>
            <a:r>
              <a:rPr lang="en-US" sz="2000" baseline="-25000">
                <a:latin typeface="Arial" pitchFamily="34" charset="0"/>
                <a:cs typeface="Arial" pitchFamily="34" charset="0"/>
              </a:rPr>
              <a:t>IN(nom)</a:t>
            </a:r>
            <a:endParaRPr lang="en-US" sz="2000">
              <a:latin typeface="Arial" pitchFamily="34" charset="0"/>
              <a:cs typeface="Arial" pitchFamily="34" charset="0"/>
            </a:endParaRPr>
          </a:p>
        </rich>
      </tx>
      <layout>
        <manualLayout>
          <xMode val="edge"/>
          <yMode val="edge"/>
          <wMode val="factor"/>
          <hMode val="factor"/>
          <x val="0.08035861306810332"/>
          <y val="0.02062992125984252"/>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8686555046770039"/>
          <y val="0.1126461911693121"/>
          <w val="0.8292975278009995"/>
          <h val="0.762051843542218"/>
        </manualLayout>
      </layout>
      <scatterChart>
        <scatterStyle val="lineMarker"/>
        <varyColors val="0"/>
        <ser>
          <idx val="10"/>
          <order val="0"/>
          <tx>
            <v>FPCOMP</v>
          </tx>
          <spPr>
            <a:ln xmlns:a="http://schemas.openxmlformats.org/drawingml/2006/main">
              <a:solidFill>
                <a:schemeClr val="tx1"/>
              </a:solidFill>
              <a:prstDash val="solid"/>
            </a:ln>
          </spPr>
          <marker>
            <symbol val="x"/>
            <size val="8"/>
            <spPr>
              <a:noFill xmlns:a="http://schemas.openxmlformats.org/drawingml/2006/main"/>
              <a:ln xmlns:a="http://schemas.openxmlformats.org/drawingml/2006/main" w="22225">
                <a:solidFill>
                  <a:schemeClr val="tx1"/>
                </a:solidFill>
                <a:prstDash val="solid"/>
              </a:ln>
            </spPr>
          </marker>
          <dLbls>
            <dLbl>
              <idx val="0"/>
              <showLegendKey val="0"/>
              <showVal val="0"/>
              <showCatName val="0"/>
              <showSerName val="1"/>
              <showPercent val="0"/>
              <showBubbleSize val="0"/>
            </dLbl>
            <spPr>
              <a:noFill xmlns:a="http://schemas.openxmlformats.org/drawingml/2006/main"/>
              <a:ln xmlns:a="http://schemas.openxmlformats.org/drawingml/2006/main">
                <a:noFill/>
                <a:prstDash val="solid"/>
              </a:ln>
            </spPr>
            <showLegendKey val="0"/>
            <showVal val="0"/>
            <showCatName val="0"/>
            <showSerName val="1"/>
            <showPercent val="0"/>
            <showBubbleSize val="0"/>
            <showLeaderLines val="0"/>
          </dLbls>
          <xVal>
            <numRef>
              <f>'Stability Calculations'!$A$627</f>
              <numCache>
                <formatCode>0</formatCode>
                <ptCount val="1"/>
                <pt idx="0">
                  <v>168909.5770178264</v>
                </pt>
              </numCache>
            </numRef>
          </xVal>
          <yVal>
            <numRef>
              <f>'Stability Calculations'!$U$627</f>
              <numCache>
                <formatCode>0.00</formatCode>
                <ptCount val="1"/>
                <pt idx="0">
                  <v>-13.68163898844133</v>
                </pt>
              </numCache>
            </numRef>
          </yVal>
          <smooth val="0"/>
        </ser>
        <dLbls>
          <showLegendKey val="0"/>
          <showVal val="0"/>
          <showCatName val="0"/>
          <showSerName val="0"/>
          <showPercent val="0"/>
          <showBubbleSize val="0"/>
        </dLbls>
        <axId val="333063296"/>
        <axId val="333065216"/>
      </scatterChart>
      <scatterChart>
        <scatterStyle val="smoothMarker"/>
        <varyColors val="0"/>
        <ser>
          <idx val="11"/>
          <order val="0"/>
          <tx>
            <v>Loop Gain</v>
          </tx>
          <spPr>
            <a:ln xmlns:a="http://schemas.openxmlformats.org/drawingml/2006/main" w="31750">
              <a:solidFill>
                <a:srgbClr val="FF0000"/>
              </a:solidFill>
              <a:prstDash val="solid"/>
            </a:ln>
          </spPr>
          <marker>
            <symbol val="none"/>
            <spPr>
              <a:ln xmlns:a="http://schemas.openxmlformats.org/drawingml/2006/main">
                <a:prstDash val="solid"/>
              </a:ln>
            </spPr>
          </marker>
          <xVal>
            <numRef>
              <f>'Stability Calculations'!$A$13:$A$613</f>
              <numCache>
                <formatCode>General</formatCode>
                <ptCount val="601"/>
                <pt idx="0">
                  <v>1</v>
                </pt>
                <pt idx="1">
                  <v>1.0965</v>
                </pt>
                <pt idx="2">
                  <v>1.2023</v>
                </pt>
                <pt idx="3">
                  <v>1.3183</v>
                </pt>
                <pt idx="4">
                  <v>1.4454</v>
                </pt>
                <pt idx="5">
                  <v>1.5849</v>
                </pt>
                <pt idx="6">
                  <v>1.7378</v>
                </pt>
                <pt idx="7">
                  <v>1.9055</v>
                </pt>
                <pt idx="8">
                  <v>2.0893</v>
                </pt>
                <pt idx="9">
                  <v>2.2909</v>
                </pt>
                <pt idx="10">
                  <v>2.5119</v>
                </pt>
                <pt idx="11">
                  <v>2.7542</v>
                </pt>
                <pt idx="12">
                  <v>3.02</v>
                </pt>
                <pt idx="13">
                  <v>3.3113</v>
                </pt>
                <pt idx="14">
                  <v>3.6308</v>
                </pt>
                <pt idx="15">
                  <v>3.9811</v>
                </pt>
                <pt idx="16">
                  <v>4.3652</v>
                </pt>
                <pt idx="17">
                  <v>4.7863</v>
                </pt>
                <pt idx="18">
                  <v>5.2481</v>
                </pt>
                <pt idx="19">
                  <v>5.7544</v>
                </pt>
                <pt idx="20">
                  <v>6.3096</v>
                </pt>
                <pt idx="21">
                  <v>6.9183</v>
                </pt>
                <pt idx="22">
                  <v>7.5858</v>
                </pt>
                <pt idx="23">
                  <v>8.317600000000001</v>
                </pt>
                <pt idx="24">
                  <v>9.120100000000001</v>
                </pt>
                <pt idx="25">
                  <v>10</v>
                </pt>
                <pt idx="26">
                  <v>10.965</v>
                </pt>
                <pt idx="27">
                  <v>12.023</v>
                </pt>
                <pt idx="28">
                  <v>13.183</v>
                </pt>
                <pt idx="29">
                  <v>14.454</v>
                </pt>
                <pt idx="30">
                  <v>15.849</v>
                </pt>
                <pt idx="31">
                  <v>17.378</v>
                </pt>
                <pt idx="32">
                  <v>19.055</v>
                </pt>
                <pt idx="33">
                  <v>20.893</v>
                </pt>
                <pt idx="34">
                  <v>22.909</v>
                </pt>
                <pt idx="35">
                  <v>25.119</v>
                </pt>
                <pt idx="36">
                  <v>27.542</v>
                </pt>
                <pt idx="37">
                  <v>30.2</v>
                </pt>
                <pt idx="38">
                  <v>33.113</v>
                </pt>
                <pt idx="39">
                  <v>36.308</v>
                </pt>
                <pt idx="40">
                  <v>39.811</v>
                </pt>
                <pt idx="41">
                  <v>43.652</v>
                </pt>
                <pt idx="42">
                  <v>47.863</v>
                </pt>
                <pt idx="43">
                  <v>52.481</v>
                </pt>
                <pt idx="44">
                  <v>57.544</v>
                </pt>
                <pt idx="45">
                  <v>63.096</v>
                </pt>
                <pt idx="46">
                  <v>69.18300000000001</v>
                </pt>
                <pt idx="47">
                  <v>75.858</v>
                </pt>
                <pt idx="48">
                  <v>83.176</v>
                </pt>
                <pt idx="49">
                  <v>91.20100000000001</v>
                </pt>
                <pt idx="50">
                  <v>100</v>
                </pt>
                <pt idx="51">
                  <v>109.65</v>
                </pt>
                <pt idx="52">
                  <v>120.23</v>
                </pt>
                <pt idx="53">
                  <v>131.83</v>
                </pt>
                <pt idx="54">
                  <v>144.54</v>
                </pt>
                <pt idx="55">
                  <v>158.49</v>
                </pt>
                <pt idx="56">
                  <v>173.78</v>
                </pt>
                <pt idx="57">
                  <v>190.55</v>
                </pt>
                <pt idx="58">
                  <v>208.93</v>
                </pt>
                <pt idx="59">
                  <v>229.09</v>
                </pt>
                <pt idx="60">
                  <v>251.19</v>
                </pt>
                <pt idx="61">
                  <v>275.42</v>
                </pt>
                <pt idx="62">
                  <v>302</v>
                </pt>
                <pt idx="63">
                  <v>331.13</v>
                </pt>
                <pt idx="64">
                  <v>363.08</v>
                </pt>
                <pt idx="65">
                  <v>398.11</v>
                </pt>
                <pt idx="66">
                  <v>436.52</v>
                </pt>
                <pt idx="67">
                  <v>478.63</v>
                </pt>
                <pt idx="68">
                  <v>524.8099999999999</v>
                </pt>
                <pt idx="69">
                  <v>575.4400000000001</v>
                </pt>
                <pt idx="70">
                  <v>630.96</v>
                </pt>
                <pt idx="71">
                  <v>691.83</v>
                </pt>
                <pt idx="72">
                  <v>758.58</v>
                </pt>
                <pt idx="73">
                  <v>831.76</v>
                </pt>
                <pt idx="74">
                  <v>912.01</v>
                </pt>
                <pt idx="75">
                  <v>1000</v>
                </pt>
                <pt idx="76">
                  <v>1096.5</v>
                </pt>
                <pt idx="77">
                  <v>1202.3</v>
                </pt>
                <pt idx="78">
                  <v>1318.3</v>
                </pt>
                <pt idx="79">
                  <v>1445.4</v>
                </pt>
                <pt idx="80">
                  <v>1584.9</v>
                </pt>
                <pt idx="81">
                  <v>1737.8</v>
                </pt>
                <pt idx="82">
                  <v>1905.5</v>
                </pt>
                <pt idx="83">
                  <v>2089.3</v>
                </pt>
                <pt idx="84">
                  <v>2290.9</v>
                </pt>
                <pt idx="85">
                  <v>2511.9</v>
                </pt>
                <pt idx="86">
                  <v>2754.2</v>
                </pt>
                <pt idx="87">
                  <v>3020</v>
                </pt>
                <pt idx="88">
                  <v>3311.3</v>
                </pt>
                <pt idx="89">
                  <v>3630.8</v>
                </pt>
                <pt idx="90">
                  <v>3981.1</v>
                </pt>
                <pt idx="91">
                  <v>4365.2</v>
                </pt>
                <pt idx="92">
                  <v>4786.3</v>
                </pt>
                <pt idx="93">
                  <v>5248.1</v>
                </pt>
                <pt idx="94">
                  <v>5370.3</v>
                </pt>
                <pt idx="95">
                  <v>5432.85</v>
                </pt>
                <pt idx="96">
                  <v>5495.4</v>
                </pt>
                <pt idx="97">
                  <v>5559.4</v>
                </pt>
                <pt idx="98">
                  <v>5623.4</v>
                </pt>
                <pt idx="99">
                  <v>5688.9</v>
                </pt>
                <pt idx="100">
                  <v>5754.4</v>
                </pt>
                <pt idx="101">
                  <v>5821.4</v>
                </pt>
                <pt idx="102">
                  <v>5888.4</v>
                </pt>
                <pt idx="103">
                  <v>5957</v>
                </pt>
                <pt idx="104">
                  <v>6025.6</v>
                </pt>
                <pt idx="105">
                  <v>6095.8</v>
                </pt>
                <pt idx="106">
                  <v>6166</v>
                </pt>
                <pt idx="107">
                  <v>6237.8</v>
                </pt>
                <pt idx="108">
                  <v>6309.6</v>
                </pt>
                <pt idx="109">
                  <v>6383.05</v>
                </pt>
                <pt idx="110">
                  <v>6456.5</v>
                </pt>
                <pt idx="111">
                  <v>6531.7</v>
                </pt>
                <pt idx="112">
                  <v>6606.9</v>
                </pt>
                <pt idx="113">
                  <v>6683.85</v>
                </pt>
                <pt idx="114">
                  <v>6760.8</v>
                </pt>
                <pt idx="115">
                  <v>6839.55</v>
                </pt>
                <pt idx="116">
                  <v>6918.3</v>
                </pt>
                <pt idx="117">
                  <v>6998.9</v>
                </pt>
                <pt idx="118">
                  <v>7079.5</v>
                </pt>
                <pt idx="119">
                  <v>7161.95</v>
                </pt>
                <pt idx="120">
                  <v>7244.4</v>
                </pt>
                <pt idx="121">
                  <v>7328.75</v>
                </pt>
                <pt idx="122">
                  <v>7413.1</v>
                </pt>
                <pt idx="123">
                  <v>7499.45</v>
                </pt>
                <pt idx="124">
                  <v>7585.8</v>
                </pt>
                <pt idx="125">
                  <v>7674.15</v>
                </pt>
                <pt idx="126">
                  <v>7762.5</v>
                </pt>
                <pt idx="127">
                  <v>7852.9</v>
                </pt>
                <pt idx="128">
                  <v>7943.3</v>
                </pt>
                <pt idx="129">
                  <v>8035.8</v>
                </pt>
                <pt idx="130">
                  <v>8128.3</v>
                </pt>
                <pt idx="131">
                  <v>8222.950000000001</v>
                </pt>
                <pt idx="132">
                  <v>8270.275000000001</v>
                </pt>
                <pt idx="133">
                  <v>8317.6</v>
                </pt>
                <pt idx="134">
                  <v>8366.049999999999</v>
                </pt>
                <pt idx="135">
                  <v>8414.5</v>
                </pt>
                <pt idx="136">
                  <v>8462.950000000001</v>
                </pt>
                <pt idx="137">
                  <v>8511.4</v>
                </pt>
                <pt idx="138">
                  <v>8560.950000000001</v>
                </pt>
                <pt idx="139">
                  <v>8610.5</v>
                </pt>
                <pt idx="140">
                  <v>8660.049999999999</v>
                </pt>
                <pt idx="141">
                  <v>8709.6</v>
                </pt>
                <pt idx="142">
                  <v>8760.325000000001</v>
                </pt>
                <pt idx="143">
                  <v>8811.049999999999</v>
                </pt>
                <pt idx="144">
                  <v>8861.775</v>
                </pt>
                <pt idx="145">
                  <v>8912.5</v>
                </pt>
                <pt idx="146">
                  <v>8964.4</v>
                </pt>
                <pt idx="147">
                  <v>9016.299999999999</v>
                </pt>
                <pt idx="148">
                  <v>9068.200000000001</v>
                </pt>
                <pt idx="149">
                  <v>9120.1</v>
                </pt>
                <pt idx="150">
                  <v>9173.200000000001</v>
                </pt>
                <pt idx="151">
                  <v>9226.299999999999</v>
                </pt>
                <pt idx="152">
                  <v>9279.4</v>
                </pt>
                <pt idx="153">
                  <v>9332.5</v>
                </pt>
                <pt idx="154">
                  <v>9386.85</v>
                </pt>
                <pt idx="155">
                  <v>9441.200000000001</v>
                </pt>
                <pt idx="156">
                  <v>9495.549999999999</v>
                </pt>
                <pt idx="157">
                  <v>9549.9</v>
                </pt>
                <pt idx="158">
                  <v>9605.525</v>
                </pt>
                <pt idx="159">
                  <v>9661.15</v>
                </pt>
                <pt idx="160">
                  <v>9716.775</v>
                </pt>
                <pt idx="161">
                  <v>9772.4</v>
                </pt>
                <pt idx="162">
                  <v>9829.299999999999</v>
                </pt>
                <pt idx="163">
                  <v>9886.200000000001</v>
                </pt>
                <pt idx="164">
                  <v>9943.1</v>
                </pt>
                <pt idx="165">
                  <v>10000</v>
                </pt>
                <pt idx="166">
                  <v>10058.25</v>
                </pt>
                <pt idx="167">
                  <v>10116.5</v>
                </pt>
                <pt idx="168">
                  <v>10174.75</v>
                </pt>
                <pt idx="169">
                  <v>10233</v>
                </pt>
                <pt idx="170">
                  <v>10292.5</v>
                </pt>
                <pt idx="171">
                  <v>10352</v>
                </pt>
                <pt idx="172">
                  <v>10411.5</v>
                </pt>
                <pt idx="173">
                  <v>10471</v>
                </pt>
                <pt idx="174">
                  <v>10532</v>
                </pt>
                <pt idx="175">
                  <v>10593</v>
                </pt>
                <pt idx="176">
                  <v>10654</v>
                </pt>
                <pt idx="177">
                  <v>10715</v>
                </pt>
                <pt idx="178">
                  <v>10777.5</v>
                </pt>
                <pt idx="179">
                  <v>10840</v>
                </pt>
                <pt idx="180">
                  <v>10902.5</v>
                </pt>
                <pt idx="181">
                  <v>10965</v>
                </pt>
                <pt idx="182">
                  <v>11028.75</v>
                </pt>
                <pt idx="183">
                  <v>11092.5</v>
                </pt>
                <pt idx="184">
                  <v>11156.25</v>
                </pt>
                <pt idx="185">
                  <v>11220</v>
                </pt>
                <pt idx="186">
                  <v>11285.5</v>
                </pt>
                <pt idx="187">
                  <v>11351</v>
                </pt>
                <pt idx="188">
                  <v>11416.5</v>
                </pt>
                <pt idx="189">
                  <v>11482</v>
                </pt>
                <pt idx="190">
                  <v>11548.75</v>
                </pt>
                <pt idx="191">
                  <v>11615.5</v>
                </pt>
                <pt idx="192">
                  <v>11682.25</v>
                </pt>
                <pt idx="193">
                  <v>11749</v>
                </pt>
                <pt idx="194">
                  <v>11817.5</v>
                </pt>
                <pt idx="195">
                  <v>11886</v>
                </pt>
                <pt idx="196">
                  <v>11954.5</v>
                </pt>
                <pt idx="197">
                  <v>12023</v>
                </pt>
                <pt idx="198">
                  <v>12093</v>
                </pt>
                <pt idx="199">
                  <v>12163</v>
                </pt>
                <pt idx="200">
                  <v>12233</v>
                </pt>
                <pt idx="201">
                  <v>12303</v>
                </pt>
                <pt idx="202">
                  <v>12374.5</v>
                </pt>
                <pt idx="203">
                  <v>12446</v>
                </pt>
                <pt idx="204">
                  <v>12517.5</v>
                </pt>
                <pt idx="205">
                  <v>12589</v>
                </pt>
                <pt idx="206">
                  <v>12662.25</v>
                </pt>
                <pt idx="207">
                  <v>12735.5</v>
                </pt>
                <pt idx="208">
                  <v>12808.75</v>
                </pt>
                <pt idx="209">
                  <v>12882</v>
                </pt>
                <pt idx="210">
                  <v>12957.25</v>
                </pt>
                <pt idx="211">
                  <v>13032.5</v>
                </pt>
                <pt idx="212">
                  <v>13107.75</v>
                </pt>
                <pt idx="213">
                  <v>13183</v>
                </pt>
                <pt idx="214">
                  <v>13259.75</v>
                </pt>
                <pt idx="215">
                  <v>13336.5</v>
                </pt>
                <pt idx="216">
                  <v>13413.25</v>
                </pt>
                <pt idx="217">
                  <v>13490</v>
                </pt>
                <pt idx="218">
                  <v>13568.5</v>
                </pt>
                <pt idx="219">
                  <v>13647</v>
                </pt>
                <pt idx="220">
                  <v>13725.5</v>
                </pt>
                <pt idx="221">
                  <v>13804</v>
                </pt>
                <pt idx="222">
                  <v>13884.25</v>
                </pt>
                <pt idx="223">
                  <v>13964.5</v>
                </pt>
                <pt idx="224">
                  <v>14044.75</v>
                </pt>
                <pt idx="225">
                  <v>14125</v>
                </pt>
                <pt idx="226">
                  <v>14207.25</v>
                </pt>
                <pt idx="227">
                  <v>14289.5</v>
                </pt>
                <pt idx="228">
                  <v>14371.75</v>
                </pt>
                <pt idx="229">
                  <v>14454</v>
                </pt>
                <pt idx="230">
                  <v>14622.5</v>
                </pt>
                <pt idx="231">
                  <v>14706.75</v>
                </pt>
                <pt idx="232">
                  <v>14791</v>
                </pt>
                <pt idx="233">
                  <v>14877.25</v>
                </pt>
                <pt idx="234">
                  <v>14963.5</v>
                </pt>
                <pt idx="235">
                  <v>15049.75</v>
                </pt>
                <pt idx="236">
                  <v>15136</v>
                </pt>
                <pt idx="237">
                  <v>15224</v>
                </pt>
                <pt idx="238">
                  <v>15312</v>
                </pt>
                <pt idx="239">
                  <v>15400</v>
                </pt>
                <pt idx="240">
                  <v>15488</v>
                </pt>
                <pt idx="241">
                  <v>15578.25</v>
                </pt>
                <pt idx="242">
                  <v>15668.5</v>
                </pt>
                <pt idx="243">
                  <v>15758.75</v>
                </pt>
                <pt idx="244">
                  <v>15849</v>
                </pt>
                <pt idx="245">
                  <v>15941.25</v>
                </pt>
                <pt idx="246">
                  <v>16033.5</v>
                </pt>
                <pt idx="247">
                  <v>16125.75</v>
                </pt>
                <pt idx="248">
                  <v>16218</v>
                </pt>
                <pt idx="249">
                  <v>16312.5</v>
                </pt>
                <pt idx="250">
                  <v>16407</v>
                </pt>
                <pt idx="251">
                  <v>16501.5</v>
                </pt>
                <pt idx="252">
                  <v>16596</v>
                </pt>
                <pt idx="253">
                  <v>16692.5</v>
                </pt>
                <pt idx="254">
                  <v>16789</v>
                </pt>
                <pt idx="255">
                  <v>16885.5</v>
                </pt>
                <pt idx="256">
                  <v>16982</v>
                </pt>
                <pt idx="257">
                  <v>17081</v>
                </pt>
                <pt idx="258">
                  <v>17180</v>
                </pt>
                <pt idx="259">
                  <v>17279</v>
                </pt>
                <pt idx="260">
                  <v>17378</v>
                </pt>
                <pt idx="261">
                  <v>17479.25</v>
                </pt>
                <pt idx="262">
                  <v>17580.5</v>
                </pt>
                <pt idx="263">
                  <v>17681.75</v>
                </pt>
                <pt idx="264">
                  <v>17783</v>
                </pt>
                <pt idx="265">
                  <v>17886.5</v>
                </pt>
                <pt idx="266">
                  <v>17990</v>
                </pt>
                <pt idx="267">
                  <v>18093.5</v>
                </pt>
                <pt idx="268">
                  <v>18197</v>
                </pt>
                <pt idx="269">
                  <v>18303</v>
                </pt>
                <pt idx="270">
                  <v>18409</v>
                </pt>
                <pt idx="271">
                  <v>18515</v>
                </pt>
                <pt idx="272">
                  <v>18621</v>
                </pt>
                <pt idx="273">
                  <v>18729.5</v>
                </pt>
                <pt idx="274">
                  <v>18838</v>
                </pt>
                <pt idx="275">
                  <v>18946.5</v>
                </pt>
                <pt idx="276">
                  <v>19055</v>
                </pt>
                <pt idx="277">
                  <v>19165.75</v>
                </pt>
                <pt idx="278">
                  <v>19276.5</v>
                </pt>
                <pt idx="279">
                  <v>19387.25</v>
                </pt>
                <pt idx="280">
                  <v>19498</v>
                </pt>
                <pt idx="281">
                  <v>19611.75</v>
                </pt>
                <pt idx="282">
                  <v>19725.5</v>
                </pt>
                <pt idx="283">
                  <v>19839.25</v>
                </pt>
                <pt idx="284">
                  <v>19953</v>
                </pt>
                <pt idx="285">
                  <v>20069</v>
                </pt>
                <pt idx="286">
                  <v>20185</v>
                </pt>
                <pt idx="287">
                  <v>20301</v>
                </pt>
                <pt idx="288">
                  <v>20417</v>
                </pt>
                <pt idx="289">
                  <v>20536</v>
                </pt>
                <pt idx="290">
                  <v>20655</v>
                </pt>
                <pt idx="291">
                  <v>20774</v>
                </pt>
                <pt idx="292">
                  <v>20893</v>
                </pt>
                <pt idx="293">
                  <v>21014.75</v>
                </pt>
                <pt idx="294">
                  <v>21136.5</v>
                </pt>
                <pt idx="295">
                  <v>21258.25</v>
                </pt>
                <pt idx="296">
                  <v>21380</v>
                </pt>
                <pt idx="297">
                  <v>21504.5</v>
                </pt>
                <pt idx="298">
                  <v>21629</v>
                </pt>
                <pt idx="299">
                  <v>21753.5</v>
                </pt>
                <pt idx="300">
                  <v>21878</v>
                </pt>
                <pt idx="301">
                  <v>22005.25</v>
                </pt>
                <pt idx="302">
                  <v>22132.5</v>
                </pt>
                <pt idx="303">
                  <v>22259.75</v>
                </pt>
                <pt idx="304">
                  <v>22387</v>
                </pt>
                <pt idx="305">
                  <v>22517.5</v>
                </pt>
                <pt idx="306">
                  <v>22648</v>
                </pt>
                <pt idx="307">
                  <v>22778.5</v>
                </pt>
                <pt idx="308">
                  <v>22909</v>
                </pt>
                <pt idx="309">
                  <v>23042.25</v>
                </pt>
                <pt idx="310">
                  <v>23175.5</v>
                </pt>
                <pt idx="311">
                  <v>23308.75</v>
                </pt>
                <pt idx="312">
                  <v>23442</v>
                </pt>
                <pt idx="313">
                  <v>23578.5</v>
                </pt>
                <pt idx="314">
                  <v>23715</v>
                </pt>
                <pt idx="315">
                  <v>23851.5</v>
                </pt>
                <pt idx="316">
                  <v>23988</v>
                </pt>
                <pt idx="317">
                  <v>24127.75</v>
                </pt>
                <pt idx="318">
                  <v>24267.5</v>
                </pt>
                <pt idx="319">
                  <v>24407.25</v>
                </pt>
                <pt idx="320">
                  <v>24547</v>
                </pt>
                <pt idx="321">
                  <v>24690</v>
                </pt>
                <pt idx="322">
                  <v>24833</v>
                </pt>
                <pt idx="323">
                  <v>24976</v>
                </pt>
                <pt idx="324">
                  <v>25119</v>
                </pt>
                <pt idx="325">
                  <v>25265.25</v>
                </pt>
                <pt idx="326">
                  <v>25411.5</v>
                </pt>
                <pt idx="327">
                  <v>25557.75</v>
                </pt>
                <pt idx="328">
                  <v>25704</v>
                </pt>
                <pt idx="329">
                  <v>25853.75</v>
                </pt>
                <pt idx="330">
                  <v>26003.5</v>
                </pt>
                <pt idx="331">
                  <v>26153.25</v>
                </pt>
                <pt idx="332">
                  <v>26303</v>
                </pt>
                <pt idx="333">
                  <v>26456</v>
                </pt>
                <pt idx="334">
                  <v>26609</v>
                </pt>
                <pt idx="335">
                  <v>26762</v>
                </pt>
                <pt idx="336">
                  <v>26915</v>
                </pt>
                <pt idx="337">
                  <v>27071.75</v>
                </pt>
                <pt idx="338">
                  <v>27228.5</v>
                </pt>
                <pt idx="339">
                  <v>27385.25</v>
                </pt>
                <pt idx="340">
                  <v>27542</v>
                </pt>
                <pt idx="341">
                  <v>27702.5</v>
                </pt>
                <pt idx="342">
                  <v>27863</v>
                </pt>
                <pt idx="343">
                  <v>28023.5</v>
                </pt>
                <pt idx="344">
                  <v>28184</v>
                </pt>
                <pt idx="345">
                  <v>28348</v>
                </pt>
                <pt idx="346">
                  <v>28512</v>
                </pt>
                <pt idx="347">
                  <v>28676</v>
                </pt>
                <pt idx="348">
                  <v>28840</v>
                </pt>
                <pt idx="349">
                  <v>29008</v>
                </pt>
                <pt idx="350">
                  <v>29176</v>
                </pt>
                <pt idx="351">
                  <v>29344</v>
                </pt>
                <pt idx="352">
                  <v>29512</v>
                </pt>
                <pt idx="353">
                  <v>29684</v>
                </pt>
                <pt idx="354">
                  <v>29856</v>
                </pt>
                <pt idx="355">
                  <v>30028</v>
                </pt>
                <pt idx="356">
                  <v>30200</v>
                </pt>
                <pt idx="357">
                  <v>30375.75</v>
                </pt>
                <pt idx="358">
                  <v>30551.5</v>
                </pt>
                <pt idx="359">
                  <v>30727.25</v>
                </pt>
                <pt idx="360">
                  <v>30903</v>
                </pt>
                <pt idx="361">
                  <v>31083</v>
                </pt>
                <pt idx="362">
                  <v>31263</v>
                </pt>
                <pt idx="363">
                  <v>31443</v>
                </pt>
                <pt idx="364">
                  <v>31623</v>
                </pt>
                <pt idx="365">
                  <v>31807</v>
                </pt>
                <pt idx="366">
                  <v>31991</v>
                </pt>
                <pt idx="367">
                  <v>32175</v>
                </pt>
                <pt idx="368">
                  <v>32359</v>
                </pt>
                <pt idx="369">
                  <v>32547.5</v>
                </pt>
                <pt idx="370">
                  <v>32736</v>
                </pt>
                <pt idx="371">
                  <v>32924.5</v>
                </pt>
                <pt idx="372">
                  <v>33113</v>
                </pt>
                <pt idx="373">
                  <v>33305.75</v>
                </pt>
                <pt idx="374">
                  <v>33498.5</v>
                </pt>
                <pt idx="375">
                  <v>33691.25</v>
                </pt>
                <pt idx="376">
                  <v>33884</v>
                </pt>
                <pt idx="377">
                  <v>34081.5</v>
                </pt>
                <pt idx="378">
                  <v>34279</v>
                </pt>
                <pt idx="379">
                  <v>34476.5</v>
                </pt>
                <pt idx="380">
                  <v>34674</v>
                </pt>
                <pt idx="381">
                  <v>34875.75</v>
                </pt>
                <pt idx="382">
                  <v>35077.5</v>
                </pt>
                <pt idx="383">
                  <v>35279.25</v>
                </pt>
                <pt idx="384">
                  <v>35481</v>
                </pt>
                <pt idx="385">
                  <v>35687.75</v>
                </pt>
                <pt idx="386">
                  <v>35894.5</v>
                </pt>
                <pt idx="387">
                  <v>36101.25</v>
                </pt>
                <pt idx="388">
                  <v>36308</v>
                </pt>
                <pt idx="389">
                  <v>36519.5</v>
                </pt>
                <pt idx="390">
                  <v>36731</v>
                </pt>
                <pt idx="391">
                  <v>36942.5</v>
                </pt>
                <pt idx="392">
                  <v>37154</v>
                </pt>
                <pt idx="393">
                  <v>37370.25</v>
                </pt>
                <pt idx="394">
                  <v>37586.5</v>
                </pt>
                <pt idx="395">
                  <v>37802.75</v>
                </pt>
                <pt idx="396">
                  <v>38019</v>
                </pt>
                <pt idx="397">
                  <v>38240.5</v>
                </pt>
                <pt idx="398">
                  <v>38462</v>
                </pt>
                <pt idx="399">
                  <v>38683.5</v>
                </pt>
                <pt idx="400">
                  <v>38905</v>
                </pt>
                <pt idx="401">
                  <v>39131.5</v>
                </pt>
                <pt idx="402">
                  <v>39358</v>
                </pt>
                <pt idx="403">
                  <v>39584.5</v>
                </pt>
                <pt idx="404">
                  <v>39811</v>
                </pt>
                <pt idx="405">
                  <v>40042.75</v>
                </pt>
                <pt idx="406">
                  <v>40274.5</v>
                </pt>
                <pt idx="407">
                  <v>40506.25</v>
                </pt>
                <pt idx="408">
                  <v>40738</v>
                </pt>
                <pt idx="409">
                  <v>40975.25</v>
                </pt>
                <pt idx="410">
                  <v>41212.5</v>
                </pt>
                <pt idx="411">
                  <v>41449.75</v>
                </pt>
                <pt idx="412">
                  <v>41687</v>
                </pt>
                <pt idx="413">
                  <v>41929.75</v>
                </pt>
                <pt idx="414">
                  <v>42172.5</v>
                </pt>
                <pt idx="415">
                  <v>42415.25</v>
                </pt>
                <pt idx="416">
                  <v>42658</v>
                </pt>
                <pt idx="417">
                  <v>42906.5</v>
                </pt>
                <pt idx="418">
                  <v>43155</v>
                </pt>
                <pt idx="419">
                  <v>43403.5</v>
                </pt>
                <pt idx="420">
                  <v>43652</v>
                </pt>
                <pt idx="421">
                  <v>43906</v>
                </pt>
                <pt idx="422">
                  <v>44160</v>
                </pt>
                <pt idx="423">
                  <v>44414</v>
                </pt>
                <pt idx="424">
                  <v>44668</v>
                </pt>
                <pt idx="425">
                  <v>44928.25</v>
                </pt>
                <pt idx="426">
                  <v>45188.5</v>
                </pt>
                <pt idx="427">
                  <v>45448.75</v>
                </pt>
                <pt idx="428">
                  <v>45709</v>
                </pt>
                <pt idx="429">
                  <v>45975.25</v>
                </pt>
                <pt idx="430">
                  <v>46241.5</v>
                </pt>
                <pt idx="431">
                  <v>46507.75</v>
                </pt>
                <pt idx="432">
                  <v>46774</v>
                </pt>
                <pt idx="433">
                  <v>47046.25</v>
                </pt>
                <pt idx="434">
                  <v>47318.5</v>
                </pt>
                <pt idx="435">
                  <v>47590.75</v>
                </pt>
                <pt idx="436">
                  <v>47863</v>
                </pt>
                <pt idx="437">
                  <v>48141.75</v>
                </pt>
                <pt idx="438">
                  <v>48420.5</v>
                </pt>
                <pt idx="439">
                  <v>48699.25</v>
                </pt>
                <pt idx="440">
                  <v>48978</v>
                </pt>
                <pt idx="441">
                  <v>49263.25</v>
                </pt>
                <pt idx="442">
                  <v>49548.5</v>
                </pt>
                <pt idx="443">
                  <v>49833.75</v>
                </pt>
                <pt idx="444">
                  <v>50119</v>
                </pt>
                <pt idx="445">
                  <v>50410.75</v>
                </pt>
                <pt idx="446">
                  <v>50702.5</v>
                </pt>
                <pt idx="447">
                  <v>50994.25</v>
                </pt>
                <pt idx="448">
                  <v>51286</v>
                </pt>
                <pt idx="449">
                  <v>51584.75</v>
                </pt>
                <pt idx="450">
                  <v>51883.5</v>
                </pt>
                <pt idx="451">
                  <v>52182.25</v>
                </pt>
                <pt idx="452">
                  <v>52481</v>
                </pt>
                <pt idx="453">
                  <v>52786.5</v>
                </pt>
                <pt idx="454">
                  <v>53092</v>
                </pt>
                <pt idx="455">
                  <v>53397.5</v>
                </pt>
                <pt idx="456">
                  <v>53703</v>
                </pt>
                <pt idx="457">
                  <v>54015.75</v>
                </pt>
                <pt idx="458">
                  <v>54328.5</v>
                </pt>
                <pt idx="459">
                  <v>54641.25</v>
                </pt>
                <pt idx="460">
                  <v>54954</v>
                </pt>
                <pt idx="461">
                  <v>55274</v>
                </pt>
                <pt idx="462">
                  <v>55594</v>
                </pt>
                <pt idx="463">
                  <v>55914</v>
                </pt>
                <pt idx="464">
                  <v>56234</v>
                </pt>
                <pt idx="465">
                  <v>56561.5</v>
                </pt>
                <pt idx="466">
                  <v>56889</v>
                </pt>
                <pt idx="467">
                  <v>57216.5</v>
                </pt>
                <pt idx="468">
                  <v>57544</v>
                </pt>
                <pt idx="469">
                  <v>57879</v>
                </pt>
                <pt idx="470">
                  <v>58214</v>
                </pt>
                <pt idx="471">
                  <v>58549</v>
                </pt>
                <pt idx="472">
                  <v>58884</v>
                </pt>
                <pt idx="473">
                  <v>59227</v>
                </pt>
                <pt idx="474">
                  <v>59570</v>
                </pt>
                <pt idx="475">
                  <v>59913</v>
                </pt>
                <pt idx="476">
                  <v>60256</v>
                </pt>
                <pt idx="477">
                  <v>60607</v>
                </pt>
                <pt idx="478">
                  <v>60958</v>
                </pt>
                <pt idx="479">
                  <v>61309</v>
                </pt>
                <pt idx="480">
                  <v>61660</v>
                </pt>
                <pt idx="481">
                  <v>62019</v>
                </pt>
                <pt idx="482">
                  <v>62378</v>
                </pt>
                <pt idx="483">
                  <v>62737</v>
                </pt>
                <pt idx="484">
                  <v>63096</v>
                </pt>
                <pt idx="485">
                  <v>63463.25</v>
                </pt>
                <pt idx="486">
                  <v>63830.5</v>
                </pt>
                <pt idx="487">
                  <v>64197.75</v>
                </pt>
                <pt idx="488">
                  <v>64565</v>
                </pt>
                <pt idx="489">
                  <v>64941</v>
                </pt>
                <pt idx="490">
                  <v>65317</v>
                </pt>
                <pt idx="491">
                  <v>65693</v>
                </pt>
                <pt idx="492">
                  <v>66069</v>
                </pt>
                <pt idx="493">
                  <v>66453.75</v>
                </pt>
                <pt idx="494">
                  <v>66838.5</v>
                </pt>
                <pt idx="495">
                  <v>67223.25</v>
                </pt>
                <pt idx="496">
                  <v>67608</v>
                </pt>
                <pt idx="497">
                  <v>68001.75</v>
                </pt>
                <pt idx="498">
                  <v>68395.5</v>
                </pt>
                <pt idx="499">
                  <v>68789.25</v>
                </pt>
                <pt idx="500">
                  <v>69183</v>
                </pt>
                <pt idx="501">
                  <v>69586</v>
                </pt>
                <pt idx="502">
                  <v>69989</v>
                </pt>
                <pt idx="503">
                  <v>70392</v>
                </pt>
                <pt idx="504">
                  <v>70795</v>
                </pt>
                <pt idx="505">
                  <v>71207.25</v>
                </pt>
                <pt idx="506">
                  <v>71619.5</v>
                </pt>
                <pt idx="507">
                  <v>72031.75</v>
                </pt>
                <pt idx="508">
                  <v>72444</v>
                </pt>
                <pt idx="509">
                  <v>72865.75</v>
                </pt>
                <pt idx="510">
                  <v>73287.5</v>
                </pt>
                <pt idx="511">
                  <v>73709.25</v>
                </pt>
                <pt idx="512">
                  <v>74131</v>
                </pt>
                <pt idx="513">
                  <v>74562.75</v>
                </pt>
                <pt idx="514">
                  <v>74994.5</v>
                </pt>
                <pt idx="515">
                  <v>75426.25</v>
                </pt>
                <pt idx="516">
                  <v>75858</v>
                </pt>
                <pt idx="517">
                  <v>76299.75</v>
                </pt>
                <pt idx="518">
                  <v>76741.5</v>
                </pt>
                <pt idx="519">
                  <v>77183.25</v>
                </pt>
                <pt idx="520">
                  <v>77625</v>
                </pt>
                <pt idx="521">
                  <v>78077</v>
                </pt>
                <pt idx="522">
                  <v>78529</v>
                </pt>
                <pt idx="523">
                  <v>78981</v>
                </pt>
                <pt idx="524">
                  <v>79433</v>
                </pt>
                <pt idx="525">
                  <v>79895.5</v>
                </pt>
                <pt idx="526">
                  <v>80358</v>
                </pt>
                <pt idx="527">
                  <v>80820.5</v>
                </pt>
                <pt idx="528">
                  <v>81283</v>
                </pt>
                <pt idx="529">
                  <v>81756.25</v>
                </pt>
                <pt idx="530">
                  <v>82229.5</v>
                </pt>
                <pt idx="531">
                  <v>82702.75</v>
                </pt>
                <pt idx="532">
                  <v>83176</v>
                </pt>
                <pt idx="533">
                  <v>83660.5</v>
                </pt>
                <pt idx="534">
                  <v>84145</v>
                </pt>
                <pt idx="535">
                  <v>84629.5</v>
                </pt>
                <pt idx="536">
                  <v>85114</v>
                </pt>
                <pt idx="537">
                  <v>85609.5</v>
                </pt>
                <pt idx="538">
                  <v>86105</v>
                </pt>
                <pt idx="539">
                  <v>86600.5</v>
                </pt>
                <pt idx="540">
                  <v>87096</v>
                </pt>
                <pt idx="541">
                  <v>87603.25</v>
                </pt>
                <pt idx="542">
                  <v>88110.5</v>
                </pt>
                <pt idx="543">
                  <v>88617.75</v>
                </pt>
                <pt idx="544">
                  <v>89125</v>
                </pt>
                <pt idx="545">
                  <v>89644</v>
                </pt>
                <pt idx="546">
                  <v>90163</v>
                </pt>
                <pt idx="547">
                  <v>90682</v>
                </pt>
                <pt idx="548">
                  <v>91201</v>
                </pt>
                <pt idx="549">
                  <v>91732</v>
                </pt>
                <pt idx="550">
                  <v>92263</v>
                </pt>
                <pt idx="551">
                  <v>92794</v>
                </pt>
                <pt idx="552">
                  <v>93325</v>
                </pt>
                <pt idx="553">
                  <v>93868.5</v>
                </pt>
                <pt idx="554">
                  <v>94412</v>
                </pt>
                <pt idx="555">
                  <v>94955.5</v>
                </pt>
                <pt idx="556">
                  <v>95499</v>
                </pt>
                <pt idx="557">
                  <v>96611.5</v>
                </pt>
                <pt idx="558">
                  <v>97724</v>
                </pt>
                <pt idx="559">
                  <v>98862</v>
                </pt>
                <pt idx="560">
                  <v>100000</v>
                </pt>
                <pt idx="561">
                  <v>101165</v>
                </pt>
                <pt idx="562">
                  <v>102330</v>
                </pt>
                <pt idx="563">
                  <v>103520</v>
                </pt>
                <pt idx="564">
                  <v>104710</v>
                </pt>
                <pt idx="565">
                  <v>105930</v>
                </pt>
                <pt idx="566">
                  <v>107150</v>
                </pt>
                <pt idx="567">
                  <v>108400</v>
                </pt>
                <pt idx="568">
                  <v>109650</v>
                </pt>
                <pt idx="569">
                  <v>110925</v>
                </pt>
                <pt idx="570">
                  <v>112200</v>
                </pt>
                <pt idx="571">
                  <v>113510</v>
                </pt>
                <pt idx="572">
                  <v>114820</v>
                </pt>
                <pt idx="573">
                  <v>116155</v>
                </pt>
                <pt idx="574">
                  <v>117490</v>
                </pt>
                <pt idx="575">
                  <v>118860</v>
                </pt>
                <pt idx="576">
                  <v>120230</v>
                </pt>
                <pt idx="577">
                  <v>126030</v>
                </pt>
                <pt idx="578">
                  <v>131830</v>
                </pt>
                <pt idx="579">
                  <v>144540</v>
                </pt>
                <pt idx="580">
                  <v>158490</v>
                </pt>
                <pt idx="581">
                  <v>173780</v>
                </pt>
                <pt idx="582">
                  <v>190550</v>
                </pt>
                <pt idx="583">
                  <v>208930</v>
                </pt>
                <pt idx="584">
                  <v>229090</v>
                </pt>
                <pt idx="585">
                  <v>251190</v>
                </pt>
                <pt idx="586">
                  <v>275420</v>
                </pt>
                <pt idx="587">
                  <v>302000</v>
                </pt>
                <pt idx="588">
                  <v>331130</v>
                </pt>
                <pt idx="589">
                  <v>363080</v>
                </pt>
                <pt idx="590">
                  <v>398110</v>
                </pt>
                <pt idx="591">
                  <v>436520</v>
                </pt>
                <pt idx="592">
                  <v>478630</v>
                </pt>
                <pt idx="593">
                  <v>524810</v>
                </pt>
                <pt idx="594">
                  <v>575440</v>
                </pt>
                <pt idx="595">
                  <v>630960</v>
                </pt>
                <pt idx="596">
                  <v>691830</v>
                </pt>
                <pt idx="597">
                  <v>758580</v>
                </pt>
                <pt idx="598">
                  <v>831760</v>
                </pt>
                <pt idx="599">
                  <v>912010</v>
                </pt>
                <pt idx="600">
                  <v>1000000</v>
                </pt>
              </numCache>
            </numRef>
          </xVal>
          <yVal>
            <numRef>
              <f>'Stability Calculations'!$U$13:$U$613</f>
              <numCache>
                <formatCode>0.00</formatCode>
                <ptCount val="601"/>
                <pt idx="0">
                  <v>100.799269320494</v>
                </pt>
                <pt idx="1">
                  <v>100.5708332818664</v>
                </pt>
                <pt idx="2">
                  <v>100.3112282846387</v>
                </pt>
                <pt idx="3">
                  <v>100.0183763333321</v>
                </pt>
                <pt idx="4">
                  <v>99.69082279462194</v>
                </pt>
                <pt idx="5">
                  <v>99.32682027812469</v>
                </pt>
                <pt idx="6">
                  <v>98.92624135043118</v>
                </pt>
                <pt idx="7">
                  <v>98.48883066474272</v>
                </pt>
                <pt idx="8">
                  <v>98.01553092513825</v>
                </pt>
                <pt idx="9">
                  <v>97.50717727034994</v>
                </pt>
                <pt idx="10">
                  <v>96.96574119197919</v>
                </pt>
                <pt idx="11">
                  <v>96.39324177246922</v>
                </pt>
                <pt idx="12">
                  <v>95.79172420723724</v>
                </pt>
                <pt idx="13">
                  <v>95.16430133386523</v>
                </pt>
                <pt idx="14">
                  <v>94.51307679203552</v>
                </pt>
                <pt idx="15">
                  <v>93.84086211227159</v>
                </pt>
                <pt idx="16">
                  <v>93.15007541422966</v>
                </pt>
                <pt idx="17">
                  <v>92.44313700522513</v>
                </pt>
                <pt idx="18">
                  <v>91.72197558893407</v>
                </pt>
                <pt idx="19">
                  <v>90.98871620724103</v>
                </pt>
                <pt idx="20">
                  <v>90.24493829503746</v>
                </pt>
                <pt idx="21">
                  <v>89.49231591109088</v>
                </pt>
                <pt idx="22">
                  <v>88.73201826948419</v>
                </pt>
                <pt idx="23">
                  <v>87.96538583563881</v>
                </pt>
                <pt idx="24">
                  <v>87.19321476059375</v>
                </pt>
                <pt idx="25">
                  <v>86.41647115131349</v>
                </pt>
                <pt idx="26">
                  <v>85.63569360748525</v>
                </pt>
                <pt idx="27">
                  <v>84.85174002780562</v>
                </pt>
                <pt idx="28">
                  <v>84.06509446462748</v>
                </pt>
                <pt idx="29">
                  <v>83.27667887043793</v>
                </pt>
                <pt idx="30">
                  <v>82.48551847430411</v>
                </pt>
                <pt idx="31">
                  <v>81.69301539567314</v>
                </pt>
                <pt idx="32">
                  <v>80.89887839669584</v>
                </pt>
                <pt idx="33">
                  <v>80.1038744334349</v>
                </pt>
                <pt idx="34">
                  <v>79.30755238271556</v>
                </pt>
                <pt idx="35">
                  <v>78.51048789636943</v>
                </pt>
                <pt idx="36">
                  <v>77.7126568042498</v>
                </pt>
                <pt idx="37">
                  <v>76.91369923230967</v>
                </pt>
                <pt idx="38">
                  <v>76.11442110303967</v>
                </pt>
                <pt idx="39">
                  <v>75.31419977597589</v>
                </pt>
                <pt idx="40">
                  <v>74.51333521110446</v>
                </pt>
                <pt idx="41">
                  <v>73.71173222657279</v>
                </pt>
                <pt idx="42">
                  <v>72.90945008476572</v>
                </pt>
                <pt idx="43">
                  <v>72.10617486611559</v>
                </pt>
                <pt idx="44">
                  <v>71.30201275789707</v>
                </pt>
                <pt idx="45">
                  <v>70.49666167569465</v>
                </pt>
                <pt idx="46">
                  <v>69.69010769840003</v>
                </pt>
                <pt idx="47">
                  <v>68.8819585514517</v>
                </pt>
                <pt idx="48">
                  <v>68.07214617384972</v>
                </pt>
                <pt idx="49">
                  <v>67.26014056735984</v>
                </pt>
                <pt idx="50">
                  <v>66.44567836065252</v>
                </pt>
                <pt idx="51">
                  <v>65.62810490126954</v>
                </pt>
                <pt idx="52">
                  <v>64.80712860168794</v>
                </pt>
                <pt idx="53">
                  <v>63.98206659070248</v>
                </pt>
                <pt idx="54">
                  <v>63.15267018943644</v>
                </pt>
                <pt idx="55">
                  <v>62.31663722422024</v>
                </pt>
                <pt idx="56">
                  <v>61.47408694443737</v>
                </pt>
                <pt idx="57">
                  <v>60.62324277864205</v>
                </pt>
                <pt idx="58">
                  <v>59.76333186626984</v>
                </pt>
                <pt idx="59">
                  <v>58.89212514066593</v>
                </pt>
                <pt idx="60">
                  <v>58.00835405848205</v>
                </pt>
                <pt idx="61">
                  <v>57.10994641490818</v>
                </pt>
                <pt idx="62">
                  <v>56.19429554750636</v>
                </pt>
                <pt idx="63">
                  <v>55.26002189755462</v>
                </pt>
                <pt idx="64">
                  <v>54.30403496780455</v>
                </pt>
                <pt idx="65">
                  <v>53.32432508652833</v>
                </pt>
                <pt idx="66">
                  <v>52.31851574027474</v>
                </pt>
                <pt idx="67">
                  <v>51.28463401102963</v>
                </pt>
                <pt idx="68">
                  <v>50.22055724082922</v>
                </pt>
                <pt idx="69">
                  <v>49.12517356885403</v>
                </pt>
                <pt idx="70">
                  <v>47.99741441514846</v>
                </pt>
                <pt idx="71">
                  <v>46.83730495597808</v>
                </pt>
                <pt idx="72">
                  <v>45.64510783993958</v>
                </pt>
                <pt idx="73">
                  <v>44.42237908430747</v>
                </pt>
                <pt idx="74">
                  <v>43.17081072147332</v>
                </pt>
                <pt idx="75">
                  <v>41.89329341508635</v>
                </pt>
                <pt idx="76">
                  <v>40.59284833596514</v>
                </pt>
                <pt idx="77">
                  <v>39.2737398377831</v>
                </pt>
                <pt idx="78">
                  <v>37.94019633182118</v>
                </pt>
                <pt idx="79">
                  <v>36.59764391455432</v>
                </pt>
                <pt idx="80">
                  <v>35.2486012555463</v>
                </pt>
                <pt idx="81">
                  <v>33.89984654408907</v>
                </pt>
                <pt idx="82">
                  <v>32.555371325868</v>
                </pt>
                <pt idx="83">
                  <v>31.22094311728009</v>
                </pt>
                <pt idx="84">
                  <v>29.9001498075342</v>
                </pt>
                <pt idx="85">
                  <v>28.59805446799553</v>
                </pt>
                <pt idx="86">
                  <v>27.31835756903038</v>
                </pt>
                <pt idx="87">
                  <v>26.06377808637234</v>
                </pt>
                <pt idx="88">
                  <v>24.83829020164147</v>
                </pt>
                <pt idx="89">
                  <v>23.64298979024287</v>
                </pt>
                <pt idx="90">
                  <v>22.47969221164169</v>
                </pt>
                <pt idx="91">
                  <v>21.34889737576432</v>
                </pt>
                <pt idx="92">
                  <v>20.25063789705079</v>
                </pt>
                <pt idx="93">
                  <v>19.18382220829387</v>
                </pt>
                <pt idx="94">
                  <v>18.92202151831663</v>
                </pt>
                <pt idx="95">
                  <v>18.79101898711398</v>
                </pt>
                <pt idx="96">
                  <v>18.661977732194</v>
                </pt>
                <pt idx="97">
                  <v>18.53191994908033</v>
                </pt>
                <pt idx="98">
                  <v>18.40380546533206</v>
                </pt>
                <pt idx="99">
                  <v>18.27464559385774</v>
                </pt>
                <pt idx="100">
                  <v>18.14741183008458</v>
                </pt>
                <pt idx="101">
                  <v>18.01920260583777</v>
                </pt>
                <pt idx="102">
                  <v>17.892900153705</v>
                </pt>
                <pt idx="103">
                  <v>17.76550298408509</v>
                </pt>
                <pt idx="104">
                  <v>17.63999677955</v>
                </pt>
                <pt idx="105">
                  <v>17.51346714096148</v>
                </pt>
                <pt idx="106">
                  <v>17.38881048115649</v>
                </pt>
                <pt idx="107">
                  <v>17.263196783787</v>
                </pt>
                <pt idx="108">
                  <v>17.13943614103631</v>
                </pt>
                <pt idx="109">
                  <v>17.01469596079957</v>
                </pt>
                <pt idx="110">
                  <v>16.89178966537375</v>
                </pt>
                <pt idx="111">
                  <v>16.7678025141439</v>
                </pt>
                <pt idx="112">
                  <v>16.645633122648</v>
                </pt>
                <pt idx="113">
                  <v>16.52245035437193</v>
                </pt>
                <pt idx="114">
                  <v>16.40106727490548</v>
                </pt>
                <pt idx="115">
                  <v>16.27865657205764</v>
                </pt>
                <pt idx="116">
                  <v>16.15802800119702</v>
                </pt>
                <pt idx="117">
                  <v>16.03635991649808</v>
                </pt>
                <pt idx="118">
                  <v>15.91645685695951</v>
                </pt>
                <pt idx="119">
                  <v>15.79557733018176</v>
                </pt>
                <pt idx="120">
                  <v>15.67644402654623</v>
                </pt>
                <pt idx="121">
                  <v>15.55632236662341</v>
                </pt>
                <pt idx="122">
                  <v>15.43792866594409</v>
                </pt>
                <pt idx="123">
                  <v>15.31846808855969</v>
                </pt>
                <pt idx="124">
                  <v>15.20071964415567</v>
                </pt>
                <pt idx="125">
                  <v>15.08196696659835</v>
                </pt>
                <pt idx="126">
                  <v>14.96490895823093</v>
                </pt>
                <pt idx="127">
                  <v>14.84684040622971</v>
                </pt>
                <pt idx="128">
                  <v>14.73044945735585</v>
                </pt>
                <pt idx="129">
                  <v>14.61304324952127</v>
                </pt>
                <pt idx="130">
                  <v>14.49729793898813</v>
                </pt>
                <pt idx="131">
                  <v>14.38053412110476</v>
                </pt>
                <pt idx="132">
                  <v>14.32277176125888</v>
                </pt>
                <pt idx="133">
                  <v>14.26541482224665</v>
                </pt>
                <pt idx="134">
                  <v>14.20710858488338</v>
                </pt>
                <pt idx="135">
                  <v>14.1492155818571</v>
                </pt>
                <pt idx="136">
                  <v>14.09173007487243</v>
                </pt>
                <pt idx="137">
                  <v>14.03464643991462</v>
                </pt>
                <pt idx="138">
                  <v>13.97667670585346</v>
                </pt>
                <pt idx="139">
                  <v>13.91911575450127</v>
                </pt>
                <pt idx="140">
                  <v>13.86195792245825</v>
                </pt>
                <pt idx="141">
                  <v>13.8051976591878</v>
                </pt>
                <pt idx="142">
                  <v>13.74749755858923</v>
                </pt>
                <pt idx="143">
                  <v>13.69020268418772</v>
                </pt>
                <pt idx="144">
                  <v>13.63330743035542</v>
                </pt>
                <pt idx="145">
                  <v>13.5768063033302</v>
                </pt>
                <pt idx="146">
                  <v>13.51939868869204</v>
                </pt>
                <pt idx="147">
                  <v>13.46239238236419</v>
                </pt>
                <pt idx="148">
                  <v>13.40578184531439</v>
                </pt>
                <pt idx="149">
                  <v>13.34956164911229</v>
                </pt>
                <pt idx="150">
                  <v>13.29243999860654</v>
                </pt>
                <pt idx="151">
                  <v>13.23571579447564</v>
                </pt>
                <pt idx="152">
                  <v>13.17938356439243</v>
                </pt>
                <pt idx="153">
                  <v>13.123437945333</v>
                </pt>
                <pt idx="154">
                  <v>13.06657022302818</v>
                </pt>
                <pt idx="155">
                  <v>13.01009649762632</v>
                </pt>
                <pt idx="156">
                  <v>12.95401135621806</v>
                </pt>
                <pt idx="157">
                  <v>12.89830949406152</v>
                </pt>
                <pt idx="158">
                  <v>12.84169236507164</v>
                </pt>
                <pt idx="159">
                  <v>12.78546580078401</v>
                </pt>
                <pt idx="160">
                  <v>12.72962444849399</v>
                </pt>
                <pt idx="161">
                  <v>12.67416306247841</v>
                </pt>
                <pt idx="162">
                  <v>12.61781819717728</v>
                </pt>
                <pt idx="163">
                  <v>12.56186014375384</v>
                </pt>
                <pt idx="164">
                  <v>12.50628361732491</v>
                </pt>
                <pt idx="165">
                  <v>12.45108343857193</v>
                </pt>
                <pt idx="166">
                  <v>12.39495813732766</v>
                </pt>
                <pt idx="167">
                  <v>12.33921659651533</v>
                </pt>
                <pt idx="168">
                  <v>12.28385358573673</v>
                </pt>
                <pt idx="169">
                  <v>12.22886397906829</v>
                </pt>
                <pt idx="170">
                  <v>12.17307462389866</v>
                </pt>
                <pt idx="171">
                  <v>12.11766438128141</v>
                </pt>
                <pt idx="172">
                  <v>12.06262810866421</v>
                </pt>
                <pt idx="173">
                  <v>12.00796076596861</v>
                </pt>
                <pt idx="174">
                  <v>11.95229308218763</v>
                </pt>
                <pt idx="175">
                  <v>11.89700275505046</v>
                </pt>
                <pt idx="176">
                  <v>11.84208467201368</v>
                </pt>
                <pt idx="177">
                  <v>11.78753382251519</v>
                </pt>
                <pt idx="178">
                  <v>11.73201731378283</v>
                </pt>
                <pt idx="179">
                  <v>11.67687598891506</v>
                </pt>
                <pt idx="180">
                  <v>11.62210477471535</v>
                </pt>
                <pt idx="181">
                  <v>11.56769869920518</v>
                </pt>
                <pt idx="182">
                  <v>11.51257561454655</v>
                </pt>
                <pt idx="183">
                  <v>11.45782228155453</v>
                </pt>
                <pt idx="184">
                  <v>11.40343373281565</v>
                </pt>
                <pt idx="185">
                  <v>11.34940509959034</v>
                </pt>
                <pt idx="186">
                  <v>11.29426318285842</v>
                </pt>
                <pt idx="187">
                  <v>11.23949110158942</v>
                </pt>
                <pt idx="188">
                  <v>11.18508388388214</v>
                </pt>
                <pt idx="189">
                  <v>11.13103665685984</v>
                </pt>
                <pt idx="190">
                  <v>11.07632341071999</v>
                </pt>
                <pt idx="191">
                  <v>11.0219741116067</v>
                </pt>
                <pt idx="192">
                  <v>10.96798390352529</v>
                </pt>
                <pt idx="193">
                  <v>10.91434802665628</v>
                </pt>
                <pt idx="194">
                  <v>10.85966946012185</v>
                </pt>
                <pt idx="195">
                  <v>10.80535419105262</v>
                </pt>
                <pt idx="196">
                  <v>10.7513973751721</v>
                </pt>
                <pt idx="197">
                  <v>10.69779426425902</v>
                </pt>
                <pt idx="198">
                  <v>10.64337792718376</v>
                </pt>
                <pt idx="199">
                  <v>10.58932122619364</v>
                </pt>
                <pt idx="200">
                  <v>10.53561938928459</v>
                </pt>
                <pt idx="201">
                  <v>10.48226773877574</v>
                </pt>
                <pt idx="202">
                  <v>10.42812959384754</v>
                </pt>
                <pt idx="203">
                  <v>10.37434722947683</v>
                </pt>
                <pt idx="204">
                  <v>10.3209159500496</v>
                </pt>
                <pt idx="205">
                  <v>10.26783115242157</v>
                </pt>
                <pt idx="206">
                  <v>10.21380166488271</v>
                </pt>
                <pt idx="207">
                  <v>10.16012633396482</v>
                </pt>
                <pt idx="208">
                  <v>10.10680049676117</v>
                </pt>
                <pt idx="209">
                  <v>10.05381958211081</v>
                </pt>
                <pt idx="210">
                  <v>9.999746558380231</v>
                </pt>
                <pt idx="211">
                  <v>9.946028056953196</v>
                </pt>
                <pt idx="212">
                  <v>9.892659408984958</v>
                </pt>
                <pt idx="213">
                  <v>9.839636037648528</v>
                </pt>
                <pt idx="214">
                  <v>9.785906738643865</v>
                </pt>
                <pt idx="215">
                  <v>9.732527283753637</v>
                </pt>
                <pt idx="216">
                  <v>9.679493097695543</v>
                </pt>
                <pt idx="217">
                  <v>9.62679969486215</v>
                </pt>
                <pt idx="218">
                  <v>9.573252757169184</v>
                </pt>
                <pt idx="219">
                  <v>9.520053105819221</v>
                </pt>
                <pt idx="220">
                  <v>9.467196217657385</v>
                </pt>
                <pt idx="221">
                  <v>9.414677657933121</v>
                </pt>
                <pt idx="222">
                  <v>9.361333500304214</v>
                </pt>
                <pt idx="223">
                  <v>9.308333824295721</v>
                </pt>
                <pt idx="224">
                  <v>9.2556741638736</v>
                </pt>
                <pt idx="225">
                  <v>9.20335013999834</v>
                </pt>
                <pt idx="226">
                  <v>9.15006588592801</v>
                </pt>
                <pt idx="227">
                  <v>9.097125162404897</v>
                </pt>
                <pt idx="228">
                  <v>9.044523524824395</v>
                </pt>
                <pt idx="229">
                  <v>8.992256615080702</v>
                </pt>
                <pt idx="230">
                  <v>8.886208295048835</v>
                </pt>
                <pt idx="231">
                  <v>8.833693044010559</v>
                </pt>
                <pt idx="232">
                  <v>8.781511263634091</v>
                </pt>
                <pt idx="233">
                  <v>8.728431752437228</v>
                </pt>
                <pt idx="234">
                  <v>8.675692814494512</v>
                </pt>
                <pt idx="235">
                  <v>8.623290069313814</v>
                </pt>
                <pt idx="236">
                  <v>8.571219221330116</v>
                </pt>
                <pt idx="237">
                  <v>8.518429559286769</v>
                </pt>
                <pt idx="238">
                  <v>8.46597662617434</v>
                </pt>
                <pt idx="239">
                  <v>8.413856119154653</v>
                </pt>
                <pt idx="240">
                  <v>8.362063818347131</v>
                </pt>
                <pt idx="241">
                  <v>8.309283848279948</v>
                </pt>
                <pt idx="242">
                  <v>8.256840350562925</v>
                </pt>
                <pt idx="243">
                  <v>8.204729031462787</v>
                </pt>
                <pt idx="244">
                  <v>8.152945679986969</v>
                </pt>
                <pt idx="245">
                  <v>8.100349425392931</v>
                </pt>
                <pt idx="246">
                  <v>8.048087194049915</v>
                </pt>
                <pt idx="247">
                  <v>7.996154743287807</v>
                </pt>
                <pt idx="248">
                  <v>7.944547911879632</v>
                </pt>
                <pt idx="249">
                  <v>7.892015740057426</v>
                </pt>
                <pt idx="250">
                  <v>7.839816678386833</v>
                </pt>
                <pt idx="251">
                  <v>7.78794650615716</v>
                </pt>
                <pt idx="252">
                  <v>7.736401083540782</v>
                </pt>
                <pt idx="253">
                  <v>7.68409566439454</v>
                </pt>
                <pt idx="254">
                  <v>7.63212041023889</v>
                </pt>
                <pt idx="255">
                  <v>7.580471160814394</v>
                </pt>
                <pt idx="256">
                  <v>7.529143835201124</v>
                </pt>
                <pt idx="257">
                  <v>7.476817132035812</v>
                </pt>
                <pt idx="258">
                  <v>7.4248207949147</v>
                </pt>
                <pt idx="259">
                  <v>7.373150664754471</v>
                </pt>
                <pt idx="260">
                  <v>7.321802661767233</v>
                </pt>
                <pt idx="261">
                  <v>7.269616679789595</v>
                </pt>
                <pt idx="262">
                  <v>7.217759247163577</v>
                </pt>
                <pt idx="263">
                  <v>7.166226244055704</v>
                </pt>
                <pt idx="264">
                  <v>7.1150136289145</v>
                </pt>
                <pt idx="265">
                  <v>7.062989974006672</v>
                </pt>
                <pt idx="266">
                  <v>7.011292806408315</v>
                </pt>
                <pt idx="267">
                  <v>6.959918050084094</v>
                </pt>
                <pt idx="268">
                  <v>6.908861706150706</v>
                </pt>
                <pt idx="269">
                  <v>6.856898059894006</v>
                </pt>
                <pt idx="270">
                  <v>6.805260143625156</v>
                </pt>
                <pt idx="271">
                  <v>6.753943900744124</v>
                </pt>
                <pt idx="272">
                  <v>6.702945351283539</v>
                </pt>
                <pt idx="273">
                  <v>6.651068950926681</v>
                </pt>
                <pt idx="274">
                  <v>6.599517205774097</v>
                </pt>
                <pt idx="275">
                  <v>6.548286084622585</v>
                </pt>
                <pt idx="276">
                  <v>6.497371632229144</v>
                </pt>
                <pt idx="277">
                  <v>6.445723907291327</v>
                </pt>
                <pt idx="278">
                  <v>6.39439802733515</v>
                </pt>
                <pt idx="279">
                  <v>6.343390018648244</v>
                </pt>
                <pt idx="280">
                  <v>6.292695982002777</v>
                </pt>
                <pt idx="281">
                  <v>6.240951569070275</v>
                </pt>
                <pt idx="282">
                  <v>6.189530263631302</v>
                </pt>
                <pt idx="283">
                  <v>6.138428074182824</v>
                </pt>
                <pt idx="284">
                  <v>6.087641084106401</v>
                </pt>
                <pt idx="285">
                  <v>6.036170145175431</v>
                </pt>
                <pt idx="286">
                  <v>5.985019001451723</v>
                </pt>
                <pt idx="287">
                  <v>5.934183728000725</v>
                </pt>
                <pt idx="288">
                  <v>5.883660473070814</v>
                </pt>
                <pt idx="289">
                  <v>5.832150847574956</v>
                </pt>
                <pt idx="290">
                  <v>5.780961604788927</v>
                </pt>
                <pt idx="291">
                  <v>5.730088814597</v>
                </pt>
                <pt idx="292">
                  <v>5.679528620145035</v>
                </pt>
                <pt idx="293">
                  <v>5.628119585424809</v>
                </pt>
                <pt idx="294">
                  <v>5.57702982047253</v>
                </pt>
                <pt idx="295">
                  <v>5.526255421207437</v>
                </pt>
                <pt idx="296">
                  <v>5.475792556113422</v>
                </pt>
                <pt idx="297">
                  <v>5.424508123409087</v>
                </pt>
                <pt idx="298">
                  <v>5.373541578170564</v>
                </pt>
                <pt idx="299">
                  <v>5.32288904720581</v>
                </pt>
                <pt idx="300">
                  <v>5.272546729070427</v>
                </pt>
                <pt idx="301">
                  <v>5.221409114649481</v>
                </pt>
                <pt idx="302">
                  <v>5.170587760140133</v>
                </pt>
                <pt idx="303">
                  <v>5.120078827589285</v>
                </pt>
                <pt idx="304">
                  <v>5.069878549868249</v>
                </pt>
                <pt idx="305">
                  <v>5.018712850261889</v>
                </pt>
                <pt idx="306">
                  <v>4.96786396891572</v>
                </pt>
                <pt idx="307">
                  <v>4.917328063397753</v>
                </pt>
                <pt idx="308">
                  <v>4.867101362150744</v>
                </pt>
                <pt idx="309">
                  <v>4.816131443703434</v>
                </pt>
                <pt idx="310">
                  <v>4.765476169631869</v>
                </pt>
                <pt idx="311">
                  <v>4.71513174248119</v>
                </pt>
                <pt idx="312">
                  <v>4.66509443450968</v>
                </pt>
                <pt idx="313">
                  <v>4.614151325841583</v>
                </pt>
                <pt idx="314">
                  <v>4.563522798376938</v>
                </pt>
                <pt idx="315">
                  <v>4.513205061413698</v>
                </pt>
                <pt idx="316">
                  <v>4.463194393735097</v>
                </pt>
                <pt idx="317">
                  <v>4.412307304379447</v>
                </pt>
                <pt idx="318">
                  <v>4.361734402663403</v>
                </pt>
                <pt idx="319">
                  <v>4.311471910576833</v>
                </pt>
                <pt idx="320">
                  <v>4.261516119220699</v>
                </pt>
                <pt idx="321">
                  <v>4.210712249492313</v>
                </pt>
                <pt idx="322">
                  <v>4.160221868753663</v>
                </pt>
                <pt idx="323">
                  <v>4.110041217122297</v>
                </pt>
                <pt idx="324">
                  <v>4.060166603319555</v>
                </pt>
                <pt idx="325">
                  <v>4.009471248686248</v>
                </pt>
                <pt idx="326">
                  <v>3.959088403573953</v>
                </pt>
                <pt idx="327">
                  <v>3.90901433117548</v>
                </pt>
                <pt idx="328">
                  <v>3.859245362659852</v>
                </pt>
                <pt idx="329">
                  <v>3.80859772337152</v>
                </pt>
                <pt idx="330">
                  <v>3.758262392133573</v>
                </pt>
                <pt idx="331">
                  <v>3.708235641222999</v>
                </pt>
                <pt idx="332">
                  <v>3.658513810602961</v>
                </pt>
                <pt idx="333">
                  <v>3.60802405536919</v>
                </pt>
                <pt idx="334">
                  <v>3.55784508422166</v>
                </pt>
                <pt idx="335">
                  <v>3.507973202006772</v>
                </pt>
                <pt idx="336">
                  <v>3.458404780400198</v>
                </pt>
                <pt idx="337">
                  <v>3.407932429935094</v>
                </pt>
                <pt idx="338">
                  <v>3.357771095924476</v>
                </pt>
                <pt idx="339">
                  <v>3.307917084430332</v>
                </pt>
                <pt idx="340">
                  <v>3.258366768240502</v>
                </pt>
                <pt idx="341">
                  <v>3.207941998173243</v>
                </pt>
                <pt idx="342">
                  <v>3.15782813888164</v>
                </pt>
                <pt idx="343">
                  <v>3.108021503589918</v>
                </pt>
                <pt idx="344">
                  <v>3.058518471999536</v>
                </pt>
                <pt idx="345">
                  <v>3.008245842990121</v>
                </pt>
                <pt idx="346">
                  <v>2.95828276652315</v>
                </pt>
                <pt idx="347">
                  <v>2.908625585055786</v>
                </pt>
                <pt idx="348">
                  <v>2.859270706744073</v>
                </pt>
                <pt idx="349">
                  <v>2.809021816678314</v>
                </pt>
                <pt idx="350">
                  <v>2.75908273032637</v>
                </pt>
                <pt idx="351">
                  <v>2.70944979078855</v>
                </pt>
                <pt idx="352">
                  <v>2.660119406767149</v>
                </pt>
                <pt idx="353">
                  <v>2.60992425376024</v>
                </pt>
                <pt idx="354">
                  <v>2.560038820782253</v>
                </pt>
                <pt idx="355">
                  <v>2.510459457386159</v>
                </pt>
                <pt idx="356">
                  <v>2.461182578488341</v>
                </pt>
                <pt idx="357">
                  <v>2.411140134354341</v>
                </pt>
                <pt idx="358">
                  <v>2.361406142427493</v>
                </pt>
                <pt idx="359">
                  <v>2.311976979403223</v>
                </pt>
                <pt idx="360">
                  <v>2.262849086607597</v>
                </pt>
                <pt idx="361">
                  <v>2.212841813432655</v>
                </pt>
                <pt idx="362">
                  <v>2.163143202471968</v>
                </pt>
                <pt idx="363">
                  <v>2.1137496314019</v>
                </pt>
                <pt idx="364">
                  <v>2.064657542414704</v>
                </pt>
                <pt idx="365">
                  <v>2.014782485447158</v>
                </pt>
                <pt idx="366">
                  <v>1.96521514032561</v>
                </pt>
                <pt idx="367">
                  <v>1.915951905874087</v>
                </pt>
                <pt idx="368">
                  <v>1.866989244836927</v>
                </pt>
                <pt idx="369">
                  <v>1.817137184828952</v>
                </pt>
                <pt idx="370">
                  <v>1.767593263503712</v>
                </pt>
                <pt idx="371">
                  <v>1.718353876502314</v>
                </pt>
                <pt idx="372">
                  <v>1.669415483360725</v>
                </pt>
                <pt idx="373">
                  <v>1.619681331282659</v>
                </pt>
                <pt idx="374">
                  <v>1.570254609399301</v>
                </pt>
                <pt idx="375">
                  <v>1.52113172979019</v>
                </pt>
                <pt idx="376">
                  <v>1.472309167936914</v>
                </pt>
                <pt idx="377">
                  <v>1.422591345449198</v>
                </pt>
                <pt idx="378">
                  <v>1.373181530425784</v>
                </pt>
                <pt idx="379">
                  <v>1.324076128665676</v>
                </pt>
                <pt idx="380">
                  <v>1.27527160940504</v>
                </pt>
                <pt idx="381">
                  <v>1.225723923543668</v>
                </pt>
                <pt idx="382">
                  <v>1.176482956865591</v>
                </pt>
                <pt idx="383">
                  <v>1.127545141108593</v>
                </pt>
                <pt idx="384">
                  <v>1.078906970721094</v>
                </pt>
                <pt idx="385">
                  <v>1.029370667446092</v>
                </pt>
                <pt idx="386">
                  <v>0.9801417872777897</v>
                </pt>
                <pt idx="387">
                  <v>0.9312167528426096</v>
                </pt>
                <pt idx="388">
                  <v>0.8825920495633371</v>
                </pt>
                <pt idx="389">
                  <v>0.833157373042319</v>
                </pt>
                <pt idx="390">
                  <v>0.7840297406476399</v>
                </pt>
                <pt idx="391">
                  <v>0.7352055843454637</v>
                </pt>
                <pt idx="392">
                  <v>0.6866813985443265</v>
                </pt>
                <pt idx="393">
                  <v>0.6373739897493818</v>
                </pt>
                <pt idx="394">
                  <v>0.5883729581012399</v>
                </pt>
                <pt idx="395">
                  <v>0.5396747494376228</v>
                </pt>
                <pt idx="396">
                  <v>0.4912758715704114</v>
                </pt>
                <pt idx="397">
                  <v>0.4420087254603471</v>
                </pt>
                <pt idx="398">
                  <v>0.3930483969739006</v>
                </pt>
                <pt idx="399">
                  <v>0.344391326077842</v>
                </pt>
                <pt idx="400">
                  <v>0.2960340146914544</v>
                </pt>
                <pt idx="401">
                  <v>0.2468915206225591</v>
                </pt>
                <pt idx="402">
                  <v>0.1980552658134794</v>
                </pt>
                <pt idx="403">
                  <v>0.149521701444743</v>
                </pt>
                <pt idx="404">
                  <v>0.1012873402197704</v>
                </pt>
                <pt idx="405">
                  <v>0.05224107591414566</v>
                </pt>
                <pt idx="406">
                  <v>0.003500850554374312</v>
                </pt>
                <pt idx="407">
                  <v>-0.04493688069930386</v>
                </pt>
                <pt idx="408">
                  <v>-0.09307560144024533</v>
                </pt>
                <pt idx="409">
                  <v>-0.1420506081750583</v>
                </pt>
                <pt idx="410">
                  <v>-0.1907194414835797</v>
                </pt>
                <pt idx="411">
                  <v>-0.2390856487938681</v>
                </pt>
                <pt idx="412">
                  <v>-0.2871527164297868</v>
                </pt>
                <pt idx="413">
                  <v>-0.3360280407359618</v>
                </pt>
                <pt idx="414">
                  <v>-0.3845973897054397</v>
                </pt>
                <pt idx="415">
                  <v>-0.4328643084672367</v>
                </pt>
                <pt idx="416">
                  <v>-0.4808322813190804</v>
                </pt>
                <pt idx="417">
                  <v>-0.529630391509335</v>
                </pt>
                <pt idx="418">
                  <v>-0.578122425844058</v>
                </pt>
                <pt idx="419">
                  <v>-0.626311933327266</v>
                </pt>
                <pt idx="420">
                  <v>-0.6742024022849914</v>
                </pt>
                <pt idx="421">
                  <v>-0.7228473512307365</v>
                </pt>
                <pt idx="422">
                  <v>-0.7711870597866727</v>
                </pt>
                <pt idx="423">
                  <v>-0.8192250657364522</v>
                </pt>
                <pt idx="424">
                  <v>-0.8669648467046897</v>
                </pt>
                <pt idx="425">
                  <v>-0.9155735792528487</v>
                </pt>
                <pt idx="426">
                  <v>-0.9638764338885742</v>
                </pt>
                <pt idx="427">
                  <v>-1.011876964018739</v>
                </pt>
                <pt idx="428">
                  <v>-1.059578662829856</v>
                </pt>
                <pt idx="429">
                  <v>-1.108074448703715</v>
                </pt>
                <pt idx="430">
                  <v>-1.156264675094801</v>
                </pt>
                <pt idx="431">
                  <v>-1.20415289592033</v>
                </pt>
                <pt idx="432">
                  <v>-1.251742605187661</v>
                </pt>
                <pt idx="433">
                  <v>-1.300099659591707</v>
                </pt>
                <pt idx="434">
                  <v>-1.348151800006453</v>
                </pt>
                <pt idx="435">
                  <v>-1.395902576827804</v>
                </pt>
                <pt idx="436">
                  <v>-1.443355480975163</v>
                </pt>
                <pt idx="437">
                  <v>-1.491636288193665</v>
                </pt>
                <pt idx="438">
                  <v>-1.53961205104247</v>
                </pt>
                <pt idx="439">
                  <v>-1.587286331811302</v>
                </pt>
                <pt idx="440">
                  <v>-1.63466263344129</v>
                </pt>
                <pt idx="441">
                  <v>-1.682838785018781</v>
                </pt>
                <pt idx="442">
                  <v>-1.730710136318584</v>
                </pt>
                <pt idx="443">
                  <v>-1.778280257170461</v>
                </pt>
                <pt idx="444">
                  <v>-1.825552658323915</v>
                </pt>
                <pt idx="445">
                  <v>-1.873597882634139</v>
                </pt>
                <pt idx="446">
                  <v>-1.921338910022776</v>
                </pt>
                <pt idx="447">
                  <v>-1.968779314011358</v>
                </pt>
                <pt idx="448">
                  <v>-2.01592260944163</v>
                </pt>
                <pt idx="449">
                  <v>-2.063892745157022</v>
                </pt>
                <pt idx="450">
                  <v>-2.111558621091192</v>
                </pt>
                <pt idx="451">
                  <v>-2.158923828973911</v>
                </pt>
                <pt idx="452">
                  <v>-2.205991901993335</v>
                </pt>
                <pt idx="453">
                  <v>-2.253819778272679</v>
                </pt>
                <pt idx="454">
                  <v>-2.301344232401457</v>
                </pt>
                <pt idx="455">
                  <v>-2.348568861607088</v>
                </pt>
                <pt idx="456">
                  <v>-2.395497205049874</v>
                </pt>
                <pt idx="457">
                  <v>-2.443235952022653</v>
                </pt>
                <pt idx="458">
                  <v>-2.490671509538023</v>
                </pt>
                <pt idx="459">
                  <v>-2.537807494647748</v>
                </pt>
                <pt idx="460">
                  <v>-2.584647466571015</v>
                </pt>
                <pt idx="461">
                  <v>-2.632270524646714</v>
                </pt>
                <pt idx="462">
                  <v>-2.679591045682353</v>
                </pt>
                <pt idx="463">
                  <v>-2.726612663202055</v>
                </pt>
                <pt idx="464">
                  <v>-2.773338953280333</v>
                </pt>
                <pt idx="465">
                  <v>-2.820858272497351</v>
                </pt>
                <pt idx="466">
                  <v>-2.868075659359812</v>
                </pt>
                <pt idx="467">
                  <v>-2.91499476939568</v>
                </pt>
                <pt idx="468">
                  <v>-2.96161920103542</v>
                </pt>
                <pt idx="469">
                  <v>-3.009010182549959</v>
                </pt>
                <pt idx="470">
                  <v>-3.056100273952222</v>
                </pt>
                <pt idx="471">
                  <v>-3.102893150133541</v>
                </pt>
                <pt idx="472">
                  <v>-3.14939242938889</v>
                </pt>
                <pt idx="473">
                  <v>-3.196701662433631</v>
                </pt>
                <pt idx="474">
                  <v>-3.243710609669904</v>
                </pt>
                <pt idx="475">
                  <v>-3.290422979406663</v>
                </pt>
                <pt idx="476">
                  <v>-3.336842423676167</v>
                </pt>
                <pt idx="477">
                  <v>-3.384045036536688</v>
                </pt>
                <pt idx="478">
                  <v>-3.430948463846165</v>
                </pt>
                <pt idx="479">
                  <v>-3.477556445123163</v>
                </pt>
                <pt idx="480">
                  <v>-3.523872664093522</v>
                </pt>
                <pt idx="481">
                  <v>-3.570946493068417</v>
                </pt>
                <pt idx="482">
                  <v>-3.617722730699348</v>
                </pt>
                <pt idx="483">
                  <v>-3.664205146201438</v>
                </pt>
                <pt idx="484">
                  <v>-3.710397453638556</v>
                </pt>
                <pt idx="485">
                  <v>-3.757354914687279</v>
                </pt>
                <pt idx="486">
                  <v>-3.804016472811378</v>
                </pt>
                <pt idx="487">
                  <v>-3.85038593383104</v>
                </pt>
                <pt idx="488">
                  <v>-3.89646704906091</v>
                </pt>
                <pt idx="489">
                  <v>-3.943351209395034</v>
                </pt>
                <pt idx="490">
                  <v>-3.989940909129702</v>
                </pt>
                <pt idx="491">
                  <v>-4.036240005522793</v>
                </pt>
                <pt idx="492">
                  <v>-4.082252301847409</v>
                </pt>
                <pt idx="493">
                  <v>-4.129042386436791</v>
                </pt>
                <pt idx="494">
                  <v>-4.175540057434974</v>
                </pt>
                <pt idx="495">
                  <v>-4.221749223265409</v>
                </pt>
                <pt idx="496">
                  <v>-4.267673739066369</v>
                </pt>
                <pt idx="497">
                  <v>-4.314381765042733</v>
                </pt>
                <pt idx="498">
                  <v>-4.36079967295039</v>
                </pt>
                <pt idx="499">
                  <v>-4.406931430446296</v>
                </pt>
                <pt idx="500">
                  <v>-4.452780952641455</v>
                </pt>
                <pt idx="501">
                  <v>-4.499419348311217</v>
                </pt>
                <pt idx="502">
                  <v>-4.545770228469549</v>
                </pt>
                <pt idx="503">
                  <v>-4.591837628634808</v>
                </pt>
                <pt idx="504">
                  <v>-4.637625532568484</v>
                </pt>
                <pt idx="505">
                  <v>-4.684179307544134</v>
                </pt>
                <pt idx="506">
                  <v>-4.73044888184462</v>
                </pt>
                <pt idx="507">
                  <v>-4.776438360703146</v>
                </pt>
                <pt idx="508">
                  <v>-4.822151798565676</v>
                </pt>
                <pt idx="509">
                  <v>-4.868637189255219</v>
                </pt>
                <pt idx="510">
                  <v>-4.914842097909075</v>
                </pt>
                <pt idx="511">
                  <v>-4.960770709657708</v>
                </pt>
                <pt idx="512">
                  <v>-5.006427159866549</v>
                </pt>
                <pt idx="513">
                  <v>-5.052888506683034</v>
                </pt>
                <pt idx="514">
                  <v>-5.099073249126943</v>
                </pt>
                <pt idx="515">
                  <v>-5.144985670568855</v>
                </pt>
                <pt idx="516">
                  <v>-5.19063000558274</v>
                </pt>
                <pt idx="517">
                  <v>-5.237058428870036</v>
                </pt>
                <pt idx="518">
                  <v>-5.283215021454347</v>
                </pt>
                <pt idx="519">
                  <v>-5.329104169244014</v>
                </pt>
                <pt idx="520">
                  <v>-5.374730210497704</v>
                </pt>
                <pt idx="521">
                  <v>-5.421147062383442</v>
                </pt>
                <pt idx="522">
                  <v>-5.467297498560528</v>
                </pt>
                <pt idx="523">
                  <v>-5.513186020202811</v>
                </pt>
                <pt idx="524">
                  <v>-5.558817082036928</v>
                </pt>
                <pt idx="525">
                  <v>-5.605246256531483</v>
                </pt>
                <pt idx="526">
                  <v>-5.651415164054159</v>
                </pt>
                <pt idx="527">
                  <v>-5.69732843472497</v>
                </pt>
                <pt idx="528">
                  <v>-5.74299065346527</v>
                </pt>
                <pt idx="529">
                  <v>-5.789459074390741</v>
                </pt>
                <pt idx="530">
                  <v>-5.83567421065659</v>
                </pt>
                <pt idx="531">
                  <v>-5.88164083597957</v>
                </pt>
                <pt idx="532">
                  <v>-5.927363680154915</v>
                </pt>
                <pt idx="533">
                  <v>-5.973925789375078</v>
                </pt>
                <pt idx="534">
                  <v>-6.02024228653681</v>
                </pt>
                <pt idx="535">
                  <v>-6.066318112163016</v>
                </pt>
                <pt idx="536">
                  <v>-6.112158164046031</v>
                </pt>
                <pt idx="537">
                  <v>-6.158800156934884</v>
                </pt>
                <pt idx="538">
                  <v>-6.205205778989878</v>
                </pt>
                <pt idx="539">
                  <v>-6.251380138707455</v>
                </pt>
                <pt idx="540">
                  <v>-6.297328303179706</v>
                </pt>
                <pt idx="541">
                  <v>-6.344136999224603</v>
                </pt>
                <pt idx="542">
                  <v>-6.390719263843845</v>
                </pt>
                <pt idx="543">
                  <v>-6.437080406227945</v>
                </pt>
                <pt idx="544">
                  <v>-6.483225695222203</v>
                </pt>
                <pt idx="545">
                  <v>-6.530221942201769</v>
                </pt>
                <pt idx="546">
                  <v>-6.577003254803157</v>
                </pt>
                <pt idx="547">
                  <v>-6.623575152849494</v>
                </pt>
                <pt idx="548">
                  <v>-6.669943116783128</v>
                </pt>
                <pt idx="549">
                  <v>-6.717177786413774</v>
                </pt>
                <pt idx="550">
                  <v>-6.764210467064093</v>
                </pt>
                <pt idx="551">
                  <v>-6.811046907067199</v>
                </pt>
                <pt idx="552">
                  <v>-6.857692816054529</v>
                </pt>
                <pt idx="553">
                  <v>-6.905245400603691</v>
                </pt>
                <pt idx="554">
                  <v>-6.952610362157402</v>
                </pt>
                <pt idx="555">
                  <v>-6.999793703347626</v>
                </pt>
                <pt idx="556">
                  <v>-7.046801388291843</v>
                </pt>
                <pt idx="557">
                  <v>-7.142499394582812</v>
                </pt>
                <pt idx="558">
                  <v>-7.237536563433159</v>
                </pt>
                <pt idx="559">
                  <v>-7.334120219438001</v>
                </pt>
                <pt idx="560">
                  <v>-7.430116999275404</v>
                </pt>
                <pt idx="561">
                  <v>-7.527837670867181</v>
                </pt>
                <pt idx="562">
                  <v>-7.62505274399139</v>
                </pt>
                <pt idx="563">
                  <v>-7.723888502305645</v>
                </pt>
                <pt idx="564">
                  <v>-7.82231064249773</v>
                </pt>
                <pt idx="565">
                  <v>-7.922843732319992</v>
                </pt>
                <pt idx="566">
                  <v>-8.023061476290625</v>
                </pt>
                <pt idx="567">
                  <v>-8.125478431364217</v>
                </pt>
                <pt idx="568">
                  <v>-8.227689267213385</v>
                </pt>
                <pt idx="569">
                  <v>-8.331796072934246</v>
                </pt>
                <pt idx="570">
                  <v>-8.435817270508586</v>
                </pt>
                <pt idx="571">
                  <v>-8.542671439166975</v>
                </pt>
                <pt idx="572">
                  <v>-8.649569693306184</v>
                </pt>
                <pt idx="573">
                  <v>-8.758621838104276</v>
                </pt>
                <pt idx="574">
                  <v>-8.867856975529056</v>
                </pt>
                <pt idx="575">
                  <v>-8.980216351777862</v>
                </pt>
                <pt idx="576">
                  <v>-9.092909321804566</v>
                </pt>
                <pt idx="577">
                  <v>-9.575235644002918</v>
                </pt>
                <pt idx="578">
                  <v>-10.0694622871341</v>
                </pt>
                <pt idx="579">
                  <v>-11.21194366440097</v>
                </pt>
                <pt idx="580">
                  <v>-12.58045061554666</v>
                </pt>
                <pt idx="581">
                  <v>-14.21675525297472</v>
                </pt>
                <pt idx="582">
                  <v>-16.13323484483247</v>
                </pt>
                <pt idx="583">
                  <v>-18.30284876740176</v>
                </pt>
                <pt idx="584">
                  <v>-20.67683641889457</v>
                </pt>
                <pt idx="585">
                  <v>-23.19761827087618</v>
                </pt>
                <pt idx="586">
                  <v>-25.8169465814968</v>
                </pt>
                <pt idx="587">
                  <v>-28.50025166244547</v>
                </pt>
                <pt idx="588">
                  <v>-31.22058137611618</v>
                </pt>
                <pt idx="589">
                  <v>-33.96431697797329</v>
                </pt>
                <pt idx="590">
                  <v>-36.72021373906293</v>
                </pt>
                <pt idx="591">
                  <v>-39.48158900400942</v>
                </pt>
                <pt idx="592">
                  <v>-42.24293706090526</v>
                </pt>
                <pt idx="593">
                  <v>-45.00085393195921</v>
                </pt>
                <pt idx="594">
                  <v>-47.7508525801921</v>
                </pt>
                <pt idx="595">
                  <v>-50.49002996937826</v>
                </pt>
                <pt idx="596">
                  <v>-53.21467292976828</v>
                </pt>
                <pt idx="597">
                  <v>-55.92258943683055</v>
                </pt>
                <pt idx="598">
                  <v>-58.61082661915441</v>
                </pt>
                <pt idx="599">
                  <v>-61.2783687165834</v>
                </pt>
                <pt idx="600">
                  <v>-63.92373820755865</v>
                </pt>
              </numCache>
            </numRef>
          </yVal>
          <smooth val="1"/>
        </ser>
        <ser>
          <idx val="12"/>
          <order val="2"/>
          <tx>
            <v>FZCOMP</v>
          </tx>
          <spPr>
            <a:ln xmlns:a="http://schemas.openxmlformats.org/drawingml/2006/main" w="28575">
              <a:noFill/>
              <a:prstDash val="solid"/>
            </a:ln>
          </spPr>
          <marker>
            <symbol val="circle"/>
            <size val="8"/>
            <spPr>
              <a:noFill xmlns:a="http://schemas.openxmlformats.org/drawingml/2006/main"/>
              <a:ln xmlns:a="http://schemas.openxmlformats.org/drawingml/2006/main" w="19050">
                <a:solidFill>
                  <a:srgbClr val="000000"/>
                </a:solidFill>
                <a:prstDash val="solid"/>
              </a:ln>
            </spPr>
          </marker>
          <dLbls>
            <dLbl>
              <idx val="0"/>
              <dLblPos val="r"/>
              <showLegendKey val="0"/>
              <showVal val="0"/>
              <showCatName val="0"/>
              <showSerName val="1"/>
              <showPercent val="0"/>
              <showBubbleSize val="0"/>
            </dLbl>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000" b="1" i="0" strike="noStrike" baseline="0">
                    <a:solidFill>
                      <a:srgbClr val="0000FF"/>
                    </a:solidFill>
                    <a:latin typeface="Arial"/>
                    <a:ea typeface="Arial"/>
                    <a:cs typeface="Arial"/>
                  </a:defRPr>
                </a:pPr>
                <a:r>
                  <a:t/>
                </a:r>
                <a:endParaRPr lang="en-US"/>
              </a:p>
            </txPr>
            <dLblPos val="t"/>
            <showLegendKey val="0"/>
            <showVal val="0"/>
            <showCatName val="0"/>
            <showSerName val="1"/>
            <showPercent val="0"/>
            <showBubbleSize val="0"/>
            <showLeaderLines val="0"/>
          </dLbls>
          <xVal>
            <numRef>
              <f>'Stability Calculations'!$C$635</f>
              <numCache>
                <formatCode>0.00</formatCode>
                <ptCount val="1"/>
                <pt idx="0">
                  <v>3696.978937834062</v>
                </pt>
              </numCache>
            </numRef>
          </xVal>
          <yVal>
            <numRef>
              <f>'Stability Calculations'!$D$635</f>
              <numCache>
                <formatCode>0.00</formatCode>
                <ptCount val="1"/>
                <pt idx="0">
                  <v>23.41230774981737</v>
                </pt>
              </numCache>
            </numRef>
          </yVal>
          <smooth val="1"/>
        </ser>
        <ser>
          <idx val="13"/>
          <order val="3"/>
          <tx>
            <v>FpEA</v>
          </tx>
          <spPr>
            <a:ln xmlns:a="http://schemas.openxmlformats.org/drawingml/2006/main" w="28575">
              <a:noFill/>
              <a:prstDash val="solid"/>
            </a:ln>
          </spPr>
          <marker>
            <symbol val="x"/>
            <size val="8"/>
            <spPr>
              <a:noFill xmlns:a="http://schemas.openxmlformats.org/drawingml/2006/main"/>
              <a:ln xmlns:a="http://schemas.openxmlformats.org/drawingml/2006/main" w="22225">
                <a:solidFill>
                  <a:srgbClr val="000000"/>
                </a:solidFill>
                <a:prstDash val="solid"/>
              </a:ln>
            </spPr>
          </marker>
          <dLbls>
            <dLbl>
              <idx val="0"/>
              <dLblPos val="r"/>
              <showLegendKey val="0"/>
              <showVal val="0"/>
              <showCatName val="0"/>
              <showSerName val="1"/>
              <showPercent val="0"/>
              <showBubbleSize val="0"/>
            </dLbl>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000" b="1" i="0" strike="noStrike" baseline="0">
                    <a:solidFill>
                      <a:srgbClr val="0000FF"/>
                    </a:solidFill>
                    <a:latin typeface="Arial"/>
                    <a:ea typeface="Arial"/>
                    <a:cs typeface="Arial"/>
                  </a:defRPr>
                </a:pPr>
                <a:r>
                  <a:t/>
                </a:r>
                <a:endParaRPr lang="en-US"/>
              </a:p>
            </txPr>
            <dLblPos val="r"/>
            <showLegendKey val="0"/>
            <showVal val="0"/>
            <showCatName val="0"/>
            <showSerName val="1"/>
            <showPercent val="0"/>
            <showBubbleSize val="0"/>
            <showLeaderLines val="0"/>
          </dLbls>
          <xVal>
            <numRef>
              <f>'Stability Calculations'!$C$5</f>
              <numCache>
                <formatCode>0.0</formatCode>
                <ptCount val="1"/>
                <pt idx="0">
                  <v>1.657120877291552</v>
                </pt>
              </numCache>
            </numRef>
          </xVal>
          <yVal>
            <numRef>
              <f>'Stability Calculations'!$U$624</f>
              <numCache>
                <formatCode>0.00</formatCode>
                <ptCount val="1"/>
                <pt idx="0">
                  <v>99.13760526502662</v>
                </pt>
              </numCache>
            </numRef>
          </yVal>
          <smooth val="1"/>
        </ser>
        <ser>
          <idx val="14"/>
          <order val="4"/>
          <tx>
            <v>FpLOAD</v>
          </tx>
          <spPr>
            <a:ln xmlns:a="http://schemas.openxmlformats.org/drawingml/2006/main" w="28575">
              <a:solidFill>
                <a:schemeClr val="tx1"/>
              </a:solidFill>
              <a:prstDash val="solid"/>
            </a:ln>
          </spPr>
          <marker>
            <symbol val="x"/>
            <size val="8"/>
            <spPr>
              <a:noFill xmlns:a="http://schemas.openxmlformats.org/drawingml/2006/main"/>
              <a:ln xmlns:a="http://schemas.openxmlformats.org/drawingml/2006/main" w="22225">
                <a:solidFill>
                  <a:schemeClr val="tx1"/>
                </a:solidFill>
                <a:prstDash val="solid"/>
              </a:ln>
            </spPr>
          </marker>
          <dLbls>
            <dLbl>
              <idx val="0"/>
              <dLblPos val="t"/>
              <showLegendKey val="0"/>
              <showVal val="0"/>
              <showCatName val="0"/>
              <showSerName val="1"/>
              <showPercent val="0"/>
              <showBubbleSize val="0"/>
            </dLbl>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000" b="1" i="0" strike="noStrike" baseline="0">
                    <a:solidFill>
                      <a:srgbClr val="0000FF"/>
                    </a:solidFill>
                    <a:latin typeface="Arial"/>
                    <a:ea typeface="Arial"/>
                    <a:cs typeface="Arial"/>
                  </a:defRPr>
                </a:pPr>
                <a:r>
                  <a:t/>
                </a:r>
                <a:endParaRPr lang="en-US"/>
              </a:p>
            </txPr>
            <dLblPos val="t"/>
            <showLegendKey val="0"/>
            <showVal val="0"/>
            <showCatName val="0"/>
            <showSerName val="1"/>
            <showPercent val="0"/>
            <showBubbleSize val="0"/>
            <showLeaderLines val="0"/>
          </dLbls>
          <xVal>
            <numRef>
              <f>'Stability Calculations'!$K$4</f>
              <numCache>
                <formatCode>0</formatCode>
                <ptCount val="1"/>
                <pt idx="0">
                  <v>685.9965561159538</v>
                </pt>
              </numCache>
            </numRef>
          </xVal>
          <yVal>
            <numRef>
              <f>'Stability Calculations'!$D$632</f>
              <numCache>
                <formatCode>0.00</formatCode>
                <ptCount val="1"/>
                <pt idx="0">
                  <v>46.94531479786637</v>
                </pt>
              </numCache>
            </numRef>
          </yVal>
          <smooth val="1"/>
        </ser>
        <ser>
          <idx val="15"/>
          <order val="6"/>
          <tx>
            <v>FZESR</v>
          </tx>
          <spPr>
            <a:ln xmlns:a="http://schemas.openxmlformats.org/drawingml/2006/main" w="28575">
              <a:noFill/>
              <a:prstDash val="solid"/>
            </a:ln>
          </spPr>
          <marker>
            <symbol val="circle"/>
            <size val="8"/>
            <spPr>
              <a:noFill xmlns:a="http://schemas.openxmlformats.org/drawingml/2006/main"/>
              <a:ln xmlns:a="http://schemas.openxmlformats.org/drawingml/2006/main" w="19050">
                <a:solidFill>
                  <a:srgbClr val="000000"/>
                </a:solidFill>
                <a:prstDash val="solid"/>
              </a:ln>
            </spPr>
          </marker>
          <dLbls>
            <dLbl>
              <idx val="0"/>
              <dLblPos val="r"/>
              <showLegendKey val="0"/>
              <showVal val="0"/>
              <showCatName val="0"/>
              <showSerName val="1"/>
              <showPercent val="0"/>
              <showBubbleSize val="0"/>
            </dLbl>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000" b="1" i="0" strike="noStrike" baseline="0">
                    <a:solidFill>
                      <a:srgbClr val="000000"/>
                    </a:solidFill>
                    <a:latin typeface="Arial"/>
                    <a:ea typeface="Arial"/>
                    <a:cs typeface="Arial"/>
                  </a:defRPr>
                </a:pPr>
                <a:r>
                  <a:t/>
                </a:r>
                <a:endParaRPr lang="en-US"/>
              </a:p>
            </txPr>
            <showLegendKey val="0"/>
            <showVal val="0"/>
            <showCatName val="0"/>
            <showSerName val="1"/>
            <showPercent val="0"/>
            <showBubbleSize val="0"/>
            <showLeaderLines val="0"/>
          </dLbls>
          <xVal>
            <numRef>
              <f>'Stability Calculations'!$A$623</f>
              <numCache>
                <formatCode>0</formatCode>
                <ptCount val="1"/>
                <pt idx="0">
                  <v>795774.7163687819</v>
                </pt>
              </numCache>
            </numRef>
          </xVal>
          <yVal>
            <numRef>
              <f>'Stability Calculations'!$U$623</f>
              <numCache>
                <formatCode>0.00</formatCode>
                <ptCount val="1"/>
                <pt idx="0">
                  <v>-57.32236697155989</v>
                </pt>
              </numCache>
            </numRef>
          </yVal>
          <smooth val="1"/>
        </ser>
        <dLbls>
          <showLegendKey val="0"/>
          <showVal val="0"/>
          <showCatName val="0"/>
          <showSerName val="0"/>
          <showPercent val="0"/>
          <showBubbleSize val="0"/>
        </dLbls>
        <axId val="333063296"/>
        <axId val="333065216"/>
      </scatterChart>
      <scatterChart>
        <scatterStyle val="lineMarker"/>
        <varyColors val="0"/>
        <ser>
          <idx val="16"/>
          <order val="1"/>
          <tx>
            <v>Loop Phase</v>
          </tx>
          <spPr>
            <a:ln xmlns:a="http://schemas.openxmlformats.org/drawingml/2006/main" w="34925">
              <a:solidFill>
                <a:srgbClr val="002060"/>
              </a:solidFill>
              <a:prstDash val="sysDash"/>
            </a:ln>
          </spPr>
          <marker>
            <symbol val="none"/>
            <spPr>
              <a:ln xmlns:a="http://schemas.openxmlformats.org/drawingml/2006/main">
                <a:prstDash val="solid"/>
              </a:ln>
            </spPr>
          </marker>
          <xVal>
            <numRef>
              <f>'Stability Calculations'!$A$13:$A$613</f>
              <numCache>
                <formatCode>General</formatCode>
                <ptCount val="601"/>
                <pt idx="0">
                  <v>1</v>
                </pt>
                <pt idx="1">
                  <v>1.0965</v>
                </pt>
                <pt idx="2">
                  <v>1.2023</v>
                </pt>
                <pt idx="3">
                  <v>1.3183</v>
                </pt>
                <pt idx="4">
                  <v>1.4454</v>
                </pt>
                <pt idx="5">
                  <v>1.5849</v>
                </pt>
                <pt idx="6">
                  <v>1.7378</v>
                </pt>
                <pt idx="7">
                  <v>1.9055</v>
                </pt>
                <pt idx="8">
                  <v>2.0893</v>
                </pt>
                <pt idx="9">
                  <v>2.2909</v>
                </pt>
                <pt idx="10">
                  <v>2.5119</v>
                </pt>
                <pt idx="11">
                  <v>2.7542</v>
                </pt>
                <pt idx="12">
                  <v>3.02</v>
                </pt>
                <pt idx="13">
                  <v>3.3113</v>
                </pt>
                <pt idx="14">
                  <v>3.6308</v>
                </pt>
                <pt idx="15">
                  <v>3.9811</v>
                </pt>
                <pt idx="16">
                  <v>4.3652</v>
                </pt>
                <pt idx="17">
                  <v>4.7863</v>
                </pt>
                <pt idx="18">
                  <v>5.2481</v>
                </pt>
                <pt idx="19">
                  <v>5.7544</v>
                </pt>
                <pt idx="20">
                  <v>6.3096</v>
                </pt>
                <pt idx="21">
                  <v>6.9183</v>
                </pt>
                <pt idx="22">
                  <v>7.5858</v>
                </pt>
                <pt idx="23">
                  <v>8.317600000000001</v>
                </pt>
                <pt idx="24">
                  <v>9.120100000000001</v>
                </pt>
                <pt idx="25">
                  <v>10</v>
                </pt>
                <pt idx="26">
                  <v>10.965</v>
                </pt>
                <pt idx="27">
                  <v>12.023</v>
                </pt>
                <pt idx="28">
                  <v>13.183</v>
                </pt>
                <pt idx="29">
                  <v>14.454</v>
                </pt>
                <pt idx="30">
                  <v>15.849</v>
                </pt>
                <pt idx="31">
                  <v>17.378</v>
                </pt>
                <pt idx="32">
                  <v>19.055</v>
                </pt>
                <pt idx="33">
                  <v>20.893</v>
                </pt>
                <pt idx="34">
                  <v>22.909</v>
                </pt>
                <pt idx="35">
                  <v>25.119</v>
                </pt>
                <pt idx="36">
                  <v>27.542</v>
                </pt>
                <pt idx="37">
                  <v>30.2</v>
                </pt>
                <pt idx="38">
                  <v>33.113</v>
                </pt>
                <pt idx="39">
                  <v>36.308</v>
                </pt>
                <pt idx="40">
                  <v>39.811</v>
                </pt>
                <pt idx="41">
                  <v>43.652</v>
                </pt>
                <pt idx="42">
                  <v>47.863</v>
                </pt>
                <pt idx="43">
                  <v>52.481</v>
                </pt>
                <pt idx="44">
                  <v>57.544</v>
                </pt>
                <pt idx="45">
                  <v>63.096</v>
                </pt>
                <pt idx="46">
                  <v>69.18300000000001</v>
                </pt>
                <pt idx="47">
                  <v>75.858</v>
                </pt>
                <pt idx="48">
                  <v>83.176</v>
                </pt>
                <pt idx="49">
                  <v>91.20100000000001</v>
                </pt>
                <pt idx="50">
                  <v>100</v>
                </pt>
                <pt idx="51">
                  <v>109.65</v>
                </pt>
                <pt idx="52">
                  <v>120.23</v>
                </pt>
                <pt idx="53">
                  <v>131.83</v>
                </pt>
                <pt idx="54">
                  <v>144.54</v>
                </pt>
                <pt idx="55">
                  <v>158.49</v>
                </pt>
                <pt idx="56">
                  <v>173.78</v>
                </pt>
                <pt idx="57">
                  <v>190.55</v>
                </pt>
                <pt idx="58">
                  <v>208.93</v>
                </pt>
                <pt idx="59">
                  <v>229.09</v>
                </pt>
                <pt idx="60">
                  <v>251.19</v>
                </pt>
                <pt idx="61">
                  <v>275.42</v>
                </pt>
                <pt idx="62">
                  <v>302</v>
                </pt>
                <pt idx="63">
                  <v>331.13</v>
                </pt>
                <pt idx="64">
                  <v>363.08</v>
                </pt>
                <pt idx="65">
                  <v>398.11</v>
                </pt>
                <pt idx="66">
                  <v>436.52</v>
                </pt>
                <pt idx="67">
                  <v>478.63</v>
                </pt>
                <pt idx="68">
                  <v>524.8099999999999</v>
                </pt>
                <pt idx="69">
                  <v>575.4400000000001</v>
                </pt>
                <pt idx="70">
                  <v>630.96</v>
                </pt>
                <pt idx="71">
                  <v>691.83</v>
                </pt>
                <pt idx="72">
                  <v>758.58</v>
                </pt>
                <pt idx="73">
                  <v>831.76</v>
                </pt>
                <pt idx="74">
                  <v>912.01</v>
                </pt>
                <pt idx="75">
                  <v>1000</v>
                </pt>
                <pt idx="76">
                  <v>1096.5</v>
                </pt>
                <pt idx="77">
                  <v>1202.3</v>
                </pt>
                <pt idx="78">
                  <v>1318.3</v>
                </pt>
                <pt idx="79">
                  <v>1445.4</v>
                </pt>
                <pt idx="80">
                  <v>1584.9</v>
                </pt>
                <pt idx="81">
                  <v>1737.8</v>
                </pt>
                <pt idx="82">
                  <v>1905.5</v>
                </pt>
                <pt idx="83">
                  <v>2089.3</v>
                </pt>
                <pt idx="84">
                  <v>2290.9</v>
                </pt>
                <pt idx="85">
                  <v>2511.9</v>
                </pt>
                <pt idx="86">
                  <v>2754.2</v>
                </pt>
                <pt idx="87">
                  <v>3020</v>
                </pt>
                <pt idx="88">
                  <v>3311.3</v>
                </pt>
                <pt idx="89">
                  <v>3630.8</v>
                </pt>
                <pt idx="90">
                  <v>3981.1</v>
                </pt>
                <pt idx="91">
                  <v>4365.2</v>
                </pt>
                <pt idx="92">
                  <v>4786.3</v>
                </pt>
                <pt idx="93">
                  <v>5248.1</v>
                </pt>
                <pt idx="94">
                  <v>5370.3</v>
                </pt>
                <pt idx="95">
                  <v>5432.85</v>
                </pt>
                <pt idx="96">
                  <v>5495.4</v>
                </pt>
                <pt idx="97">
                  <v>5559.4</v>
                </pt>
                <pt idx="98">
                  <v>5623.4</v>
                </pt>
                <pt idx="99">
                  <v>5688.9</v>
                </pt>
                <pt idx="100">
                  <v>5754.4</v>
                </pt>
                <pt idx="101">
                  <v>5821.4</v>
                </pt>
                <pt idx="102">
                  <v>5888.4</v>
                </pt>
                <pt idx="103">
                  <v>5957</v>
                </pt>
                <pt idx="104">
                  <v>6025.6</v>
                </pt>
                <pt idx="105">
                  <v>6095.8</v>
                </pt>
                <pt idx="106">
                  <v>6166</v>
                </pt>
                <pt idx="107">
                  <v>6237.8</v>
                </pt>
                <pt idx="108">
                  <v>6309.6</v>
                </pt>
                <pt idx="109">
                  <v>6383.05</v>
                </pt>
                <pt idx="110">
                  <v>6456.5</v>
                </pt>
                <pt idx="111">
                  <v>6531.7</v>
                </pt>
                <pt idx="112">
                  <v>6606.9</v>
                </pt>
                <pt idx="113">
                  <v>6683.85</v>
                </pt>
                <pt idx="114">
                  <v>6760.8</v>
                </pt>
                <pt idx="115">
                  <v>6839.55</v>
                </pt>
                <pt idx="116">
                  <v>6918.3</v>
                </pt>
                <pt idx="117">
                  <v>6998.9</v>
                </pt>
                <pt idx="118">
                  <v>7079.5</v>
                </pt>
                <pt idx="119">
                  <v>7161.95</v>
                </pt>
                <pt idx="120">
                  <v>7244.4</v>
                </pt>
                <pt idx="121">
                  <v>7328.75</v>
                </pt>
                <pt idx="122">
                  <v>7413.1</v>
                </pt>
                <pt idx="123">
                  <v>7499.45</v>
                </pt>
                <pt idx="124">
                  <v>7585.8</v>
                </pt>
                <pt idx="125">
                  <v>7674.15</v>
                </pt>
                <pt idx="126">
                  <v>7762.5</v>
                </pt>
                <pt idx="127">
                  <v>7852.9</v>
                </pt>
                <pt idx="128">
                  <v>7943.3</v>
                </pt>
                <pt idx="129">
                  <v>8035.8</v>
                </pt>
                <pt idx="130">
                  <v>8128.3</v>
                </pt>
                <pt idx="131">
                  <v>8222.950000000001</v>
                </pt>
                <pt idx="132">
                  <v>8270.275000000001</v>
                </pt>
                <pt idx="133">
                  <v>8317.6</v>
                </pt>
                <pt idx="134">
                  <v>8366.049999999999</v>
                </pt>
                <pt idx="135">
                  <v>8414.5</v>
                </pt>
                <pt idx="136">
                  <v>8462.950000000001</v>
                </pt>
                <pt idx="137">
                  <v>8511.4</v>
                </pt>
                <pt idx="138">
                  <v>8560.950000000001</v>
                </pt>
                <pt idx="139">
                  <v>8610.5</v>
                </pt>
                <pt idx="140">
                  <v>8660.049999999999</v>
                </pt>
                <pt idx="141">
                  <v>8709.6</v>
                </pt>
                <pt idx="142">
                  <v>8760.325000000001</v>
                </pt>
                <pt idx="143">
                  <v>8811.049999999999</v>
                </pt>
                <pt idx="144">
                  <v>8861.775</v>
                </pt>
                <pt idx="145">
                  <v>8912.5</v>
                </pt>
                <pt idx="146">
                  <v>8964.4</v>
                </pt>
                <pt idx="147">
                  <v>9016.299999999999</v>
                </pt>
                <pt idx="148">
                  <v>9068.200000000001</v>
                </pt>
                <pt idx="149">
                  <v>9120.1</v>
                </pt>
                <pt idx="150">
                  <v>9173.200000000001</v>
                </pt>
                <pt idx="151">
                  <v>9226.299999999999</v>
                </pt>
                <pt idx="152">
                  <v>9279.4</v>
                </pt>
                <pt idx="153">
                  <v>9332.5</v>
                </pt>
                <pt idx="154">
                  <v>9386.85</v>
                </pt>
                <pt idx="155">
                  <v>9441.200000000001</v>
                </pt>
                <pt idx="156">
                  <v>9495.549999999999</v>
                </pt>
                <pt idx="157">
                  <v>9549.9</v>
                </pt>
                <pt idx="158">
                  <v>9605.525</v>
                </pt>
                <pt idx="159">
                  <v>9661.15</v>
                </pt>
                <pt idx="160">
                  <v>9716.775</v>
                </pt>
                <pt idx="161">
                  <v>9772.4</v>
                </pt>
                <pt idx="162">
                  <v>9829.299999999999</v>
                </pt>
                <pt idx="163">
                  <v>9886.200000000001</v>
                </pt>
                <pt idx="164">
                  <v>9943.1</v>
                </pt>
                <pt idx="165">
                  <v>10000</v>
                </pt>
                <pt idx="166">
                  <v>10058.25</v>
                </pt>
                <pt idx="167">
                  <v>10116.5</v>
                </pt>
                <pt idx="168">
                  <v>10174.75</v>
                </pt>
                <pt idx="169">
                  <v>10233</v>
                </pt>
                <pt idx="170">
                  <v>10292.5</v>
                </pt>
                <pt idx="171">
                  <v>10352</v>
                </pt>
                <pt idx="172">
                  <v>10411.5</v>
                </pt>
                <pt idx="173">
                  <v>10471</v>
                </pt>
                <pt idx="174">
                  <v>10532</v>
                </pt>
                <pt idx="175">
                  <v>10593</v>
                </pt>
                <pt idx="176">
                  <v>10654</v>
                </pt>
                <pt idx="177">
                  <v>10715</v>
                </pt>
                <pt idx="178">
                  <v>10777.5</v>
                </pt>
                <pt idx="179">
                  <v>10840</v>
                </pt>
                <pt idx="180">
                  <v>10902.5</v>
                </pt>
                <pt idx="181">
                  <v>10965</v>
                </pt>
                <pt idx="182">
                  <v>11028.75</v>
                </pt>
                <pt idx="183">
                  <v>11092.5</v>
                </pt>
                <pt idx="184">
                  <v>11156.25</v>
                </pt>
                <pt idx="185">
                  <v>11220</v>
                </pt>
                <pt idx="186">
                  <v>11285.5</v>
                </pt>
                <pt idx="187">
                  <v>11351</v>
                </pt>
                <pt idx="188">
                  <v>11416.5</v>
                </pt>
                <pt idx="189">
                  <v>11482</v>
                </pt>
                <pt idx="190">
                  <v>11548.75</v>
                </pt>
                <pt idx="191">
                  <v>11615.5</v>
                </pt>
                <pt idx="192">
                  <v>11682.25</v>
                </pt>
                <pt idx="193">
                  <v>11749</v>
                </pt>
                <pt idx="194">
                  <v>11817.5</v>
                </pt>
                <pt idx="195">
                  <v>11886</v>
                </pt>
                <pt idx="196">
                  <v>11954.5</v>
                </pt>
                <pt idx="197">
                  <v>12023</v>
                </pt>
                <pt idx="198">
                  <v>12093</v>
                </pt>
                <pt idx="199">
                  <v>12163</v>
                </pt>
                <pt idx="200">
                  <v>12233</v>
                </pt>
                <pt idx="201">
                  <v>12303</v>
                </pt>
                <pt idx="202">
                  <v>12374.5</v>
                </pt>
                <pt idx="203">
                  <v>12446</v>
                </pt>
                <pt idx="204">
                  <v>12517.5</v>
                </pt>
                <pt idx="205">
                  <v>12589</v>
                </pt>
                <pt idx="206">
                  <v>12662.25</v>
                </pt>
                <pt idx="207">
                  <v>12735.5</v>
                </pt>
                <pt idx="208">
                  <v>12808.75</v>
                </pt>
                <pt idx="209">
                  <v>12882</v>
                </pt>
                <pt idx="210">
                  <v>12957.25</v>
                </pt>
                <pt idx="211">
                  <v>13032.5</v>
                </pt>
                <pt idx="212">
                  <v>13107.75</v>
                </pt>
                <pt idx="213">
                  <v>13183</v>
                </pt>
                <pt idx="214">
                  <v>13259.75</v>
                </pt>
                <pt idx="215">
                  <v>13336.5</v>
                </pt>
                <pt idx="216">
                  <v>13413.25</v>
                </pt>
                <pt idx="217">
                  <v>13490</v>
                </pt>
                <pt idx="218">
                  <v>13568.5</v>
                </pt>
                <pt idx="219">
                  <v>13647</v>
                </pt>
                <pt idx="220">
                  <v>13725.5</v>
                </pt>
                <pt idx="221">
                  <v>13804</v>
                </pt>
                <pt idx="222">
                  <v>13884.25</v>
                </pt>
                <pt idx="223">
                  <v>13964.5</v>
                </pt>
                <pt idx="224">
                  <v>14044.75</v>
                </pt>
                <pt idx="225">
                  <v>14125</v>
                </pt>
                <pt idx="226">
                  <v>14207.25</v>
                </pt>
                <pt idx="227">
                  <v>14289.5</v>
                </pt>
                <pt idx="228">
                  <v>14371.75</v>
                </pt>
                <pt idx="229">
                  <v>14454</v>
                </pt>
                <pt idx="230">
                  <v>14622.5</v>
                </pt>
                <pt idx="231">
                  <v>14706.75</v>
                </pt>
                <pt idx="232">
                  <v>14791</v>
                </pt>
                <pt idx="233">
                  <v>14877.25</v>
                </pt>
                <pt idx="234">
                  <v>14963.5</v>
                </pt>
                <pt idx="235">
                  <v>15049.75</v>
                </pt>
                <pt idx="236">
                  <v>15136</v>
                </pt>
                <pt idx="237">
                  <v>15224</v>
                </pt>
                <pt idx="238">
                  <v>15312</v>
                </pt>
                <pt idx="239">
                  <v>15400</v>
                </pt>
                <pt idx="240">
                  <v>15488</v>
                </pt>
                <pt idx="241">
                  <v>15578.25</v>
                </pt>
                <pt idx="242">
                  <v>15668.5</v>
                </pt>
                <pt idx="243">
                  <v>15758.75</v>
                </pt>
                <pt idx="244">
                  <v>15849</v>
                </pt>
                <pt idx="245">
                  <v>15941.25</v>
                </pt>
                <pt idx="246">
                  <v>16033.5</v>
                </pt>
                <pt idx="247">
                  <v>16125.75</v>
                </pt>
                <pt idx="248">
                  <v>16218</v>
                </pt>
                <pt idx="249">
                  <v>16312.5</v>
                </pt>
                <pt idx="250">
                  <v>16407</v>
                </pt>
                <pt idx="251">
                  <v>16501.5</v>
                </pt>
                <pt idx="252">
                  <v>16596</v>
                </pt>
                <pt idx="253">
                  <v>16692.5</v>
                </pt>
                <pt idx="254">
                  <v>16789</v>
                </pt>
                <pt idx="255">
                  <v>16885.5</v>
                </pt>
                <pt idx="256">
                  <v>16982</v>
                </pt>
                <pt idx="257">
                  <v>17081</v>
                </pt>
                <pt idx="258">
                  <v>17180</v>
                </pt>
                <pt idx="259">
                  <v>17279</v>
                </pt>
                <pt idx="260">
                  <v>17378</v>
                </pt>
                <pt idx="261">
                  <v>17479.25</v>
                </pt>
                <pt idx="262">
                  <v>17580.5</v>
                </pt>
                <pt idx="263">
                  <v>17681.75</v>
                </pt>
                <pt idx="264">
                  <v>17783</v>
                </pt>
                <pt idx="265">
                  <v>17886.5</v>
                </pt>
                <pt idx="266">
                  <v>17990</v>
                </pt>
                <pt idx="267">
                  <v>18093.5</v>
                </pt>
                <pt idx="268">
                  <v>18197</v>
                </pt>
                <pt idx="269">
                  <v>18303</v>
                </pt>
                <pt idx="270">
                  <v>18409</v>
                </pt>
                <pt idx="271">
                  <v>18515</v>
                </pt>
                <pt idx="272">
                  <v>18621</v>
                </pt>
                <pt idx="273">
                  <v>18729.5</v>
                </pt>
                <pt idx="274">
                  <v>18838</v>
                </pt>
                <pt idx="275">
                  <v>18946.5</v>
                </pt>
                <pt idx="276">
                  <v>19055</v>
                </pt>
                <pt idx="277">
                  <v>19165.75</v>
                </pt>
                <pt idx="278">
                  <v>19276.5</v>
                </pt>
                <pt idx="279">
                  <v>19387.25</v>
                </pt>
                <pt idx="280">
                  <v>19498</v>
                </pt>
                <pt idx="281">
                  <v>19611.75</v>
                </pt>
                <pt idx="282">
                  <v>19725.5</v>
                </pt>
                <pt idx="283">
                  <v>19839.25</v>
                </pt>
                <pt idx="284">
                  <v>19953</v>
                </pt>
                <pt idx="285">
                  <v>20069</v>
                </pt>
                <pt idx="286">
                  <v>20185</v>
                </pt>
                <pt idx="287">
                  <v>20301</v>
                </pt>
                <pt idx="288">
                  <v>20417</v>
                </pt>
                <pt idx="289">
                  <v>20536</v>
                </pt>
                <pt idx="290">
                  <v>20655</v>
                </pt>
                <pt idx="291">
                  <v>20774</v>
                </pt>
                <pt idx="292">
                  <v>20893</v>
                </pt>
                <pt idx="293">
                  <v>21014.75</v>
                </pt>
                <pt idx="294">
                  <v>21136.5</v>
                </pt>
                <pt idx="295">
                  <v>21258.25</v>
                </pt>
                <pt idx="296">
                  <v>21380</v>
                </pt>
                <pt idx="297">
                  <v>21504.5</v>
                </pt>
                <pt idx="298">
                  <v>21629</v>
                </pt>
                <pt idx="299">
                  <v>21753.5</v>
                </pt>
                <pt idx="300">
                  <v>21878</v>
                </pt>
                <pt idx="301">
                  <v>22005.25</v>
                </pt>
                <pt idx="302">
                  <v>22132.5</v>
                </pt>
                <pt idx="303">
                  <v>22259.75</v>
                </pt>
                <pt idx="304">
                  <v>22387</v>
                </pt>
                <pt idx="305">
                  <v>22517.5</v>
                </pt>
                <pt idx="306">
                  <v>22648</v>
                </pt>
                <pt idx="307">
                  <v>22778.5</v>
                </pt>
                <pt idx="308">
                  <v>22909</v>
                </pt>
                <pt idx="309">
                  <v>23042.25</v>
                </pt>
                <pt idx="310">
                  <v>23175.5</v>
                </pt>
                <pt idx="311">
                  <v>23308.75</v>
                </pt>
                <pt idx="312">
                  <v>23442</v>
                </pt>
                <pt idx="313">
                  <v>23578.5</v>
                </pt>
                <pt idx="314">
                  <v>23715</v>
                </pt>
                <pt idx="315">
                  <v>23851.5</v>
                </pt>
                <pt idx="316">
                  <v>23988</v>
                </pt>
                <pt idx="317">
                  <v>24127.75</v>
                </pt>
                <pt idx="318">
                  <v>24267.5</v>
                </pt>
                <pt idx="319">
                  <v>24407.25</v>
                </pt>
                <pt idx="320">
                  <v>24547</v>
                </pt>
                <pt idx="321">
                  <v>24690</v>
                </pt>
                <pt idx="322">
                  <v>24833</v>
                </pt>
                <pt idx="323">
                  <v>24976</v>
                </pt>
                <pt idx="324">
                  <v>25119</v>
                </pt>
                <pt idx="325">
                  <v>25265.25</v>
                </pt>
                <pt idx="326">
                  <v>25411.5</v>
                </pt>
                <pt idx="327">
                  <v>25557.75</v>
                </pt>
                <pt idx="328">
                  <v>25704</v>
                </pt>
                <pt idx="329">
                  <v>25853.75</v>
                </pt>
                <pt idx="330">
                  <v>26003.5</v>
                </pt>
                <pt idx="331">
                  <v>26153.25</v>
                </pt>
                <pt idx="332">
                  <v>26303</v>
                </pt>
                <pt idx="333">
                  <v>26456</v>
                </pt>
                <pt idx="334">
                  <v>26609</v>
                </pt>
                <pt idx="335">
                  <v>26762</v>
                </pt>
                <pt idx="336">
                  <v>26915</v>
                </pt>
                <pt idx="337">
                  <v>27071.75</v>
                </pt>
                <pt idx="338">
                  <v>27228.5</v>
                </pt>
                <pt idx="339">
                  <v>27385.25</v>
                </pt>
                <pt idx="340">
                  <v>27542</v>
                </pt>
                <pt idx="341">
                  <v>27702.5</v>
                </pt>
                <pt idx="342">
                  <v>27863</v>
                </pt>
                <pt idx="343">
                  <v>28023.5</v>
                </pt>
                <pt idx="344">
                  <v>28184</v>
                </pt>
                <pt idx="345">
                  <v>28348</v>
                </pt>
                <pt idx="346">
                  <v>28512</v>
                </pt>
                <pt idx="347">
                  <v>28676</v>
                </pt>
                <pt idx="348">
                  <v>28840</v>
                </pt>
                <pt idx="349">
                  <v>29008</v>
                </pt>
                <pt idx="350">
                  <v>29176</v>
                </pt>
                <pt idx="351">
                  <v>29344</v>
                </pt>
                <pt idx="352">
                  <v>29512</v>
                </pt>
                <pt idx="353">
                  <v>29684</v>
                </pt>
                <pt idx="354">
                  <v>29856</v>
                </pt>
                <pt idx="355">
                  <v>30028</v>
                </pt>
                <pt idx="356">
                  <v>30200</v>
                </pt>
                <pt idx="357">
                  <v>30375.75</v>
                </pt>
                <pt idx="358">
                  <v>30551.5</v>
                </pt>
                <pt idx="359">
                  <v>30727.25</v>
                </pt>
                <pt idx="360">
                  <v>30903</v>
                </pt>
                <pt idx="361">
                  <v>31083</v>
                </pt>
                <pt idx="362">
                  <v>31263</v>
                </pt>
                <pt idx="363">
                  <v>31443</v>
                </pt>
                <pt idx="364">
                  <v>31623</v>
                </pt>
                <pt idx="365">
                  <v>31807</v>
                </pt>
                <pt idx="366">
                  <v>31991</v>
                </pt>
                <pt idx="367">
                  <v>32175</v>
                </pt>
                <pt idx="368">
                  <v>32359</v>
                </pt>
                <pt idx="369">
                  <v>32547.5</v>
                </pt>
                <pt idx="370">
                  <v>32736</v>
                </pt>
                <pt idx="371">
                  <v>32924.5</v>
                </pt>
                <pt idx="372">
                  <v>33113</v>
                </pt>
                <pt idx="373">
                  <v>33305.75</v>
                </pt>
                <pt idx="374">
                  <v>33498.5</v>
                </pt>
                <pt idx="375">
                  <v>33691.25</v>
                </pt>
                <pt idx="376">
                  <v>33884</v>
                </pt>
                <pt idx="377">
                  <v>34081.5</v>
                </pt>
                <pt idx="378">
                  <v>34279</v>
                </pt>
                <pt idx="379">
                  <v>34476.5</v>
                </pt>
                <pt idx="380">
                  <v>34674</v>
                </pt>
                <pt idx="381">
                  <v>34875.75</v>
                </pt>
                <pt idx="382">
                  <v>35077.5</v>
                </pt>
                <pt idx="383">
                  <v>35279.25</v>
                </pt>
                <pt idx="384">
                  <v>35481</v>
                </pt>
                <pt idx="385">
                  <v>35687.75</v>
                </pt>
                <pt idx="386">
                  <v>35894.5</v>
                </pt>
                <pt idx="387">
                  <v>36101.25</v>
                </pt>
                <pt idx="388">
                  <v>36308</v>
                </pt>
                <pt idx="389">
                  <v>36519.5</v>
                </pt>
                <pt idx="390">
                  <v>36731</v>
                </pt>
                <pt idx="391">
                  <v>36942.5</v>
                </pt>
                <pt idx="392">
                  <v>37154</v>
                </pt>
                <pt idx="393">
                  <v>37370.25</v>
                </pt>
                <pt idx="394">
                  <v>37586.5</v>
                </pt>
                <pt idx="395">
                  <v>37802.75</v>
                </pt>
                <pt idx="396">
                  <v>38019</v>
                </pt>
                <pt idx="397">
                  <v>38240.5</v>
                </pt>
                <pt idx="398">
                  <v>38462</v>
                </pt>
                <pt idx="399">
                  <v>38683.5</v>
                </pt>
                <pt idx="400">
                  <v>38905</v>
                </pt>
                <pt idx="401">
                  <v>39131.5</v>
                </pt>
                <pt idx="402">
                  <v>39358</v>
                </pt>
                <pt idx="403">
                  <v>39584.5</v>
                </pt>
                <pt idx="404">
                  <v>39811</v>
                </pt>
                <pt idx="405">
                  <v>40042.75</v>
                </pt>
                <pt idx="406">
                  <v>40274.5</v>
                </pt>
                <pt idx="407">
                  <v>40506.25</v>
                </pt>
                <pt idx="408">
                  <v>40738</v>
                </pt>
                <pt idx="409">
                  <v>40975.25</v>
                </pt>
                <pt idx="410">
                  <v>41212.5</v>
                </pt>
                <pt idx="411">
                  <v>41449.75</v>
                </pt>
                <pt idx="412">
                  <v>41687</v>
                </pt>
                <pt idx="413">
                  <v>41929.75</v>
                </pt>
                <pt idx="414">
                  <v>42172.5</v>
                </pt>
                <pt idx="415">
                  <v>42415.25</v>
                </pt>
                <pt idx="416">
                  <v>42658</v>
                </pt>
                <pt idx="417">
                  <v>42906.5</v>
                </pt>
                <pt idx="418">
                  <v>43155</v>
                </pt>
                <pt idx="419">
                  <v>43403.5</v>
                </pt>
                <pt idx="420">
                  <v>43652</v>
                </pt>
                <pt idx="421">
                  <v>43906</v>
                </pt>
                <pt idx="422">
                  <v>44160</v>
                </pt>
                <pt idx="423">
                  <v>44414</v>
                </pt>
                <pt idx="424">
                  <v>44668</v>
                </pt>
                <pt idx="425">
                  <v>44928.25</v>
                </pt>
                <pt idx="426">
                  <v>45188.5</v>
                </pt>
                <pt idx="427">
                  <v>45448.75</v>
                </pt>
                <pt idx="428">
                  <v>45709</v>
                </pt>
                <pt idx="429">
                  <v>45975.25</v>
                </pt>
                <pt idx="430">
                  <v>46241.5</v>
                </pt>
                <pt idx="431">
                  <v>46507.75</v>
                </pt>
                <pt idx="432">
                  <v>46774</v>
                </pt>
                <pt idx="433">
                  <v>47046.25</v>
                </pt>
                <pt idx="434">
                  <v>47318.5</v>
                </pt>
                <pt idx="435">
                  <v>47590.75</v>
                </pt>
                <pt idx="436">
                  <v>47863</v>
                </pt>
                <pt idx="437">
                  <v>48141.75</v>
                </pt>
                <pt idx="438">
                  <v>48420.5</v>
                </pt>
                <pt idx="439">
                  <v>48699.25</v>
                </pt>
                <pt idx="440">
                  <v>48978</v>
                </pt>
                <pt idx="441">
                  <v>49263.25</v>
                </pt>
                <pt idx="442">
                  <v>49548.5</v>
                </pt>
                <pt idx="443">
                  <v>49833.75</v>
                </pt>
                <pt idx="444">
                  <v>50119</v>
                </pt>
                <pt idx="445">
                  <v>50410.75</v>
                </pt>
                <pt idx="446">
                  <v>50702.5</v>
                </pt>
                <pt idx="447">
                  <v>50994.25</v>
                </pt>
                <pt idx="448">
                  <v>51286</v>
                </pt>
                <pt idx="449">
                  <v>51584.75</v>
                </pt>
                <pt idx="450">
                  <v>51883.5</v>
                </pt>
                <pt idx="451">
                  <v>52182.25</v>
                </pt>
                <pt idx="452">
                  <v>52481</v>
                </pt>
                <pt idx="453">
                  <v>52786.5</v>
                </pt>
                <pt idx="454">
                  <v>53092</v>
                </pt>
                <pt idx="455">
                  <v>53397.5</v>
                </pt>
                <pt idx="456">
                  <v>53703</v>
                </pt>
                <pt idx="457">
                  <v>54015.75</v>
                </pt>
                <pt idx="458">
                  <v>54328.5</v>
                </pt>
                <pt idx="459">
                  <v>54641.25</v>
                </pt>
                <pt idx="460">
                  <v>54954</v>
                </pt>
                <pt idx="461">
                  <v>55274</v>
                </pt>
                <pt idx="462">
                  <v>55594</v>
                </pt>
                <pt idx="463">
                  <v>55914</v>
                </pt>
                <pt idx="464">
                  <v>56234</v>
                </pt>
                <pt idx="465">
                  <v>56561.5</v>
                </pt>
                <pt idx="466">
                  <v>56889</v>
                </pt>
                <pt idx="467">
                  <v>57216.5</v>
                </pt>
                <pt idx="468">
                  <v>57544</v>
                </pt>
                <pt idx="469">
                  <v>57879</v>
                </pt>
                <pt idx="470">
                  <v>58214</v>
                </pt>
                <pt idx="471">
                  <v>58549</v>
                </pt>
                <pt idx="472">
                  <v>58884</v>
                </pt>
                <pt idx="473">
                  <v>59227</v>
                </pt>
                <pt idx="474">
                  <v>59570</v>
                </pt>
                <pt idx="475">
                  <v>59913</v>
                </pt>
                <pt idx="476">
                  <v>60256</v>
                </pt>
                <pt idx="477">
                  <v>60607</v>
                </pt>
                <pt idx="478">
                  <v>60958</v>
                </pt>
                <pt idx="479">
                  <v>61309</v>
                </pt>
                <pt idx="480">
                  <v>61660</v>
                </pt>
                <pt idx="481">
                  <v>62019</v>
                </pt>
                <pt idx="482">
                  <v>62378</v>
                </pt>
                <pt idx="483">
                  <v>62737</v>
                </pt>
                <pt idx="484">
                  <v>63096</v>
                </pt>
                <pt idx="485">
                  <v>63463.25</v>
                </pt>
                <pt idx="486">
                  <v>63830.5</v>
                </pt>
                <pt idx="487">
                  <v>64197.75</v>
                </pt>
                <pt idx="488">
                  <v>64565</v>
                </pt>
                <pt idx="489">
                  <v>64941</v>
                </pt>
                <pt idx="490">
                  <v>65317</v>
                </pt>
                <pt idx="491">
                  <v>65693</v>
                </pt>
                <pt idx="492">
                  <v>66069</v>
                </pt>
                <pt idx="493">
                  <v>66453.75</v>
                </pt>
                <pt idx="494">
                  <v>66838.5</v>
                </pt>
                <pt idx="495">
                  <v>67223.25</v>
                </pt>
                <pt idx="496">
                  <v>67608</v>
                </pt>
                <pt idx="497">
                  <v>68001.75</v>
                </pt>
                <pt idx="498">
                  <v>68395.5</v>
                </pt>
                <pt idx="499">
                  <v>68789.25</v>
                </pt>
                <pt idx="500">
                  <v>69183</v>
                </pt>
                <pt idx="501">
                  <v>69586</v>
                </pt>
                <pt idx="502">
                  <v>69989</v>
                </pt>
                <pt idx="503">
                  <v>70392</v>
                </pt>
                <pt idx="504">
                  <v>70795</v>
                </pt>
                <pt idx="505">
                  <v>71207.25</v>
                </pt>
                <pt idx="506">
                  <v>71619.5</v>
                </pt>
                <pt idx="507">
                  <v>72031.75</v>
                </pt>
                <pt idx="508">
                  <v>72444</v>
                </pt>
                <pt idx="509">
                  <v>72865.75</v>
                </pt>
                <pt idx="510">
                  <v>73287.5</v>
                </pt>
                <pt idx="511">
                  <v>73709.25</v>
                </pt>
                <pt idx="512">
                  <v>74131</v>
                </pt>
                <pt idx="513">
                  <v>74562.75</v>
                </pt>
                <pt idx="514">
                  <v>74994.5</v>
                </pt>
                <pt idx="515">
                  <v>75426.25</v>
                </pt>
                <pt idx="516">
                  <v>75858</v>
                </pt>
                <pt idx="517">
                  <v>76299.75</v>
                </pt>
                <pt idx="518">
                  <v>76741.5</v>
                </pt>
                <pt idx="519">
                  <v>77183.25</v>
                </pt>
                <pt idx="520">
                  <v>77625</v>
                </pt>
                <pt idx="521">
                  <v>78077</v>
                </pt>
                <pt idx="522">
                  <v>78529</v>
                </pt>
                <pt idx="523">
                  <v>78981</v>
                </pt>
                <pt idx="524">
                  <v>79433</v>
                </pt>
                <pt idx="525">
                  <v>79895.5</v>
                </pt>
                <pt idx="526">
                  <v>80358</v>
                </pt>
                <pt idx="527">
                  <v>80820.5</v>
                </pt>
                <pt idx="528">
                  <v>81283</v>
                </pt>
                <pt idx="529">
                  <v>81756.25</v>
                </pt>
                <pt idx="530">
                  <v>82229.5</v>
                </pt>
                <pt idx="531">
                  <v>82702.75</v>
                </pt>
                <pt idx="532">
                  <v>83176</v>
                </pt>
                <pt idx="533">
                  <v>83660.5</v>
                </pt>
                <pt idx="534">
                  <v>84145</v>
                </pt>
                <pt idx="535">
                  <v>84629.5</v>
                </pt>
                <pt idx="536">
                  <v>85114</v>
                </pt>
                <pt idx="537">
                  <v>85609.5</v>
                </pt>
                <pt idx="538">
                  <v>86105</v>
                </pt>
                <pt idx="539">
                  <v>86600.5</v>
                </pt>
                <pt idx="540">
                  <v>87096</v>
                </pt>
                <pt idx="541">
                  <v>87603.25</v>
                </pt>
                <pt idx="542">
                  <v>88110.5</v>
                </pt>
                <pt idx="543">
                  <v>88617.75</v>
                </pt>
                <pt idx="544">
                  <v>89125</v>
                </pt>
                <pt idx="545">
                  <v>89644</v>
                </pt>
                <pt idx="546">
                  <v>90163</v>
                </pt>
                <pt idx="547">
                  <v>90682</v>
                </pt>
                <pt idx="548">
                  <v>91201</v>
                </pt>
                <pt idx="549">
                  <v>91732</v>
                </pt>
                <pt idx="550">
                  <v>92263</v>
                </pt>
                <pt idx="551">
                  <v>92794</v>
                </pt>
                <pt idx="552">
                  <v>93325</v>
                </pt>
                <pt idx="553">
                  <v>93868.5</v>
                </pt>
                <pt idx="554">
                  <v>94412</v>
                </pt>
                <pt idx="555">
                  <v>94955.5</v>
                </pt>
                <pt idx="556">
                  <v>95499</v>
                </pt>
                <pt idx="557">
                  <v>96611.5</v>
                </pt>
                <pt idx="558">
                  <v>97724</v>
                </pt>
                <pt idx="559">
                  <v>98862</v>
                </pt>
                <pt idx="560">
                  <v>100000</v>
                </pt>
                <pt idx="561">
                  <v>101165</v>
                </pt>
                <pt idx="562">
                  <v>102330</v>
                </pt>
                <pt idx="563">
                  <v>103520</v>
                </pt>
                <pt idx="564">
                  <v>104710</v>
                </pt>
                <pt idx="565">
                  <v>105930</v>
                </pt>
                <pt idx="566">
                  <v>107150</v>
                </pt>
                <pt idx="567">
                  <v>108400</v>
                </pt>
                <pt idx="568">
                  <v>109650</v>
                </pt>
                <pt idx="569">
                  <v>110925</v>
                </pt>
                <pt idx="570">
                  <v>112200</v>
                </pt>
                <pt idx="571">
                  <v>113510</v>
                </pt>
                <pt idx="572">
                  <v>114820</v>
                </pt>
                <pt idx="573">
                  <v>116155</v>
                </pt>
                <pt idx="574">
                  <v>117490</v>
                </pt>
                <pt idx="575">
                  <v>118860</v>
                </pt>
                <pt idx="576">
                  <v>120230</v>
                </pt>
                <pt idx="577">
                  <v>126030</v>
                </pt>
                <pt idx="578">
                  <v>131830</v>
                </pt>
                <pt idx="579">
                  <v>144540</v>
                </pt>
                <pt idx="580">
                  <v>158490</v>
                </pt>
                <pt idx="581">
                  <v>173780</v>
                </pt>
                <pt idx="582">
                  <v>190550</v>
                </pt>
                <pt idx="583">
                  <v>208930</v>
                </pt>
                <pt idx="584">
                  <v>229090</v>
                </pt>
                <pt idx="585">
                  <v>251190</v>
                </pt>
                <pt idx="586">
                  <v>275420</v>
                </pt>
                <pt idx="587">
                  <v>302000</v>
                </pt>
                <pt idx="588">
                  <v>331130</v>
                </pt>
                <pt idx="589">
                  <v>363080</v>
                </pt>
                <pt idx="590">
                  <v>398110</v>
                </pt>
                <pt idx="591">
                  <v>436520</v>
                </pt>
                <pt idx="592">
                  <v>478630</v>
                </pt>
                <pt idx="593">
                  <v>524810</v>
                </pt>
                <pt idx="594">
                  <v>575440</v>
                </pt>
                <pt idx="595">
                  <v>630960</v>
                </pt>
                <pt idx="596">
                  <v>691830</v>
                </pt>
                <pt idx="597">
                  <v>758580</v>
                </pt>
                <pt idx="598">
                  <v>831760</v>
                </pt>
                <pt idx="599">
                  <v>912010</v>
                </pt>
                <pt idx="600">
                  <v>1000000</v>
                </pt>
              </numCache>
            </numRef>
          </xVal>
          <yVal>
            <numRef>
              <f>'Stability Calculations'!$V$13:$V$613</f>
              <numCache>
                <formatCode>0.00</formatCode>
                <ptCount val="601"/>
                <pt idx="0">
                  <v>-31.17761135403498</v>
                </pt>
                <pt idx="1">
                  <v>-33.56727364715405</v>
                </pt>
                <pt idx="2">
                  <v>-36.04453429037301</v>
                </pt>
                <pt idx="3">
                  <v>-38.59378562557929</v>
                </pt>
                <pt idx="4">
                  <v>-41.19506008425219</v>
                </pt>
                <pt idx="5">
                  <v>-43.83237381137496</v>
                </pt>
                <pt idx="6">
                  <v>-46.48033878335957</v>
                </pt>
                <pt idx="7">
                  <v>-49.11856144656736</v>
                </pt>
                <pt idx="8">
                  <v>-51.72347854903069</v>
                </pt>
                <pt idx="9">
                  <v>-54.27677934252318</v>
                </pt>
                <pt idx="10">
                  <v>-56.75881851515003</v>
                </pt>
                <pt idx="11">
                  <v>-59.15448754796392</v>
                </pt>
                <pt idx="12">
                  <v>-61.45250678751772</v>
                </pt>
                <pt idx="13">
                  <v>-63.64130247333482</v>
                </pt>
                <pt idx="14">
                  <v>-65.71631862917486</v>
                </pt>
                <pt idx="15">
                  <v>-67.6731947641283</v>
                </pt>
                <pt idx="16">
                  <v>-69.51105922860768</v>
                </pt>
                <pt idx="17">
                  <v>-71.23073103673313</v>
                </pt>
                <pt idx="18">
                  <v>-72.83546756782745</v>
                </pt>
                <pt idx="19">
                  <v>-74.32891656855803</v>
                </pt>
                <pt idx="20">
                  <v>-75.71644857279811</v>
                </pt>
                <pt idx="21">
                  <v>-77.00353623296947</v>
                </pt>
                <pt idx="22">
                  <v>-78.19664348899643</v>
                </pt>
                <pt idx="23">
                  <v>-79.30190089277839</v>
                </pt>
                <pt idx="24">
                  <v>-80.32609181609998</v>
                </pt>
                <pt idx="25">
                  <v>-81.27550618246727</v>
                </pt>
                <pt idx="26">
                  <v>-82.15668172082694</v>
                </pt>
                <pt idx="27">
                  <v>-82.97547975596997</v>
                </pt>
                <pt idx="28">
                  <v>-83.73787859248729</v>
                </pt>
                <pt idx="29">
                  <v>-84.44914996449872</v>
                </pt>
                <pt idx="30">
                  <v>-85.11591388788247</v>
                </pt>
                <pt idx="31">
                  <v>-85.74239419974772</v>
                </pt>
                <pt idx="32">
                  <v>-86.33398905756644</v>
                </pt>
                <pt idx="33">
                  <v>-86.89503125912258</v>
                </pt>
                <pt idx="34">
                  <v>-87.43050962936557</v>
                </pt>
                <pt idx="35">
                  <v>-87.94449594742977</v>
                </pt>
                <pt idx="36">
                  <v>-88.4413067891287</v>
                </pt>
                <pt idx="37">
                  <v>-88.92530855406028</v>
                </pt>
                <pt idx="38">
                  <v>-89.40005181217883</v>
                </pt>
                <pt idx="39">
                  <v>-89.86986487003671</v>
                </pt>
                <pt idx="40">
                  <v>-90.33846965797231</v>
                </pt>
                <pt idx="41">
                  <v>-90.80979328695902</v>
                </pt>
                <pt idx="42">
                  <v>-91.28766732449535</v>
                </pt>
                <pt idx="43">
                  <v>-91.77616702928249</v>
                </pt>
                <pt idx="44">
                  <v>-92.27915850689662</v>
                </pt>
                <pt idx="45">
                  <v>-92.80082232953561</v>
                </pt>
                <pt idx="46">
                  <v>-93.34523559162167</v>
                </pt>
                <pt idx="47">
                  <v>-93.91682042431886</v>
                </pt>
                <pt idx="48">
                  <v>-94.51987383032811</v>
                </pt>
                <pt idx="49">
                  <v>-95.15913112926933</v>
                </pt>
                <pt idx="50">
                  <v>-95.83922355787602</v>
                </pt>
                <pt idx="51">
                  <v>-96.56518084480929</v>
                </pt>
                <pt idx="52">
                  <v>-97.34175018731911</v>
                </pt>
                <pt idx="53">
                  <v>-98.17399230576548</v>
                </pt>
                <pt idx="54">
                  <v>-99.06637840466801</v>
                </pt>
                <pt idx="55">
                  <v>-100.0254334527672</v>
                </pt>
                <pt idx="56">
                  <v>-101.0546777556971</v>
                </pt>
                <pt idx="57">
                  <v>-102.1592611495206</v>
                </pt>
                <pt idx="58">
                  <v>-103.3423050192464</v>
                </pt>
                <pt idx="59">
                  <v>-104.6078579708298</v>
                </pt>
                <pt idx="60">
                  <v>-105.9572951918971</v>
                </pt>
                <pt idx="61">
                  <v>-107.3914442496255</v>
                </pt>
                <pt idx="62">
                  <v>-108.9099882017761</v>
                </pt>
                <pt idx="63">
                  <v>-110.5081355194883</v>
                </pt>
                <pt idx="64">
                  <v>-112.1811991011579</v>
                </pt>
                <pt idx="65">
                  <v>-113.9196424577005</v>
                </pt>
                <pt idx="66">
                  <v>-115.7114156621261</v>
                </pt>
                <pt idx="67">
                  <v>-117.5406592271607</v>
                </pt>
                <pt idx="68">
                  <v>-119.3889251613651</v>
                </pt>
                <pt idx="69">
                  <v>-121.2336092999641</v>
                </pt>
                <pt idx="70">
                  <v>-123.050325378284</v>
                </pt>
                <pt idx="71">
                  <v>-124.8120224298328</v>
                </pt>
                <pt idx="72">
                  <v>-126.4913496652517</v>
                </pt>
                <pt idx="73">
                  <v>-128.0601256479011</v>
                </pt>
                <pt idx="74">
                  <v>-129.4919455997945</v>
                </pt>
                <pt idx="75">
                  <v>-130.7616802770587</v>
                </pt>
                <pt idx="76">
                  <v>-131.847423312014</v>
                </pt>
                <pt idx="77">
                  <v>-132.7300346522794</v>
                </pt>
                <pt idx="78">
                  <v>-133.3947027511036</v>
                </pt>
                <pt idx="79">
                  <v>-133.8305559090604</v>
                </pt>
                <pt idx="80">
                  <v>-134.0318722807965</v>
                </pt>
                <pt idx="81">
                  <v>-133.9962721915206</v>
                </pt>
                <pt idx="82">
                  <v>-133.7263893004646</v>
                </pt>
                <pt idx="83">
                  <v>-133.2295662042387</v>
                </pt>
                <pt idx="84">
                  <v>-132.5169552285528</v>
                </pt>
                <pt idx="85">
                  <v>-131.6046565148896</v>
                </pt>
                <pt idx="86">
                  <v>-130.5122966870344</v>
                </pt>
                <pt idx="87">
                  <v>-129.2623747038951</v>
                </pt>
                <pt idx="88">
                  <v>-127.8821459906381</v>
                </pt>
                <pt idx="89">
                  <v>-126.3986879682291</v>
                </pt>
                <pt idx="90">
                  <v>-124.8418374089255</v>
                </pt>
                <pt idx="91">
                  <v>-123.240942782543</v>
                </pt>
                <pt idx="92">
                  <v>-121.6248758860808</v>
                </pt>
                <pt idx="93">
                  <v>-120.0200971563663</v>
                </pt>
                <pt idx="94">
                  <v>-119.6238025469654</v>
                </pt>
                <pt idx="95">
                  <v>-119.4253979142419</v>
                </pt>
                <pt idx="96">
                  <v>-119.2299601077099</v>
                </pt>
                <pt idx="97">
                  <v>-119.0330272880909</v>
                </pt>
                <pt idx="98">
                  <v>-118.8391280027231</v>
                </pt>
                <pt idx="99">
                  <v>-118.6437858292175</v>
                </pt>
                <pt idx="100">
                  <v>-118.4515404369244</v>
                </pt>
                <pt idx="101">
                  <v>-118.2580530951711</v>
                </pt>
                <pt idx="102">
                  <v>-118.0677175601052</v>
                </pt>
                <pt idx="103">
                  <v>-117.876055069239</v>
                </pt>
                <pt idx="104">
                  <v>-117.6876005419707</v>
                </pt>
                <pt idx="105">
                  <v>-117.4980206570507</v>
                </pt>
                <pt idx="106">
                  <v>-117.3116965695031</v>
                </pt>
                <pt idx="107">
                  <v>-117.1244392261247</v>
                </pt>
                <pt idx="108">
                  <v>-116.9404773162591</v>
                </pt>
                <pt idx="109">
                  <v>-116.7556399169752</v>
                </pt>
                <pt idx="110">
                  <v>-116.5741340703781</v>
                </pt>
                <pt idx="111">
                  <v>-116.3916941358368</v>
                </pt>
                <pt idx="112">
                  <v>-116.2126227608461</v>
                </pt>
                <pt idx="113">
                  <v>-116.0328069519874</v>
                </pt>
                <pt idx="114">
                  <v>-115.8563885450146</v>
                </pt>
                <pt idx="115">
                  <v>-115.6792937147048</v>
                </pt>
                <pt idx="116">
                  <v>-115.5056215194471</v>
                </pt>
                <pt idx="117">
                  <v>-115.3313435756286</v>
                </pt>
                <pt idx="118">
                  <v>-115.1605098759489</v>
                </pt>
                <pt idx="119">
                  <v>-114.9892461972997</v>
                </pt>
                <pt idx="120">
                  <v>-114.8214405900944</v>
                </pt>
                <pt idx="121">
                  <v>-114.6532715818293</v>
                </pt>
                <pt idx="122">
                  <v>-114.4885710970503</v>
                </pt>
                <pt idx="123">
                  <v>-114.323481032763</v>
                </pt>
                <pt idx="124">
                  <v>-114.1618705764054</v>
                </pt>
                <pt idx="125">
                  <v>-114.0000390082524</v>
                </pt>
                <pt idx="126">
                  <v>-113.8416906522815</v>
                </pt>
                <pt idx="127">
                  <v>-113.6831921863386</v>
                </pt>
                <pt idx="128">
                  <v>-113.5281772564495</v>
                </pt>
                <pt idx="129">
                  <v>-113.3730841082039</v>
                </pt>
                <pt idx="130">
                  <v>-113.2214715907561</v>
                </pt>
                <pt idx="131">
                  <v>-113.0698533573197</v>
                </pt>
                <pt idx="132">
                  <v>-112.995352411117</v>
                </pt>
                <pt idx="133">
                  <v>-112.9217096808975</v>
                </pt>
                <pt idx="134">
                  <v>-112.8471946868027</v>
                </pt>
                <pt idx="135">
                  <v>-112.773557595298</v>
                </pt>
                <pt idx="136">
                  <v>-112.7007876975088</v>
                </pt>
                <pt idx="137">
                  <v>-112.6288744295743</v>
                </pt>
                <pt idx="138">
                  <v>-112.5562036209915</v>
                </pt>
                <pt idx="139">
                  <v>-112.4844068901747</v>
                </pt>
                <pt idx="140">
                  <v>-112.4134733977864</v>
                </pt>
                <pt idx="141">
                  <v>-112.343392456215</v>
                </pt>
                <pt idx="142">
                  <v>-112.2725217708234</v>
                </pt>
                <pt idx="143">
                  <v>-112.2025223622286</v>
                </pt>
                <pt idx="144">
                  <v>-112.1333832466046</v>
                </pt>
                <pt idx="145">
                  <v>-112.0650935987231</v>
                </pt>
                <pt idx="146">
                  <v>-111.9960901660624</v>
                </pt>
                <pt idx="147">
                  <v>-111.9279535832415</v>
                </pt>
                <pt idx="148">
                  <v>-111.860672757249</v>
                </pt>
                <pt idx="149">
                  <v>-111.7942367597753</v>
                </pt>
                <pt idx="150">
                  <v>-111.7271277975528</v>
                </pt>
                <pt idx="151">
                  <v>-111.6608805572142</v>
                </pt>
                <pt idx="152">
                  <v>-111.5954838550042</v>
                </pt>
                <pt idx="153">
                  <v>-111.5309266775082</v>
                </pt>
                <pt idx="154">
                  <v>-111.465707875315</v>
                </pt>
                <pt idx="155">
                  <v>-111.4013457767487</v>
                </pt>
                <pt idx="156">
                  <v>-111.337829110013</v>
                </pt>
                <pt idx="157">
                  <v>-111.2751467791435</v>
                </pt>
                <pt idx="158">
                  <v>-111.2118465065051</v>
                </pt>
                <pt idx="159">
                  <v>-111.1493972086161</v>
                </pt>
                <pt idx="160">
                  <v>-111.0877875442643</v>
                </pt>
                <pt idx="161">
                  <v>-111.0270063530869</v>
                </pt>
                <pt idx="162">
                  <v>-110.9656777017071</v>
                </pt>
                <pt idx="163">
                  <v>-110.9051928814235</v>
                </pt>
                <pt idx="164">
                  <v>-110.8455405147419</v>
                </pt>
                <pt idx="165">
                  <v>-110.7867094092376</v>
                </pt>
                <pt idx="166">
                  <v>-110.7273217120655</v>
                </pt>
                <pt idx="167">
                  <v>-110.6687715512118</v>
                </pt>
                <pt idx="168">
                  <v>-110.6110475006272</v>
                </pt>
                <pt idx="169">
                  <v>-110.554138323727</v>
                </pt>
                <pt idx="170">
                  <v>-110.4968377216839</v>
                </pt>
                <pt idx="171">
                  <v>-110.440364232121</v>
                </pt>
                <pt idx="172">
                  <v>-110.384706469973</v>
                </pt>
                <pt idx="173">
                  <v>-110.3298532419512</v>
                </pt>
                <pt idx="174">
                  <v>-110.274440853323</v>
                </pt>
                <pt idx="175">
                  <v>-110.2198508519127</v>
                </pt>
                <pt idx="176">
                  <v>-110.1660717811228</v>
                </pt>
                <pt idx="177">
                  <v>-110.1130923808778</v>
                </pt>
                <pt idx="178">
                  <v>-110.0596280451525</v>
                </pt>
                <pt idx="179">
                  <v>-110.0069798761016</v>
                </pt>
                <pt idx="180">
                  <v>-109.9551363800944</v>
                </pt>
                <pt idx="181">
                  <v>-109.904086263939</v>
                </pt>
                <pt idx="182">
                  <v>-109.852820978405</v>
                </pt>
                <pt idx="183">
                  <v>-109.8023580116512</v>
                </pt>
                <pt idx="184">
                  <v>-109.7526859988035</v>
                </pt>
                <pt idx="185">
                  <v>-109.7037937753925</v>
                </pt>
                <pt idx="186">
                  <v>-109.6543600777963</v>
                </pt>
                <pt idx="187">
                  <v>-109.6057263069965</v>
                </pt>
                <pt idx="188">
                  <v>-109.5578809884798</v>
                </pt>
                <pt idx="189">
                  <v>-109.510812853625</v>
                </pt>
                <pt idx="190">
                  <v>-109.4636345875426</v>
                </pt>
                <pt idx="191">
                  <v>-109.4172404573477</v>
                </pt>
                <pt idx="192">
                  <v>-109.3716191701059</v>
                </pt>
                <pt idx="193">
                  <v>-109.3267596372468</v>
                </pt>
                <pt idx="194">
                  <v>-109.2815045666205</v>
                </pt>
                <pt idx="195">
                  <v>-109.2370286972541</v>
                </pt>
                <pt idx="196">
                  <v>-109.1933206889582</v>
                </pt>
                <pt idx="197">
                  <v>-109.1503694097957</v>
                </pt>
                <pt idx="198">
                  <v>-109.1072479873778</v>
                </pt>
                <pt idx="199">
                  <v>-109.0648939406044</v>
                </pt>
                <pt idx="200">
                  <v>-109.0232960357769</v>
                </pt>
                <pt idx="201">
                  <v>-108.9824432475249</v>
                </pt>
                <pt idx="202">
                  <v>-108.9414730296848</v>
                </pt>
                <pt idx="203">
                  <v>-108.9012575972211</v>
                </pt>
                <pt idx="204">
                  <v>-108.8617858451225</v>
                </pt>
                <pt idx="205">
                  <v>-108.8230468761249</v>
                </pt>
                <pt idx="206">
                  <v>-108.7841084769473</v>
                </pt>
                <pt idx="207">
                  <v>-108.7459166649404</v>
                </pt>
                <pt idx="208">
                  <v>-108.7084603718925</v>
                </pt>
                <pt idx="209">
                  <v>-108.6717287389612</v>
                </pt>
                <pt idx="210">
                  <v>-108.6347376097382</v>
                </pt>
                <pt idx="211">
                  <v>-108.5984886789891</v>
                </pt>
                <pt idx="212">
                  <v>-108.5629708337698</v>
                </pt>
                <pt idx="213">
                  <v>-108.5281731741564</v>
                </pt>
                <pt idx="214">
                  <v>-108.4934126503272</v>
                </pt>
                <pt idx="215">
                  <v>-108.4593790626512</v>
                </pt>
                <pt idx="216">
                  <v>-108.4260615005097</v>
                </pt>
                <pt idx="217">
                  <v>-108.393449263602</v>
                </pt>
                <pt idx="218">
                  <v>-108.3608121195353</v>
                </pt>
                <pt idx="219">
                  <v>-108.3288908422465</v>
                </pt>
                <pt idx="220">
                  <v>-108.2976746346602</v>
                </pt>
                <pt idx="221">
                  <v>-108.2671529094925</v>
                </pt>
                <pt idx="222">
                  <v>-108.2366578311662</v>
                </pt>
                <pt idx="223">
                  <v>-108.2068668189995</v>
                </pt>
                <pt idx="224">
                  <v>-108.1777692106205</v>
                </pt>
                <pt idx="225">
                  <v>-108.1493545522935</v>
                </pt>
                <pt idx="226">
                  <v>-108.1209297101139</v>
                </pt>
                <pt idx="227">
                  <v>-108.0932006983369</v>
                </pt>
                <pt idx="228">
                  <v>-108.0661569128042</v>
                </pt>
                <pt idx="229">
                  <v>-108.0397879587654</v>
                </pt>
                <pt idx="230">
                  <v>-107.9878322844891</v>
                </pt>
                <pt idx="231">
                  <v>-107.9628738622686</v>
                </pt>
                <pt idx="232">
                  <v>-107.9385812326251</v>
                </pt>
                <pt idx="233">
                  <v>-107.9143910607754</v>
                </pt>
                <pt idx="234">
                  <v>-107.8908774497062</v>
                </pt>
                <pt idx="235">
                  <v>-107.8680299869329</v>
                </pt>
                <pt idx="236">
                  <v>-107.8458384687957</v>
                </pt>
                <pt idx="237">
                  <v>-107.8238623562595</v>
                </pt>
                <pt idx="238">
                  <v>-107.8025482598163</v>
                </pt>
                <pt idx="239">
                  <v>-107.7818859822323</v>
                </pt>
                <pt idx="240">
                  <v>-107.7618655315231</v>
                </pt>
                <pt idx="241">
                  <v>-107.7419895906886</v>
                </pt>
                <pt idx="242">
                  <v>-107.7227680704587</v>
                </pt>
                <pt idx="243">
                  <v>-107.7041908331424</v>
                </pt>
                <pt idx="244">
                  <v>-107.6862479468272</v>
                </pt>
                <pt idx="245">
                  <v>-107.6685528972779</v>
                </pt>
                <pt idx="246">
                  <v>-107.6515002779909</v>
                </pt>
                <pt idx="247">
                  <v>-107.6350801164315</v>
                </pt>
                <pt idx="248">
                  <v>-107.6192826434741</v>
                </pt>
                <pt idx="249">
                  <v>-107.6037355182605</v>
                </pt>
                <pt idx="250">
                  <v>-107.5888217070303</v>
                </pt>
                <pt idx="251">
                  <v>-107.5745313399518</v>
                </pt>
                <pt idx="252">
                  <v>-107.5608547498694</v>
                </pt>
                <pt idx="253">
                  <v>-107.547512267476</v>
                </pt>
                <pt idx="254">
                  <v>-107.5347900669953</v>
                </pt>
                <pt idx="255">
                  <v>-107.5226784766724</v>
                </pt>
                <pt idx="256">
                  <v>-107.5111680240347</v>
                </pt>
                <pt idx="257">
                  <v>-107.499974349051</v>
                </pt>
                <pt idx="258">
                  <v>-107.4893937871357</v>
                </pt>
                <pt idx="259">
                  <v>-107.4794167320398</v>
                </pt>
                <pt idx="260">
                  <v>-107.4700337769842</v>
                </pt>
                <pt idx="261">
                  <v>-107.4610424800299</v>
                </pt>
                <pt idx="262">
                  <v>-107.4526533097548</v>
                </pt>
                <pt idx="263">
                  <v>-107.4448568186015</v>
                </pt>
                <pt idx="264">
                  <v>-107.4376437560617</v>
                </pt>
                <pt idx="265">
                  <v>-107.430863992657</v>
                </pt>
                <pt idx="266">
                  <v>-107.4246749377163</v>
                </pt>
                <pt idx="267">
                  <v>-107.4190673168229</v>
                </pt>
                <pt idx="268">
                  <v>-107.4140320497311</v>
                </pt>
                <pt idx="269">
                  <v>-107.4094591273003</v>
                </pt>
                <pt idx="270">
                  <v>-107.4054678671853</v>
                </pt>
                <pt idx="271">
                  <v>-107.4020491166711</v>
                </pt>
                <pt idx="272">
                  <v>-107.3991939157178</v>
                </pt>
                <pt idx="273">
                  <v>-107.3968458629649</v>
                </pt>
                <pt idx="274">
                  <v>-107.3950698563918</v>
                </pt>
                <pt idx="275">
                  <v>-107.3938568824862</v>
                </pt>
                <pt idx="276">
                  <v>-107.3931981183861</v>
                </pt>
                <pt idx="277">
                  <v>-107.3930882932813</v>
                </pt>
                <pt idx="278">
                  <v>-107.3935379124166</v>
                </pt>
                <pt idx="279">
                  <v>-107.3945381760296</v>
                </pt>
                <pt idx="280">
                  <v>-107.3960804708386</v>
                </pt>
                <pt idx="281">
                  <v>-107.3982199420168</v>
                </pt>
                <pt idx="282">
                  <v>-107.4009133723664</v>
                </pt>
                <pt idx="283">
                  <v>-107.4041520126054</v>
                </pt>
                <pt idx="284">
                  <v>-107.4079273003293</v>
                </pt>
                <pt idx="285">
                  <v>-107.4123212524034</v>
                </pt>
                <pt idx="286">
                  <v>-107.417255879699</v>
                </pt>
                <pt idx="287">
                  <v>-107.4227226713174</v>
                </pt>
                <pt idx="288">
                  <v>-107.428713298274</v>
                </pt>
                <pt idx="289">
                  <v>-107.4353946443628</v>
                </pt>
                <pt idx="290">
                  <v>-107.4426100809582</v>
                </pt>
                <pt idx="291">
                  <v>-107.4503511821749</v>
                </pt>
                <pt idx="292">
                  <v>-107.4586097033977</v>
                </pt>
                <pt idx="293">
                  <v>-107.4675861535666</v>
                </pt>
                <pt idx="294">
                  <v>-107.4770873156411</v>
                </pt>
                <pt idx="295">
                  <v>-107.4871049188328</v>
                </pt>
                <pt idx="296">
                  <v>-107.4976308709543</v>
                </pt>
                <pt idx="297">
                  <v>-107.5089120283007</v>
                </pt>
                <pt idx="298">
                  <v>-107.5207081951093</v>
                </pt>
                <pt idx="299">
                  <v>-107.5330112677743</v>
                </pt>
                <pt idx="300">
                  <v>-107.545813318237</v>
                </pt>
                <pt idx="301">
                  <v>-107.5594057027463</v>
                </pt>
                <pt idx="302">
                  <v>-107.573503145819</v>
                </pt>
                <pt idx="303">
                  <v>-107.5880977213594</v>
                </pt>
                <pt idx="304">
                  <v>-107.6031816754319</v>
                </pt>
                <pt idx="305">
                  <v>-107.6191512188757</v>
                </pt>
                <pt idx="306">
                  <v>-107.635619475469</v>
                </pt>
                <pt idx="307">
                  <v>-107.6525786166439</v>
                </pt>
                <pt idx="308">
                  <v>-107.6700209848891</v>
                </pt>
                <pt idx="309">
                  <v>-107.6883217385671</v>
                </pt>
                <pt idx="310">
                  <v>-107.7071106901451</v>
                </pt>
                <pt idx="311">
                  <v>-107.7263802109283</v>
                </pt>
                <pt idx="312">
                  <v>-107.7461228391817</v>
                </pt>
                <pt idx="313">
                  <v>-107.7668299230225</v>
                </pt>
                <pt idx="314">
                  <v>-107.7880181409839</v>
                </pt>
                <pt idx="315">
                  <v>-107.8096799883549</v>
                </pt>
                <pt idx="316">
                  <v>-107.8318081254684</v>
                </pt>
                <pt idx="317">
                  <v>-107.8549387026109</v>
                </pt>
                <pt idx="318">
                  <v>-107.8785429794932</v>
                </pt>
                <pt idx="319">
                  <v>-107.9026135889881</v>
                </pt>
                <pt idx="320">
                  <v>-107.9271433266818</v>
                </pt>
                <pt idx="321">
                  <v>-107.9527114425034</v>
                </pt>
                <pt idx="322">
                  <v>-107.9787455305786</v>
                </pt>
                <pt idx="323">
                  <v>-108.0052383732378</v>
                </pt>
                <pt idx="324">
                  <v>-108.0321829128284</v>
                </pt>
                <pt idx="325">
                  <v>-108.0601998484918</v>
                </pt>
                <pt idx="326">
                  <v>-108.0886748081507</v>
                </pt>
                <pt idx="327">
                  <v>-108.1176007338262</v>
                </pt>
                <pt idx="328">
                  <v>-108.1469707245403</v>
                </pt>
                <pt idx="329">
                  <v>-108.1774966726159</v>
                </pt>
                <pt idx="330">
                  <v>-108.2084740371812</v>
                </pt>
                <pt idx="331">
                  <v>-108.2398958944052</v>
                </pt>
                <pt idx="332">
                  <v>-108.2717554751819</v>
                </pt>
                <pt idx="333">
                  <v>-108.3047516915022</v>
                </pt>
                <pt idx="334">
                  <v>-108.3381910278949</v>
                </pt>
                <pt idx="335">
                  <v>-108.3720667387345</v>
                </pt>
                <pt idx="336">
                  <v>-108.4063722295223</v>
                </pt>
                <pt idx="337">
                  <v>-108.4419575108141</v>
                </pt>
                <pt idx="338">
                  <v>-108.4779803536431</v>
                </pt>
                <pt idx="339">
                  <v>-108.5144341338874</v>
                </pt>
                <pt idx="340">
                  <v>-108.5513123766327</v>
                </pt>
                <pt idx="341">
                  <v>-108.5895060797575</v>
                </pt>
                <pt idx="342">
                  <v>-108.6281315203512</v>
                </pt>
                <pt idx="343">
                  <v>-108.6671822078975</v>
                </pt>
                <pt idx="344">
                  <v>-108.7066517988065</v>
                </pt>
                <pt idx="345">
                  <v>-108.7474083520111</v>
                </pt>
                <pt idx="346">
                  <v>-108.7885893389878</v>
                </pt>
                <pt idx="347">
                  <v>-108.8301884419834</v>
                </pt>
                <pt idx="348">
                  <v>-108.8721994867073</v>
                </pt>
                <pt idx="349">
                  <v>-108.9156560190603</v>
                </pt>
                <pt idx="350">
                  <v>-108.959532161412</v>
                </pt>
                <pt idx="351">
                  <v>-109.0038217198008</v>
                </pt>
                <pt idx="352">
                  <v>-109.048518641741</v>
                </pt>
                <pt idx="353">
                  <v>-109.0946956282511</v>
                </pt>
                <pt idx="354">
                  <v>-109.1412872060895</v>
                </pt>
                <pt idx="355">
                  <v>-109.1882873162189</v>
                </pt>
                <pt idx="356">
                  <v>-109.2356900387621</v>
                </pt>
                <pt idx="357">
                  <v>-109.2845361081011</v>
                </pt>
                <pt idx="358">
                  <v>-109.3337904688556</v>
                </pt>
                <pt idx="359">
                  <v>-109.3834472314756</v>
                </pt>
                <pt idx="360">
                  <v>-109.433500642205</v>
                </pt>
                <pt idx="361">
                  <v>-109.4851697267289</v>
                </pt>
                <pt idx="362">
                  <v>-109.5372430788319</v>
                </pt>
                <pt idx="363">
                  <v>-109.5897149362736</v>
                </pt>
                <pt idx="364">
                  <v>-109.6425796705416</v>
                </pt>
                <pt idx="365">
                  <v>-109.6970195219739</v>
                </pt>
                <pt idx="366">
                  <v>-109.7518584238326</v>
                </pt>
                <pt idx="367">
                  <v>-109.8070907739011</v>
                </pt>
                <pt idx="368">
                  <v>-109.862711100631</v>
                </pt>
                <pt idx="369">
                  <v>-109.9200884461265</v>
                </pt>
                <pt idx="370">
                  <v>-109.9778617572194</v>
                </pt>
                <pt idx="371">
                  <v>-110.0360255546159</v>
                </pt>
                <pt idx="372">
                  <v>-110.0945744877992</v>
                </pt>
                <pt idx="373">
                  <v>-110.1548363053935</v>
                </pt>
                <pt idx="374">
                  <v>-110.2154899033255</v>
                </pt>
                <pt idx="375">
                  <v>-110.2765299560763</v>
                </pt>
                <pt idx="376">
                  <v>-110.3379512640735</v>
                </pt>
                <pt idx="377">
                  <v>-110.4012763523671</v>
                </pt>
                <pt idx="378">
                  <v>-110.4649910563302</v>
                </pt>
                <pt idx="379">
                  <v>-110.5290901716315</v>
                </pt>
                <pt idx="380">
                  <v>-110.5935686181103</v>
                </pt>
                <pt idx="381">
                  <v>-110.6598210820015</v>
                </pt>
                <pt idx="382">
                  <v>-110.7264590436893</v>
                </pt>
                <pt idx="383">
                  <v>-110.7934774675401</v>
                </pt>
                <pt idx="384">
                  <v>-110.8608714388402</v>
                </pt>
                <pt idx="385">
                  <v>-110.9303202512341</v>
                </pt>
                <pt idx="386">
                  <v>-111.0001533808038</v>
                </pt>
                <pt idx="387">
                  <v>-111.0703659120973</v>
                </pt>
                <pt idx="388">
                  <v>-111.1409530489153</v>
                </pt>
                <pt idx="389">
                  <v>-111.2135446323121</v>
                </pt>
                <pt idx="390">
                  <v>-111.2865184463198</v>
                </pt>
                <pt idx="391">
                  <v>-111.359869722846</v>
                </pt>
                <pt idx="392">
                  <v>-111.4335938105571</v>
                </pt>
                <pt idx="393">
                  <v>-111.5093543783601</v>
                </pt>
                <pt idx="394">
                  <v>-111.5854952164614</v>
                </pt>
                <pt idx="395">
                  <v>-111.6620117110742</v>
                </pt>
                <pt idx="396">
                  <v>-111.7388993624923</v>
                </pt>
                <pt idx="397">
                  <v>-111.8180338468166</v>
                </pt>
                <pt idx="398">
                  <v>-111.8975485252801</v>
                </pt>
                <pt idx="399">
                  <v>-111.97743891441</v>
                </pt>
                <pt idx="400">
                  <v>-112.0577006429771</v>
                </pt>
                <pt idx="401">
                  <v>-112.1401537163083</v>
                </pt>
                <pt idx="402">
                  <v>-112.2229861842699</v>
                </pt>
                <pt idx="403">
                  <v>-112.3061937171518</v>
                </pt>
                <pt idx="404">
                  <v>-112.389772094933</v>
                </pt>
                <pt idx="405">
                  <v>-112.4756672682698</v>
                </pt>
                <pt idx="406">
                  <v>-112.5619420776908</v>
                </pt>
                <pt idx="407">
                  <v>-112.6485923399993</v>
                </pt>
                <pt idx="408">
                  <v>-112.7356139794377</v>
                </pt>
                <pt idx="409">
                  <v>-112.825081413922</v>
                </pt>
                <pt idx="410">
                  <v>-112.9149297499657</v>
                </pt>
                <pt idx="411">
                  <v>-113.0051549454981</v>
                </pt>
                <pt idx="412">
                  <v>-113.0957530638955</v>
                </pt>
                <pt idx="413">
                  <v>-113.1888334471703</v>
                </pt>
                <pt idx="414">
                  <v>-113.2822962316572</v>
                </pt>
                <pt idx="415">
                  <v>-113.3761375245996</v>
                </pt>
                <pt idx="416">
                  <v>-113.4703535364953</v>
                </pt>
                <pt idx="417">
                  <v>-113.5671855227914</v>
                </pt>
                <pt idx="418">
                  <v>-113.6644024730353</v>
                </pt>
                <pt idx="419">
                  <v>-113.762000639839</v>
                </pt>
                <pt idx="420">
                  <v>-113.8599763771044</v>
                </pt>
                <pt idx="421">
                  <v>-113.9605070966658</v>
                </pt>
                <pt idx="422">
                  <v>-114.0614248939298</v>
                </pt>
                <pt idx="423">
                  <v>-114.1627261854085</v>
                </pt>
                <pt idx="424">
                  <v>-114.2644074863618</v>
                </pt>
                <pt idx="425">
                  <v>-114.3689813952238</v>
                </pt>
                <pt idx="426">
                  <v>-114.4739471442666</v>
                </pt>
                <pt idx="427">
                  <v>-114.5793012899941</v>
                </pt>
                <pt idx="428">
                  <v>-114.6850404860939</v>
                </pt>
                <pt idx="429">
                  <v>-114.793612551562</v>
                </pt>
                <pt idx="430">
                  <v>-114.9025808409002</v>
                </pt>
                <pt idx="431">
                  <v>-115.0119420693761</v>
                </pt>
                <pt idx="432">
                  <v>-115.1216930472958</v>
                </pt>
                <pt idx="433">
                  <v>-115.2343170834036</v>
                </pt>
                <pt idx="434">
                  <v>-115.3473421805481</v>
                </pt>
                <pt idx="435">
                  <v>-115.4607652197591</v>
                </pt>
                <pt idx="436">
                  <v>-115.5745831747952</v>
                </pt>
                <pt idx="437">
                  <v>-115.6915246521876</v>
                </pt>
                <pt idx="438">
                  <v>-115.808873993895</v>
                </pt>
                <pt idx="439">
                  <v>-115.9266282371492</v>
                </pt>
                <pt idx="440">
                  <v>-116.0447845101006</v>
                </pt>
                <pt idx="441">
                  <v>-116.1661092941386</v>
                </pt>
                <pt idx="442">
                  <v>-116.2878492716824</v>
                </pt>
                <pt idx="443">
                  <v>-116.4100016445333</v>
                </pt>
                <pt idx="444">
                  <v>-116.5325637033984</v>
                </pt>
                <pt idx="445">
                  <v>-116.6583396497747</v>
                </pt>
                <pt idx="446">
                  <v>-116.7845387070031</v>
                </pt>
                <pt idx="447">
                  <v>-116.9111582488513</v>
                </pt>
                <pt idx="448">
                  <v>-117.0381957357976</v>
                </pt>
                <pt idx="449">
                  <v>-117.1687117945106</v>
                </pt>
                <pt idx="450">
                  <v>-117.2996609730454</v>
                </pt>
                <pt idx="451">
                  <v>-117.4310408114676</v>
                </pt>
                <pt idx="452">
                  <v>-117.5628489347485</v>
                </pt>
                <pt idx="453">
                  <v>-117.698075670573</v>
                </pt>
                <pt idx="454">
                  <v>-117.833745501488</v>
                </pt>
                <pt idx="455">
                  <v>-117.9698561477017</v>
                </pt>
                <pt idx="456">
                  <v>-118.1064054120323</v>
                </pt>
                <pt idx="457">
                  <v>-118.2466473527</v>
                </pt>
                <pt idx="458">
                  <v>-118.387344571706</v>
                </pt>
                <pt idx="459">
                  <v>-118.5284949654091</v>
                </pt>
                <pt idx="460">
                  <v>-118.67009651081</v>
                </pt>
                <pt idx="461">
                  <v>-118.81544551854</v>
                </pt>
                <pt idx="462">
                  <v>-118.9612628007247</v>
                </pt>
                <pt idx="463">
                  <v>-119.1075464374139</v>
                </pt>
                <pt idx="464">
                  <v>-119.2542945870914</v>
                </pt>
                <pt idx="465">
                  <v>-119.4049612758517</v>
                </pt>
                <pt idx="466">
                  <v>-119.5561108456028</v>
                </pt>
                <pt idx="467">
                  <v>-119.7077415625463</v>
                </pt>
                <pt idx="468">
                  <v>-119.8598517691028</v>
                </pt>
                <pt idx="469">
                  <v>-120.0159398513169</v>
                </pt>
                <pt idx="470">
                  <v>-120.1725263618516</v>
                </pt>
                <pt idx="471">
                  <v>-120.3296097594012</v>
                </pt>
                <pt idx="472">
                  <v>-120.4871885763943</v>
                </pt>
                <pt idx="473">
                  <v>-120.6490423190947</v>
                </pt>
                <pt idx="474">
                  <v>-120.8114125389677</v>
                </pt>
                <pt idx="475">
                  <v>-120.9742978863949</v>
                </pt>
                <pt idx="476">
                  <v>-121.1376970831408</v>
                </pt>
                <pt idx="477">
                  <v>-121.3054380451223</v>
                </pt>
                <pt idx="478">
                  <v>-121.4737146165242</v>
                </pt>
                <pt idx="479">
                  <v>-121.6425256451709</v>
                </pt>
                <pt idx="480">
                  <v>-121.8118700475666</v>
                </pt>
                <pt idx="481">
                  <v>-121.9856248390141</v>
                </pt>
                <pt idx="482">
                  <v>-122.1599355121968</v>
                </pt>
                <pt idx="483">
                  <v>-122.3348011163116</v>
                </pt>
                <pt idx="484">
                  <v>-122.5102207661609</v>
                </pt>
                <pt idx="485">
                  <v>-122.6902440813915</v>
                </pt>
                <pt idx="486">
                  <v>-122.8708455260533</v>
                </pt>
                <pt idx="487">
                  <v>-123.0520243511624</v>
                </pt>
                <pt idx="488">
                  <v>-123.233779870032</v>
                </pt>
                <pt idx="489">
                  <v>-123.4204626608071</v>
                </pt>
                <pt idx="490">
                  <v>-123.6077486866857</v>
                </pt>
                <pt idx="491">
                  <v>-123.7956373991182</v>
                </pt>
                <pt idx="492">
                  <v>-123.984128308378</v>
                </pt>
                <pt idx="493">
                  <v>-124.1776285708776</v>
                </pt>
                <pt idx="494">
                  <v>-124.3717585254695</v>
                </pt>
                <pt idx="495">
                  <v>-124.566517824004</v>
                </pt>
                <pt idx="496">
                  <v>-124.7619061730917</v>
                </pt>
                <pt idx="497">
                  <v>-124.9625160533835</v>
                </pt>
                <pt idx="498">
                  <v>-125.1637843017088</v>
                </pt>
                <pt idx="499">
                  <v>-125.3657107667999</v>
                </pt>
                <pt idx="500">
                  <v>-125.5682953475553</v>
                </pt>
                <pt idx="501">
                  <v>-125.7763204908105</v>
                </pt>
                <pt idx="502">
                  <v>-125.9850349704585</v>
                </pt>
                <pt idx="503">
                  <v>-126.1944388260686</v>
                </pt>
                <pt idx="504">
                  <v>-126.4045321421175</v>
                </pt>
                <pt idx="505">
                  <v>-126.6201612115787</v>
                </pt>
                <pt idx="506">
                  <v>-126.8365120671745</v>
                </pt>
                <pt idx="507">
                  <v>-127.0535849294856</v>
                </pt>
                <pt idx="508">
                  <v>-127.271380057828</v>
                </pt>
                <pt idx="509">
                  <v>-127.494941848085</v>
                </pt>
                <pt idx="510">
                  <v>-127.7192602385426</v>
                </pt>
                <pt idx="511">
                  <v>-127.9443356164452</v>
                </pt>
                <pt idx="512">
                  <v>-128.1701684006396</v>
                </pt>
                <pt idx="513">
                  <v>-128.4021408697002</v>
                </pt>
                <pt idx="514">
                  <v>-128.6349080666855</v>
                </pt>
                <pt idx="515">
                  <v>-128.8684705268294</v>
                </pt>
                <pt idx="516">
                  <v>-129.1028288087157</v>
                </pt>
                <pt idx="517">
                  <v>-129.3434394801852</v>
                </pt>
                <pt idx="518">
                  <v>-129.5848845113171</v>
                </pt>
                <pt idx="519">
                  <v>-129.8271645583606</v>
                </pt>
                <pt idx="520">
                  <v>-130.0702802911684</v>
                </pt>
                <pt idx="521">
                  <v>-130.3199027859207</v>
                </pt>
                <pt idx="522">
                  <v>-130.5704016473871</v>
                </pt>
                <pt idx="523">
                  <v>-130.8217776182996</v>
                </pt>
                <pt idx="524">
                  <v>-131.0740314435508</v>
                </pt>
                <pt idx="525">
                  <v>-131.3330546036246</v>
                </pt>
                <pt idx="526">
                  <v>-131.5929984484336</v>
                </pt>
                <pt idx="527">
                  <v>-131.8538637626168</v>
                </pt>
                <pt idx="528">
                  <v>-132.1156513195129</v>
                </pt>
                <pt idx="529">
                  <v>-132.3844791052756</v>
                </pt>
                <pt idx="530">
                  <v>-132.6542740913302</v>
                </pt>
                <pt idx="531">
                  <v>-132.9250370474589</v>
                </pt>
                <pt idx="532">
                  <v>-133.1967687162977</v>
                </pt>
                <pt idx="533">
                  <v>-133.4759642050489</v>
                </pt>
                <pt idx="534">
                  <v>-133.756176482323</v>
                </pt>
                <pt idx="535">
                  <v>-134.0374062326392</v>
                </pt>
                <pt idx="536">
                  <v>-134.3196540946265</v>
                </pt>
                <pt idx="537">
                  <v>-134.609363720656</v>
                </pt>
                <pt idx="538">
                  <v>-134.9001394002317</v>
                </pt>
                <pt idx="539">
                  <v>-135.1919816414979</v>
                </pt>
                <pt idx="540">
                  <v>-135.4848908848993</v>
                </pt>
                <pt idx="541">
                  <v>-135.7858516481297</v>
                </pt>
                <pt idx="542">
                  <v>-136.0879313160339</v>
                </pt>
                <pt idx="543">
                  <v>-136.3911301121261</v>
                </pt>
                <pt idx="544">
                  <v>-136.6954481663763</v>
                </pt>
                <pt idx="545">
                  <v>-137.0079739614049</v>
                </pt>
                <pt idx="546">
                  <v>-137.3216714232621</v>
                </pt>
                <pt idx="547">
                  <v>-137.6365403558103</v>
                </pt>
                <pt idx="548">
                  <v>-137.9525804393645</v>
                </pt>
                <pt idx="549">
                  <v>-138.2771394215704</v>
                </pt>
                <pt idx="550">
                  <v>-138.6029232426179</v>
                </pt>
                <pt idx="551">
                  <v>-138.9299311243474</v>
                </pt>
                <pt idx="552">
                  <v>-139.2581621302121</v>
                </pt>
                <pt idx="553">
                  <v>-139.59538535731</v>
                </pt>
                <pt idx="554">
                  <v>-139.9338874539182</v>
                </pt>
                <pt idx="555">
                  <v>-140.2736668628362</v>
                </pt>
                <pt idx="556">
                  <v>-140.614721827894</v>
                </pt>
                <pt idx="557">
                  <v>-141.3168026224857</v>
                </pt>
                <pt idx="558">
                  <v>-142.0241997582542</v>
                </pt>
                <pt idx="559">
                  <v>-142.7532873345119</v>
                </pt>
                <pt idx="560">
                  <v>-143.4878834011705</v>
                </pt>
                <pt idx="561">
                  <v>-144.245578439268</v>
                </pt>
                <pt idx="562">
                  <v>-145.0089679128227</v>
                </pt>
                <pt idx="563">
                  <v>-145.7945680972086</v>
                </pt>
                <pt idx="564">
                  <v>-146.5860017650394</v>
                </pt>
                <pt idx="565">
                  <v>-147.4033759340683</v>
                </pt>
                <pt idx="566">
                  <v>-148.2267365316656</v>
                </pt>
                <pt idx="567">
                  <v>-149.076463759156</v>
                </pt>
                <pt idx="568">
                  <v>-149.9322857216146</v>
                </pt>
                <pt idx="569">
                  <v>-150.811389137848</v>
                </pt>
                <pt idx="570">
                  <v>-151.6965928513322</v>
                </pt>
                <pt idx="571">
                  <v>-152.612305999914</v>
                </pt>
                <pt idx="572">
                  <v>-153.5341540478187</v>
                </pt>
                <pt idx="573">
                  <v>-154.4797278756193</v>
                </pt>
                <pt idx="574">
                  <v>-155.4312989176675</v>
                </pt>
                <pt idx="575">
                  <v>-156.4138341473071</v>
                </pt>
                <pt idx="576">
                  <v>-157.4022264411784</v>
                </pt>
                <pt idx="577">
                  <v>-161.6454424069466</v>
                </pt>
                <pt idx="578">
                  <v>-165.9667326845094</v>
                </pt>
                <pt idx="579">
                  <v>-175.5776628879572</v>
                </pt>
                <pt idx="580">
                  <v>-186.0357433746473</v>
                </pt>
                <pt idx="581">
                  <v>-196.9200940337691</v>
                </pt>
                <pt idx="582">
                  <v>-207.7172601138157</v>
                </pt>
                <pt idx="583">
                  <v>-217.93428071279</v>
                </pt>
                <pt idx="584">
                  <v>-227.2526079628954</v>
                </pt>
                <pt idx="585">
                  <v>-235.5292654975936</v>
                </pt>
                <pt idx="586">
                  <v>-242.7710228427381</v>
                </pt>
                <pt idx="587">
                  <v>-249.0625610259185</v>
                </pt>
                <pt idx="588">
                  <v>-254.5048690703974</v>
                </pt>
                <pt idx="589">
                  <v>-259.2071202908395</v>
                </pt>
                <pt idx="590">
                  <v>-263.2581010587774</v>
                </pt>
                <pt idx="591">
                  <v>-266.7333276510465</v>
                </pt>
                <pt idx="592">
                  <v>-269.6939727985782</v>
                </pt>
                <pt idx="593">
                  <v>-272.1924271918574</v>
                </pt>
                <pt idx="594">
                  <v>-274.2729926177868</v>
                </pt>
                <pt idx="595">
                  <v>-275.9774009393564</v>
                </pt>
                <pt idx="596">
                  <v>-277.3448891292293</v>
                </pt>
                <pt idx="597">
                  <v>-278.4147439658679</v>
                </pt>
                <pt idx="598">
                  <v>-279.2255237274018</v>
                </pt>
                <pt idx="599">
                  <v>-279.8159347185397</v>
                </pt>
                <pt idx="600">
                  <v>-280.2235209395023</v>
                </pt>
              </numCache>
            </numRef>
          </yVal>
          <smooth val="0"/>
        </ser>
        <ser>
          <idx val="17"/>
          <order val="7"/>
          <tx>
            <v>Fc1</v>
          </tx>
          <spPr>
            <a:ln xmlns:a="http://schemas.openxmlformats.org/drawingml/2006/main" w="25400">
              <a:solidFill>
                <a:schemeClr val="tx1">
                  <a:lumMod val="50000"/>
                  <a:lumOff val="50000"/>
                </a:schemeClr>
              </a:solidFill>
              <a:prstDash val="sysDash"/>
            </a:ln>
          </spPr>
          <marker>
            <symbol val="plus"/>
            <size val="10"/>
            <spPr>
              <a:noFill xmlns:a="http://schemas.openxmlformats.org/drawingml/2006/main"/>
              <a:ln xmlns:a="http://schemas.openxmlformats.org/drawingml/2006/main" w="28575">
                <a:solidFill>
                  <a:schemeClr val="tx1"/>
                </a:solidFill>
                <a:prstDash val="solid"/>
              </a:ln>
            </spPr>
          </marker>
          <dPt>
            <idx val="2"/>
            <marker>
              <symbol val="none"/>
              <spPr>
                <a:ln xmlns:a="http://schemas.openxmlformats.org/drawingml/2006/main">
                  <a:prstDash val="solid"/>
                </a:ln>
              </spPr>
            </marker>
            <bubble3D val="0"/>
            <spPr>
              <a:ln xmlns:a="http://schemas.openxmlformats.org/drawingml/2006/main">
                <a:prstDash val="solid"/>
              </a:ln>
            </spPr>
          </dPt>
          <xVal>
            <numRef>
              <f>'Stability Calculations'!$A$617:$A$618</f>
              <numCache>
                <formatCode>General</formatCode>
                <ptCount val="2"/>
                <pt idx="0">
                  <v>40274.5</v>
                </pt>
                <pt idx="1">
                  <v>40274.5</v>
                </pt>
              </numCache>
            </numRef>
          </xVal>
          <yVal>
            <numRef>
              <f>'Stability Calculations'!$V$617:$V$618</f>
              <numCache>
                <formatCode>0.00</formatCode>
                <ptCount val="2"/>
                <pt idx="0">
                  <v>-112.5619420776908</v>
                </pt>
                <pt idx="1">
                  <v>-135</v>
                </pt>
              </numCache>
            </numRef>
          </yVal>
          <smooth val="0"/>
        </ser>
        <ser>
          <idx val="18"/>
          <order val="8"/>
          <tx>
            <v>Fc2</v>
          </tx>
          <spPr>
            <a:ln xmlns:a="http://schemas.openxmlformats.org/drawingml/2006/main" w="22225">
              <a:solidFill>
                <a:schemeClr val="tx1">
                  <a:lumMod val="50000"/>
                  <a:lumOff val="50000"/>
                </a:schemeClr>
              </a:solidFill>
              <a:prstDash val="sysDash"/>
            </a:ln>
          </spPr>
          <marker>
            <symbol val="none"/>
            <spPr>
              <a:ln xmlns:a="http://schemas.openxmlformats.org/drawingml/2006/main">
                <a:prstDash val="solid"/>
              </a:ln>
            </spPr>
          </marker>
          <xVal>
            <numRef>
              <f>'Stability Calculations'!$A$619:$A$620</f>
              <numCache>
                <formatCode>General</formatCode>
                <ptCount val="2"/>
                <pt idx="0">
                  <v>40274.5</v>
                </pt>
                <pt idx="1">
                  <v>1000000</v>
                </pt>
              </numCache>
            </numRef>
          </xVal>
          <yVal>
            <numRef>
              <f>'Stability Calculations'!$V$619:$V$620</f>
              <numCache>
                <formatCode>0.00</formatCode>
                <ptCount val="2"/>
                <pt idx="1">
                  <v>-112.5619420776908</v>
                </pt>
              </numCache>
            </numRef>
          </yVal>
          <smooth val="0"/>
        </ser>
        <dLbls>
          <showLegendKey val="0"/>
          <showVal val="0"/>
          <showCatName val="0"/>
          <showSerName val="0"/>
          <showPercent val="0"/>
          <showBubbleSize val="0"/>
        </dLbls>
        <axId val="333075584"/>
        <axId val="333077120"/>
      </scatterChart>
      <valAx>
        <axId val="333063296"/>
        <scaling>
          <logBase val="10"/>
          <orientation val="minMax"/>
          <max val="1000000"/>
          <min val="10"/>
        </scaling>
        <delete val="0"/>
        <axPos val="b"/>
        <majorGridlines>
          <spPr>
            <a:ln xmlns:a="http://schemas.openxmlformats.org/drawingml/2006/main" w="3175">
              <a:solidFill>
                <a:srgbClr val="969696"/>
              </a:solidFill>
              <a:prstDash val="solid"/>
            </a:ln>
          </spPr>
        </majorGridlines>
        <minorGridlines>
          <spPr>
            <a:ln xmlns:a="http://schemas.openxmlformats.org/drawingml/2006/main" w="3175">
              <a:solidFill>
                <a:srgbClr val="969696"/>
              </a:solidFill>
              <a:prstDash val="solid"/>
            </a:ln>
          </spPr>
        </minorGridlines>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pitchFamily="34" charset="0"/>
                    <a:ea typeface="Calibri"/>
                    <a:cs typeface="Arial" pitchFamily="34" charset="0"/>
                  </a:defRPr>
                </a:pPr>
                <a:r>
                  <a:rPr lang="en-US" sz="1200">
                    <a:latin typeface="Arial" pitchFamily="34" charset="0"/>
                    <a:cs typeface="Arial" pitchFamily="34" charset="0"/>
                  </a:rPr>
                  <a:t>Frequency (Hz)</a:t>
                </a:r>
              </a:p>
            </rich>
          </tx>
          <layout>
            <manualLayout>
              <xMode val="edge"/>
              <yMode val="edge"/>
              <wMode val="factor"/>
              <hMode val="factor"/>
              <x val="0.4312933525869784"/>
              <y val="0.9382870884753075"/>
            </manualLayout>
          </layout>
          <overlay val="0"/>
          <spPr>
            <a:noFill xmlns:a="http://schemas.openxmlformats.org/drawingml/2006/main"/>
            <a:ln xmlns:a="http://schemas.openxmlformats.org/drawingml/2006/main" w="25400">
              <a:noFill/>
              <a:prstDash val="solid"/>
            </a:ln>
          </spPr>
        </title>
        <numFmt formatCode="General" sourceLinked="0"/>
        <majorTickMark val="in"/>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000000"/>
                </a:solidFill>
                <a:latin typeface="Arial" pitchFamily="34" charset="0"/>
                <a:ea typeface="Calibri"/>
                <a:cs typeface="Arial" pitchFamily="34" charset="0"/>
              </a:defRPr>
            </a:pPr>
            <a:r>
              <a:t/>
            </a:r>
            <a:endParaRPr lang="en-US"/>
          </a:p>
        </txPr>
        <crossAx val="333065216"/>
        <crossesAt val="-80"/>
        <crossBetween val="midCat"/>
      </valAx>
      <valAx>
        <axId val="333065216"/>
        <scaling>
          <orientation val="minMax"/>
          <max val="80"/>
          <min val="-40"/>
        </scaling>
        <delete val="0"/>
        <axPos val="l"/>
        <majorGridlines>
          <spPr>
            <a:ln xmlns:a="http://schemas.openxmlformats.org/drawingml/2006/main" w="3175">
              <a:solidFill>
                <a:srgbClr val="969696"/>
              </a:solidFill>
              <a:prstDash val="solid"/>
            </a:ln>
          </spPr>
        </majorGridlines>
        <title>
          <tx>
            <rich>
              <a:bodyPr xmlns:a="http://schemas.openxmlformats.org/drawingml/2006/main"/>
              <a:lstStyle xmlns:a="http://schemas.openxmlformats.org/drawingml/2006/main"/>
              <a:p xmlns:a="http://schemas.openxmlformats.org/drawingml/2006/main">
                <a:pPr>
                  <a:defRPr sz="1200" b="1" i="0" strike="noStrike" baseline="0">
                    <a:solidFill>
                      <a:srgbClr val="FF0000"/>
                    </a:solidFill>
                    <a:latin typeface="Arial" pitchFamily="34" charset="0"/>
                    <a:ea typeface="Calibri"/>
                    <a:cs typeface="Arial" pitchFamily="34" charset="0"/>
                  </a:defRPr>
                </a:pPr>
                <a:r>
                  <a:rPr lang="en-US" sz="1200">
                    <a:solidFill>
                      <a:srgbClr val="FF0000"/>
                    </a:solidFill>
                    <a:latin typeface="Arial" pitchFamily="34" charset="0"/>
                    <a:cs typeface="Arial" pitchFamily="34" charset="0"/>
                  </a:rPr>
                  <a:t>Loop Gain (dB)</a:t>
                </a:r>
              </a:p>
            </rich>
          </tx>
          <layout>
            <manualLayout>
              <xMode val="edge"/>
              <yMode val="edge"/>
              <wMode val="factor"/>
              <hMode val="factor"/>
              <x val="0.01800082884376296"/>
              <y val="0.3741503322722958"/>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FF0000"/>
                </a:solidFill>
                <a:latin typeface="Arial" pitchFamily="34" charset="0"/>
                <a:ea typeface="Calibri"/>
                <a:cs typeface="Arial" pitchFamily="34" charset="0"/>
              </a:defRPr>
            </a:pPr>
            <a:r>
              <a:t/>
            </a:r>
            <a:endParaRPr lang="en-US"/>
          </a:p>
        </txPr>
        <crossAx val="333063296"/>
        <crossesAt val="0.01000000000000001"/>
        <crossBetween val="midCat"/>
        <majorUnit val="20"/>
      </valAx>
      <valAx>
        <axId val="333075584"/>
        <scaling>
          <logBase val="10"/>
          <orientation val="minMax"/>
        </scaling>
        <delete val="1"/>
        <axPos val="b"/>
        <numFmt formatCode="General" sourceLinked="1"/>
        <majorTickMark val="out"/>
        <minorTickMark val="none"/>
        <crossAx val="333077120"/>
        <crosses val="autoZero"/>
        <crossBetween val="midCat"/>
      </valAx>
      <valAx>
        <axId val="333077120"/>
        <scaling>
          <orientation val="minMax"/>
          <max val="-45"/>
          <min val="-180"/>
        </scaling>
        <delete val="0"/>
        <axPos val="r"/>
        <title>
          <tx>
            <rich>
              <a:bodyPr xmlns:a="http://schemas.openxmlformats.org/drawingml/2006/main"/>
              <a:lstStyle xmlns:a="http://schemas.openxmlformats.org/drawingml/2006/main"/>
              <a:p xmlns:a="http://schemas.openxmlformats.org/drawingml/2006/main">
                <a:pPr>
                  <a:defRPr sz="1200" b="1" i="0" strike="noStrike" baseline="0">
                    <a:solidFill>
                      <a:srgbClr val="002060"/>
                    </a:solidFill>
                    <a:latin typeface="Arial" pitchFamily="34" charset="0"/>
                    <a:ea typeface="Calibri"/>
                    <a:cs typeface="Arial" pitchFamily="34" charset="0"/>
                  </a:defRPr>
                </a:pPr>
                <a:r>
                  <a:rPr lang="en-US" sz="1200" b="1">
                    <a:solidFill>
                      <a:srgbClr val="002060"/>
                    </a:solidFill>
                    <a:latin typeface="Arial" pitchFamily="34" charset="0"/>
                    <a:cs typeface="Arial" pitchFamily="34" charset="0"/>
                  </a:rPr>
                  <a:t>Loop Phase  (°)</a:t>
                </a:r>
              </a:p>
            </rich>
          </tx>
          <layout>
            <manualLayout>
              <xMode val="edge"/>
              <yMode val="edge"/>
              <wMode val="factor"/>
              <hMode val="factor"/>
              <x val="0.9649302942395358"/>
              <y val="0.3676377952755906"/>
            </manualLayout>
          </layout>
          <overlay val="0"/>
          <spPr>
            <a:noFill xmlns:a="http://schemas.openxmlformats.org/drawingml/2006/main"/>
            <a:ln xmlns:a="http://schemas.openxmlformats.org/drawingml/2006/main" w="25400">
              <a:noFill/>
              <a:prstDash val="solid"/>
            </a:ln>
          </spPr>
        </title>
        <numFmt formatCode="0" sourceLinked="0"/>
        <majorTickMark val="cross"/>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050" b="1" i="0" strike="noStrike" baseline="0">
                <a:solidFill>
                  <a:srgbClr val="002060"/>
                </a:solidFill>
                <a:latin typeface="Arial" pitchFamily="34" charset="0"/>
                <a:ea typeface="Calibri"/>
                <a:cs typeface="Arial" pitchFamily="34" charset="0"/>
              </a:defRPr>
            </a:pPr>
            <a:r>
              <a:t/>
            </a:r>
            <a:endParaRPr lang="en-US"/>
          </a:p>
        </txPr>
        <crossAx val="333075584"/>
        <crosses val="max"/>
        <crossBetween val="midCat"/>
        <majorUnit val="45"/>
      </valAx>
    </plotArea>
    <plotVisOnly val="1"/>
    <dispBlanksAs val="span"/>
  </chart>
  <spPr>
    <a:noFill xmlns:a="http://schemas.openxmlformats.org/drawingml/2006/main"/>
    <a:ln xmlns:a="http://schemas.openxmlformats.org/drawingml/2006/main" w="9525">
      <a:no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2000" b="1" i="0" strike="noStrike" baseline="0">
                <a:solidFill>
                  <a:srgbClr val="000000"/>
                </a:solidFill>
                <a:latin typeface="Arial" pitchFamily="34" charset="0"/>
                <a:ea typeface="Calibri"/>
                <a:cs typeface="Arial" pitchFamily="34" charset="0"/>
              </a:defRPr>
            </a:pPr>
            <a:r>
              <a:rPr lang="en-US" sz="2000">
                <a:latin typeface="Arial" pitchFamily="34" charset="0"/>
                <a:cs typeface="Arial" pitchFamily="34" charset="0"/>
              </a:rPr>
              <a:t>Filter Attenuations (lower = better)</a:t>
            </a:r>
          </a:p>
        </rich>
      </tx>
      <layout>
        <manualLayout>
          <xMode val="edge"/>
          <yMode val="edge"/>
          <wMode val="factor"/>
          <hMode val="factor"/>
          <x val="0.08035861306810332"/>
          <y val="0.02062992125984252"/>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8686555046770039"/>
          <y val="0.1126461911693121"/>
          <w val="0.808611972040729"/>
          <h val="0.762051843542218"/>
        </manualLayout>
      </layout>
      <scatterChart>
        <scatterStyle val="smoothMarker"/>
        <varyColors val="0"/>
        <ser>
          <idx val="0"/>
          <order val="0"/>
          <tx>
            <v>AEF</v>
          </tx>
          <spPr>
            <a:ln xmlns:a="http://schemas.openxmlformats.org/drawingml/2006/main" w="31750">
              <a:solidFill>
                <a:srgbClr val="FF0000"/>
              </a:solidFill>
              <a:prstDash val="solid"/>
            </a:ln>
          </spPr>
          <marker>
            <symbol val="none"/>
            <spPr>
              <a:ln xmlns:a="http://schemas.openxmlformats.org/drawingml/2006/main">
                <a:prstDash val="solid"/>
              </a:ln>
            </spPr>
          </marker>
          <xVal>
            <numRef>
              <f>'Input Filter Calculations'!$A$13:$A$96</f>
              <numCache>
                <formatCode>General</formatCode>
                <ptCount val="84"/>
                <pt idx="0">
                  <v>1</v>
                </pt>
                <pt idx="1">
                  <v>2</v>
                </pt>
                <pt idx="2">
                  <v>3</v>
                </pt>
                <pt idx="3">
                  <v>4</v>
                </pt>
                <pt idx="4">
                  <v>5</v>
                </pt>
                <pt idx="5">
                  <v>6</v>
                </pt>
                <pt idx="6">
                  <v>7</v>
                </pt>
                <pt idx="7">
                  <v>8</v>
                </pt>
                <pt idx="8">
                  <v>9</v>
                </pt>
                <pt idx="9">
                  <v>10</v>
                </pt>
                <pt idx="10">
                  <v>20</v>
                </pt>
                <pt idx="11">
                  <v>30</v>
                </pt>
                <pt idx="12">
                  <v>40</v>
                </pt>
                <pt idx="13">
                  <v>50</v>
                </pt>
                <pt idx="14">
                  <v>60</v>
                </pt>
                <pt idx="15">
                  <v>70</v>
                </pt>
                <pt idx="16">
                  <v>80</v>
                </pt>
                <pt idx="17">
                  <v>90</v>
                </pt>
                <pt idx="18">
                  <v>100</v>
                </pt>
                <pt idx="19">
                  <v>200</v>
                </pt>
                <pt idx="20">
                  <v>300</v>
                </pt>
                <pt idx="21">
                  <v>400</v>
                </pt>
                <pt idx="22">
                  <v>500</v>
                </pt>
                <pt idx="23">
                  <v>600</v>
                </pt>
                <pt idx="24">
                  <v>700</v>
                </pt>
                <pt idx="25">
                  <v>800</v>
                </pt>
                <pt idx="26">
                  <v>900</v>
                </pt>
                <pt idx="27">
                  <v>1000</v>
                </pt>
                <pt idx="28">
                  <v>2000</v>
                </pt>
                <pt idx="29">
                  <v>3000</v>
                </pt>
                <pt idx="30">
                  <v>4000</v>
                </pt>
                <pt idx="31">
                  <v>5000</v>
                </pt>
                <pt idx="32">
                  <v>6000</v>
                </pt>
                <pt idx="33">
                  <v>7000</v>
                </pt>
                <pt idx="34">
                  <v>8000</v>
                </pt>
                <pt idx="35">
                  <v>9000</v>
                </pt>
                <pt idx="36">
                  <v>10000</v>
                </pt>
                <pt idx="37">
                  <v>11000</v>
                </pt>
                <pt idx="38">
                  <v>12000</v>
                </pt>
                <pt idx="39">
                  <v>13000</v>
                </pt>
                <pt idx="40">
                  <v>15000</v>
                </pt>
                <pt idx="41">
                  <v>16000</v>
                </pt>
                <pt idx="42">
                  <v>17500</v>
                </pt>
                <pt idx="43">
                  <v>19000</v>
                </pt>
                <pt idx="44">
                  <v>20000</v>
                </pt>
                <pt idx="45">
                  <v>25000</v>
                </pt>
                <pt idx="46">
                  <v>30000</v>
                </pt>
                <pt idx="47">
                  <v>35000</v>
                </pt>
                <pt idx="48">
                  <v>40000</v>
                </pt>
                <pt idx="49">
                  <v>45000</v>
                </pt>
                <pt idx="50">
                  <v>50000</v>
                </pt>
                <pt idx="51">
                  <v>55000</v>
                </pt>
                <pt idx="52">
                  <v>60000</v>
                </pt>
                <pt idx="53">
                  <v>65000</v>
                </pt>
                <pt idx="54">
                  <v>70000</v>
                </pt>
                <pt idx="55">
                  <v>75000</v>
                </pt>
                <pt idx="56">
                  <v>80000</v>
                </pt>
                <pt idx="57">
                  <v>90000</v>
                </pt>
                <pt idx="58">
                  <v>100000</v>
                </pt>
                <pt idx="59">
                  <v>110000</v>
                </pt>
                <pt idx="60">
                  <v>120000</v>
                </pt>
                <pt idx="61">
                  <v>130000</v>
                </pt>
                <pt idx="62">
                  <v>150000</v>
                </pt>
                <pt idx="63">
                  <v>160000</v>
                </pt>
                <pt idx="64">
                  <v>175000</v>
                </pt>
                <pt idx="65">
                  <v>190000</v>
                </pt>
                <pt idx="66">
                  <formatCode>0.00E+00</formatCode>
                  <v>200000</v>
                </pt>
                <pt idx="67">
                  <v>300000</v>
                </pt>
                <pt idx="68">
                  <formatCode>0.00E+00</formatCode>
                  <v>400000</v>
                </pt>
                <pt idx="69">
                  <v>500000</v>
                </pt>
                <pt idx="70">
                  <formatCode>0.00E+00</formatCode>
                  <v>600000</v>
                </pt>
                <pt idx="71">
                  <v>700000</v>
                </pt>
                <pt idx="72">
                  <formatCode>0.00E+00</formatCode>
                  <v>800000</v>
                </pt>
                <pt idx="73">
                  <v>900000</v>
                </pt>
                <pt idx="74">
                  <formatCode>0.00E+00</formatCode>
                  <v>1000000</v>
                </pt>
                <pt idx="75">
                  <formatCode>0.00E+00</formatCode>
                  <v>2000000</v>
                </pt>
                <pt idx="76">
                  <formatCode>0.00E+00</formatCode>
                  <v>3000000</v>
                </pt>
                <pt idx="77">
                  <formatCode>0.00E+00</formatCode>
                  <v>4000000</v>
                </pt>
                <pt idx="78">
                  <formatCode>0.00E+00</formatCode>
                  <v>5000000</v>
                </pt>
                <pt idx="79">
                  <formatCode>0.00E+00</formatCode>
                  <v>6000000</v>
                </pt>
                <pt idx="80">
                  <formatCode>0.00E+00</formatCode>
                  <v>7000000</v>
                </pt>
                <pt idx="81">
                  <formatCode>0.00E+00</formatCode>
                  <v>8000000</v>
                </pt>
                <pt idx="82">
                  <formatCode>0.00E+00</formatCode>
                  <v>9000000</v>
                </pt>
                <pt idx="83">
                  <formatCode>0.00E+00</formatCode>
                  <v>10000000</v>
                </pt>
              </numCache>
            </numRef>
          </xVal>
          <yVal>
            <numRef>
              <f>'Input Filter Calculations'!$AM$13:$AM$96</f>
              <numCache>
                <formatCode>General</formatCode>
                <ptCount val="8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numCache>
            </numRef>
          </yVal>
          <smooth val="1"/>
        </ser>
        <ser>
          <idx val="1"/>
          <order val="1"/>
          <tx>
            <v>Passive</v>
          </tx>
          <spPr>
            <a:ln xmlns:a="http://schemas.openxmlformats.org/drawingml/2006/main">
              <a:solidFill>
                <a:srgbClr val="FFC000"/>
              </a:solidFill>
              <a:prstDash val="solid"/>
            </a:ln>
          </spPr>
          <marker>
            <symbol val="none"/>
            <spPr>
              <a:ln xmlns:a="http://schemas.openxmlformats.org/drawingml/2006/main">
                <a:prstDash val="solid"/>
              </a:ln>
            </spPr>
          </marker>
          <xVal>
            <numRef>
              <f>'Input Filter Calculations'!$A$13:$A$96</f>
              <numCache>
                <formatCode>General</formatCode>
                <ptCount val="84"/>
                <pt idx="0">
                  <v>1</v>
                </pt>
                <pt idx="1">
                  <v>2</v>
                </pt>
                <pt idx="2">
                  <v>3</v>
                </pt>
                <pt idx="3">
                  <v>4</v>
                </pt>
                <pt idx="4">
                  <v>5</v>
                </pt>
                <pt idx="5">
                  <v>6</v>
                </pt>
                <pt idx="6">
                  <v>7</v>
                </pt>
                <pt idx="7">
                  <v>8</v>
                </pt>
                <pt idx="8">
                  <v>9</v>
                </pt>
                <pt idx="9">
                  <v>10</v>
                </pt>
                <pt idx="10">
                  <v>20</v>
                </pt>
                <pt idx="11">
                  <v>30</v>
                </pt>
                <pt idx="12">
                  <v>40</v>
                </pt>
                <pt idx="13">
                  <v>50</v>
                </pt>
                <pt idx="14">
                  <v>60</v>
                </pt>
                <pt idx="15">
                  <v>70</v>
                </pt>
                <pt idx="16">
                  <v>80</v>
                </pt>
                <pt idx="17">
                  <v>90</v>
                </pt>
                <pt idx="18">
                  <v>100</v>
                </pt>
                <pt idx="19">
                  <v>200</v>
                </pt>
                <pt idx="20">
                  <v>300</v>
                </pt>
                <pt idx="21">
                  <v>400</v>
                </pt>
                <pt idx="22">
                  <v>500</v>
                </pt>
                <pt idx="23">
                  <v>600</v>
                </pt>
                <pt idx="24">
                  <v>700</v>
                </pt>
                <pt idx="25">
                  <v>800</v>
                </pt>
                <pt idx="26">
                  <v>900</v>
                </pt>
                <pt idx="27">
                  <v>1000</v>
                </pt>
                <pt idx="28">
                  <v>2000</v>
                </pt>
                <pt idx="29">
                  <v>3000</v>
                </pt>
                <pt idx="30">
                  <v>4000</v>
                </pt>
                <pt idx="31">
                  <v>5000</v>
                </pt>
                <pt idx="32">
                  <v>6000</v>
                </pt>
                <pt idx="33">
                  <v>7000</v>
                </pt>
                <pt idx="34">
                  <v>8000</v>
                </pt>
                <pt idx="35">
                  <v>9000</v>
                </pt>
                <pt idx="36">
                  <v>10000</v>
                </pt>
                <pt idx="37">
                  <v>11000</v>
                </pt>
                <pt idx="38">
                  <v>12000</v>
                </pt>
                <pt idx="39">
                  <v>13000</v>
                </pt>
                <pt idx="40">
                  <v>15000</v>
                </pt>
                <pt idx="41">
                  <v>16000</v>
                </pt>
                <pt idx="42">
                  <v>17500</v>
                </pt>
                <pt idx="43">
                  <v>19000</v>
                </pt>
                <pt idx="44">
                  <v>20000</v>
                </pt>
                <pt idx="45">
                  <v>25000</v>
                </pt>
                <pt idx="46">
                  <v>30000</v>
                </pt>
                <pt idx="47">
                  <v>35000</v>
                </pt>
                <pt idx="48">
                  <v>40000</v>
                </pt>
                <pt idx="49">
                  <v>45000</v>
                </pt>
                <pt idx="50">
                  <v>50000</v>
                </pt>
                <pt idx="51">
                  <v>55000</v>
                </pt>
                <pt idx="52">
                  <v>60000</v>
                </pt>
                <pt idx="53">
                  <v>65000</v>
                </pt>
                <pt idx="54">
                  <v>70000</v>
                </pt>
                <pt idx="55">
                  <v>75000</v>
                </pt>
                <pt idx="56">
                  <v>80000</v>
                </pt>
                <pt idx="57">
                  <v>90000</v>
                </pt>
                <pt idx="58">
                  <v>100000</v>
                </pt>
                <pt idx="59">
                  <v>110000</v>
                </pt>
                <pt idx="60">
                  <v>120000</v>
                </pt>
                <pt idx="61">
                  <v>130000</v>
                </pt>
                <pt idx="62">
                  <v>150000</v>
                </pt>
                <pt idx="63">
                  <v>160000</v>
                </pt>
                <pt idx="64">
                  <v>175000</v>
                </pt>
                <pt idx="65">
                  <v>190000</v>
                </pt>
                <pt idx="66">
                  <formatCode>0.00E+00</formatCode>
                  <v>200000</v>
                </pt>
                <pt idx="67">
                  <v>300000</v>
                </pt>
                <pt idx="68">
                  <formatCode>0.00E+00</formatCode>
                  <v>400000</v>
                </pt>
                <pt idx="69">
                  <v>500000</v>
                </pt>
                <pt idx="70">
                  <formatCode>0.00E+00</formatCode>
                  <v>600000</v>
                </pt>
                <pt idx="71">
                  <v>700000</v>
                </pt>
                <pt idx="72">
                  <formatCode>0.00E+00</formatCode>
                  <v>800000</v>
                </pt>
                <pt idx="73">
                  <v>900000</v>
                </pt>
                <pt idx="74">
                  <formatCode>0.00E+00</formatCode>
                  <v>1000000</v>
                </pt>
                <pt idx="75">
                  <formatCode>0.00E+00</formatCode>
                  <v>2000000</v>
                </pt>
                <pt idx="76">
                  <formatCode>0.00E+00</formatCode>
                  <v>3000000</v>
                </pt>
                <pt idx="77">
                  <formatCode>0.00E+00</formatCode>
                  <v>4000000</v>
                </pt>
                <pt idx="78">
                  <formatCode>0.00E+00</formatCode>
                  <v>5000000</v>
                </pt>
                <pt idx="79">
                  <formatCode>0.00E+00</formatCode>
                  <v>6000000</v>
                </pt>
                <pt idx="80">
                  <formatCode>0.00E+00</formatCode>
                  <v>7000000</v>
                </pt>
                <pt idx="81">
                  <formatCode>0.00E+00</formatCode>
                  <v>8000000</v>
                </pt>
                <pt idx="82">
                  <formatCode>0.00E+00</formatCode>
                  <v>9000000</v>
                </pt>
                <pt idx="83">
                  <formatCode>0.00E+00</formatCode>
                  <v>10000000</v>
                </pt>
              </numCache>
            </numRef>
          </xVal>
          <yVal>
            <numRef>
              <f>'Input Filter Calculations'!$AA$13:$AA$96</f>
              <numCache>
                <formatCode>General</formatCode>
                <ptCount val="84"/>
                <pt idx="0">
                  <v>3.427451254654731e-10</v>
                </pt>
                <pt idx="1">
                  <v>1.37106729125272e-09</v>
                </pt>
                <pt idx="2">
                  <v>3.084879707646286e-09</v>
                </pt>
                <pt idx="3">
                  <v>5.484271092367277e-09</v>
                </pt>
                <pt idx="4">
                  <v>8.569237587537674e-09</v>
                </pt>
                <pt idx="5">
                  <v>1.233969626026499e-08</v>
                </pt>
                <pt idx="6">
                  <v>1.679564325234666e-08</v>
                </pt>
                <pt idx="7">
                  <v>2.193716920950933e-08</v>
                </pt>
                <pt idx="8">
                  <v>2.77641854124089e-08</v>
                </pt>
                <pt idx="9">
                  <v>3.427677864913742e-08</v>
                </pt>
                <pt idx="10">
                  <v>1.371072005744298e-07</v>
                </pt>
                <pt idx="11">
                  <v>3.084912652697556e-07</v>
                </pt>
                <pt idx="12">
                  <v>5.48428878030377e-07</v>
                </pt>
                <pt idx="13">
                  <v>8.569200370324675e-07</v>
                </pt>
                <pt idx="14">
                  <v>1.233964906621975e-06</v>
                </pt>
                <pt idx="15">
                  <v>1.679563391081921e-06</v>
                </pt>
                <pt idx="16">
                  <v>2.193715566651063e-06</v>
                </pt>
                <pt idx="17">
                  <v>2.776421334366063e-06</v>
                </pt>
                <pt idx="18">
                  <v>3.427680682358515e-06</v>
                </pt>
                <pt idx="19">
                  <v>1.371072963965027e-05</v>
                </pt>
                <pt idx="20">
                  <v>3.084916708360373e-05</v>
                </pt>
                <pt idx="21">
                  <v>5.484302678363475e-05</v>
                </pt>
                <pt idx="22">
                  <v>8.569235607207209e-05</v>
                </pt>
                <pt idx="23">
                  <v>0.0001233972160130914</v>
                </pt>
                <pt idx="24">
                  <v>0.0001679576807054706</v>
                </pt>
                <pt idx="25">
                  <v>0.0002193738383266736</v>
                </pt>
                <pt idx="26">
                  <v>0.0002776457901786524</v>
                </pt>
                <pt idx="27">
                  <v>0.0003427736512898236</v>
                </pt>
                <pt idx="28">
                  <v>0.001371162239748539</v>
                </pt>
                <pt idx="29">
                  <v>0.003085368713860686</v>
                </pt>
                <pt idx="30">
                  <v>0.005485731469718045</v>
                </pt>
                <pt idx="31">
                  <v>0.008572724574098205</v>
                </pt>
                <pt idx="32">
                  <v>0.01234695807715732</v>
                </pt>
                <pt idx="33">
                  <v>0.01680917841515581</v>
                </pt>
                <pt idx="34">
                  <v>0.02196026890370109</v>
                </pt>
                <pt idx="35">
                  <v>0.02780125032205417</v>
                </pt>
                <pt idx="36">
                  <v>0.03433328158925668</v>
                </pt>
                <pt idx="37">
                  <v>0.04155766053308409</v>
                </pt>
                <pt idx="38">
                  <v>0.04947582475259341</v>
                </pt>
                <pt idx="39">
                  <v>0.05808935257490936</v>
                </pt>
                <pt idx="40">
                  <v>0.07740952239435696</v>
                </pt>
                <pt idx="41">
                  <v>0.08812003465289418</v>
                </pt>
                <pt idx="42">
                  <v>0.1055048410297892</v>
                </pt>
                <pt idx="43">
                  <v>0.1244795592298437</v>
                </pt>
                <pt idx="44">
                  <v>0.1380168925726593</v>
                </pt>
                <pt idx="45">
                  <v>0.2164620490900852</v>
                </pt>
                <pt idx="46">
                  <v>0.313148082086635</v>
                </pt>
                <pt idx="47">
                  <v>0.4285815073574532</v>
                </pt>
                <pt idx="48">
                  <v>0.5633812551082085</v>
                </pt>
                <pt idx="49">
                  <v>0.7182899495967059</v>
                </pt>
                <pt idx="50">
                  <v>0.8941878551376886</v>
                </pt>
                <pt idx="51">
                  <v>1.092109958704457</v>
                </pt>
                <pt idx="52">
                  <v>1.313266768999705</v>
                </pt>
                <pt idx="53">
                  <v>1.559069534726656</v>
                </pt>
                <pt idx="54">
                  <v>1.831160713220853</v>
                </pt>
                <pt idx="55">
                  <v>2.131450634337461</v>
                </pt>
                <pt idx="56">
                  <v>2.462161357096424</v>
                </pt>
                <pt idx="57">
                  <v>3.225612214972487</v>
                </pt>
                <pt idx="58">
                  <v>4.147700438554986</v>
                </pt>
                <pt idx="59">
                  <v>5.263570495953319</v>
                </pt>
                <pt idx="60">
                  <v>6.618238543426099</v>
                </pt>
                <pt idx="61">
                  <v>8.258533392161704</v>
                </pt>
                <pt idx="62">
                  <v>12.10024590017039</v>
                </pt>
                <pt idx="63">
                  <v>12.95979017787224</v>
                </pt>
                <pt idx="64">
                  <v>10.63243437178421</v>
                </pt>
                <pt idx="65">
                  <v>7.043035928276926</v>
                </pt>
                <pt idx="66">
                  <v>4.945958299810391</v>
                </pt>
                <pt idx="67">
                  <v>-6.572433090394322</v>
                </pt>
                <pt idx="68">
                  <v>-12.14126086879314</v>
                </pt>
                <pt idx="69">
                  <v>-15.81168414557304</v>
                </pt>
                <pt idx="70">
                  <v>-18.54918210292806</v>
                </pt>
                <pt idx="71">
                  <v>-20.74338887570867</v>
                </pt>
                <pt idx="72">
                  <v>-22.58891903391394</v>
                </pt>
                <pt idx="73">
                  <v>-24.19478124472288</v>
                </pt>
                <pt idx="74">
                  <v>-25.62676804768652</v>
                </pt>
                <pt idx="75">
                  <v>-35.48535934682779</v>
                </pt>
                <pt idx="76">
                  <v>-41.81882784480987</v>
                </pt>
                <pt idx="77">
                  <v>-46.52314764268981</v>
                </pt>
                <pt idx="78">
                  <v>-50.25408082284012</v>
                </pt>
                <pt idx="79">
                  <v>-53.33946750729895</v>
                </pt>
                <pt idx="80">
                  <v>-55.96696055132279</v>
                </pt>
                <pt idx="81">
                  <v>-58.2535186832068</v>
                </pt>
                <pt idx="82">
                  <v>-60.27671706539698</v>
                </pt>
                <pt idx="83">
                  <v>-62.09053569388221</v>
                </pt>
              </numCache>
            </numRef>
          </yVal>
          <smooth val="1"/>
        </ser>
        <dLbls>
          <showLegendKey val="0"/>
          <showVal val="0"/>
          <showCatName val="0"/>
          <showSerName val="0"/>
          <showPercent val="0"/>
          <showBubbleSize val="0"/>
        </dLbls>
        <axId val="333256960"/>
        <axId val="333259136"/>
      </scatterChart>
      <valAx>
        <axId val="333256960"/>
        <scaling>
          <logBase val="10"/>
          <orientation val="minMax"/>
          <max val="2500000"/>
          <min val="10000"/>
        </scaling>
        <delete val="0"/>
        <axPos val="b"/>
        <majorGridlines>
          <spPr>
            <a:ln xmlns:a="http://schemas.openxmlformats.org/drawingml/2006/main" w="3175">
              <a:solidFill>
                <a:srgbClr val="969696"/>
              </a:solidFill>
              <a:prstDash val="solid"/>
            </a:ln>
          </spPr>
        </majorGridlines>
        <minorGridlines>
          <spPr>
            <a:ln xmlns:a="http://schemas.openxmlformats.org/drawingml/2006/main" w="3175">
              <a:solidFill>
                <a:srgbClr val="969696"/>
              </a:solidFill>
              <a:prstDash val="solid"/>
            </a:ln>
          </spPr>
        </minorGridlines>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pitchFamily="34" charset="0"/>
                    <a:ea typeface="Calibri"/>
                    <a:cs typeface="Arial" pitchFamily="34" charset="0"/>
                  </a:defRPr>
                </a:pPr>
                <a:r>
                  <a:rPr lang="en-US" sz="1200">
                    <a:latin typeface="Arial" pitchFamily="34" charset="0"/>
                    <a:cs typeface="Arial" pitchFamily="34" charset="0"/>
                  </a:rPr>
                  <a:t>Frequency (Hz)</a:t>
                </a:r>
              </a:p>
            </rich>
          </tx>
          <layout>
            <manualLayout>
              <xMode val="edge"/>
              <yMode val="edge"/>
              <wMode val="factor"/>
              <hMode val="factor"/>
              <x val="0.4312933525869784"/>
              <y val="0.9382870884753075"/>
            </manualLayout>
          </layout>
          <overlay val="0"/>
          <spPr>
            <a:noFill xmlns:a="http://schemas.openxmlformats.org/drawingml/2006/main"/>
            <a:ln xmlns:a="http://schemas.openxmlformats.org/drawingml/2006/main" w="25400">
              <a:noFill/>
              <a:prstDash val="solid"/>
            </a:ln>
          </spPr>
        </title>
        <numFmt formatCode="General" sourceLinked="0"/>
        <majorTickMark val="in"/>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000000"/>
                </a:solidFill>
                <a:latin typeface="Arial" pitchFamily="34" charset="0"/>
                <a:ea typeface="Calibri"/>
                <a:cs typeface="Arial" pitchFamily="34" charset="0"/>
              </a:defRPr>
            </a:pPr>
            <a:r>
              <a:t/>
            </a:r>
            <a:endParaRPr lang="en-US"/>
          </a:p>
        </txPr>
        <crossAx val="333259136"/>
        <crossesAt val="-80"/>
        <crossBetween val="midCat"/>
      </valAx>
      <valAx>
        <axId val="333259136"/>
        <scaling>
          <orientation val="minMax"/>
          <max val="30"/>
          <min val="-60"/>
        </scaling>
        <delete val="0"/>
        <axPos val="l"/>
        <majorGridlines>
          <spPr>
            <a:ln xmlns:a="http://schemas.openxmlformats.org/drawingml/2006/main" w="3175">
              <a:solidFill>
                <a:srgbClr val="969696"/>
              </a:solidFill>
              <a:prstDash val="solid"/>
            </a:ln>
          </spPr>
        </majorGridlines>
        <title>
          <tx>
            <rich>
              <a:bodyPr xmlns:a="http://schemas.openxmlformats.org/drawingml/2006/main"/>
              <a:lstStyle xmlns:a="http://schemas.openxmlformats.org/drawingml/2006/main"/>
              <a:p xmlns:a="http://schemas.openxmlformats.org/drawingml/2006/main">
                <a:pPr>
                  <a:defRPr sz="1200" b="1" i="0" strike="noStrike" baseline="0">
                    <a:solidFill>
                      <a:srgbClr val="FF0000"/>
                    </a:solidFill>
                    <a:latin typeface="Arial" pitchFamily="34" charset="0"/>
                    <a:ea typeface="Calibri"/>
                    <a:cs typeface="Arial" pitchFamily="34" charset="0"/>
                  </a:defRPr>
                </a:pPr>
                <a:r>
                  <a:rPr lang="en-US" sz="1200">
                    <a:solidFill>
                      <a:srgbClr val="FF0000"/>
                    </a:solidFill>
                    <a:latin typeface="Arial" pitchFamily="34" charset="0"/>
                    <a:cs typeface="Arial" pitchFamily="34" charset="0"/>
                  </a:rPr>
                  <a:t>Gain (dB)</a:t>
                </a:r>
              </a:p>
            </rich>
          </tx>
          <layout>
            <manualLayout>
              <xMode val="edge"/>
              <yMode val="edge"/>
              <wMode val="factor"/>
              <hMode val="factor"/>
              <x val="0.01800082884376296"/>
              <y val="0.3741503322722958"/>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FF0000"/>
                </a:solidFill>
                <a:latin typeface="Arial" pitchFamily="34" charset="0"/>
                <a:ea typeface="Calibri"/>
                <a:cs typeface="Arial" pitchFamily="34" charset="0"/>
              </a:defRPr>
            </a:pPr>
            <a:r>
              <a:t/>
            </a:r>
            <a:endParaRPr lang="en-US"/>
          </a:p>
        </txPr>
        <crossAx val="333256960"/>
        <crossesAt val="0.01000000000000001"/>
        <crossBetween val="midCat"/>
        <majorUnit val="20"/>
      </valAx>
    </plotArea>
    <legend>
      <legendPos val="r"/>
      <layout>
        <manualLayout>
          <xMode val="edge"/>
          <yMode val="edge"/>
          <wMode val="factor"/>
          <hMode val="factor"/>
          <x val="0.8947251773049645"/>
          <y val="0.4452796916010499"/>
          <w val="0.09936465721040189"/>
          <h val="0.08463902949631297"/>
        </manualLayout>
      </layout>
      <overlay val="0"/>
    </legend>
    <plotVisOnly val="1"/>
    <dispBlanksAs val="span"/>
  </chart>
  <spPr>
    <a:noFill xmlns:a="http://schemas.openxmlformats.org/drawingml/2006/main"/>
    <a:ln xmlns:a="http://schemas.openxmlformats.org/drawingml/2006/main" w="9525">
      <a:solidFill>
        <a:srgbClr val="808080"/>
      </a:solidFill>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2000" b="1" i="0" strike="noStrike" baseline="0">
                <a:solidFill>
                  <a:srgbClr val="000000"/>
                </a:solidFill>
                <a:latin typeface="Arial" pitchFamily="34" charset="0"/>
                <a:ea typeface="Calibri"/>
                <a:cs typeface="Arial" pitchFamily="34" charset="0"/>
              </a:defRPr>
            </a:pPr>
            <a:r>
              <a:rPr lang="en-US" sz="2000">
                <a:latin typeface="Arial" pitchFamily="34" charset="0"/>
                <a:cs typeface="Arial" pitchFamily="34" charset="0"/>
                <a:sym typeface="Symbol"/>
              </a:rPr>
              <a:t></a:t>
            </a:r>
            <a:r>
              <a:rPr lang="en-US" sz="2000" b="1" i="0" strike="noStrike" baseline="0"/>
              <a:t>,  V</a:t>
            </a:r>
            <a:r>
              <a:rPr lang="en-US" sz="2000" b="1" i="0" strike="noStrike" baseline="-25000"/>
              <a:t>IN</a:t>
            </a:r>
            <a:r>
              <a:rPr lang="en-US" sz="2000" b="1" i="0" strike="noStrike" baseline="0"/>
              <a:t xml:space="preserve"> = V</a:t>
            </a:r>
            <a:r>
              <a:rPr lang="en-US" sz="2000" b="1" i="0" strike="noStrike" baseline="-25000"/>
              <a:t>IN(nom)</a:t>
            </a:r>
            <a:endParaRPr lang="en-US" sz="2000">
              <a:latin typeface="Arial" pitchFamily="34" charset="0"/>
              <a:cs typeface="Arial" pitchFamily="34" charset="0"/>
            </a:endParaRPr>
          </a:p>
        </rich>
      </tx>
      <layout>
        <manualLayout>
          <xMode val="edge"/>
          <yMode val="edge"/>
          <wMode val="factor"/>
          <hMode val="factor"/>
          <x val="0.07708284678195419"/>
          <y val="0.01410996946615793"/>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8239960491196528"/>
          <y val="0.123729036548257"/>
          <w val="0.8257999022850623"/>
          <h val="0.7606856681011737"/>
        </manualLayout>
      </layout>
      <lineChart>
        <grouping val="standard"/>
        <varyColors val="0"/>
        <ser>
          <idx val="0"/>
          <order val="0"/>
          <tx>
            <v>Efficiency</v>
          </tx>
          <spPr>
            <a:ln xmlns:a="http://schemas.openxmlformats.org/drawingml/2006/main" w="28575">
              <a:solidFill>
                <a:srgbClr val="FF0000"/>
              </a:solidFill>
              <a:prstDash val="solid"/>
            </a:ln>
          </spPr>
          <marker>
            <symbol val="none"/>
            <spPr>
              <a:ln xmlns:a="http://schemas.openxmlformats.org/drawingml/2006/main">
                <a:prstDash val="solid"/>
              </a:ln>
            </spPr>
          </marker>
          <cat>
            <numRef>
              <f>'Efficiency Calculations'!$J$9:$J$109</f>
              <numCache>
                <formatCode>0.000</formatCode>
                <ptCount val="101"/>
                <pt idx="0">
                  <formatCode>General</formatCode>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'Efficiency Calculations'!$AZ$9:$AZ$109</f>
              <numCache>
                <formatCode>0.00</formatCode>
                <ptCount val="101"/>
                <pt idx="0">
                  <v>0</v>
                </pt>
                <pt idx="1">
                  <v>54.47583399530372</v>
                </pt>
                <pt idx="2">
                  <v>69.96184559452324</v>
                </pt>
                <pt idx="3">
                  <v>77.2828134217541</v>
                </pt>
                <pt idx="4">
                  <v>81.54757601821588</v>
                </pt>
                <pt idx="5">
                  <v>84.33838632681842</v>
                </pt>
                <pt idx="6">
                  <v>86.30602837619476</v>
                </pt>
                <pt idx="7">
                  <v>87.76732202197486</v>
                </pt>
                <pt idx="8">
                  <v>88.89499059560542</v>
                </pt>
                <pt idx="9">
                  <v>89.7912196429358</v>
                </pt>
                <pt idx="10">
                  <v>90.52032946997697</v>
                </pt>
                <pt idx="11">
                  <v>91.12482700414495</v>
                </pt>
                <pt idx="12">
                  <v>91.63393020347928</v>
                </pt>
                <pt idx="13">
                  <v>92.06838476548465</v>
                </pt>
                <pt idx="14">
                  <v>92.44332741097121</v>
                </pt>
                <pt idx="15">
                  <v>92.77006147710581</v>
                </pt>
                <pt idx="16">
                  <v>93.05719816834744</v>
                </pt>
                <pt idx="17">
                  <v>93.31141300055134</v>
                </pt>
                <pt idx="18">
                  <v>93.53796075811181</v>
                </pt>
                <pt idx="19">
                  <v>93.74103436136608</v>
                </pt>
                <pt idx="20">
                  <v>93.92402018795666</v>
                </pt>
                <pt idx="21">
                  <v>94.08968310503192</v>
                </pt>
                <pt idx="22">
                  <v>94.24030279734909</v>
                </pt>
                <pt idx="23">
                  <v>94.37777571923036</v>
                </pt>
                <pt idx="24">
                  <v>94.50369237540825</v>
                </pt>
                <pt idx="25">
                  <v>94.61939662585827</v>
                </pt>
                <pt idx="26">
                  <v>94.72603171078272</v>
                </pt>
                <pt idx="27">
                  <v>94.82457634023524</v>
                </pt>
                <pt idx="28">
                  <v>94.91587326367824</v>
                </pt>
                <pt idx="29">
                  <v>95.00065208624888</v>
                </pt>
                <pt idx="30">
                  <v>95.07954763952657</v>
                </pt>
                <pt idx="31">
                  <v>95.15311488553542</v>
                </pt>
                <pt idx="32">
                  <v>95.22184109396046</v>
                </pt>
                <pt idx="33">
                  <v>95.28615585738606</v>
                </pt>
                <pt idx="34">
                  <v>95.34643937950368</v>
                </pt>
                <pt idx="35">
                  <v>95.40302937402726</v>
                </pt>
                <pt idx="36">
                  <v>95.45622683862202</v>
                </pt>
                <pt idx="37">
                  <v>95.50630091220683</v>
                </pt>
                <pt idx="38">
                  <v>95.55349298102396</v>
                </pt>
                <pt idx="39">
                  <v>95.59802016562003</v>
                </pt>
                <pt idx="40">
                  <v>95.6400782949685</v>
                </pt>
                <pt idx="41">
                  <v>95.67984445362991</v>
                </pt>
                <pt idx="42">
                  <v>95.71747917178892</v>
                </pt>
                <pt idx="43">
                  <v>95.7531283152496</v>
                </pt>
                <pt idx="44">
                  <v>95.78692472227611</v>
                </pt>
                <pt idx="45">
                  <v>95.81898962597504</v>
                </pt>
                <pt idx="46">
                  <v>95.84943389429993</v>
                </pt>
                <pt idx="47">
                  <v>95.8783591143896</v>
                </pt>
                <pt idx="48">
                  <v>95.9058585435711</v>
                </pt>
                <pt idx="49">
                  <v>95.93201794577195</v>
                </pt>
                <pt idx="50">
                  <v>95.95691632913288</v>
                </pt>
                <pt idx="51">
                  <v>95.98062659817406</v>
                </pt>
                <pt idx="52">
                  <v>96.00321613184379</v>
                </pt>
                <pt idx="53">
                  <v>96.02474729709452</v>
                </pt>
                <pt idx="54">
                  <v>96.04527790622222</v>
                </pt>
                <pt idx="55">
                  <v>96.06486162502479</v>
                </pt>
                <pt idx="56">
                  <v>96.0835483378409</v>
                </pt>
                <pt idx="57">
                  <v>96.10138447469215</v>
                </pt>
                <pt idx="58">
                  <v>96.11841330504024</v>
                </pt>
                <pt idx="59">
                  <v>96.13467520206711</v>
                </pt>
                <pt idx="60">
                  <v>96.1502078808732</v>
                </pt>
                <pt idx="61">
                  <v>96.16504661354681</v>
                </pt>
                <pt idx="62">
                  <v>96.17922442368413</v>
                </pt>
                <pt idx="63">
                  <v>96.19277226261414</v>
                </pt>
                <pt idx="64">
                  <v>96.20571916930484</v>
                </pt>
                <pt idx="65">
                  <v>96.21809241568742</v>
                </pt>
                <pt idx="66">
                  <v>96.22991763892585</v>
                </pt>
                <pt idx="67">
                  <v>96.24121896198065</v>
                </pt>
                <pt idx="68">
                  <v>96.25201910365723</v>
                </pt>
                <pt idx="69">
                  <v>96.26233947919374</v>
                </pt>
                <pt idx="70">
                  <v>96.27220029232393</v>
                </pt>
                <pt idx="71">
                  <v>96.28162061964602</v>
                </pt>
                <pt idx="72">
                  <v>96.29061848803762</v>
                </pt>
                <pt idx="73">
                  <v>96.29921094577605</v>
                </pt>
                <pt idx="74">
                  <v>96.30741412795366</v>
                </pt>
                <pt idx="75">
                  <v>96.31524331671443</v>
                </pt>
                <pt idx="76">
                  <v>96.32271299678442</v>
                </pt>
                <pt idx="77">
                  <v>96.32983690671927</v>
                </pt>
                <pt idx="78">
                  <v>96.33662808624921</v>
                </pt>
                <pt idx="79">
                  <v>96.34309892006414</v>
                </pt>
                <pt idx="80">
                  <v>96.34926117834695</v>
                </pt>
                <pt idx="81">
                  <v>96.35512605433352</v>
                </pt>
                <pt idx="82">
                  <v>96.36070419915093</v>
                </pt>
                <pt idx="83">
                  <v>96.36600575416072</v>
                </pt>
                <pt idx="84">
                  <v>96.37104038101396</v>
                </pt>
                <pt idx="85">
                  <v>96.37581728960392</v>
                </pt>
                <pt idx="86">
                  <v>96.3803452640868</v>
                </pt>
                <pt idx="87">
                  <v>96.38463268712385</v>
                </pt>
                <pt idx="88">
                  <v>96.38868756248542</v>
                </pt>
                <pt idx="89">
                  <v>96.39251753614457</v>
                </pt>
                <pt idx="90">
                  <v>96.39612991597679</v>
                </pt>
                <pt idx="91">
                  <v>96.39953169017195</v>
                </pt>
                <pt idx="92">
                  <v>96.40272954445575</v>
                </pt>
                <pt idx="93">
                  <v>96.40572987820933</v>
                </pt>
                <pt idx="94">
                  <v>96.40853881956885</v>
                </pt>
                <pt idx="95">
                  <v>96.41116223957897</v>
                </pt>
                <pt idx="96">
                  <v>96.41360576546914</v>
                </pt>
                <pt idx="97">
                  <v>96.41587479311525</v>
                </pt>
                <pt idx="98">
                  <v>96.41797449874436</v>
                </pt>
                <pt idx="99">
                  <v>96.39416188046113</v>
                </pt>
                <pt idx="100">
                  <v>96.3636814931137</v>
                </pt>
              </numCache>
            </numRef>
          </val>
          <smooth val="0"/>
        </ser>
        <dLbls>
          <showLegendKey val="0"/>
          <showVal val="0"/>
          <showCatName val="0"/>
          <showSerName val="0"/>
          <showPercent val="0"/>
          <showBubbleSize val="0"/>
        </dLbls>
        <marker val="1"/>
        <smooth val="0"/>
        <axId val="44547072"/>
        <axId val="44561536"/>
      </lineChart>
      <lineChart>
        <grouping val="standard"/>
        <varyColors val="0"/>
        <ser>
          <idx val="1"/>
          <order val="1"/>
          <tx>
            <strRef>
              <f>'Efficiency Calculations'!$BC$8</f>
              <strCache>
                <ptCount val="1"/>
                <pt idx="0">
                  <v>Control MOSFET Loss</v>
                </pt>
              </strCache>
            </strRef>
          </tx>
          <spPr>
            <a:ln xmlns:a="http://schemas.openxmlformats.org/drawingml/2006/main" w="38100">
              <a:solidFill>
                <a:srgbClr val="808000"/>
              </a:solidFill>
              <a:prstDash val="sysDash"/>
            </a:ln>
          </spPr>
          <marker>
            <symbol val="none"/>
            <spPr>
              <a:ln xmlns:a="http://schemas.openxmlformats.org/drawingml/2006/main">
                <a:prstDash val="solid"/>
              </a:ln>
            </spPr>
          </marker>
          <cat>
            <numRef>
              <f>'Efficiency Calculations'!$K$9:$K$109</f>
              <numCache>
                <formatCode>0.000</formatCode>
                <ptCount val="101"/>
                <pt idx="0">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'Efficiency Calculations'!$BC$9:$BC$109</f>
              <numCache>
                <formatCode>0.000</formatCode>
                <ptCount val="101"/>
                <pt idx="0">
                  <v>0.05632812221039491</v>
                </pt>
                <pt idx="1">
                  <v>0.06612017731822215</v>
                </pt>
                <pt idx="2">
                  <v>0.07592688682239701</v>
                </pt>
                <pt idx="3">
                  <v>0.08574827656766952</v>
                </pt>
                <pt idx="4">
                  <v>0.09558437261889974</v>
                </pt>
                <pt idx="5">
                  <v>0.1054352012617582</v>
                </pt>
                <pt idx="6">
                  <v>0.1153007890034345</v>
                </pt>
                <pt idx="7">
                  <v>0.1251811625733541</v>
                </pt>
                <pt idx="8">
                  <v>0.135076348923904</v>
                </pt>
                <pt idx="9">
                  <v>0.1449863752311664</v>
                </pt>
                <pt idx="10">
                  <v>0.1549112688956608</v>
                </pt>
                <pt idx="11">
                  <v>0.1648510575430949</v>
                </pt>
                <pt idx="12">
                  <v>0.1748057690251241</v>
                </pt>
                <pt idx="13">
                  <v>0.1847754314201192</v>
                </pt>
                <pt idx="14">
                  <v>0.1947600730339428</v>
                </pt>
                <pt idx="15">
                  <v>0.2047597224007352</v>
                </pt>
                <pt idx="16">
                  <v>0.2147744082837078</v>
                </pt>
                <pt idx="17">
                  <v>0.2248041596759459</v>
                </pt>
                <pt idx="18">
                  <v>0.2348490058012206</v>
                </pt>
                <pt idx="19">
                  <v>0.2449089761148091</v>
                </pt>
                <pt idx="20">
                  <v>0.2549841003043243</v>
                </pt>
                <pt idx="21">
                  <v>0.2650744082905524</v>
                </pt>
                <pt idx="22">
                  <v>0.2751799302283016</v>
                </pt>
                <pt idx="23">
                  <v>0.285300696507257</v>
                </pt>
                <pt idx="24">
                  <v>0.2954367377528476</v>
                </pt>
                <pt idx="25">
                  <v>0.30558808482712</v>
                </pt>
                <pt idx="26">
                  <v>0.3157547688296227</v>
                </pt>
                <pt idx="27">
                  <v>0.3259368210982996</v>
                </pt>
                <pt idx="28">
                  <v>0.3361342732103919</v>
                </pt>
                <pt idx="29">
                  <v>0.3463471569833508</v>
                </pt>
                <pt idx="30">
                  <v>0.3565755044757584</v>
                </pt>
                <pt idx="31">
                  <v>0.3668193479882582</v>
                </pt>
                <pt idx="32">
                  <v>0.3770787200644966</v>
                </pt>
                <pt idx="33">
                  <v>0.3873536534920717</v>
                </pt>
                <pt idx="34">
                  <v>0.397644181303494</v>
                </pt>
                <pt idx="35">
                  <v>0.4079503367771548</v>
                </pt>
                <pt idx="36">
                  <v>0.4182721534383061</v>
                </pt>
                <pt idx="37">
                  <v>0.4286096650600492</v>
                </pt>
                <pt idx="38">
                  <v>0.4389629056643336</v>
                </pt>
                <pt idx="39">
                  <v>0.4493319095229664</v>
                </pt>
                <pt idx="40">
                  <v>0.4597167111586304</v>
                </pt>
                <pt idx="41">
                  <v>0.4701173453459132</v>
                </pt>
                <pt idx="42">
                  <v>0.4805338471123469</v>
                </pt>
                <pt idx="43">
                  <v>0.4909662517394566</v>
                </pt>
                <pt idx="44">
                  <v>0.5014145947638204</v>
                </pt>
                <pt idx="45">
                  <v>0.5118789119781391</v>
                </pt>
                <pt idx="46">
                  <v>0.522359239432317</v>
                </pt>
                <pt idx="47">
                  <v>0.5328556134345523</v>
                </pt>
                <pt idx="48">
                  <v>0.543368070552438</v>
                </pt>
                <pt idx="49">
                  <v>0.5538966476140748</v>
                </pt>
                <pt idx="50">
                  <v>0.5644413817091928</v>
                </pt>
                <pt idx="51">
                  <v>0.5750023101902855</v>
                </pt>
                <pt idx="52">
                  <v>0.585579470673754</v>
                </pt>
                <pt idx="53">
                  <v>0.5961729010410612</v>
                </pt>
                <pt idx="54">
                  <v>0.6067826394398991</v>
                </pt>
                <pt idx="55">
                  <v>0.617408724285365</v>
                </pt>
                <pt idx="56">
                  <v>0.6280511942611497</v>
                </pt>
                <pt idx="57">
                  <v>0.6387100883207377</v>
                </pt>
                <pt idx="58">
                  <v>0.6493854456886163</v>
                </pt>
                <pt idx="59">
                  <v>0.6600773058615002</v>
                </pt>
                <pt idx="60">
                  <v>0.6707857086095617</v>
                </pt>
                <pt idx="61">
                  <v>0.6815106939776777</v>
                </pt>
                <pt idx="62">
                  <v>0.692252302286686</v>
                </pt>
                <pt idx="63">
                  <v>0.7030105741346526</v>
                </pt>
                <pt idx="64">
                  <v>0.7137855503981532</v>
                </pt>
                <pt idx="65">
                  <v>0.7245772722335623</v>
                </pt>
                <pt idx="66">
                  <v>0.7353857810783592</v>
                </pt>
                <pt idx="67">
                  <v>0.7462111186524432</v>
                </pt>
                <pt idx="68">
                  <v>0.7570533269594603</v>
                </pt>
                <pt idx="69">
                  <v>0.7679124482881436</v>
                </pt>
                <pt idx="70">
                  <v>0.7787885252136659</v>
                </pt>
                <pt idx="71">
                  <v>0.7896816005990039</v>
                </pt>
                <pt idx="72">
                  <v>0.8005917175963144</v>
                </pt>
                <pt idx="73">
                  <v>0.8115189196483243</v>
                </pt>
                <pt idx="74">
                  <v>0.8224632504897336</v>
                </pt>
                <pt idx="75">
                  <v>0.8334247541486277</v>
                </pt>
                <pt idx="76">
                  <v>0.8444034749479072</v>
                </pt>
                <pt idx="77">
                  <v>0.8553994575067279</v>
                </pt>
                <pt idx="78">
                  <v>0.8664127467419529</v>
                </pt>
                <pt idx="79">
                  <v>0.8774433878696211</v>
                </pt>
                <pt idx="80">
                  <v>0.8884914264064252</v>
                </pt>
                <pt idx="81">
                  <v>0.8995569081712053</v>
                </pt>
                <pt idx="82">
                  <v>0.9106398792864558</v>
                </pt>
                <pt idx="83">
                  <v>0.9217403861798453</v>
                </pt>
                <pt idx="84">
                  <v>0.9328584755857476</v>
                </pt>
                <pt idx="85">
                  <v>0.9439941945467931</v>
                </pt>
                <pt idx="86">
                  <v>0.9551475904154262</v>
                </pt>
                <pt idx="87">
                  <v>0.9663187108554813</v>
                </pt>
                <pt idx="88">
                  <v>0.9775076038437729</v>
                </pt>
                <pt idx="89">
                  <v>0.9887143176716959</v>
                </pt>
                <pt idx="90">
                  <v>0.9999389009468453</v>
                </pt>
                <pt idx="91">
                  <v>1.011181402594647</v>
                </pt>
                <pt idx="92">
                  <v>1.022441871860003</v>
                </pt>
                <pt idx="93">
                  <v>1.033720358308952</v>
                </pt>
                <pt idx="94">
                  <v>1.045016911830347</v>
                </pt>
                <pt idx="95">
                  <v>1.056331582637542</v>
                </pt>
                <pt idx="96">
                  <v>1.067664421270099</v>
                </pt>
                <pt idx="97">
                  <v>1.079015478595507</v>
                </pt>
                <pt idx="98">
                  <v>1.090384805810919</v>
                </pt>
                <pt idx="99">
                  <v>1.118227988356231</v>
                </pt>
                <pt idx="100">
                  <v>1.150634529385211</v>
                </pt>
              </numCache>
            </numRef>
          </val>
          <smooth val="0"/>
        </ser>
        <ser>
          <idx val="2"/>
          <order val="2"/>
          <tx>
            <v>Inductor Loss</v>
          </tx>
          <spPr>
            <a:ln xmlns:a="http://schemas.openxmlformats.org/drawingml/2006/main" w="38100">
              <a:solidFill>
                <a:srgbClr val="800080"/>
              </a:solidFill>
              <a:prstDash val="dash"/>
            </a:ln>
          </spPr>
          <marker>
            <symbol val="none"/>
            <spPr>
              <a:ln xmlns:a="http://schemas.openxmlformats.org/drawingml/2006/main">
                <a:prstDash val="solid"/>
              </a:ln>
            </spPr>
          </marker>
          <cat>
            <numRef>
              <f>'Efficiency Calculations'!$K$9:$K$109</f>
              <numCache>
                <formatCode>0.000</formatCode>
                <ptCount val="101"/>
                <pt idx="0">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'Efficiency Calculations'!$BA$9:$BA$109</f>
              <numCache>
                <formatCode>0.000</formatCode>
                <ptCount val="101"/>
                <pt idx="0">
                  <v>0.2442054719013913</v>
                </pt>
                <pt idx="1">
                  <v>0.2442174171200868</v>
                </pt>
                <pt idx="2">
                  <v>0.2442472663809602</v>
                </pt>
                <pt idx="3">
                  <v>0.2442950199356011</v>
                </pt>
                <pt idx="4">
                  <v>0.2443606781865226</v>
                </pt>
                <pt idx="5">
                  <v>0.2444442416871707</v>
                </pt>
                <pt idx="6">
                  <v>0.2445457111419351</v>
                </pt>
                <pt idx="7">
                  <v>0.2446650874061647</v>
                </pt>
                <pt idx="8">
                  <v>0.2448023714861852</v>
                </pt>
                <pt idx="9">
                  <v>0.2449575645393203</v>
                </pt>
                <pt idx="10">
                  <v>0.2451306678739166</v>
                </pt>
                <pt idx="11">
                  <v>0.2453216829493706</v>
                </pt>
                <pt idx="12">
                  <v>0.2455306113761597</v>
                </pt>
                <pt idx="13">
                  <v>0.2457574549158761</v>
                </pt>
                <pt idx="14">
                  <v>0.2460022154812641</v>
                </pt>
                <pt idx="15">
                  <v>0.2462648951362601</v>
                </pt>
                <pt idx="16">
                  <v>0.2465454960960367</v>
                </pt>
                <pt idx="17">
                  <v>0.2468440207270486</v>
                </pt>
                <pt idx="18">
                  <v>0.2471604715470831</v>
                </pt>
                <pt idx="19">
                  <v>0.2474948512253131</v>
                </pt>
                <pt idx="20">
                  <v>0.2478471625823533</v>
                </pt>
                <pt idx="21">
                  <v>0.2482174085903196</v>
                </pt>
                <pt idx="22">
                  <v>0.2486055923728923</v>
                </pt>
                <pt idx="23">
                  <v>0.2490117172053812</v>
                </pt>
                <pt idx="24">
                  <v>0.2494357865147955</v>
                </pt>
                <pt idx="25">
                  <v>0.2498778038799158</v>
                </pt>
                <pt idx="26">
                  <v>0.2503377730313694</v>
                </pt>
                <pt idx="27">
                  <v>0.2508156978517096</v>
                </pt>
                <pt idx="28">
                  <v>0.2513115823754973</v>
                </pt>
                <pt idx="29">
                  <v>0.2518254307893861</v>
                </pt>
                <pt idx="30">
                  <v>0.2523572474322114</v>
                </pt>
                <pt idx="31">
                  <v>0.2529070367950809</v>
                </pt>
                <pt idx="32">
                  <v>0.2534748035214709</v>
                </pt>
                <pt idx="33">
                  <v>0.2540605524073233</v>
                </pt>
                <pt idx="34">
                  <v>0.2546642884011476</v>
                </pt>
                <pt idx="35">
                  <v>0.2552860166041251</v>
                </pt>
                <pt idx="36">
                  <v>0.2559257422702172</v>
                </pt>
                <pt idx="37">
                  <v>0.2565834708062762</v>
                </pt>
                <pt idx="38">
                  <v>0.2572592077721598</v>
                </pt>
                <pt idx="39">
                  <v>0.2579529588808486</v>
                </pt>
                <pt idx="40">
                  <v>0.2586647299985675</v>
                </pt>
                <pt idx="41">
                  <v>0.2593945271449091</v>
                </pt>
                <pt idx="42">
                  <v>0.260142356492962</v>
                </pt>
                <pt idx="43">
                  <v>0.2609082243694407</v>
                </pt>
                <pt idx="44">
                  <v>0.2616921372548205</v>
                </pt>
                <pt idx="45">
                  <v>0.262494101783474</v>
                </pt>
                <pt idx="46">
                  <v>0.2633141247438124</v>
                </pt>
                <pt idx="47">
                  <v>0.2641522130784288</v>
                </pt>
                <pt idx="48">
                  <v>0.2650083738842461</v>
                </pt>
                <pt idx="49">
                  <v>0.2658826144126669</v>
                </pt>
                <pt idx="50">
                  <v>0.2667749420697279</v>
                </pt>
                <pt idx="51">
                  <v>0.2676853644162568</v>
                </pt>
                <pt idx="52">
                  <v>0.2686138891680329</v>
                </pt>
                <pt idx="53">
                  <v>0.2695605241959508</v>
                </pt>
                <pt idx="54">
                  <v>0.2705252775261881</v>
                </pt>
                <pt idx="55">
                  <v>0.2715081573403755</v>
                </pt>
                <pt idx="56">
                  <v>0.2725091719757707</v>
                </pt>
                <pt idx="57">
                  <v>0.2735283299254362</v>
                </pt>
                <pt idx="58">
                  <v>0.2745656398384195</v>
                </pt>
                <pt idx="59">
                  <v>0.2756211105199373</v>
                </pt>
                <pt idx="60">
                  <v>0.2766947509315628</v>
                </pt>
                <pt idx="61">
                  <v>0.2777865701914168</v>
                </pt>
                <pt idx="62">
                  <v>0.2788965775743619</v>
                </pt>
                <pt idx="63">
                  <v>0.2800247825121999</v>
                </pt>
                <pt idx="64">
                  <v>0.2811711945938731</v>
                </pt>
                <pt idx="65">
                  <v>0.2823358235656686</v>
                </pt>
                <pt idx="66">
                  <v>0.2835186793314266</v>
                </pt>
                <pt idx="67">
                  <v>0.2847197719527511</v>
                </pt>
                <pt idx="68">
                  <v>0.2859391116492256</v>
                </pt>
                <pt idx="69">
                  <v>0.2871767087986307</v>
                </pt>
                <pt idx="70">
                  <v>0.2884325739371659</v>
                </pt>
                <pt idx="71">
                  <v>0.2897067177596753</v>
                </pt>
                <pt idx="72">
                  <v>0.2909991511198761</v>
                </pt>
                <pt idx="73">
                  <v>0.2923098850305904</v>
                </pt>
                <pt idx="74">
                  <v>0.2936389306639816</v>
                </pt>
                <pt idx="75">
                  <v>0.294986299351793</v>
                </pt>
                <pt idx="76">
                  <v>0.2963520025855914</v>
                </pt>
                <pt idx="77">
                  <v>0.2977360520170121</v>
                </pt>
                <pt idx="78">
                  <v>0.2991384594580102</v>
                </pt>
                <pt idx="79">
                  <v>0.300559236881113</v>
                </pt>
                <pt idx="80">
                  <v>0.3019983964196772</v>
                </pt>
                <pt idx="81">
                  <v>0.3034559503681497</v>
                </pt>
                <pt idx="82">
                  <v>0.3049319111823313</v>
                </pt>
                <pt idx="83">
                  <v>0.3064262914796451</v>
                </pt>
                <pt idx="84">
                  <v>0.3079391040394066</v>
                </pt>
                <pt idx="85">
                  <v>0.3094703618030999</v>
                </pt>
                <pt idx="86">
                  <v>0.3110200778746559</v>
                </pt>
                <pt idx="87">
                  <v>0.312588265520734</v>
                </pt>
                <pt idx="88">
                  <v>0.3141749381710087</v>
                </pt>
                <pt idx="89">
                  <v>0.3157801094184583</v>
                </pt>
                <pt idx="90">
                  <v>0.3174037930196592</v>
                </pt>
                <pt idx="91">
                  <v>0.3190460028950817</v>
                </pt>
                <pt idx="92">
                  <v>0.3207067531293911</v>
                </pt>
                <pt idx="93">
                  <v>0.3223860579717523</v>
                </pt>
                <pt idx="94">
                  <v>0.3240839318361369</v>
                </pt>
                <pt idx="95">
                  <v>0.3258003893016359</v>
                </pt>
                <pt idx="96">
                  <v>0.3275354451127748</v>
                </pt>
                <pt idx="97">
                  <v>0.329289114179833</v>
                </pt>
                <pt idx="98">
                  <v>0.3310614115791664</v>
                </pt>
                <pt idx="99">
                  <v>0.3328523525535348</v>
                </pt>
                <pt idx="100">
                  <v>0.3346619525124323</v>
                </pt>
              </numCache>
            </numRef>
          </val>
          <smooth val="0"/>
        </ser>
        <ser>
          <idx val="3"/>
          <order val="3"/>
          <tx>
            <strRef>
              <f>'Efficiency Calculations'!$BD$8</f>
              <strCache>
                <ptCount val="1"/>
                <pt idx="0">
                  <v>SYNC MOSFET Loss</v>
                </pt>
              </strCache>
            </strRef>
          </tx>
          <spPr>
            <a:ln xmlns:a="http://schemas.openxmlformats.org/drawingml/2006/main" w="38100">
              <a:solidFill>
                <a:srgbClr val="002060"/>
              </a:solidFill>
              <a:prstDash val="sysDot"/>
            </a:ln>
          </spPr>
          <marker>
            <symbol val="none"/>
            <spPr>
              <a:ln xmlns:a="http://schemas.openxmlformats.org/drawingml/2006/main">
                <a:prstDash val="solid"/>
              </a:ln>
            </spPr>
          </marker>
          <cat>
            <numRef>
              <f>'Efficiency Calculations'!$K$9:$K$109</f>
              <numCache>
                <formatCode>0.000</formatCode>
                <ptCount val="101"/>
                <pt idx="0">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'Efficiency Calculations'!$BD$9:$BD$109</f>
              <numCache>
                <formatCode>0.000</formatCode>
                <ptCount val="101"/>
                <pt idx="0">
                  <v>0.0592866695655837</v>
                </pt>
                <pt idx="1">
                  <v>0.06277480381170909</v>
                </pt>
                <pt idx="2">
                  <v>0.06627876848231599</v>
                </pt>
                <pt idx="3">
                  <v>0.06979856444837837</v>
                </pt>
                <pt idx="4">
                  <v>0.07333419282320335</v>
                </pt>
                <pt idx="5">
                  <v>0.07688565496244758</v>
                </pt>
                <pt idx="6">
                  <v>0.0804529524641418</v>
                </pt>
                <pt idx="7">
                  <v>0.08403608716872545</v>
                </pt>
                <pt idx="8">
                  <v>0.08763506115909027</v>
                </pt>
                <pt idx="9">
                  <v>0.09124987676063309</v>
                </pt>
                <pt idx="10">
                  <v>0.09488053654131823</v>
                </pt>
                <pt idx="11">
                  <v>0.09852704331174883</v>
                </pt>
                <pt idx="12">
                  <v>0.1021894001252476</v>
                </pt>
                <pt idx="13">
                  <v>0.1058676102779471</v>
                </pt>
                <pt idx="14">
                  <v>0.1095616773088887</v>
                </pt>
                <pt idx="15">
                  <v>0.1132716050001316</v>
                </pt>
                <pt idx="16">
                  <v>0.1169973973768709</v>
                </pt>
                <pt idx="17">
                  <v>0.1207390587075644</v>
                </pt>
                <pt idx="18">
                  <v>0.1244965935040696</v>
                </pt>
                <pt idx="19">
                  <v>0.1282700065217897</v>
                </pt>
                <pt idx="20">
                  <v>0.1320593027598288</v>
                </pt>
                <pt idx="21">
                  <v>0.1358644874611566</v>
                </pt>
                <pt idx="22">
                  <v>0.1396855661127825</v>
                </pt>
                <pt idx="23">
                  <v>0.1435225444459386</v>
                </pt>
                <pt idx="24">
                  <v>0.1473754284362734</v>
                </pt>
                <pt idx="25">
                  <v>0.1512442243040532</v>
                </pt>
                <pt idx="26">
                  <v>0.1551289385143737</v>
                </pt>
                <pt idx="27">
                  <v>0.1590295777773821</v>
                </pt>
                <pt idx="28">
                  <v>0.1629461490485064</v>
                </pt>
                <pt idx="29">
                  <v>0.1668786595286958</v>
                </pt>
                <pt idx="30">
                  <v>0.1708271166646708</v>
                </pt>
                <pt idx="31">
                  <v>0.1747915281491807</v>
                </pt>
                <pt idx="32">
                  <v>0.1787719019212738</v>
                </pt>
                <pt idx="33">
                  <v>0.1827682461665739</v>
                </pt>
                <pt idx="34">
                  <v>0.186780569317569</v>
                </pt>
                <pt idx="35">
                  <v>0.1908088800539075</v>
                </pt>
                <pt idx="36">
                  <v>0.1948531873027055</v>
                </pt>
                <pt idx="37">
                  <v>0.1989135002388628</v>
                </pt>
                <pt idx="38">
                  <v>0.2029898282853891</v>
                </pt>
                <pt idx="39">
                  <v>0.2070821811137394</v>
                </pt>
                <pt idx="40">
                  <v>0.2111905686441594</v>
                </pt>
                <pt idx="41">
                  <v>0.2153150010460405</v>
                </pt>
                <pt idx="42">
                  <v>0.2194554887382844</v>
                </pt>
                <pt idx="43">
                  <v>0.2236120423896779</v>
                </pt>
                <pt idx="44">
                  <v>0.2277846729192764</v>
                </pt>
                <pt idx="45">
                  <v>0.2319733914967988</v>
                </pt>
                <pt idx="46">
                  <v>0.2361782095430311</v>
                </pt>
                <pt idx="47">
                  <v>0.24039913873024</v>
                </pt>
                <pt idx="48">
                  <v>0.2446361909825965</v>
                </pt>
                <pt idx="49">
                  <v>0.2488893784766099</v>
                </pt>
                <pt idx="50">
                  <v>0.2531587136415706</v>
                </pt>
                <pt idx="51">
                  <v>0.2574442091600043</v>
                </pt>
                <pt idx="52">
                  <v>0.2617458779681353</v>
                </pt>
                <pt idx="53">
                  <v>0.2660637332563595</v>
                </pt>
                <pt idx="54">
                  <v>0.270397788469729</v>
                </pt>
                <pt idx="55">
                  <v>0.2747480573084449</v>
                </pt>
                <pt idx="56">
                  <v>0.2791145537283619</v>
                </pt>
                <pt idx="57">
                  <v>0.283497291941502</v>
                </pt>
                <pt idx="58">
                  <v>0.2878962864165788</v>
                </pt>
                <pt idx="59">
                  <v>0.2923115518795325</v>
                </pt>
                <pt idx="60">
                  <v>0.2967431033140738</v>
                </pt>
                <pt idx="61">
                  <v>0.3011909559622402</v>
                </pt>
                <pt idx="62">
                  <v>0.3056551253249608</v>
                </pt>
                <pt idx="63">
                  <v>0.3101356271626323</v>
                </pt>
                <pt idx="64">
                  <v>0.3146324774957063</v>
                </pt>
                <pt idx="65">
                  <v>0.3191456926052847</v>
                </pt>
                <pt idx="66">
                  <v>0.3236752890337285</v>
                </pt>
                <pt idx="67">
                  <v>0.3282212835852755</v>
                </pt>
                <pt idx="68">
                  <v>0.3327836933266682</v>
                </pt>
                <pt idx="69">
                  <v>0.3373625355877944</v>
                </pt>
                <pt idx="70">
                  <v>0.3419578279623361</v>
                </pt>
                <pt idx="71">
                  <v>0.3465695883084313</v>
                </pt>
                <pt idx="72">
                  <v>0.351197834749345</v>
                </pt>
                <pt idx="73">
                  <v>0.3558425856741517</v>
                </pt>
                <pt idx="74">
                  <v>0.3605038597384294</v>
                </pt>
                <pt idx="75">
                  <v>0.3651816758649629</v>
                </pt>
                <pt idx="76">
                  <v>0.3698760532444605</v>
                </pt>
                <pt idx="77">
                  <v>0.3745870113362798</v>
                </pt>
                <pt idx="78">
                  <v>0.3793145698691644</v>
                </pt>
                <pt idx="79">
                  <v>0.3840587488419945</v>
                </pt>
                <pt idx="80">
                  <v>0.3888195685245452</v>
                </pt>
                <pt idx="81">
                  <v>0.3935970494582585</v>
                </pt>
                <pt idx="82">
                  <v>0.3983912124570256</v>
                </pt>
                <pt idx="83">
                  <v>0.4032020786079815</v>
                </pt>
                <pt idx="84">
                  <v>0.408029669272309</v>
                </pt>
                <pt idx="85">
                  <v>0.4128740060860573</v>
                </pt>
                <pt idx="86">
                  <v>0.4177351109609692</v>
                </pt>
                <pt idx="87">
                  <v>0.4226130060853219</v>
                </pt>
                <pt idx="88">
                  <v>0.4275077139247787</v>
                </pt>
                <pt idx="89">
                  <v>0.4324192572232522</v>
                </pt>
                <pt idx="90">
                  <v>0.4373476590037801</v>
                </pt>
                <pt idx="91">
                  <v>0.4422929425694125</v>
                </pt>
                <pt idx="92">
                  <v>0.4472551315041107</v>
                </pt>
                <pt idx="93">
                  <v>0.4522342496736586</v>
                </pt>
                <pt idx="94">
                  <v>0.4572303212265861</v>
                </pt>
                <pt idx="95">
                  <v>0.4622433705951048</v>
                </pt>
                <pt idx="96">
                  <v>0.4672734224960551</v>
                </pt>
                <pt idx="97">
                  <v>0.4723205019318666</v>
                </pt>
                <pt idx="98">
                  <v>0.4773846341915304</v>
                </pt>
                <pt idx="99">
                  <v>0.4824658448515833</v>
                </pt>
                <pt idx="100">
                  <v>0.4875641597771059</v>
                </pt>
              </numCache>
            </numRef>
          </val>
          <smooth val="0"/>
        </ser>
        <dLbls>
          <showLegendKey val="0"/>
          <showVal val="0"/>
          <showCatName val="0"/>
          <showSerName val="0"/>
          <showPercent val="0"/>
          <showBubbleSize val="0"/>
        </dLbls>
        <marker val="1"/>
        <smooth val="0"/>
        <axId val="334234752"/>
        <axId val="44563456"/>
      </lineChart>
      <catAx>
        <axId val="44547072"/>
        <scaling>
          <orientation val="minMax"/>
        </scaling>
        <delete val="0"/>
        <axPos val="b"/>
        <majorGridlines>
          <spPr>
            <a:ln xmlns:a="http://schemas.openxmlformats.org/drawingml/2006/main" w="15875">
              <a:solidFill>
                <a:srgbClr val="969696"/>
              </a:solidFill>
              <a:prstDash val="sysDash"/>
            </a:ln>
          </spPr>
        </majorGridlines>
        <title>
          <tx>
            <rich>
              <a:bodyPr xmlns:a="http://schemas.openxmlformats.org/drawingml/2006/main"/>
              <a:lstStyle xmlns:a="http://schemas.openxmlformats.org/drawingml/2006/main"/>
              <a:p xmlns:a="http://schemas.openxmlformats.org/drawingml/2006/main">
                <a:pPr>
                  <a:defRPr sz="1300" b="1" i="0" strike="noStrike" baseline="0">
                    <a:solidFill>
                      <a:srgbClr val="0000FF"/>
                    </a:solidFill>
                    <a:latin typeface="Arial" pitchFamily="34" charset="0"/>
                    <a:ea typeface="Calibri"/>
                    <a:cs typeface="Arial" pitchFamily="34" charset="0"/>
                  </a:defRPr>
                </a:pPr>
                <a:r>
                  <a:rPr lang="en-US" sz="1300">
                    <a:solidFill>
                      <a:srgbClr val="0000FF"/>
                    </a:solidFill>
                    <a:latin typeface="Arial" pitchFamily="34" charset="0"/>
                    <a:cs typeface="Arial" pitchFamily="34" charset="0"/>
                  </a:rPr>
                  <a:t>Load Current (A)</a:t>
                </a:r>
              </a:p>
            </rich>
          </tx>
          <layout>
            <manualLayout>
              <xMode val="edge"/>
              <yMode val="edge"/>
              <wMode val="factor"/>
              <hMode val="factor"/>
              <x val="0.4162534334370994"/>
              <y val="0.9457191357373134"/>
            </manualLayout>
          </layout>
          <overlay val="0"/>
          <spPr>
            <a:noFill xmlns:a="http://schemas.openxmlformats.org/drawingml/2006/main"/>
            <a:ln xmlns:a="http://schemas.openxmlformats.org/drawingml/2006/main" w="25400">
              <a:noFill/>
              <a:prstDash val="solid"/>
            </a:ln>
          </spPr>
        </title>
        <numFmt formatCode="General" sourceLinked="0"/>
        <majorTickMark val="in"/>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0000FF"/>
                </a:solidFill>
                <a:latin typeface="Arial" pitchFamily="34" charset="0"/>
                <a:ea typeface="Calibri"/>
                <a:cs typeface="Arial" pitchFamily="34" charset="0"/>
              </a:defRPr>
            </a:pPr>
            <a:r>
              <a:t/>
            </a:r>
            <a:endParaRPr lang="en-US"/>
          </a:p>
        </txPr>
        <crossAx val="44561536"/>
        <crosses val="autoZero"/>
        <auto val="1"/>
        <lblAlgn val="ctr"/>
        <lblOffset val="100"/>
        <tickLblSkip val="20"/>
        <tickMarkSkip val="20"/>
        <noMultiLvlLbl val="1"/>
      </catAx>
      <valAx>
        <axId val="44561536"/>
        <scaling>
          <orientation val="minMax"/>
          <max val="100"/>
          <min val="65"/>
        </scaling>
        <delete val="0"/>
        <axPos val="l"/>
        <majorGridlines>
          <spPr>
            <a:ln xmlns:a="http://schemas.openxmlformats.org/drawingml/2006/main" w="15875">
              <a:solidFill>
                <a:srgbClr val="808080"/>
              </a:solidFill>
              <a:prstDash val="solid"/>
            </a:ln>
          </spPr>
        </majorGridlines>
        <minorGridlines/>
        <title>
          <tx>
            <rich>
              <a:bodyPr xmlns:a="http://schemas.openxmlformats.org/drawingml/2006/main"/>
              <a:lstStyle xmlns:a="http://schemas.openxmlformats.org/drawingml/2006/main"/>
              <a:p xmlns:a="http://schemas.openxmlformats.org/drawingml/2006/main">
                <a:pPr>
                  <a:defRPr sz="1300" b="1" i="0" strike="noStrike" baseline="0">
                    <a:solidFill>
                      <a:srgbClr val="FF0000"/>
                    </a:solidFill>
                    <a:latin typeface="Arial" pitchFamily="34" charset="0"/>
                    <a:ea typeface="Calibri"/>
                    <a:cs typeface="Arial" pitchFamily="34" charset="0"/>
                  </a:defRPr>
                </a:pPr>
                <a:r>
                  <a:rPr lang="en-US" sz="1300" b="1">
                    <a:solidFill>
                      <a:srgbClr val="FF0000"/>
                    </a:solidFill>
                    <a:latin typeface="Arial" pitchFamily="34" charset="0"/>
                    <a:cs typeface="Arial" pitchFamily="34" charset="0"/>
                  </a:rPr>
                  <a:t>Efficiency (%)</a:t>
                </a:r>
              </a:p>
            </rich>
          </tx>
          <layout>
            <manualLayout>
              <xMode val="edge"/>
              <yMode val="edge"/>
              <wMode val="factor"/>
              <hMode val="factor"/>
              <x val="0.01287185867408144"/>
              <y val="0.376381779156884"/>
            </manualLayout>
          </layout>
          <overlay val="0"/>
          <spPr>
            <a:noFill xmlns:a="http://schemas.openxmlformats.org/drawingml/2006/main"/>
            <a:ln xmlns:a="http://schemas.openxmlformats.org/drawingml/2006/main" w="25400">
              <a:noFill/>
              <a:prstDash val="solid"/>
            </a:ln>
          </spPr>
        </title>
        <numFmt formatCode="#,##0" sourceLinked="0"/>
        <majorTickMark val="out"/>
        <minorTickMark val="out"/>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FF0000"/>
                </a:solidFill>
                <a:latin typeface="Arial" pitchFamily="34" charset="0"/>
                <a:ea typeface="Calibri"/>
                <a:cs typeface="Arial" pitchFamily="34" charset="0"/>
              </a:defRPr>
            </a:pPr>
            <a:r>
              <a:t/>
            </a:r>
            <a:endParaRPr lang="en-US"/>
          </a:p>
        </txPr>
        <crossAx val="44547072"/>
        <crosses val="autoZero"/>
        <crossBetween val="between"/>
        <majorUnit val="5"/>
        <minorUnit val="2.5"/>
      </valAx>
      <catAx>
        <axId val="334234752"/>
        <scaling>
          <orientation val="minMax"/>
        </scaling>
        <delete val="1"/>
        <axPos val="b"/>
        <numFmt formatCode="0.000" sourceLinked="1"/>
        <majorTickMark val="out"/>
        <minorTickMark val="none"/>
        <tickLblPos val="nextTo"/>
        <crossAx val="44563456"/>
        <crosses val="autoZero"/>
        <auto val="1"/>
        <lblAlgn val="ctr"/>
        <lblOffset val="100"/>
        <noMultiLvlLbl val="0"/>
      </catAx>
      <valAx>
        <axId val="44563456"/>
        <scaling>
          <orientation val="minMax"/>
          <min val="0"/>
        </scaling>
        <delete val="0"/>
        <axPos val="r"/>
        <title>
          <tx>
            <rich>
              <a:bodyPr xmlns:a="http://schemas.openxmlformats.org/drawingml/2006/main" rot="-5400000" vert="horz"/>
              <a:lstStyle xmlns:a="http://schemas.openxmlformats.org/drawingml/2006/main"/>
              <a:p xmlns:a="http://schemas.openxmlformats.org/drawingml/2006/main">
                <a:pPr>
                  <a:defRPr sz="1400" b="1"/>
                </a:pPr>
                <a:r>
                  <a:rPr lang="en-US" sz="1400" b="1"/>
                  <a:t>Power Loss (W)</a:t>
                </a:r>
              </a:p>
            </rich>
          </tx>
          <layout>
            <manualLayout>
              <xMode val="edge"/>
              <yMode val="edge"/>
              <wMode val="factor"/>
              <hMode val="factor"/>
              <x val="0.955942917932502"/>
              <y val="0.3704887336673123"/>
            </manualLayout>
          </layout>
          <overlay val="0"/>
        </title>
        <numFmt formatCode="General" sourceLinked="0"/>
        <majorTickMark val="cross"/>
        <minorTickMark val="none"/>
        <tickLblPos val="nextTo"/>
        <txPr>
          <a:bodyPr xmlns:a="http://schemas.openxmlformats.org/drawingml/2006/main"/>
          <a:lstStyle xmlns:a="http://schemas.openxmlformats.org/drawingml/2006/main"/>
          <a:p xmlns:a="http://schemas.openxmlformats.org/drawingml/2006/main">
            <a:pPr>
              <a:defRPr sz="1100" b="1">
                <a:solidFill>
                  <a:sysClr val="windowText" lastClr="000000"/>
                </a:solidFill>
              </a:defRPr>
            </a:pPr>
            <a:r>
              <a:t/>
            </a:r>
            <a:endParaRPr lang="en-US"/>
          </a:p>
        </txPr>
        <crossAx val="334234752"/>
        <crosses val="max"/>
        <crossBetween val="between"/>
      </valAx>
    </plotArea>
    <legend>
      <legendPos val="t"/>
      <layout>
        <manualLayout>
          <xMode val="edge"/>
          <yMode val="edge"/>
          <wMode val="factor"/>
          <hMode val="factor"/>
          <x val="0.3612040874726533"/>
          <y val="0.01189262617588698"/>
          <w val="0.5579080164803549"/>
          <h val="0.0905765609084237"/>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200" b="0" i="0" strike="noStrike" baseline="0">
              <a:solidFill>
                <a:srgbClr val="000000"/>
              </a:solidFill>
              <a:latin typeface="Arial" pitchFamily="34" charset="0"/>
              <a:ea typeface="Calibri"/>
              <a:cs typeface="Arial" pitchFamily="34" charset="0"/>
            </a:defRPr>
          </a:pPr>
          <a:r>
            <a:t/>
          </a:r>
          <a:endParaRPr lang="en-US"/>
        </a:p>
      </txPr>
    </legend>
    <plotVisOnly val="1"/>
    <dispBlanksAs val="gap"/>
  </chart>
  <spPr>
    <a:noFill xmlns:a="http://schemas.openxmlformats.org/drawingml/2006/main"/>
    <a:ln xmlns:a="http://schemas.openxmlformats.org/drawingml/2006/main" w="9525">
      <a:noFill/>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2000" b="1" i="0" strike="noStrike" baseline="0">
                <a:solidFill>
                  <a:srgbClr val="000000"/>
                </a:solidFill>
                <a:latin typeface="Arial" pitchFamily="34" charset="0"/>
                <a:ea typeface="Calibri"/>
                <a:cs typeface="Arial" pitchFamily="34" charset="0"/>
              </a:defRPr>
            </a:pPr>
            <a:r>
              <a:rPr lang="en-US" sz="2000">
                <a:latin typeface="Arial" pitchFamily="34" charset="0"/>
                <a:cs typeface="Arial" pitchFamily="34" charset="0"/>
                <a:sym typeface="Symbol"/>
              </a:rPr>
              <a:t></a:t>
            </a:r>
            <a:r>
              <a:rPr lang="en-US" sz="2000" b="1" i="0" strike="noStrike" baseline="0"/>
              <a:t>,  V</a:t>
            </a:r>
            <a:r>
              <a:rPr lang="en-US" sz="2000" b="1" i="0" strike="noStrike" baseline="-25000"/>
              <a:t>IN</a:t>
            </a:r>
            <a:r>
              <a:rPr lang="en-US" sz="2000" b="1" i="0" strike="noStrike" baseline="0"/>
              <a:t xml:space="preserve"> = V</a:t>
            </a:r>
            <a:r>
              <a:rPr lang="en-US" sz="2000" b="1" i="0" strike="noStrike" baseline="-25000"/>
              <a:t>IN(nom)</a:t>
            </a:r>
            <a:endParaRPr lang="en-US" sz="2000">
              <a:latin typeface="Arial" pitchFamily="34" charset="0"/>
              <a:cs typeface="Arial" pitchFamily="34" charset="0"/>
            </a:endParaRPr>
          </a:p>
        </rich>
      </tx>
      <layout>
        <manualLayout>
          <xMode val="edge"/>
          <yMode val="edge"/>
          <wMode val="factor"/>
          <hMode val="factor"/>
          <x val="0.07708284678195419"/>
          <y val="0.01410996946615793"/>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8239960491196528"/>
          <y val="0.123729036548257"/>
          <w val="0.8257999022850623"/>
          <h val="0.7606856681011737"/>
        </manualLayout>
      </layout>
      <lineChart>
        <grouping val="standard"/>
        <varyColors val="0"/>
        <ser>
          <idx val="0"/>
          <order val="0"/>
          <tx>
            <v>Efficiency</v>
          </tx>
          <spPr>
            <a:ln xmlns:a="http://schemas.openxmlformats.org/drawingml/2006/main" w="28575">
              <a:solidFill>
                <a:srgbClr val="FF0000"/>
              </a:solidFill>
              <a:prstDash val="solid"/>
            </a:ln>
          </spPr>
          <marker>
            <symbol val="none"/>
            <spPr>
              <a:ln xmlns:a="http://schemas.openxmlformats.org/drawingml/2006/main">
                <a:prstDash val="solid"/>
              </a:ln>
            </spPr>
          </marker>
          <cat>
            <multiLvlStrRef>
              <f>#REF!</f>
            </multiLvlStrRef>
          </cat>
          <val>
            <numRef>
              <f>#REF!</f>
              <numCache>
                <formatCode>General</formatCode>
                <ptCount val="1"/>
                <pt idx="0">
                  <v>1</v>
                </pt>
              </numCache>
            </numRef>
          </val>
          <smooth val="0"/>
        </ser>
        <dLbls>
          <showLegendKey val="0"/>
          <showVal val="0"/>
          <showCatName val="0"/>
          <showSerName val="0"/>
          <showPercent val="0"/>
          <showBubbleSize val="0"/>
        </dLbls>
        <marker val="1"/>
        <smooth val="0"/>
        <axId val="334288768"/>
        <axId val="334299136"/>
      </lineChart>
      <lineChart>
        <grouping val="standard"/>
        <varyColors val="0"/>
        <ser>
          <idx val="1"/>
          <order val="1"/>
          <tx>
            <strRef>
              <f>'Efficiency Calculations'!$BC$8</f>
              <strCache>
                <ptCount val="1"/>
                <pt idx="0">
                  <v>Control MOSFET Loss</v>
                </pt>
              </strCache>
            </strRef>
          </tx>
          <spPr>
            <a:ln xmlns:a="http://schemas.openxmlformats.org/drawingml/2006/main" w="38100">
              <a:solidFill>
                <a:srgbClr val="808000"/>
              </a:solidFill>
              <a:prstDash val="sysDash"/>
            </a:ln>
          </spPr>
          <marker>
            <symbol val="none"/>
            <spPr>
              <a:ln xmlns:a="http://schemas.openxmlformats.org/drawingml/2006/main">
                <a:prstDash val="solid"/>
              </a:ln>
            </spPr>
          </marker>
          <cat>
            <numRef>
              <f>'Efficiency Calculations'!$K$9:$K$109</f>
              <numCache>
                <formatCode>0.000</formatCode>
                <ptCount val="101"/>
                <pt idx="0">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#REF!</f>
              <numCache>
                <formatCode>General</formatCode>
                <ptCount val="1"/>
                <pt idx="0">
                  <v>1</v>
                </pt>
              </numCache>
            </numRef>
          </val>
          <smooth val="0"/>
        </ser>
        <ser>
          <idx val="2"/>
          <order val="2"/>
          <tx>
            <v>Inductor Loss</v>
          </tx>
          <spPr>
            <a:ln xmlns:a="http://schemas.openxmlformats.org/drawingml/2006/main" w="38100">
              <a:solidFill>
                <a:srgbClr val="800080"/>
              </a:solidFill>
              <a:prstDash val="dash"/>
            </a:ln>
          </spPr>
          <marker>
            <symbol val="none"/>
            <spPr>
              <a:ln xmlns:a="http://schemas.openxmlformats.org/drawingml/2006/main">
                <a:prstDash val="solid"/>
              </a:ln>
            </spPr>
          </marker>
          <cat>
            <numRef>
              <f>'Efficiency Calculations'!$K$9:$K$109</f>
              <numCache>
                <formatCode>0.000</formatCode>
                <ptCount val="101"/>
                <pt idx="0">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#REF!</f>
              <numCache>
                <formatCode>General</formatCode>
                <ptCount val="1"/>
                <pt idx="0">
                  <v>1</v>
                </pt>
              </numCache>
            </numRef>
          </val>
          <smooth val="0"/>
        </ser>
        <ser>
          <idx val="3"/>
          <order val="3"/>
          <tx>
            <strRef>
              <f>'Efficiency Calculations'!$BD$8</f>
              <strCache>
                <ptCount val="1"/>
                <pt idx="0">
                  <v>SYNC MOSFET Loss</v>
                </pt>
              </strCache>
            </strRef>
          </tx>
          <spPr>
            <a:ln xmlns:a="http://schemas.openxmlformats.org/drawingml/2006/main" w="38100">
              <a:solidFill>
                <a:srgbClr val="002060"/>
              </a:solidFill>
              <a:prstDash val="sysDot"/>
            </a:ln>
          </spPr>
          <marker>
            <symbol val="none"/>
            <spPr>
              <a:ln xmlns:a="http://schemas.openxmlformats.org/drawingml/2006/main">
                <a:prstDash val="solid"/>
              </a:ln>
            </spPr>
          </marker>
          <cat>
            <numRef>
              <f>'Efficiency Calculations'!$K$9:$K$109</f>
              <numCache>
                <formatCode>0.000</formatCode>
                <ptCount val="101"/>
                <pt idx="0">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#REF!</f>
              <numCache>
                <formatCode>General</formatCode>
                <ptCount val="1"/>
                <pt idx="0">
                  <v>1</v>
                </pt>
              </numCache>
            </numRef>
          </val>
          <smooth val="0"/>
        </ser>
        <dLbls>
          <showLegendKey val="0"/>
          <showVal val="0"/>
          <showCatName val="0"/>
          <showSerName val="0"/>
          <showPercent val="0"/>
          <showBubbleSize val="0"/>
        </dLbls>
        <marker val="1"/>
        <smooth val="0"/>
        <axId val="334307328"/>
        <axId val="334301056"/>
      </lineChart>
      <catAx>
        <axId val="334288768"/>
        <scaling>
          <orientation val="minMax"/>
        </scaling>
        <delete val="0"/>
        <axPos val="b"/>
        <majorGridlines>
          <spPr>
            <a:ln xmlns:a="http://schemas.openxmlformats.org/drawingml/2006/main" w="15875">
              <a:solidFill>
                <a:srgbClr val="969696"/>
              </a:solidFill>
              <a:prstDash val="sysDash"/>
            </a:ln>
          </spPr>
        </majorGridlines>
        <title>
          <tx>
            <rich>
              <a:bodyPr xmlns:a="http://schemas.openxmlformats.org/drawingml/2006/main"/>
              <a:lstStyle xmlns:a="http://schemas.openxmlformats.org/drawingml/2006/main"/>
              <a:p xmlns:a="http://schemas.openxmlformats.org/drawingml/2006/main">
                <a:pPr>
                  <a:defRPr sz="1300" b="1" i="0" strike="noStrike" baseline="0">
                    <a:solidFill>
                      <a:srgbClr val="0000FF"/>
                    </a:solidFill>
                    <a:latin typeface="Arial" pitchFamily="34" charset="0"/>
                    <a:ea typeface="Calibri"/>
                    <a:cs typeface="Arial" pitchFamily="34" charset="0"/>
                  </a:defRPr>
                </a:pPr>
                <a:r>
                  <a:rPr lang="en-US" sz="1300">
                    <a:solidFill>
                      <a:srgbClr val="0000FF"/>
                    </a:solidFill>
                    <a:latin typeface="Arial" pitchFamily="34" charset="0"/>
                    <a:cs typeface="Arial" pitchFamily="34" charset="0"/>
                  </a:rPr>
                  <a:t>Load Current (A)</a:t>
                </a:r>
              </a:p>
            </rich>
          </tx>
          <layout>
            <manualLayout>
              <xMode val="edge"/>
              <yMode val="edge"/>
              <wMode val="factor"/>
              <hMode val="factor"/>
              <x val="0.4162534334370994"/>
              <y val="0.9457191357373134"/>
            </manualLayout>
          </layout>
          <overlay val="0"/>
          <spPr>
            <a:noFill xmlns:a="http://schemas.openxmlformats.org/drawingml/2006/main"/>
            <a:ln xmlns:a="http://schemas.openxmlformats.org/drawingml/2006/main" w="25400">
              <a:noFill/>
              <a:prstDash val="solid"/>
            </a:ln>
          </spPr>
        </title>
        <numFmt formatCode="General" sourceLinked="0"/>
        <majorTickMark val="in"/>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0000FF"/>
                </a:solidFill>
                <a:latin typeface="Arial" pitchFamily="34" charset="0"/>
                <a:ea typeface="Calibri"/>
                <a:cs typeface="Arial" pitchFamily="34" charset="0"/>
              </a:defRPr>
            </a:pPr>
            <a:r>
              <a:t/>
            </a:r>
            <a:endParaRPr lang="en-US"/>
          </a:p>
        </txPr>
        <crossAx val="334299136"/>
        <crosses val="autoZero"/>
        <auto val="1"/>
        <lblAlgn val="ctr"/>
        <lblOffset val="100"/>
        <tickLblSkip val="20"/>
        <tickMarkSkip val="20"/>
        <noMultiLvlLbl val="1"/>
      </catAx>
      <valAx>
        <axId val="334299136"/>
        <scaling>
          <orientation val="minMax"/>
          <max val="100"/>
          <min val="65"/>
        </scaling>
        <delete val="0"/>
        <axPos val="l"/>
        <majorGridlines>
          <spPr>
            <a:ln xmlns:a="http://schemas.openxmlformats.org/drawingml/2006/main" w="15875">
              <a:solidFill>
                <a:srgbClr val="808080"/>
              </a:solidFill>
              <a:prstDash val="solid"/>
            </a:ln>
          </spPr>
        </majorGridlines>
        <minorGridlines/>
        <title>
          <tx>
            <rich>
              <a:bodyPr xmlns:a="http://schemas.openxmlformats.org/drawingml/2006/main"/>
              <a:lstStyle xmlns:a="http://schemas.openxmlformats.org/drawingml/2006/main"/>
              <a:p xmlns:a="http://schemas.openxmlformats.org/drawingml/2006/main">
                <a:pPr>
                  <a:defRPr sz="1300" b="1" i="0" strike="noStrike" baseline="0">
                    <a:solidFill>
                      <a:srgbClr val="FF0000"/>
                    </a:solidFill>
                    <a:latin typeface="Arial" pitchFamily="34" charset="0"/>
                    <a:ea typeface="Calibri"/>
                    <a:cs typeface="Arial" pitchFamily="34" charset="0"/>
                  </a:defRPr>
                </a:pPr>
                <a:r>
                  <a:rPr lang="en-US" sz="1300" b="1">
                    <a:solidFill>
                      <a:srgbClr val="FF0000"/>
                    </a:solidFill>
                    <a:latin typeface="Arial" pitchFamily="34" charset="0"/>
                    <a:cs typeface="Arial" pitchFamily="34" charset="0"/>
                  </a:rPr>
                  <a:t>Efficiency (%)</a:t>
                </a:r>
              </a:p>
            </rich>
          </tx>
          <layout>
            <manualLayout>
              <xMode val="edge"/>
              <yMode val="edge"/>
              <wMode val="factor"/>
              <hMode val="factor"/>
              <x val="0.01287185867408144"/>
              <y val="0.376381779156884"/>
            </manualLayout>
          </layout>
          <overlay val="0"/>
          <spPr>
            <a:noFill xmlns:a="http://schemas.openxmlformats.org/drawingml/2006/main"/>
            <a:ln xmlns:a="http://schemas.openxmlformats.org/drawingml/2006/main" w="25400">
              <a:noFill/>
              <a:prstDash val="solid"/>
            </a:ln>
          </spPr>
        </title>
        <numFmt formatCode="#,##0" sourceLinked="0"/>
        <majorTickMark val="out"/>
        <minorTickMark val="out"/>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FF0000"/>
                </a:solidFill>
                <a:latin typeface="Arial" pitchFamily="34" charset="0"/>
                <a:ea typeface="Calibri"/>
                <a:cs typeface="Arial" pitchFamily="34" charset="0"/>
              </a:defRPr>
            </a:pPr>
            <a:r>
              <a:t/>
            </a:r>
            <a:endParaRPr lang="en-US"/>
          </a:p>
        </txPr>
        <crossAx val="334288768"/>
        <crosses val="autoZero"/>
        <crossBetween val="between"/>
        <majorUnit val="5"/>
        <minorUnit val="2.5"/>
      </valAx>
      <catAx>
        <axId val="334307328"/>
        <scaling>
          <orientation val="minMax"/>
        </scaling>
        <delete val="1"/>
        <axPos val="b"/>
        <numFmt formatCode="0.000" sourceLinked="1"/>
        <majorTickMark val="out"/>
        <minorTickMark val="none"/>
        <tickLblPos val="nextTo"/>
        <crossAx val="334301056"/>
        <crosses val="autoZero"/>
        <auto val="1"/>
        <lblAlgn val="ctr"/>
        <lblOffset val="100"/>
        <noMultiLvlLbl val="0"/>
      </catAx>
      <valAx>
        <axId val="334301056"/>
        <scaling>
          <orientation val="minMax"/>
          <min val="0"/>
        </scaling>
        <delete val="0"/>
        <axPos val="r"/>
        <title>
          <tx>
            <rich>
              <a:bodyPr xmlns:a="http://schemas.openxmlformats.org/drawingml/2006/main" rot="-5400000" vert="horz"/>
              <a:lstStyle xmlns:a="http://schemas.openxmlformats.org/drawingml/2006/main"/>
              <a:p xmlns:a="http://schemas.openxmlformats.org/drawingml/2006/main">
                <a:pPr>
                  <a:defRPr sz="1400" b="1"/>
                </a:pPr>
                <a:r>
                  <a:rPr lang="en-US" sz="1400" b="1"/>
                  <a:t>Power Loss (W)</a:t>
                </a:r>
              </a:p>
            </rich>
          </tx>
          <layout>
            <manualLayout>
              <xMode val="edge"/>
              <yMode val="edge"/>
              <wMode val="factor"/>
              <hMode val="factor"/>
              <x val="0.955942917932502"/>
              <y val="0.3704887336673123"/>
            </manualLayout>
          </layout>
          <overlay val="0"/>
        </title>
        <numFmt formatCode="General" sourceLinked="0"/>
        <majorTickMark val="cross"/>
        <minorTickMark val="none"/>
        <tickLblPos val="nextTo"/>
        <txPr>
          <a:bodyPr xmlns:a="http://schemas.openxmlformats.org/drawingml/2006/main"/>
          <a:lstStyle xmlns:a="http://schemas.openxmlformats.org/drawingml/2006/main"/>
          <a:p xmlns:a="http://schemas.openxmlformats.org/drawingml/2006/main">
            <a:pPr>
              <a:defRPr sz="1100" b="1">
                <a:solidFill>
                  <a:sysClr val="windowText" lastClr="000000"/>
                </a:solidFill>
              </a:defRPr>
            </a:pPr>
            <a:r>
              <a:t/>
            </a:r>
            <a:endParaRPr lang="en-US"/>
          </a:p>
        </txPr>
        <crossAx val="334307328"/>
        <crosses val="max"/>
        <crossBetween val="between"/>
      </valAx>
    </plotArea>
    <legend>
      <legendPos val="t"/>
      <layout>
        <manualLayout>
          <xMode val="edge"/>
          <yMode val="edge"/>
          <wMode val="factor"/>
          <hMode val="factor"/>
          <x val="0.3612040874726533"/>
          <y val="0.01189262617588698"/>
          <w val="0.5579080164803549"/>
          <h val="0.0905765609084237"/>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200" b="0" i="0" strike="noStrike" baseline="0">
              <a:solidFill>
                <a:srgbClr val="000000"/>
              </a:solidFill>
              <a:latin typeface="Arial" pitchFamily="34" charset="0"/>
              <a:ea typeface="Calibri"/>
              <a:cs typeface="Arial" pitchFamily="34" charset="0"/>
            </a:defRPr>
          </a:pPr>
          <a:r>
            <a:t/>
          </a:r>
          <a:endParaRPr lang="en-US"/>
        </a:p>
      </txPr>
    </legend>
    <plotVisOnly val="1"/>
    <dispBlanksAs val="gap"/>
  </chart>
  <spPr>
    <a:noFill xmlns:a="http://schemas.openxmlformats.org/drawingml/2006/main"/>
    <a:ln xmlns:a="http://schemas.openxmlformats.org/drawingml/2006/main" w="9525">
      <a:noFill/>
      <a:prstDash val="solid"/>
    </a:ln>
  </spPr>
</chartSpace>
</file>

<file path=xl/comments/comment1.xml><?xml version="1.0" encoding="utf-8"?>
<comments xmlns="http://schemas.openxmlformats.org/spreadsheetml/2006/main">
  <authors>
    <author>Timothy Hegarty</author>
    <author>Hegarty, Timothy</author>
    <author>BDATSC</author>
  </authors>
  <commentList>
    <comment ref="A3" authorId="0" shapeId="0">
      <text>
        <t>Welcome to the LM(2)5148/-Q1 Quickstart Design Tool
This stand-alone tool facilitates and assists the power supply engineer with design of a DC/DC buck regulator based on the LM5148/-Q1 and LM25148/-Q1 synchronous buck controller family. As such, the user can expeditiously arrive at an optimized design by virtue of the following:
- Determine current sense resistance, buck inductances and input and output capacitances
- Select components to set switching frequency, soft-start, hiccup time and dither
- Optimize compensation values and pole/zero placement in terms of control loop stability using crossover frequency as a performance metric
- Inspect regulator efficiency and component power dissipations vs. line and load
- Analyze efficiency based on selected MOSFET parameters
- Review auto-generated schematic and BOM list
IMPORTANT: You must enable macros if Microsoft EXCEL asks as the file is being opened.
U.S. English notationsense resistance,  is used throughout.
http://www.ti.com/power
Rev A4, Timothy Hegarty, Texas Instruments, Inc.</t>
      </text>
    </comment>
    <comment ref="N3" authorId="0" shapeId="0">
      <text>
        <t>Texas Instruments:
Limited Use Policy
You must treat this software and documentation like any other copyrighted material.
You may not:
- Copy documentation of the software
- Copy this software except to make archival or backup copies
- Reverse engineer, disassemble, decompile or make any attempt to discover the source code of the Software 
- Place the software onto a server so that it is accessible via a public network such as the internet 
- Sublicense, rent, lease or lend any portion of the software or documentation.
Texas Instruments is not responsible for the validity of any design created with this software and urges all designs to be fully tested and carefully verified. Refer to the LM(2)5148/-Q1 product datasheet and EVM user's guide for more details.
Rev A4, Timothy Hegarty, Texas Instruments, Inc.</t>
      </text>
    </comment>
    <comment ref="F6" authorId="0" shapeId="0">
      <text>
        <t>Minimum Input Voltage:
Enter the minimum operating input voltage.
The LM(2)5148/-Q1 input voltage operating range is 3.5V to 80V (42V).
The text in the cell is flagged red if:
-The input voltage is above 80V (42V)
-The input voltage is below 3.5V</t>
      </text>
    </comment>
    <comment ref="F7" authorId="0" shapeId="0">
      <text>
        <t>Nominal Input Voltage:
Enter the nominal operating input voltage.
The LM(2)5148-Q1 input voltage operating range is 3.5V to 80V (42V).
The text in the cell is flagged red if:
-The input voltage is above VIN(max)
-The input voltage is below VIN(min)</t>
      </text>
    </comment>
    <comment ref="F8" authorId="0" shapeId="0">
      <text>
        <t>Maximum Input Voltage:
Enter the maximum operating input voltage.
The LM(2)5148-Q1 input voltage operating range is 3.5V to 80V (42V).
The text in the cell is flagged red if:
-The input voltage is above 80V (42V)
-The input voltage is below 3.5V</t>
      </text>
    </comment>
    <comment ref="F9" authorId="0" shapeId="0">
      <text>
        <t>Output Voltage:
Enter the desired output voltage.
The text in the cell is flagged red if:
-The output voltage is above 55V 
-The output voltage is below 0.8V</t>
      </text>
    </comment>
    <comment ref="F11" authorId="0" shapeId="0">
      <text>
        <t xml:space="preserve">Switching Frequency (set by RT):
This cell defines the switching frequency set by the RT resistor, or by connecting an appropriate SYNC IN signal to the PFM/SYNC pin.
The frequency set by RT can be [100kHz - 2.2MHz] but can be synced ±20% of this freee-running frequency.
The text in the cell is flagged red if:
- The frequency is below 100 kHz
- The frequency is above 2.2 MHz
</t>
      </text>
    </comment>
    <comment ref="F16" authorId="0" shapeId="0">
      <text>
        <t>OCP Setpoint:
Enter the required overcurrent protection (OCP) setpoint for output current. A typical level is 140% of full load current.</t>
      </text>
    </comment>
    <comment ref="F17" authorId="0" shapeId="0">
      <text>
        <t>Sense Resistance:
Use this resistor to sense current and set the cycle-by-cycle overcurrent protection. As such, the calculation takes the required current limit setpoint and the inductor ripple current amplitude to calculate RS.</t>
      </text>
    </comment>
    <comment ref="F19" authorId="0" shapeId="0">
      <text>
        <t>Minimum Inductor Saturation Current:
Maximum peak current in the inductor. The result corresponds to onset of current limit and is intended as a guide to inductor selection as it relates to saturation current level.</t>
      </text>
    </comment>
    <comment ref="F20" authorId="0" shapeId="0">
      <text>
        <t xml:space="preserve">Max Shunt Dissipation:
Maximum power loss in the shunt resistor occurs at VIN(min). The result is provided at the load current corresponding to the onset of OCP.
</t>
      </text>
    </comment>
    <comment ref="F21" authorId="0" shapeId="0">
      <text>
        <t>Output Current at OCP Inception:
The result here corresponds to the output current near the onset of overcurrent protection while operating at minimum input voltage.</t>
      </text>
    </comment>
    <comment ref="F22" authorId="0" shapeId="0">
      <text>
        <t>Output Current at OCP Inception:
The result here corresponds to the output current near the onset of overcurrent protection while operating at nominal input voltage.</t>
      </text>
    </comment>
    <comment ref="F23" authorId="0" shapeId="0">
      <text>
        <t>Output Current at OCP Inception:
The result here corresponds to the output current near the onset of overcurrent protection while operating at maximum input voltage.</t>
      </text>
    </comment>
    <comment ref="F26" authorId="1" shapeId="0">
      <text>
        <t>Recommended inductance:
This is the nominal inductance that sets the faliing inductor current di/dt equal to the slope compensation ramp contribution.</t>
      </text>
    </comment>
    <comment ref="F27" authorId="0" shapeId="0">
      <text>
        <t>Buck Inductance:
Enter the buck inductance here.
Setting the inductance equal to the recommended value gives ideal (one times inductor current downlope) slope compensation. As 0.5 times inductor current downslope is the absolute minimum slope comp requirement, do not choose an inductance greater than twice the recommended.</t>
      </text>
    </comment>
    <comment ref="F28" authorId="0" shapeId="0">
      <text>
        <t>Inductor DCR:
Enter the inductor DC resistance here. This is typically specified in the inductor datasheet at 25°C copper temperature.</t>
      </text>
    </comment>
    <comment ref="F33" authorId="0" shapeId="0">
      <text>
        <t>Output Voltage Ripple:
Enter the desired maximum peak-to-peak output voltage ripple here. This will set the ideal output capacitance value.
The text in the cell is flagged red if:
-The output voltage ripple is zero.</t>
      </text>
    </comment>
    <comment ref="F35" authorId="0" shapeId="0">
      <text>
        <t>Output Capacitance:
Enter the output capacitance here based on the minimum calculated result. Make sure that the nominal capacitance is appropriately derated for applied voltage, particularly with ceramics.
The text in the cell is flagged red if:
-The chosen output capacitor is smaller than the minimum ideal capacitance.</t>
      </text>
    </comment>
    <comment ref="F37" authorId="0" shapeId="0">
      <text>
        <t>Output Capacitor ESR:
Enter the output capacitor ESR here based on the maximum allowed output capacitor ESR to meet the voltage ripple specification.
The text in the cell is flagged red if:
-ESR is zero, or
-ESR exceeds maximum allowable ESR to meet the voltage ripple specification.</t>
      </text>
    </comment>
    <comment ref="F42" authorId="0" shapeId="0">
      <text>
        <t>Input Voltage Ripple:
Enter the desired maximum peak-to-peak input voltage ripple here. This will set the ideal input capacitance requirement.
The text in thiecell is red if:
-The input voltage ripple is zero.</t>
      </text>
    </comment>
    <comment ref="F44" authorId="0" shapeId="0">
      <text>
        <t>Input Capacitance:
Enter the input capacitance here based on the minimum calculated result. Make sure that the nominal capacitance is appropriately derated for applied voltage.
The text in the cell is flagged red if:
-The chosen input capacitor is smaller than the minimum ideal capacitance.</t>
      </text>
    </comment>
    <comment ref="F46" authorId="0" shapeId="0">
      <text>
        <t xml:space="preserve">Input Capacitor ESR:
Enter the input capacitor ESR here based on the maximum allowed input capacitor ESR to meet the ripple voltage specification.
The text in the cell is flagged red if:
-ESR is zero, or
-ESR exceeds maximum allowable ESR to meet the voltage ripple specification.
</t>
      </text>
    </comment>
    <comment ref="F63" authorId="0" shapeId="0">
      <text>
        <t>Crossover Frequency:
Enter the desired crossover frequency (usually between 10% and 15% of switching frequency, up to a max of ~100kHz). This feedback compensation components are determined based on this target performance metric.</t>
      </text>
    </comment>
    <comment ref="F65" authorId="0" shapeId="0">
      <text>
        <t>Upper Feedback Resistor, RFB1:
This is the upper feedback resistor that sets the output voltage. A recommended starting value of RFB1 is 100kΩ.</t>
      </text>
    </comment>
    <comment ref="E70" authorId="0" shapeId="0">
      <text>
        <t>Selected Compensation Components:
Note:
Compensation components are calculated based on the desired crossover frequency from Step 7.
Important:
1. Fix the compensation values by clicking the FIX VALUES button.
2. Click on RESET VALUES such that thee compensation values update with change of components or crossover frequency.</t>
      </text>
    </comment>
    <comment ref="E82" authorId="2" shapeId="0">
      <text>
        <t>On-State Resistance (RDS(on)):
Enter the RDS(on) of the high-side MOSFET here (at the appropriate gate drive level, typically 5V). High current designs (&gt;5A) can incur large conduction losses and, as such, demand MOSFETs with low RDS(on) usually at the expense of larger QG.
MOSFET RDS(ON) has a positive temperature coefficient (resistance increases with increasing temperature). This temperature coefficient is accounted for in the efficiency and power dissipation calculations.</t>
      </text>
    </comment>
    <comment ref="F82" authorId="2" shapeId="0">
      <text>
        <t xml:space="preserve">Output Charge (COSS):
Enter the high-side MOSFET output capacitance at nominal VIN here. </t>
      </text>
    </comment>
    <comment ref="E83" authorId="2" shapeId="0">
      <text>
        <t>Total Gate Charge (Qg):
Enter the total gate charge of the high-side MOSFET here (at the appropriate gate drive voltage level, typically 5V).</t>
      </text>
    </comment>
    <comment ref="F83" authorId="2" shapeId="0">
      <text>
        <t xml:space="preserve">Gate Resistance (RG):
Enter the high-side MOSFET gate resistance here. </t>
      </text>
    </comment>
    <comment ref="E84" authorId="2" shapeId="0">
      <text>
        <t>Gate-Drain Charge (QGD):
Enter the QGD of the high-side MOSFET here.
MOSFET QGD affects the turn-on and-off transition times. Slow transition times result in a decrease in efficiency, especially at higher input voltages.</t>
      </text>
    </comment>
    <comment ref="F84" authorId="2" shapeId="0">
      <text>
        <t>Forward Transconductance (gFS):
Enter the forward transconductance rating of the high-side MOSFET here.</t>
      </text>
    </comment>
    <comment ref="E85" authorId="2" shapeId="0">
      <text>
        <t xml:space="preserve">Gate-Source Charge (QGS):
Enter the high-side MOSFET gate-source charge here. </t>
      </text>
    </comment>
    <comment ref="F85" authorId="2" shapeId="0">
      <text>
        <t xml:space="preserve">Gate to Source Threshold Voltage (VGS(TH)):
Enter the MOSFET gate-source threshold voltage at rated current here. This can be taken as the plateau voltage in the VGS-QG curve in the MOSFET datasheet.
</t>
      </text>
    </comment>
    <comment ref="F86" authorId="2" shapeId="0">
      <text>
        <t>Body Diode Forward Voltage (Vbd1):
A MOSFET has an inherent reverse body diode, and the voltage drop usually is specified at a rated current. The high-side MOSFET body diode contributes power loss during negative current events.</t>
      </text>
    </comment>
    <comment ref="E87" authorId="2" shapeId="0">
      <text>
        <t xml:space="preserve">Output Charge (COSS):
Enter the high-side MOSFET output capacitance at nominal VIN here. </t>
      </text>
    </comment>
    <comment ref="F87" authorId="2" shapeId="0">
      <text>
        <t xml:space="preserve">Drain-Source Capacitance (COSS):
Enter the low-side MOSFET output capacitance at nominal VIN here. </t>
      </text>
    </comment>
    <comment ref="E88" authorId="2" shapeId="0">
      <text>
        <t xml:space="preserve">Gate Resistance (RG):
Enter the high-side MOSFET gate resistance here. </t>
      </text>
    </comment>
    <comment ref="F88" authorId="2" shapeId="0">
      <text>
        <t xml:space="preserve">Gate Resistance (RG):
Enter the low-side MOSFET gate resistance here. </t>
      </text>
    </comment>
    <comment ref="E89" authorId="2" shapeId="0">
      <text>
        <t>Forward Transconductance (gFS):
Enter the forward transconductance rating of the high-side MOSFET here.</t>
      </text>
    </comment>
    <comment ref="F89" authorId="2" shapeId="0">
      <text>
        <t>Forward Transconductance (gFS):
Enter the forward transconductance rating of the low-side MOSFET here.</t>
      </text>
    </comment>
    <comment ref="E90" authorId="2" shapeId="0">
      <text>
        <t xml:space="preserve">Gate to Source Threshold Voltage (VGS(TH)):
Enter the MOSFET gate-source threshold voltage at rated current here. This can be taken as the plateau voltage in the VGS-QG curve in the MOSFET datasheet.
</t>
      </text>
    </comment>
    <comment ref="F90" authorId="2" shapeId="0">
      <text>
        <t xml:space="preserve">Gate to Source Threshold Voltage (VGS(TH)):
Enter the MOSFET gate-source threshold voltage at rated current here. This can be taken as the plateau voltage in the VGS-QG curve in the MOSFET datasheet.
</t>
      </text>
    </comment>
    <comment ref="E91" authorId="2" shapeId="0">
      <text>
        <t>Body Diode Forward Voltage (Vbd1):
A MOSFET has an inherent reverse body diode, and the voltage drop usually is specified at a rated current. The high-side MOSFET body diode contributes power loss during negative current events.</t>
      </text>
    </comment>
    <comment ref="F91" authorId="2" shapeId="0">
      <text>
        <t>Body Diode Forward Voltage (Vbd1):
A MOSFET has an inherent reverse body diode, and the voltage drop usually is specified at a rated current. The low-side MOSFET body diode contributes power loss related to both conduction and reverse recovery losses.</t>
      </text>
    </comment>
    <comment ref="F92" authorId="2" shapeId="0">
      <text>
        <t xml:space="preserve">Body Diode Recovery Charge (QRR):
Enter the reverse recovery charge of the low-side MOSFET body diode here. </t>
      </text>
    </comment>
    <comment ref="E93" authorId="2" shapeId="0">
      <text>
        <t>θJA:
θJA is the junction-to-ambient thermal resistance of the MOSFET. Higher θJA will lead to higher power loss and reduced efficiency. High current designs demand low θJA rating to help maintain low MOSFET operating junction temperature. What's imperative here is consciencious PCB design and layout to maximize heat removal from the MOSFET.</t>
      </text>
    </comment>
    <comment ref="F93" authorId="2" shapeId="0">
      <text>
        <t>θJA:
θJA is the junction-to-ambient thermal resistance of the MOSFET. Higher θJA will lead to higher power loss and reduced efficiency. High current designs demand low θJA rating to help maintain low MOSFET operating junction temperature. What's imperative here is consciencious PCB design and layout to maximize heat removal from the MOSFET.</t>
      </text>
    </comment>
    <comment ref="G96" authorId="1" shapeId="0">
      <text>
        <t xml:space="preserve">Schottky Diode Forward Voltage:
If an antiparallel Schottky diode is used across the low-side FET, enter the forward voltage at the rated current here. If a Schottky diode is not used, enter "0" into this cell.
</t>
      </text>
    </comment>
    <comment ref="G97" authorId="1" shapeId="0">
      <text>
        <t>Schottky Diode Reverse Recovery Charge:
Enter the diode reverse recovery charge here.
If a Schottky diode is not used, enter "0" into this cell.</t>
      </text>
    </comment>
    <comment ref="F102" authorId="1" shapeId="0">
      <text>
        <t>IC Power Loss:
IC power loss estimate based on nominal input voltage and MOSFET gate drive requirements.</t>
      </text>
    </comment>
    <comment ref="F103" authorId="1" shapeId="0">
      <text>
        <t>IC Junction Temperature:
IC junction temperature based on specified ambient temperature and power loss estimate.</t>
      </text>
    </comment>
  </commentList>
</comments>
</file>

<file path=xl/comments/comment2.xml><?xml version="1.0" encoding="utf-8"?>
<comments xmlns="http://schemas.openxmlformats.org/spreadsheetml/2006/main">
  <authors>
    <author>Timothy Hegarty</author>
    <author>Hegarty, Timothy</author>
  </authors>
  <commentList>
    <comment ref="A3" authorId="0" shapeId="0">
      <text>
        <t>Welcome to the LM5141-Q1 Quickstart Design Tool
This stand-alone tool facilitates and assists the power supply engineer with design of a DC/DC buck regulator based on the LM5141-Q1 synchronous buck controller. As such, the user can expeditiously arrive at an optimized design by virtue of the following:
- Determine current sense resistance, buck inductances and input and output capacitances
- Select components to set switching frequency, soft-start, hiccup time and dither
- Optimize compensation values and pole/zero placement in terms of control loop stability using crossover frequency as a performance metric
- Inspect regulator efficiency and component power dissipations vs. line and load
- Analyze efficiency based on selected MOSFET parameters
- Review auto-generated schematic and BOM list
IMPORTANT: You must enable macros if Microsoft EXCEL asks as the file is being opened.
U.S. English notationsense resistance,  is used throughout.
http://www.ti.com/widevin/
Rev A2, Timothy Hegarty, Texas Instruments, Inc.</t>
      </text>
    </comment>
    <comment ref="O3" authorId="0" shapeId="0">
      <text>
        <t>Texas Instruments:
Limited Use Policy
You must treat this software and documentation like any other copyrighted material.
You may not:
- Copy documentation of the software
- Copy this software except to make archival or backup copies
- Reverse engineer, disassemble, decompile or make any attempt to discover the source code of the Software 
- Place the software onto a server so that it is accessible via a public network such as the internet 
- Sublicense, rent, lease or lend any portion of the software or documentation.
Texas Instruments is not responsible for the validity of any design created with this software and urges all designs to be fully tested and carefully verified. Refer to the LM5141-Q1 product datasheet and EVM user's guide for more details.
Rev A2, Timothy Hegarty, Texas Instruments, Inc.</t>
      </text>
    </comment>
    <comment ref="D9" authorId="1" shapeId="0">
      <text>
        <t>Recommended inductance:
This is the nominal inductance that sets the faliing inductor current di/dt equal to the slope compensation contribution.</t>
      </text>
    </comment>
    <comment ref="P9" authorId="1" shapeId="0">
      <text>
        <t>Recommended inductance:
This is the nominal inductance that sets the faliing inductor current di/dt equal to the slope compensation contribution.</t>
      </text>
    </comment>
    <comment ref="Q9" authorId="1" shapeId="0">
      <text>
        <t>Recommended inductance:
This is the nominal inductance that sets the faliing inductor current di/dt equal to the slope compensation contribution.</t>
      </text>
    </comment>
  </commentList>
</comments>
</file>

<file path=xl/comments/comment3.xml><?xml version="1.0" encoding="utf-8"?>
<comments xmlns="http://schemas.openxmlformats.org/spreadsheetml/2006/main">
  <authors>
    <author>Timothy Hegarty</author>
    <author>Hegarty, Timothy</author>
  </authors>
  <commentList>
    <comment ref="A3" authorId="0" shapeId="0">
      <text>
        <t>Welcome to the LM5141-Q1 Quickstart Design Tool
This stand-alone tool facilitates and assists the power supply engineer with design of a DC/DC buck regulator based on the LM5141-Q1 synchronous buck controller. As such, the user can expeditiously arrive at an optimized design by virtue of the following:
- Determine current sense resistance, buck inductances and input and output capacitances
- Select components to set switching frequency, soft-start, hiccup time and dither
- Optimize compensation values and pole/zero placement in terms of control loop stability using crossover frequency as a performance metric
- Inspect regulator efficiency and component power dissipations vs. line and load
- Analyze efficiency based on selected MOSFET parameters
- Review auto-generated schematic and BOM list
IMPORTANT: You must enable macros if Microsoft EXCEL asks as the file is being opened.
U.S. English notationsense resistance,  is used throughout.
http://www.ti.com/widevin/
Rev A2, Timothy Hegarty, Texas Instruments, Inc.</t>
      </text>
    </comment>
    <comment ref="O3" authorId="0" shapeId="0">
      <text>
        <t>Texas Instruments:
Limited Use Policy
You must treat this software and documentation like any other copyrighted material.
You may not:
- Copy documentation of the software
- Copy this software except to make archival or backup copies
- Reverse engineer, disassemble, decompile or make any attempt to discover the source code of the Software 
- Place the software onto a server so that it is accessible via a public network such as the internet 
- Sublicense, rent, lease or lend any portion of the software or documentation.
Texas Instruments is not responsible for the validity of any design created with this software and urges all designs to be fully tested and carefully verified. Refer to the LM5141-Q1 product datasheet and EVM user's guide for more details.
Rev A2, Timothy Hegarty, Texas Instruments, Inc.</t>
      </text>
    </comment>
    <comment ref="D8" authorId="1" shapeId="0">
      <text>
        <t>Recommended inductance:
This is the nominal inductance that sets the faliing inductor current di/dt equal to the slope compensation contribution.</t>
      </text>
    </comment>
    <comment ref="H8" authorId="1" shapeId="0">
      <text>
        <t>Recommended inductance:
This is the nominal inductance that sets the faliing inductor current di/dt equal to the slope compensation contribution.</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3.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twoCellAnchor>
    <from>
      <col>8</col>
      <colOff>569071</colOff>
      <row>17</row>
      <rowOff>102345</rowOff>
    </from>
    <to>
      <col>21</col>
      <colOff>976592</colOff>
      <row>46</row>
      <rowOff>45196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579743</colOff>
      <row>17</row>
      <rowOff>114617</rowOff>
    </from>
    <to>
      <col>21</col>
      <colOff>987264</colOff>
      <row>46</row>
      <rowOff>63872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editAs="absolute">
    <from>
      <col>1</col>
      <colOff>19050</colOff>
      <row>4</row>
      <rowOff>38100</rowOff>
    </from>
    <to>
      <col>1</col>
      <colOff>8614410</colOff>
      <row>4</row>
      <rowOff>5158740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absolute">
    <from>
      <col>1</col>
      <colOff>19050</colOff>
      <row>7</row>
      <rowOff>47625</rowOff>
    </from>
    <to>
      <col>1</col>
      <colOff>8614410</colOff>
      <row>7</row>
      <rowOff>5168265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3.xml><?xml version="1.0" encoding="utf-8"?>
<wsDr xmlns="http://schemas.openxmlformats.org/drawingml/2006/spreadsheetDrawing">
  <twoCellAnchor>
    <from>
      <col>1</col>
      <colOff>0</colOff>
      <row>4</row>
      <rowOff>12700</rowOff>
    </from>
    <to>
      <col>1</col>
      <colOff>8124825</colOff>
      <row>4</row>
      <rowOff>5165725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6</row>
      <rowOff>0</rowOff>
    </from>
    <to>
      <col>1</col>
      <colOff>8124825</colOff>
      <row>6</row>
      <rowOff>5153025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noFill/>
        <a:ln w="9525">
          <a:noFill/>
          <a:miter lim="800000"/>
          <a:headEnd/>
          <a:tailEnd/>
        </a:ln>
      </a:spPr>
      <a:bodyPr vertOverflow="clip" wrap="square" lIns="27432" tIns="27432" rIns="0" bIns="0" anchor="t" upright="1"/>
      <a:lstStyle>
        <a:defPPr algn="l" rtl="0">
          <a:defRPr sz="1100" b="0" i="0" strike="noStrike">
            <a:solidFill>
              <a:srgbClr val="000000"/>
            </a:solidFill>
            <a:latin typeface="Calibri"/>
          </a:defRPr>
        </a:defPPr>
      </a:lstStyle>
    </a:txDef>
  </a:objectDefaults>
  <a:extraClrSchemeLst/>
</a:theme>
</file>

<file path=xl/worksheets/_rels/sheet1.xml.rels><Relationships xmlns="http://schemas.openxmlformats.org/package/2006/relationships"><Relationship Type="http://schemas.openxmlformats.org/officeDocument/2006/relationships/hyperlink" Target="http://www.ti.com/product/lm5175" TargetMode="External" Id="rId1"/><Relationship Type="http://schemas.openxmlformats.org/officeDocument/2006/relationships/hyperlink" Target="http://www.ti.com/pol"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www.ti.com/product/lm5175" TargetMode="External" Id="rId1"/><Relationship Type="http://schemas.openxmlformats.org/officeDocument/2006/relationships/hyperlink" Target="http://www.ti.com/pol" TargetMode="Externa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http://www.ti.com/product/lm5175" TargetMode="External" Id="rId1"/><Relationship Type="http://schemas.openxmlformats.org/officeDocument/2006/relationships/hyperlink" Target="http://www.ti.com/pol"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drawing" Target="/xl/drawings/drawing2.xml" Id="rId1"/></Relationships>
</file>

<file path=xl/worksheets/_rels/sheet11.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Sheet1">
    <tabColor rgb="FFFFFF00"/>
    <outlinePr summaryBelow="1" summaryRight="1"/>
    <pageSetUpPr fitToPage="1"/>
  </sheetPr>
  <dimension ref="A1:AH454"/>
  <sheetViews>
    <sheetView tabSelected="1" zoomScaleNormal="100" zoomScaleSheetLayoutView="100" workbookViewId="0">
      <selection activeCell="E18" sqref="E18"/>
    </sheetView>
  </sheetViews>
  <sheetFormatPr baseColWidth="8" defaultColWidth="9.140625" defaultRowHeight="12.75"/>
  <cols>
    <col width="8.28515625" customWidth="1" style="187" min="1" max="1"/>
    <col width="8.28515625" customWidth="1" style="79" min="2" max="2"/>
    <col width="13.5703125" customWidth="1" style="79" min="3" max="3"/>
    <col width="8.28515625" customWidth="1" style="79" min="4" max="4"/>
    <col width="8.5703125" customWidth="1" style="79" min="5" max="5"/>
    <col width="7.5703125" customWidth="1" style="79" min="6" max="6"/>
    <col width="14" customWidth="1" style="79" min="7" max="7"/>
    <col width="6.5703125" customWidth="1" style="79" min="8" max="8"/>
    <col width="6.7109375" customWidth="1" style="79" min="9" max="9"/>
    <col width="7.5703125" customWidth="1" style="79" min="10" max="10"/>
    <col width="12.42578125" bestFit="1" customWidth="1" style="79" min="11" max="11"/>
    <col width="9.140625" customWidth="1" style="79" min="12" max="14"/>
    <col width="10.140625" customWidth="1" style="79" min="15" max="15"/>
    <col width="89" customWidth="1" style="79" min="16" max="16"/>
    <col width="3.140625" customWidth="1" style="79" min="17" max="17"/>
    <col width="10" bestFit="1" customWidth="1" style="79" min="18" max="18"/>
    <col width="9.140625" customWidth="1" style="79" min="19" max="16384"/>
  </cols>
  <sheetData>
    <row r="1" ht="47.25" customHeight="1">
      <c r="A1" s="787" t="inlineStr">
        <is>
          <t xml:space="preserve">                      LM(2)5148/-Q1 Synchronous Buck Controller Design Tool</t>
        </is>
      </c>
      <c r="B1" s="283" t="n"/>
      <c r="C1" s="283" t="n"/>
      <c r="D1" s="283" t="n"/>
      <c r="E1" s="283" t="n"/>
      <c r="F1" s="283" t="n"/>
      <c r="G1" s="283" t="n"/>
      <c r="H1" s="283" t="n"/>
      <c r="I1" s="283" t="n"/>
      <c r="J1" s="283" t="n"/>
      <c r="K1" s="283" t="n"/>
      <c r="L1" s="283" t="n"/>
      <c r="M1" s="283" t="n"/>
      <c r="N1" s="283" t="n"/>
      <c r="O1" s="283" t="n"/>
      <c r="P1" s="283" t="n"/>
      <c r="Q1" s="484" t="n"/>
    </row>
    <row r="2" ht="14.1" customHeight="1">
      <c r="A2" s="487" t="n"/>
      <c r="B2" s="488" t="n"/>
      <c r="C2" s="488" t="n"/>
      <c r="D2" s="488" t="n"/>
      <c r="E2" s="488" t="n"/>
      <c r="F2" s="488" t="n"/>
      <c r="G2" s="488" t="n"/>
      <c r="H2" s="488" t="n"/>
      <c r="I2" s="488" t="n"/>
      <c r="J2" s="488" t="n"/>
      <c r="K2" s="488" t="n"/>
      <c r="L2" s="488" t="n"/>
      <c r="M2" s="488" t="n"/>
      <c r="N2" s="502" t="inlineStr">
        <is>
          <t>http://www.ti.com/product/lm5175</t>
        </is>
      </c>
      <c r="O2" s="488" t="n"/>
      <c r="P2" s="488" t="n"/>
      <c r="Q2" s="484" t="n"/>
    </row>
    <row r="3" ht="16.15" customHeight="1">
      <c r="A3" s="489" t="inlineStr">
        <is>
          <t>About</t>
        </is>
      </c>
      <c r="B3" s="490" t="n"/>
      <c r="C3" s="501" t="inlineStr">
        <is>
          <t>xx</t>
        </is>
      </c>
      <c r="D3" s="491" t="n"/>
      <c r="E3" s="119" t="n"/>
      <c r="F3" s="495" t="inlineStr">
        <is>
          <t>= Input Box</t>
        </is>
      </c>
      <c r="G3" s="496" t="n"/>
      <c r="H3" s="488" t="n"/>
      <c r="I3" s="496" t="n"/>
      <c r="J3" s="497" t="n"/>
      <c r="K3" s="498" t="n"/>
      <c r="L3" s="484" t="n"/>
      <c r="M3" s="484" t="n"/>
      <c r="N3" s="786" t="inlineStr">
        <is>
          <t>TERMS OF USE</t>
        </is>
      </c>
      <c r="P3" s="484" t="inlineStr">
        <is>
          <t xml:space="preserve">                </t>
        </is>
      </c>
      <c r="Q3" s="484" t="n"/>
    </row>
    <row r="4" ht="13.5" customHeight="1" thickBot="1">
      <c r="A4" s="492" t="n"/>
      <c r="B4" s="493" t="n"/>
      <c r="C4" s="494" t="n"/>
      <c r="D4" s="494" t="n"/>
      <c r="E4" s="494" t="n"/>
      <c r="F4" s="494" t="n"/>
      <c r="G4" s="494" t="n"/>
      <c r="H4" s="494" t="n"/>
      <c r="I4" s="494" t="n"/>
      <c r="J4" s="494" t="n"/>
      <c r="K4" s="494" t="n"/>
      <c r="L4" s="499" t="n"/>
      <c r="M4" s="499" t="n"/>
      <c r="N4" s="499" t="n"/>
      <c r="O4" s="499" t="n"/>
      <c r="P4" s="500" t="n"/>
      <c r="Q4" s="484" t="n"/>
    </row>
    <row r="5" ht="20.1" customHeight="1" thickBot="1">
      <c r="A5" s="182" t="inlineStr">
        <is>
          <t>Step 1: Operating Specifications</t>
        </is>
      </c>
      <c r="B5" s="118" t="n"/>
      <c r="C5" s="80" t="n"/>
      <c r="D5" s="80" t="n"/>
      <c r="E5" s="82" t="n"/>
      <c r="F5" s="80" t="n"/>
      <c r="G5" s="107" t="n"/>
      <c r="H5" s="83" t="n"/>
      <c r="I5" s="83" t="n"/>
      <c r="J5" s="83" t="n"/>
      <c r="K5" s="83" t="n"/>
      <c r="L5" s="83" t="n"/>
      <c r="M5" s="83" t="n"/>
      <c r="N5" s="83" t="n"/>
      <c r="O5" s="83" t="n"/>
      <c r="P5" s="106" t="n"/>
      <c r="Q5" s="484" t="n"/>
    </row>
    <row r="6" ht="15.75" customHeight="1">
      <c r="A6" s="261" t="n"/>
      <c r="B6" s="613" t="n"/>
      <c r="C6" s="614" t="n"/>
      <c r="D6" s="615" t="inlineStr">
        <is>
          <t xml:space="preserve">Input Voltage – Min, VIN(min) </t>
        </is>
      </c>
      <c r="E6" s="616" t="n">
        <v>10</v>
      </c>
      <c r="F6" s="617" t="inlineStr">
        <is>
          <t>V</t>
        </is>
      </c>
      <c r="G6" s="129" t="n"/>
      <c r="H6" s="127" t="n"/>
      <c r="I6" s="83" t="n"/>
      <c r="J6" s="83" t="n"/>
      <c r="K6" s="83" t="n"/>
      <c r="L6" s="83" t="n"/>
      <c r="M6" s="83" t="n"/>
      <c r="N6" s="83" t="n"/>
      <c r="O6" s="83" t="n"/>
      <c r="P6" s="106" t="n"/>
      <c r="Q6" s="484" t="n"/>
    </row>
    <row r="7" ht="13.5" customHeight="1">
      <c r="A7" s="254" t="n"/>
      <c r="B7" s="253" t="n"/>
      <c r="C7" s="255" t="n"/>
      <c r="D7" s="265" t="inlineStr">
        <is>
          <t>Input Voltage – Nom, VIN(nom)</t>
        </is>
      </c>
      <c r="E7" s="266" t="n">
        <v>12</v>
      </c>
      <c r="F7" s="278" t="inlineStr">
        <is>
          <t>V</t>
        </is>
      </c>
      <c r="G7" s="129" t="n"/>
      <c r="H7" s="127" t="n"/>
      <c r="I7" s="83" t="n"/>
      <c r="J7" s="83" t="n"/>
      <c r="K7" s="83" t="n"/>
      <c r="L7" s="83" t="n"/>
      <c r="M7" s="83" t="n"/>
      <c r="N7" s="83" t="n"/>
      <c r="O7" s="83" t="n"/>
      <c r="P7" s="106" t="n"/>
      <c r="Q7" s="484" t="n"/>
    </row>
    <row r="8" ht="13.5" customHeight="1">
      <c r="A8" s="254" t="n"/>
      <c r="B8" s="253" t="n"/>
      <c r="C8" s="255" t="n"/>
      <c r="D8" s="265" t="inlineStr">
        <is>
          <t>Input Voltage – Max, VIN(max)</t>
        </is>
      </c>
      <c r="E8" s="266" t="n">
        <v>18</v>
      </c>
      <c r="F8" s="267" t="inlineStr">
        <is>
          <t>V</t>
        </is>
      </c>
      <c r="G8" s="129" t="n"/>
      <c r="H8" s="127" t="n"/>
      <c r="I8" s="83" t="n"/>
      <c r="J8" s="83" t="n"/>
      <c r="K8" s="83" t="n"/>
      <c r="L8" s="83" t="n"/>
      <c r="M8" s="83" t="n"/>
      <c r="N8" s="83" t="n"/>
      <c r="O8" s="83" t="n"/>
      <c r="P8" s="106" t="n"/>
      <c r="Q8" s="484" t="n"/>
    </row>
    <row r="9" ht="13.5" customHeight="1">
      <c r="A9" s="254" t="n"/>
      <c r="B9" s="253" t="n"/>
      <c r="C9" s="255" t="n"/>
      <c r="D9" s="265" t="inlineStr">
        <is>
          <t xml:space="preserve">Output Voltage, VOUT </t>
        </is>
      </c>
      <c r="E9" s="266" t="n">
        <v>5</v>
      </c>
      <c r="F9" s="267" t="inlineStr">
        <is>
          <t>V</t>
        </is>
      </c>
      <c r="G9" s="129" t="n"/>
      <c r="H9" s="127" t="n"/>
      <c r="I9" s="83" t="n"/>
      <c r="J9" s="83" t="n"/>
      <c r="K9" s="83" t="n"/>
      <c r="L9" s="83" t="n"/>
      <c r="M9" s="83" t="n"/>
      <c r="N9" s="83" t="n"/>
      <c r="O9" s="83" t="n"/>
      <c r="P9" s="106" t="n"/>
      <c r="Q9" s="484" t="n"/>
    </row>
    <row r="10" ht="13.5" customHeight="1">
      <c r="A10" s="254" t="n"/>
      <c r="B10" s="253" t="n"/>
      <c r="C10" s="255" t="n"/>
      <c r="D10" s="265" t="inlineStr">
        <is>
          <t xml:space="preserve">Full Load Output Current, IOUT </t>
        </is>
      </c>
      <c r="E10" s="266" t="n">
        <v>8</v>
      </c>
      <c r="F10" s="267" t="inlineStr">
        <is>
          <t>A</t>
        </is>
      </c>
      <c r="G10" s="610" t="n"/>
      <c r="H10" s="112" t="n"/>
      <c r="I10" s="590" t="n"/>
      <c r="J10" s="590" t="n"/>
      <c r="K10" s="83" t="n"/>
      <c r="L10" s="83" t="n"/>
      <c r="M10" s="83" t="n"/>
      <c r="N10" s="83" t="n"/>
      <c r="O10" s="83" t="n"/>
      <c r="P10" s="106" t="n"/>
      <c r="Q10" s="484" t="n"/>
    </row>
    <row r="11" ht="13.5" customHeight="1">
      <c r="A11" s="254" t="n"/>
      <c r="B11" s="253" t="n"/>
      <c r="C11" s="255" t="n"/>
      <c r="D11" s="265" t="inlineStr">
        <is>
          <t>Switching Frequency, FSW</t>
        </is>
      </c>
      <c r="E11" s="268" t="n">
        <v>2100</v>
      </c>
      <c r="F11" s="267" t="inlineStr">
        <is>
          <t>kHz</t>
        </is>
      </c>
      <c r="G11" s="606" t="n"/>
      <c r="H11" s="134" t="n"/>
      <c r="I11" s="112" t="n"/>
      <c r="J11" s="112" t="n"/>
      <c r="K11" s="83" t="n"/>
      <c r="L11" s="83" t="n"/>
      <c r="M11" s="83" t="n"/>
      <c r="N11" s="83" t="n"/>
      <c r="O11" s="83" t="n"/>
      <c r="P11" s="106" t="n"/>
      <c r="Q11" s="484" t="n"/>
    </row>
    <row r="12" ht="13.5" customHeight="1">
      <c r="A12" s="572" t="n"/>
      <c r="B12" s="253" t="n"/>
      <c r="C12" s="255" t="n"/>
      <c r="D12" s="255" t="inlineStr">
        <is>
          <t xml:space="preserve">Frequency Set Resistor, RT </t>
        </is>
      </c>
      <c r="E12" s="255">
        <f>'Variable Management'!C443</f>
        <v/>
      </c>
      <c r="F12" s="257" t="inlineStr">
        <is>
          <t>kΩ</t>
        </is>
      </c>
      <c r="G12" s="606" t="n"/>
      <c r="H12" s="134" t="n"/>
      <c r="I12" s="112" t="n"/>
      <c r="J12" s="112" t="n"/>
      <c r="K12" s="83" t="n"/>
      <c r="L12" s="83" t="n"/>
      <c r="M12" s="83" t="n"/>
      <c r="N12" s="83" t="n"/>
      <c r="O12" s="83" t="n"/>
      <c r="P12" s="106" t="n"/>
      <c r="Q12" s="484" t="n"/>
    </row>
    <row r="13" ht="17.25" customHeight="1" thickBot="1">
      <c r="A13" s="259" t="n"/>
      <c r="B13" s="543" t="n"/>
      <c r="C13" s="272" t="n"/>
      <c r="D13" s="574" t="inlineStr">
        <is>
          <t>Ambient Temperature, TA</t>
        </is>
      </c>
      <c r="E13" s="587" t="n">
        <v>25</v>
      </c>
      <c r="F13" s="573" t="inlineStr">
        <is>
          <t>°C</t>
        </is>
      </c>
      <c r="G13" s="606" t="n"/>
      <c r="H13" s="134" t="n"/>
      <c r="I13" s="112" t="n"/>
      <c r="J13" s="112" t="n"/>
      <c r="K13" s="83" t="n"/>
      <c r="L13" s="83" t="n"/>
      <c r="M13" s="83" t="n"/>
      <c r="N13" s="83" t="n"/>
      <c r="O13" s="83" t="n"/>
      <c r="P13" s="106" t="n"/>
      <c r="Q13" s="484" t="n"/>
    </row>
    <row r="14" ht="17.25" customHeight="1">
      <c r="A14" s="572" t="n"/>
      <c r="B14" s="253" t="n"/>
      <c r="C14" s="255" t="n"/>
      <c r="D14" s="589" t="n"/>
      <c r="E14" s="589" t="n"/>
      <c r="F14" s="590" t="n"/>
      <c r="G14" s="606" t="n"/>
      <c r="H14" s="134" t="n"/>
      <c r="I14" s="112" t="n"/>
      <c r="J14" s="112" t="n"/>
      <c r="K14" s="83" t="n"/>
      <c r="L14" s="83" t="n"/>
      <c r="M14" s="83" t="n"/>
      <c r="N14" s="83" t="n"/>
      <c r="O14" s="83" t="n"/>
      <c r="P14" s="106" t="n"/>
      <c r="Q14" s="484" t="n"/>
    </row>
    <row r="15" ht="20.1" customHeight="1" thickBot="1">
      <c r="A15" s="182" t="inlineStr">
        <is>
          <t>Step 2: Current Sense Resistor</t>
        </is>
      </c>
      <c r="B15" s="131" t="n"/>
      <c r="C15" s="127" t="n"/>
      <c r="D15" s="127" t="n"/>
      <c r="E15" s="127" t="n"/>
      <c r="F15" s="127" t="n"/>
      <c r="G15" s="606" t="n"/>
      <c r="H15" s="134" t="n"/>
      <c r="I15" s="112" t="n"/>
      <c r="J15" s="112" t="n"/>
      <c r="K15" s="83" t="n"/>
      <c r="L15" s="83" t="n"/>
      <c r="M15" s="83" t="n"/>
      <c r="N15" s="83" t="n"/>
      <c r="O15" s="83" t="n"/>
      <c r="P15" s="106" t="n"/>
      <c r="Q15" s="484" t="n"/>
    </row>
    <row r="16" ht="15" customHeight="1">
      <c r="A16" s="261" t="n"/>
      <c r="B16" s="153" t="n"/>
      <c r="C16" s="153" t="n"/>
      <c r="D16" s="155" t="inlineStr">
        <is>
          <t>Required IOCP Setpoint at VIN(nom)</t>
        </is>
      </c>
      <c r="E16" s="293" t="n">
        <v>7</v>
      </c>
      <c r="F16" s="156" t="inlineStr">
        <is>
          <t>A</t>
        </is>
      </c>
      <c r="G16" s="610" t="n"/>
      <c r="H16" s="134" t="n"/>
      <c r="I16" s="581" t="n"/>
      <c r="J16" s="581" t="n"/>
      <c r="K16" s="83" t="n"/>
      <c r="L16" s="83" t="n"/>
      <c r="M16" s="83" t="n"/>
      <c r="N16" s="83" t="n"/>
      <c r="O16" s="83" t="n"/>
      <c r="P16" s="106" t="n"/>
      <c r="Q16" s="484" t="n"/>
    </row>
    <row r="17" ht="15" customHeight="1">
      <c r="A17" s="254" t="n"/>
      <c r="B17" s="127" t="n"/>
      <c r="C17" s="127" t="n"/>
      <c r="D17" s="124" t="inlineStr">
        <is>
          <t>Recommended Shunt Resistance</t>
        </is>
      </c>
      <c r="E17" s="892">
        <f>Rs_ideal*1000</f>
        <v/>
      </c>
      <c r="F17" s="162" t="inlineStr">
        <is>
          <t>mΩ</t>
        </is>
      </c>
      <c r="G17" s="606" t="n"/>
      <c r="H17" s="134" t="n"/>
      <c r="I17" s="893" t="n"/>
      <c r="J17" s="134" t="n"/>
      <c r="K17" s="83" t="n"/>
      <c r="L17" s="83" t="n"/>
      <c r="M17" s="83" t="n"/>
      <c r="N17" s="83" t="n"/>
      <c r="O17" s="83" t="n"/>
      <c r="P17" s="106" t="n"/>
      <c r="Q17" s="484" t="n"/>
    </row>
    <row r="18" ht="13.9" customHeight="1">
      <c r="A18" s="254" t="n"/>
      <c r="B18" s="127" t="n"/>
      <c r="C18" s="127" t="n"/>
      <c r="D18" s="152" t="inlineStr">
        <is>
          <t>Shunt Resistance, RS</t>
        </is>
      </c>
      <c r="E18" s="128" t="n">
        <v>4.6</v>
      </c>
      <c r="F18" s="157" t="inlineStr">
        <is>
          <t>mΩ</t>
        </is>
      </c>
      <c r="G18" s="606" t="n"/>
      <c r="H18" s="134" t="n"/>
      <c r="I18" s="581" t="n"/>
      <c r="J18" s="581" t="n"/>
      <c r="K18" s="83" t="n"/>
      <c r="L18" s="83" t="n"/>
      <c r="M18" s="83" t="n"/>
      <c r="N18" s="83" t="n"/>
      <c r="O18" s="83" t="n"/>
      <c r="P18" s="106" t="n"/>
      <c r="Q18" s="484" t="n"/>
    </row>
    <row r="19" ht="13.5" customHeight="1">
      <c r="A19" s="254" t="n"/>
      <c r="B19" s="127" t="n"/>
      <c r="C19" s="127" t="n"/>
      <c r="D19" s="513" t="inlineStr">
        <is>
          <t>Min Inductor Sat Current, ILO(SAT)</t>
        </is>
      </c>
      <c r="E19" s="893">
        <f>'Variable Management'!B95</f>
        <v/>
      </c>
      <c r="F19" s="162" t="inlineStr">
        <is>
          <t>A</t>
        </is>
      </c>
      <c r="G19" s="606" t="n"/>
      <c r="H19" s="134" t="n"/>
      <c r="I19" s="893" t="n"/>
      <c r="J19" s="134" t="n"/>
      <c r="K19" s="83" t="n"/>
      <c r="L19" s="83" t="n"/>
      <c r="M19" s="83" t="n"/>
      <c r="N19" s="83" t="n"/>
      <c r="O19" s="83" t="n"/>
      <c r="P19" s="106" t="n"/>
      <c r="Q19" s="484" t="n"/>
    </row>
    <row r="20" ht="13.9" customHeight="1">
      <c r="A20" s="254" t="n"/>
      <c r="B20" s="127" t="n"/>
      <c r="C20" s="127" t="n"/>
      <c r="D20" s="513" t="inlineStr">
        <is>
          <t>Max Power Loss in Shunt</t>
        </is>
      </c>
      <c r="E20" s="514">
        <f>'Variable Management'!B105</f>
        <v/>
      </c>
      <c r="F20" s="162" t="inlineStr">
        <is>
          <t>W</t>
        </is>
      </c>
      <c r="G20" s="606" t="n"/>
      <c r="H20" s="134" t="n"/>
      <c r="I20" s="514" t="n"/>
      <c r="J20" s="134" t="n"/>
      <c r="K20" s="83" t="n"/>
      <c r="L20" s="83" t="n"/>
      <c r="M20" s="83" t="n"/>
      <c r="N20" s="83" t="n"/>
      <c r="O20" s="83" t="n"/>
      <c r="P20" s="106" t="n"/>
      <c r="Q20" s="484" t="n"/>
    </row>
    <row r="21" ht="13.9" customHeight="1">
      <c r="A21" s="254" t="n"/>
      <c r="B21" s="127" t="n"/>
      <c r="C21" s="112" t="n"/>
      <c r="D21" s="294" t="inlineStr">
        <is>
          <t>VIN(min)</t>
        </is>
      </c>
      <c r="E21" s="894">
        <f>'Variable Management'!B97</f>
        <v/>
      </c>
      <c r="F21" s="257" t="inlineStr">
        <is>
          <t>A</t>
        </is>
      </c>
      <c r="G21" s="606" t="n"/>
      <c r="H21" s="134" t="n"/>
      <c r="I21" s="895" t="n"/>
      <c r="J21" s="601" t="n"/>
      <c r="K21" s="83" t="n"/>
      <c r="L21" s="83" t="n"/>
      <c r="M21" s="83" t="n"/>
      <c r="N21" s="83" t="n"/>
      <c r="O21" s="83" t="n"/>
      <c r="P21" s="106" t="n"/>
      <c r="Q21" s="484" t="n"/>
    </row>
    <row r="22" ht="13.9" customHeight="1">
      <c r="A22" s="254" t="n"/>
      <c r="B22" s="127" t="n"/>
      <c r="C22" s="124" t="inlineStr">
        <is>
          <t>IOUT(typ) at OCP Inception:</t>
        </is>
      </c>
      <c r="D22" s="294" t="inlineStr">
        <is>
          <t>VIN(nom)</t>
        </is>
      </c>
      <c r="E22" s="894">
        <f>'Variable Management'!B98</f>
        <v/>
      </c>
      <c r="F22" s="257" t="inlineStr">
        <is>
          <t>A</t>
        </is>
      </c>
      <c r="G22" s="606" t="n"/>
      <c r="H22" s="607" t="n"/>
      <c r="I22" s="895" t="n"/>
      <c r="J22" s="601" t="n"/>
      <c r="K22" s="83" t="n"/>
      <c r="L22" s="83" t="n"/>
      <c r="M22" s="83" t="n"/>
      <c r="N22" s="83" t="n"/>
      <c r="O22" s="83" t="n"/>
      <c r="P22" s="106" t="n"/>
      <c r="Q22" s="484" t="n"/>
    </row>
    <row r="23" ht="13.5" customHeight="1" thickBot="1">
      <c r="A23" s="273" t="n"/>
      <c r="B23" s="174" t="n"/>
      <c r="C23" s="174" t="n"/>
      <c r="D23" s="544" t="inlineStr">
        <is>
          <t>VIN(max)</t>
        </is>
      </c>
      <c r="E23" s="896">
        <f>'Variable Management'!B99</f>
        <v/>
      </c>
      <c r="F23" s="275" t="inlineStr">
        <is>
          <t>A</t>
        </is>
      </c>
      <c r="G23" s="610" t="n"/>
      <c r="H23" s="134" t="n"/>
      <c r="I23" s="895" t="n"/>
      <c r="J23" s="601" t="n"/>
      <c r="K23" s="83" t="n"/>
      <c r="L23" s="83" t="n"/>
      <c r="M23" s="83" t="n"/>
      <c r="N23" s="83" t="n"/>
      <c r="O23" s="83" t="n"/>
      <c r="P23" s="106" t="n"/>
      <c r="Q23" s="484" t="n"/>
    </row>
    <row r="24" ht="17.25" customHeight="1">
      <c r="A24" s="572" t="n"/>
      <c r="B24" s="253" t="n"/>
      <c r="C24" s="255" t="n"/>
      <c r="D24" s="589" t="n"/>
      <c r="E24" s="589" t="n"/>
      <c r="F24" s="590" t="n"/>
      <c r="G24" s="606" t="n"/>
      <c r="H24" s="134" t="n"/>
      <c r="I24" s="112" t="n"/>
      <c r="J24" s="112" t="n"/>
      <c r="K24" s="83" t="n"/>
      <c r="L24" s="83" t="n"/>
      <c r="M24" s="83" t="n"/>
      <c r="N24" s="83" t="n"/>
      <c r="O24" s="83" t="n"/>
      <c r="P24" s="106" t="n"/>
      <c r="Q24" s="484" t="n"/>
    </row>
    <row r="25" ht="19.5" customHeight="1" thickBot="1">
      <c r="A25" s="182" t="inlineStr">
        <is>
          <t>Step 3: Buck Inductance</t>
        </is>
      </c>
      <c r="B25" s="131" t="n"/>
      <c r="C25" s="132" t="n"/>
      <c r="D25" s="132" t="n"/>
      <c r="E25" s="897" t="n"/>
      <c r="F25" s="132" t="n"/>
      <c r="G25" s="606" t="n"/>
      <c r="H25" s="134" t="n"/>
      <c r="I25" s="112" t="n"/>
      <c r="J25" s="112" t="n"/>
      <c r="K25" s="83" t="n"/>
      <c r="L25" s="83" t="n"/>
      <c r="M25" s="83" t="n"/>
      <c r="N25" s="83" t="n"/>
      <c r="O25" s="83" t="n"/>
      <c r="P25" s="106" t="n"/>
      <c r="Q25" s="484" t="n"/>
    </row>
    <row r="26" ht="13.5" customHeight="1">
      <c r="A26" s="183" t="n"/>
      <c r="B26" s="153" t="n"/>
      <c r="C26" s="154" t="n"/>
      <c r="D26" s="154" t="inlineStr">
        <is>
          <t>Inductance for Ideal Slope Comp</t>
        </is>
      </c>
      <c r="E26" s="541">
        <f>Lopt*1000000</f>
        <v/>
      </c>
      <c r="F26" s="161" t="inlineStr">
        <is>
          <t>µH</t>
        </is>
      </c>
      <c r="G26" s="610" t="n"/>
      <c r="H26" s="134" t="n"/>
      <c r="I26" s="612" t="n"/>
      <c r="J26" s="134" t="n"/>
      <c r="K26" s="83" t="n"/>
      <c r="L26" s="83" t="n"/>
      <c r="M26" s="83" t="n"/>
      <c r="N26" s="83" t="n"/>
      <c r="O26" s="83" t="n"/>
      <c r="P26" s="106" t="n"/>
      <c r="Q26" s="484" t="n"/>
    </row>
    <row r="27" ht="13.5" customHeight="1">
      <c r="A27" s="126" t="n"/>
      <c r="B27" s="127" t="n"/>
      <c r="C27" s="124" t="n"/>
      <c r="D27" s="152" t="inlineStr">
        <is>
          <t xml:space="preserve">Inductance, LO </t>
        </is>
      </c>
      <c r="E27" s="128" t="n">
        <v>2.2</v>
      </c>
      <c r="F27" s="157" t="inlineStr">
        <is>
          <t>µH</t>
        </is>
      </c>
      <c r="G27" s="606" t="n"/>
      <c r="H27" s="607" t="n"/>
      <c r="I27" s="581" t="n"/>
      <c r="J27" s="581" t="n"/>
      <c r="K27" s="83" t="n"/>
      <c r="L27" s="83" t="n"/>
      <c r="M27" s="83" t="n"/>
      <c r="N27" s="83" t="n"/>
      <c r="O27" s="83" t="n"/>
      <c r="P27" s="106" t="n"/>
      <c r="Q27" s="484" t="n"/>
    </row>
    <row r="28" ht="13.5" customHeight="1">
      <c r="A28" s="126" t="n"/>
      <c r="B28" s="127" t="n"/>
      <c r="C28" s="124" t="n"/>
      <c r="D28" s="152" t="inlineStr">
        <is>
          <t xml:space="preserve">Inductor DCR </t>
        </is>
      </c>
      <c r="E28" s="128" t="n">
        <v>3.5</v>
      </c>
      <c r="F28" s="157" t="inlineStr">
        <is>
          <t>mΩ</t>
        </is>
      </c>
      <c r="G28" s="606" t="n"/>
      <c r="H28" s="607" t="n"/>
      <c r="I28" s="581" t="n"/>
      <c r="J28" s="581" t="n"/>
      <c r="K28" s="83" t="n"/>
      <c r="L28" s="83" t="n"/>
      <c r="M28" s="83" t="n"/>
      <c r="N28" s="83" t="n"/>
      <c r="O28" s="83" t="n"/>
      <c r="P28" s="106" t="n"/>
      <c r="Q28" s="484" t="n"/>
    </row>
    <row r="29" ht="13.5" customHeight="1">
      <c r="A29" s="583" t="n"/>
      <c r="B29" s="127" t="n"/>
      <c r="C29" s="124" t="n"/>
      <c r="D29" s="255" t="inlineStr">
        <is>
          <t>DIL as a % at VIN(nom)</t>
        </is>
      </c>
      <c r="E29" s="258">
        <f>'Variable Management'!B68*100</f>
        <v/>
      </c>
      <c r="F29" s="257" t="inlineStr">
        <is>
          <t>%</t>
        </is>
      </c>
      <c r="G29" s="606" t="n"/>
      <c r="H29" s="607" t="n"/>
      <c r="I29" s="581" t="n"/>
      <c r="J29" s="581" t="n"/>
      <c r="K29" s="83" t="n"/>
      <c r="L29" s="83" t="n"/>
      <c r="M29" s="83" t="n"/>
      <c r="N29" s="83" t="n"/>
      <c r="O29" s="83" t="n"/>
      <c r="P29" s="106" t="n"/>
      <c r="Q29" s="484" t="n"/>
    </row>
    <row r="30" ht="16.5" customHeight="1" thickBot="1">
      <c r="A30" s="273" t="n"/>
      <c r="B30" s="274" t="n"/>
      <c r="C30" s="272" t="n"/>
      <c r="D30" s="767" t="inlineStr">
        <is>
          <t>Estimate Core Loss at VIN(nom)</t>
        </is>
      </c>
      <c r="E30" s="898" t="n">
        <v>0.2</v>
      </c>
      <c r="F30" s="779" t="inlineStr">
        <is>
          <t>W</t>
        </is>
      </c>
      <c r="G30" s="610" t="n"/>
      <c r="H30" s="134" t="n"/>
      <c r="I30" s="602" t="n"/>
      <c r="J30" s="601" t="n"/>
      <c r="K30" s="83" t="n"/>
      <c r="L30" s="83" t="n"/>
      <c r="M30" s="83" t="n"/>
      <c r="N30" s="83" t="n"/>
      <c r="O30" s="83" t="n"/>
      <c r="P30" s="106" t="n"/>
      <c r="Q30" s="484" t="n"/>
    </row>
    <row r="31" ht="14.1" customHeight="1">
      <c r="A31" s="126" t="n"/>
      <c r="B31" s="127" t="n"/>
      <c r="C31" s="134" t="n"/>
      <c r="D31" s="134" t="n"/>
      <c r="E31" s="134" t="n"/>
      <c r="F31" s="134" t="n"/>
      <c r="G31" s="134" t="n"/>
      <c r="H31" s="134" t="n"/>
      <c r="I31" s="112" t="n"/>
      <c r="J31" s="112" t="n"/>
      <c r="K31" s="83" t="n"/>
      <c r="L31" s="83" t="n"/>
      <c r="M31" s="83" t="n"/>
      <c r="N31" s="83" t="n"/>
      <c r="O31" s="83" t="n"/>
      <c r="P31" s="106" t="n"/>
      <c r="Q31" s="484" t="n"/>
    </row>
    <row r="32" ht="19.5" customHeight="1" thickBot="1">
      <c r="A32" s="182" t="inlineStr">
        <is>
          <t>Step 4: Output Capacitors</t>
        </is>
      </c>
      <c r="B32" s="131" t="n"/>
      <c r="C32" s="132" t="n"/>
      <c r="D32" s="132" t="n"/>
      <c r="E32" s="897" t="n"/>
      <c r="F32" s="132" t="n"/>
      <c r="G32" s="134" t="n"/>
      <c r="H32" s="134" t="n"/>
      <c r="I32" s="112" t="n"/>
      <c r="J32" s="112" t="n"/>
      <c r="K32" s="83" t="n"/>
      <c r="L32" s="83" t="n"/>
      <c r="M32" s="83" t="n"/>
      <c r="N32" s="83" t="n"/>
      <c r="O32" s="83" t="n"/>
      <c r="P32" s="106" t="n"/>
      <c r="Q32" s="484" t="n"/>
    </row>
    <row r="33" ht="15.75" customHeight="1">
      <c r="A33" s="172" t="n"/>
      <c r="B33" s="163" t="n"/>
      <c r="C33" s="154" t="n"/>
      <c r="D33" s="164" t="inlineStr">
        <is>
          <t>Output Voltage Ripple Spec</t>
        </is>
      </c>
      <c r="E33" s="165" t="n">
        <v>50</v>
      </c>
      <c r="F33" s="156" t="inlineStr">
        <is>
          <t>mVPK=PK</t>
        </is>
      </c>
      <c r="G33" s="582" t="n"/>
      <c r="H33" s="134" t="n"/>
      <c r="I33" s="633" t="n"/>
      <c r="J33" s="581" t="n"/>
      <c r="K33" s="83" t="n"/>
      <c r="L33" s="83" t="n"/>
      <c r="M33" s="83" t="n"/>
      <c r="N33" s="83" t="n"/>
      <c r="O33" s="83" t="n"/>
      <c r="P33" s="106" t="n"/>
      <c r="Q33" s="484" t="n"/>
    </row>
    <row r="34" ht="14.1" customHeight="1">
      <c r="A34" s="126" t="n"/>
      <c r="B34" s="127" t="n"/>
      <c r="C34" s="124" t="n"/>
      <c r="D34" s="124" t="inlineStr">
        <is>
          <t>Minimum Output Capacitance</t>
        </is>
      </c>
      <c r="E34" s="899">
        <f>'Variable Management'!B121</f>
        <v/>
      </c>
      <c r="F34" s="162" t="inlineStr">
        <is>
          <t>µF</t>
        </is>
      </c>
      <c r="G34" s="134" t="n"/>
      <c r="H34" s="134" t="n"/>
      <c r="I34" s="900" t="n"/>
      <c r="J34" s="134" t="n"/>
      <c r="K34" s="83" t="n"/>
      <c r="L34" s="83" t="n"/>
      <c r="M34" s="83" t="n"/>
      <c r="N34" s="83" t="n"/>
      <c r="O34" s="83" t="n"/>
      <c r="P34" s="106" t="n"/>
      <c r="Q34" s="484" t="n"/>
    </row>
    <row r="35" ht="14.1" customHeight="1">
      <c r="A35" s="126" t="n"/>
      <c r="B35" s="127" t="n"/>
      <c r="C35" s="124" t="n"/>
      <c r="D35" s="123" t="inlineStr">
        <is>
          <t xml:space="preserve">Output Capacitance (derated), COUT </t>
        </is>
      </c>
      <c r="E35" s="130" t="n">
        <v>200</v>
      </c>
      <c r="F35" s="157" t="inlineStr">
        <is>
          <t>µF</t>
        </is>
      </c>
      <c r="G35" s="606" t="n"/>
      <c r="H35" s="134" t="n"/>
      <c r="I35" s="633" t="n"/>
      <c r="J35" s="581" t="n"/>
      <c r="K35" s="792">
        <f>CHOOSE(SCH_MODE, "", "** For Single-Output Operation in 2-Phase Mode, tie MODE to VDDA and use FB1 to set VOUT **", "** For Single-Output Operation in 3-Phase Mode, tie both MODE pins to VDDA. Use FB1 of master IC to set VOUT. Connect FB2 of master IC to AGND. Connect FB2 of slave IC to VDDA to configure it as a slave **", "** For Single-Output Operation in 4-Phase Mode, tie both MODE pins to VDDA. Use FB1 of master IC to set VOUT. Connect FB2 of master IC to AGND. Connect FB2 of slave IC to VDDA to configure it as a slave **")</f>
        <v/>
      </c>
      <c r="P35" s="57" t="n"/>
      <c r="Q35" s="484" t="n"/>
    </row>
    <row r="36" ht="14.1" customHeight="1">
      <c r="A36" s="126" t="n"/>
      <c r="B36" s="127" t="n"/>
      <c r="C36" s="124" t="n"/>
      <c r="D36" s="124" t="inlineStr">
        <is>
          <t>Maximum Permitted ESR</t>
        </is>
      </c>
      <c r="E36" s="560">
        <f>'Variable Management'!B125</f>
        <v/>
      </c>
      <c r="F36" s="162" t="inlineStr">
        <is>
          <t>mΩ</t>
        </is>
      </c>
      <c r="G36" s="606" t="n"/>
      <c r="H36" s="134" t="n"/>
      <c r="I36" s="144" t="n"/>
      <c r="J36" s="134" t="n"/>
      <c r="P36" s="57" t="n"/>
      <c r="Q36" s="484" t="n"/>
    </row>
    <row r="37" ht="14.1" customHeight="1">
      <c r="A37" s="126" t="n"/>
      <c r="B37" s="127" t="n"/>
      <c r="C37" s="124" t="n"/>
      <c r="D37" s="123" t="inlineStr">
        <is>
          <t>Output Capacitor ESR</t>
        </is>
      </c>
      <c r="E37" s="130" t="n">
        <v>1</v>
      </c>
      <c r="F37" s="157" t="inlineStr">
        <is>
          <t>mΩ</t>
        </is>
      </c>
      <c r="G37" s="606" t="n"/>
      <c r="H37" s="134" t="n"/>
      <c r="I37" s="633" t="n"/>
      <c r="J37" s="581" t="n"/>
      <c r="K37" s="586">
        <f>CHOOSE(SCH_MODE,  "", "** Tie VCCX to GND if not used **", "** Slave controller (CNTRL2) not shown **","** Slave controller (CNTRL2) not shown **")</f>
        <v/>
      </c>
      <c r="L37" s="132" t="n"/>
      <c r="M37" s="83" t="n"/>
      <c r="N37" s="83" t="n"/>
      <c r="O37" s="83" t="n"/>
      <c r="P37" s="661">
        <f>IF(SCH_MODE=1,  "** Tie VCCX to GND if not used **", "")</f>
        <v/>
      </c>
      <c r="Q37" s="484" t="n"/>
    </row>
    <row r="38" ht="14.1" customHeight="1">
      <c r="A38" s="126" t="n"/>
      <c r="B38" s="127" t="n"/>
      <c r="C38" s="127" t="n"/>
      <c r="D38" s="124" t="inlineStr">
        <is>
          <t xml:space="preserve">Resulting Output Voltage Ripple (max) </t>
        </is>
      </c>
      <c r="E38" s="151">
        <f>'Variable Management'!B127*1000</f>
        <v/>
      </c>
      <c r="F38" s="162" t="inlineStr">
        <is>
          <t>mVPK-PK</t>
        </is>
      </c>
      <c r="G38" s="606" t="n"/>
      <c r="H38" s="134" t="n"/>
      <c r="I38" s="609" t="n"/>
      <c r="J38" s="134" t="n"/>
      <c r="K38" s="270">
        <f>IF(OR(SCH_MODE=3, SCH_MODE=4),"** Tie VCCX to GND if not used **", "")</f>
        <v/>
      </c>
      <c r="L38" s="112" t="n"/>
      <c r="M38" s="83" t="n"/>
      <c r="N38" s="83" t="n"/>
      <c r="O38" s="83" t="n"/>
      <c r="P38" s="106" t="n"/>
      <c r="Q38" s="484" t="n"/>
    </row>
    <row r="39" ht="14.1" customHeight="1" thickBot="1">
      <c r="A39" s="158" t="n"/>
      <c r="B39" s="159" t="n"/>
      <c r="C39" s="159" t="n"/>
      <c r="D39" s="125" t="inlineStr">
        <is>
          <t xml:space="preserve">Output Capacitor RMS Current (max) </t>
        </is>
      </c>
      <c r="E39" s="554">
        <f>'Variable Management'!B114</f>
        <v/>
      </c>
      <c r="F39" s="160" t="inlineStr">
        <is>
          <t>ARMS</t>
        </is>
      </c>
      <c r="G39" s="611" t="n"/>
      <c r="H39" s="134" t="n"/>
      <c r="I39" s="514" t="n"/>
      <c r="J39" s="134" t="n"/>
      <c r="K39" s="112" t="n"/>
      <c r="L39" s="83" t="n"/>
      <c r="M39" s="83" t="n"/>
      <c r="N39" s="83" t="n"/>
      <c r="O39" s="83" t="n"/>
      <c r="P39" s="570" t="n"/>
      <c r="Q39" s="484" t="n"/>
    </row>
    <row r="40" ht="13.5" customHeight="1">
      <c r="A40" s="184" t="n"/>
      <c r="B40" s="134" t="n"/>
      <c r="C40" s="134" t="n"/>
      <c r="D40" s="134" t="n"/>
      <c r="E40" s="134" t="n"/>
      <c r="F40" s="134" t="n"/>
      <c r="G40" s="134" t="n"/>
      <c r="H40" s="127" t="n"/>
      <c r="I40" s="83" t="n"/>
      <c r="J40" s="83" t="n"/>
      <c r="K40" s="83" t="n"/>
      <c r="L40" s="112" t="n"/>
      <c r="M40" s="112" t="n"/>
      <c r="N40" s="112" t="n"/>
      <c r="O40" s="112" t="n"/>
      <c r="P40" s="106" t="n"/>
      <c r="Q40" s="484" t="n"/>
    </row>
    <row r="41" ht="19.5" customHeight="1" thickBot="1">
      <c r="A41" s="182" t="inlineStr">
        <is>
          <t>Step 5: Input Capacitors</t>
        </is>
      </c>
      <c r="B41" s="131" t="n"/>
      <c r="C41" s="132" t="n"/>
      <c r="D41" s="132" t="n"/>
      <c r="E41" s="127" t="n"/>
      <c r="F41" s="134" t="n"/>
      <c r="G41" s="134" t="n"/>
      <c r="H41" s="134" t="n"/>
      <c r="I41" s="83" t="n"/>
      <c r="J41" s="83" t="n"/>
      <c r="K41" s="901" t="n"/>
      <c r="L41" s="112" t="n"/>
      <c r="M41" s="112" t="n"/>
      <c r="N41" s="83" t="n"/>
      <c r="O41" s="83" t="n"/>
      <c r="P41" s="106" t="n"/>
      <c r="Q41" s="484" t="n"/>
    </row>
    <row r="42" ht="14.1" customHeight="1">
      <c r="A42" s="172" t="n"/>
      <c r="B42" s="163" t="n"/>
      <c r="C42" s="153" t="n"/>
      <c r="D42" s="155" t="inlineStr">
        <is>
          <t>Input Voltage Ripple Spec</t>
        </is>
      </c>
      <c r="E42" s="165" t="n">
        <v>400</v>
      </c>
      <c r="F42" s="156" t="inlineStr">
        <is>
          <t>mVPK-PK</t>
        </is>
      </c>
      <c r="G42" s="127" t="n"/>
      <c r="H42" s="127" t="n"/>
      <c r="I42" s="902" t="n"/>
      <c r="J42" s="83" t="n"/>
      <c r="K42" s="83" t="n"/>
      <c r="L42" s="83" t="n"/>
      <c r="M42" s="83" t="n"/>
      <c r="N42" s="83" t="n"/>
      <c r="O42" s="83" t="n"/>
      <c r="P42" s="106" t="n"/>
      <c r="Q42" s="484" t="n"/>
    </row>
    <row r="43" ht="14.1" customHeight="1">
      <c r="A43" s="135" t="n"/>
      <c r="B43" s="132" t="n"/>
      <c r="C43" s="127" t="n"/>
      <c r="D43" s="124" t="inlineStr">
        <is>
          <t>Minimum Input Capacitance</t>
        </is>
      </c>
      <c r="E43" s="560">
        <f>'Variable Management'!B148</f>
        <v/>
      </c>
      <c r="F43" s="162" t="inlineStr">
        <is>
          <t>µF</t>
        </is>
      </c>
      <c r="G43" s="611" t="n"/>
      <c r="H43" s="134" t="n"/>
      <c r="I43" s="902" t="n"/>
      <c r="J43" s="83" t="n"/>
      <c r="K43" s="83" t="n"/>
      <c r="L43" s="265" t="n"/>
      <c r="M43" s="290" t="n"/>
      <c r="N43" s="83" t="n"/>
      <c r="O43" s="83" t="n"/>
      <c r="P43" s="106" t="n"/>
      <c r="Q43" s="484" t="n"/>
    </row>
    <row r="44" ht="14.1" customHeight="1">
      <c r="A44" s="126" t="n"/>
      <c r="B44" s="127" t="n"/>
      <c r="C44" s="132" t="n"/>
      <c r="D44" s="152" t="inlineStr">
        <is>
          <t xml:space="preserve">Input Capacitance (derated), CIN </t>
        </is>
      </c>
      <c r="E44" s="128" t="n">
        <v>30</v>
      </c>
      <c r="F44" s="157" t="inlineStr">
        <is>
          <t>µF</t>
        </is>
      </c>
      <c r="G44" s="127" t="n"/>
      <c r="H44" s="127" t="n"/>
      <c r="I44" s="902" t="n"/>
      <c r="J44" s="83" t="n"/>
      <c r="K44" s="83" t="n"/>
      <c r="L44" s="83" t="n"/>
      <c r="M44" s="83" t="n"/>
      <c r="N44" s="83" t="n"/>
      <c r="O44" s="83" t="n"/>
      <c r="P44" s="106" t="n"/>
      <c r="Q44" s="484" t="n"/>
    </row>
    <row r="45" ht="14.1" customHeight="1">
      <c r="A45" s="126" t="n"/>
      <c r="B45" s="127" t="n"/>
      <c r="C45" s="132" t="n"/>
      <c r="D45" s="124" t="inlineStr">
        <is>
          <t>Maximum Permitted ESR</t>
        </is>
      </c>
      <c r="E45" s="903">
        <f>'Variable Management'!B155</f>
        <v/>
      </c>
      <c r="F45" s="162" t="inlineStr">
        <is>
          <t>mΩ</t>
        </is>
      </c>
      <c r="G45" s="611" t="n"/>
      <c r="H45" s="127" t="n"/>
      <c r="I45" s="904" t="n"/>
      <c r="J45" s="83" t="n"/>
      <c r="K45" s="83" t="n"/>
      <c r="L45" s="83" t="n"/>
      <c r="M45" s="83" t="n"/>
      <c r="N45" s="83" t="n"/>
      <c r="O45" s="83" t="n"/>
      <c r="P45" s="106" t="inlineStr">
        <is>
          <t xml:space="preserve"> </t>
        </is>
      </c>
      <c r="Q45" s="484" t="n"/>
    </row>
    <row r="46" ht="14.1" customHeight="1">
      <c r="A46" s="126" t="n"/>
      <c r="B46" s="127" t="n"/>
      <c r="C46" s="132" t="n"/>
      <c r="D46" s="152" t="inlineStr">
        <is>
          <t>Input Capacitor ESR</t>
        </is>
      </c>
      <c r="E46" s="128" t="n">
        <v>1</v>
      </c>
      <c r="F46" s="157" t="inlineStr">
        <is>
          <t>mΩ</t>
        </is>
      </c>
      <c r="G46" s="127" t="n"/>
      <c r="H46" s="127" t="n"/>
      <c r="I46" s="904" t="n"/>
      <c r="J46" s="83" t="n"/>
      <c r="K46" s="83" t="n"/>
      <c r="L46" s="83" t="n"/>
      <c r="M46" s="83" t="n"/>
      <c r="N46" s="83" t="n"/>
      <c r="O46" s="83" t="n"/>
      <c r="P46" s="106" t="n"/>
      <c r="Q46" s="484" t="n"/>
    </row>
    <row r="47" ht="14.1" customHeight="1">
      <c r="A47" s="126" t="n"/>
      <c r="B47" s="127" t="n"/>
      <c r="C47" s="132" t="n"/>
      <c r="D47" s="255" t="inlineStr">
        <is>
          <t>Resulting Input Voltage Ripple (max)</t>
        </is>
      </c>
      <c r="E47" s="258">
        <f>'Variable Management'!B162*1000</f>
        <v/>
      </c>
      <c r="F47" s="257" t="inlineStr">
        <is>
          <t>mVPK-PK</t>
        </is>
      </c>
      <c r="G47" s="611" t="n"/>
      <c r="H47" s="127" t="n"/>
      <c r="I47" s="904" t="n"/>
      <c r="J47" s="83" t="n"/>
      <c r="K47" s="83" t="n"/>
      <c r="L47" s="83" t="n"/>
      <c r="M47" s="83" t="n"/>
      <c r="N47" s="83" t="n"/>
      <c r="O47" s="83" t="n"/>
      <c r="P47" s="106" t="n"/>
      <c r="Q47" s="484" t="n"/>
    </row>
    <row r="48" ht="15.75" customHeight="1" thickBot="1">
      <c r="A48" s="693" t="n"/>
      <c r="B48" s="694" t="n"/>
      <c r="C48" s="694" t="n"/>
      <c r="D48" s="695" t="inlineStr">
        <is>
          <t>Input Capacitor RMS Current (max)</t>
        </is>
      </c>
      <c r="E48" s="905">
        <f>'Variable Management'!B138</f>
        <v/>
      </c>
      <c r="F48" s="782" t="inlineStr">
        <is>
          <t>ARMS</t>
        </is>
      </c>
      <c r="G48" s="611" t="n"/>
      <c r="H48" s="127" t="n"/>
      <c r="I48" s="904" t="n"/>
      <c r="J48" s="83" t="n"/>
      <c r="K48" s="83" t="n"/>
      <c r="L48" s="83" t="n"/>
      <c r="M48" s="83" t="n"/>
      <c r="N48" s="83" t="n"/>
      <c r="O48" s="83" t="n"/>
      <c r="P48" s="106" t="n"/>
      <c r="Q48" s="484" t="n"/>
    </row>
    <row r="49" ht="15.75" customHeight="1">
      <c r="A49" s="583" t="n"/>
      <c r="B49" s="127" t="n"/>
      <c r="C49" s="134" t="n"/>
      <c r="D49" s="152" t="inlineStr">
        <is>
          <t>AEF Filter Inductor</t>
        </is>
      </c>
      <c r="E49" s="776" t="n">
        <v>0.68</v>
      </c>
      <c r="F49" s="700" t="inlineStr">
        <is>
          <t>µH</t>
        </is>
      </c>
      <c r="G49" s="699" t="n"/>
      <c r="H49" s="127" t="n"/>
      <c r="I49" s="904" t="n"/>
      <c r="J49" s="83" t="n"/>
      <c r="K49" s="83" t="n"/>
      <c r="L49" s="83" t="n"/>
      <c r="M49" s="83" t="n"/>
      <c r="N49" s="83" t="n"/>
      <c r="O49" s="83" t="n"/>
      <c r="P49" s="106" t="n"/>
      <c r="Q49" s="484" t="n"/>
    </row>
    <row r="50" ht="19.5" customHeight="1" thickBot="1">
      <c r="A50" s="182" t="inlineStr">
        <is>
          <t>Step 6: Precision Enable, DRSS, FPWM / PFM</t>
        </is>
      </c>
      <c r="B50" s="131" t="n"/>
      <c r="C50" s="127" t="n"/>
      <c r="D50" s="124" t="n"/>
      <c r="E50" s="127" t="n"/>
      <c r="F50" s="127" t="n"/>
      <c r="G50" s="127" t="n"/>
      <c r="H50" s="136" t="n"/>
      <c r="I50" s="112" t="n"/>
      <c r="J50" s="112" t="n"/>
      <c r="K50" s="112" t="n"/>
      <c r="L50" s="112" t="n"/>
      <c r="M50" s="83" t="n"/>
      <c r="N50" s="83" t="n"/>
      <c r="O50" s="83" t="n"/>
      <c r="P50" s="106" t="n"/>
      <c r="Q50" s="484" t="n"/>
    </row>
    <row r="51" ht="13.9" customHeight="1">
      <c r="A51" s="261" t="n"/>
      <c r="B51" s="262" t="n"/>
      <c r="C51" s="262" t="n"/>
      <c r="D51" s="269" t="n"/>
      <c r="E51" s="269" t="n"/>
      <c r="F51" s="264" t="n"/>
      <c r="G51" s="127" t="n"/>
      <c r="H51" s="134" t="n"/>
      <c r="I51" s="112" t="n"/>
      <c r="J51" s="112" t="n"/>
      <c r="K51" s="112" t="n"/>
      <c r="L51" s="112" t="n"/>
      <c r="M51" s="83" t="n"/>
      <c r="N51" s="83" t="n"/>
      <c r="O51" s="83" t="n"/>
      <c r="P51" s="106" t="n"/>
      <c r="Q51" s="484" t="n"/>
    </row>
    <row r="52" ht="13.9" customHeight="1">
      <c r="A52" s="254" t="n"/>
      <c r="B52" s="253" t="n"/>
      <c r="C52" s="253" t="n"/>
      <c r="D52" s="112" t="n"/>
      <c r="E52" s="112" t="n"/>
      <c r="F52" s="267" t="n"/>
      <c r="G52" s="127" t="n"/>
      <c r="H52" s="134" t="n"/>
      <c r="I52" s="112" t="n"/>
      <c r="J52" s="112" t="n"/>
      <c r="K52" s="112" t="n"/>
      <c r="L52" s="112" t="n"/>
      <c r="M52" s="83" t="n"/>
      <c r="N52" s="83" t="n"/>
      <c r="O52" s="83" t="n"/>
      <c r="P52" s="106" t="n"/>
      <c r="Q52" s="484" t="n"/>
    </row>
    <row r="53" ht="13.9" customHeight="1">
      <c r="A53" s="254" t="n"/>
      <c r="B53" s="253" t="n"/>
      <c r="C53" s="270" t="n"/>
      <c r="D53" s="271" t="inlineStr">
        <is>
          <t>Input Voltage UVLO Turn On</t>
        </is>
      </c>
      <c r="E53" s="266" t="n">
        <v>22</v>
      </c>
      <c r="F53" s="267" t="inlineStr">
        <is>
          <t>V</t>
        </is>
      </c>
      <c r="G53" s="127" t="n"/>
      <c r="H53" s="134" t="n"/>
      <c r="I53" s="112" t="n"/>
      <c r="J53" s="112" t="n"/>
      <c r="K53" s="112" t="n"/>
      <c r="L53" s="112" t="n"/>
      <c r="M53" s="83" t="n"/>
      <c r="N53" s="83" t="n"/>
      <c r="O53" s="83" t="n"/>
      <c r="P53" s="106" t="n"/>
      <c r="Q53" s="484" t="n"/>
    </row>
    <row r="54" ht="13.9" customHeight="1">
      <c r="A54" s="254" t="n"/>
      <c r="B54" s="253" t="n"/>
      <c r="C54" s="253" t="n"/>
      <c r="D54" s="271" t="inlineStr">
        <is>
          <t>Input Voltage UVLO Turn Off</t>
        </is>
      </c>
      <c r="E54" s="266" t="n">
        <v>20</v>
      </c>
      <c r="F54" s="267" t="inlineStr">
        <is>
          <t>V</t>
        </is>
      </c>
      <c r="G54" s="127" t="n"/>
      <c r="H54" s="134" t="n"/>
      <c r="I54" s="112" t="n"/>
      <c r="J54" s="112" t="n"/>
      <c r="K54" s="112" t="n"/>
      <c r="L54" s="112" t="n"/>
      <c r="M54" s="83" t="n"/>
      <c r="N54" s="83" t="n"/>
      <c r="O54" s="83" t="n"/>
      <c r="P54" s="106" t="n"/>
      <c r="Q54" s="484" t="n"/>
    </row>
    <row r="55" ht="15.75" customHeight="1">
      <c r="A55" s="254" t="n"/>
      <c r="B55" s="253" t="n"/>
      <c r="C55" s="253" t="n"/>
      <c r="D55" s="607" t="inlineStr">
        <is>
          <t>Upper Enable Resistor, RUV1</t>
        </is>
      </c>
      <c r="E55" s="255">
        <f>IF(UVLO_TYPE=1,'Variable Management'!B188,0)</f>
        <v/>
      </c>
      <c r="F55" s="257" t="inlineStr">
        <is>
          <t>kΩ</t>
        </is>
      </c>
      <c r="G55" s="127" t="n"/>
      <c r="H55" s="127" t="n"/>
      <c r="I55" s="81" t="n"/>
      <c r="J55" s="122" t="n"/>
      <c r="K55" s="83" t="n"/>
      <c r="L55" s="112" t="n"/>
      <c r="M55" s="83" t="n"/>
      <c r="N55" s="83" t="n"/>
      <c r="O55" s="83" t="n"/>
      <c r="P55" s="106" t="n"/>
      <c r="Q55" s="484" t="n"/>
    </row>
    <row r="56" ht="13.9" customHeight="1">
      <c r="A56" s="254" t="n"/>
      <c r="B56" s="253" t="n"/>
      <c r="C56" s="253" t="n"/>
      <c r="D56" s="607" t="inlineStr">
        <is>
          <t>Lower Enable Resistor, RUV2</t>
        </is>
      </c>
      <c r="E56" s="899">
        <f>IF(UVLO_TYPE=1,'Variable Management'!B189,"DNP")</f>
        <v/>
      </c>
      <c r="F56" s="257" t="inlineStr">
        <is>
          <t>kΩ</t>
        </is>
      </c>
      <c r="G56" s="127" t="n"/>
      <c r="H56" s="127" t="n"/>
      <c r="I56" s="81" t="n"/>
      <c r="J56" s="122" t="n"/>
      <c r="K56" s="83" t="n"/>
      <c r="L56" s="112" t="n"/>
      <c r="M56" s="83" t="n"/>
      <c r="N56" s="83" t="n"/>
      <c r="O56" s="83" t="n"/>
      <c r="P56" s="106" t="n"/>
      <c r="Q56" s="484" t="n"/>
    </row>
    <row r="57" ht="15.75" customHeight="1">
      <c r="A57" s="254" t="n"/>
      <c r="B57" s="253" t="n"/>
      <c r="C57" s="270" t="n"/>
      <c r="D57" s="607" t="inlineStr">
        <is>
          <t>Configuration Resistor, RCNFG</t>
        </is>
      </c>
      <c r="E57" s="44">
        <f>IF(DITHER=1,"41.2","29.4")</f>
        <v/>
      </c>
      <c r="F57" s="257" t="inlineStr">
        <is>
          <t>kΩ</t>
        </is>
      </c>
      <c r="G57" s="127" t="n"/>
      <c r="H57" s="127" t="n"/>
      <c r="I57" s="81" t="n"/>
      <c r="J57" s="122" t="n"/>
      <c r="K57" s="83" t="n"/>
      <c r="L57" s="112" t="n"/>
      <c r="M57" s="83" t="n"/>
      <c r="N57" s="83" t="n"/>
      <c r="O57" s="83" t="n"/>
      <c r="P57" s="106" t="n"/>
      <c r="Q57" s="484" t="n"/>
    </row>
    <row r="58" ht="15" customHeight="1" thickBot="1">
      <c r="A58" s="273" t="n"/>
      <c r="B58" s="274" t="n"/>
      <c r="C58" s="274" t="n"/>
      <c r="D58" s="558">
        <f>IF(DEMB=1, "* Tie PFM to GND", "* Tie PFM to VDDA")</f>
        <v/>
      </c>
      <c r="E58" s="552" t="n"/>
      <c r="F58" s="275" t="n"/>
      <c r="G58" s="127" t="n"/>
      <c r="H58" s="127" t="n"/>
      <c r="I58" s="81" t="n"/>
      <c r="J58" s="122" t="n"/>
      <c r="K58" s="83" t="n"/>
      <c r="L58" s="112" t="n"/>
      <c r="M58" s="83" t="n"/>
      <c r="N58" s="83" t="n"/>
      <c r="O58" s="83" t="n"/>
      <c r="P58" s="106" t="n"/>
      <c r="Q58" s="484" t="n"/>
    </row>
    <row r="59" ht="14.1" customHeight="1">
      <c r="A59" s="126" t="n"/>
      <c r="B59" s="127" t="n"/>
      <c r="C59" s="127" t="n"/>
      <c r="D59" s="124" t="n"/>
      <c r="E59" s="137" t="n"/>
      <c r="F59" s="127" t="n"/>
      <c r="G59" s="127" t="n"/>
      <c r="H59" s="127" t="n"/>
      <c r="I59" s="81" t="n"/>
      <c r="J59" s="122" t="n"/>
      <c r="K59" s="83" t="n"/>
      <c r="L59" s="112" t="n"/>
      <c r="M59" s="83" t="n"/>
      <c r="N59" s="83" t="n"/>
      <c r="O59" s="83" t="n"/>
      <c r="P59" s="106" t="n"/>
      <c r="Q59" s="484" t="n"/>
    </row>
    <row r="60" ht="19.5" customHeight="1" thickBot="1">
      <c r="A60" s="182" t="inlineStr">
        <is>
          <t>Step 7: Compensation Design</t>
        </is>
      </c>
      <c r="B60" s="139" t="n"/>
      <c r="C60" s="132" t="n"/>
      <c r="D60" s="537" t="n"/>
      <c r="E60" s="897" t="n"/>
      <c r="F60" s="132" t="n"/>
      <c r="G60" s="127" t="n"/>
      <c r="H60" s="127" t="n"/>
      <c r="I60" s="83" t="n"/>
      <c r="J60" s="83" t="n"/>
      <c r="K60" s="83" t="n"/>
      <c r="L60" s="83" t="n"/>
      <c r="M60" s="83" t="n"/>
      <c r="N60" s="83" t="n"/>
      <c r="O60" s="83" t="n"/>
      <c r="P60" s="106" t="n"/>
      <c r="Q60" s="906" t="n"/>
      <c r="R60" s="907" t="n"/>
      <c r="S60" s="907" t="n"/>
      <c r="V60" s="907" t="n"/>
      <c r="W60" s="907" t="n"/>
      <c r="X60" s="907" t="n"/>
      <c r="AA60" s="907" t="n"/>
      <c r="AB60" s="907" t="n"/>
      <c r="AC60" s="907" t="n"/>
      <c r="AF60" s="907" t="n"/>
      <c r="AG60" s="907" t="n"/>
      <c r="AH60" s="907" t="n"/>
    </row>
    <row r="61" ht="15" customHeight="1">
      <c r="A61" s="261" t="n"/>
      <c r="B61" s="262" t="n"/>
      <c r="C61" s="263" t="n"/>
      <c r="D61" s="263" t="inlineStr">
        <is>
          <t>Load Pole Frequency</t>
        </is>
      </c>
      <c r="E61" s="356">
        <f>Fp_dominant</f>
        <v/>
      </c>
      <c r="F61" s="276" t="inlineStr">
        <is>
          <t>Hz</t>
        </is>
      </c>
      <c r="G61" s="582" t="n"/>
      <c r="H61" s="134" t="n"/>
      <c r="I61" s="602" t="n"/>
      <c r="J61" s="601" t="n"/>
      <c r="K61" s="83" t="n"/>
      <c r="L61" s="83" t="n"/>
      <c r="M61" s="83" t="n"/>
      <c r="N61" s="83" t="n"/>
      <c r="O61" s="83" t="n"/>
      <c r="P61" s="106" t="n"/>
      <c r="Q61" s="906" t="n"/>
      <c r="R61" s="907" t="n"/>
      <c r="S61" s="907" t="n"/>
      <c r="V61" s="907" t="n"/>
      <c r="W61" s="907" t="n"/>
      <c r="X61" s="907" t="n"/>
      <c r="AA61" s="907" t="n"/>
      <c r="AB61" s="907" t="n"/>
      <c r="AC61" s="907" t="n"/>
      <c r="AF61" s="907" t="n"/>
      <c r="AG61" s="907" t="n"/>
      <c r="AH61" s="907" t="n"/>
    </row>
    <row r="62" ht="15" customHeight="1">
      <c r="A62" s="254" t="n"/>
      <c r="B62" s="253" t="n"/>
      <c r="C62" s="255" t="n"/>
      <c r="D62" s="255" t="inlineStr">
        <is>
          <t>ESR Zero Frequency</t>
        </is>
      </c>
      <c r="E62" s="258">
        <f>Fesr/1000</f>
        <v/>
      </c>
      <c r="F62" s="257" t="inlineStr">
        <is>
          <t>kHz</t>
        </is>
      </c>
      <c r="G62" s="134" t="n"/>
      <c r="H62" s="134" t="n"/>
      <c r="I62" s="602" t="n"/>
      <c r="J62" s="601" t="n"/>
      <c r="K62" s="83" t="n"/>
      <c r="L62" s="83" t="n"/>
      <c r="M62" s="83" t="n"/>
      <c r="N62" s="83" t="n"/>
      <c r="O62" s="83" t="n"/>
      <c r="P62" s="106" t="n"/>
      <c r="Q62" s="906" t="n"/>
      <c r="R62" s="907" t="n"/>
      <c r="S62" s="907" t="n"/>
      <c r="V62" s="907" t="n"/>
      <c r="W62" s="907" t="n"/>
      <c r="X62" s="907" t="n"/>
      <c r="AA62" s="907" t="n"/>
      <c r="AB62" s="907" t="n"/>
      <c r="AC62" s="907" t="n"/>
      <c r="AF62" s="907" t="n"/>
      <c r="AG62" s="907" t="n"/>
      <c r="AH62" s="907" t="n"/>
    </row>
    <row r="63" ht="15" customHeight="1">
      <c r="A63" s="254" t="n"/>
      <c r="B63" s="253" t="n"/>
      <c r="C63" s="255" t="n"/>
      <c r="D63" s="271" t="inlineStr">
        <is>
          <t>Desired Crossover Frequency</t>
        </is>
      </c>
      <c r="E63" s="277" t="n">
        <v>40</v>
      </c>
      <c r="F63" s="278">
        <f>"     kHz "</f>
        <v/>
      </c>
      <c r="G63" s="134" t="n"/>
      <c r="H63" s="134" t="n"/>
      <c r="I63" s="634" t="n"/>
      <c r="J63" s="604" t="n"/>
      <c r="K63" s="83" t="n"/>
      <c r="L63" s="83" t="n"/>
      <c r="M63" s="83" t="n"/>
      <c r="N63" s="83" t="n"/>
      <c r="O63" s="83" t="n"/>
      <c r="P63" s="106" t="n"/>
      <c r="Q63" s="906" t="n"/>
      <c r="R63" s="907" t="n"/>
      <c r="S63" s="907" t="n"/>
      <c r="V63" s="907" t="n"/>
      <c r="W63" s="907" t="n"/>
      <c r="X63" s="907" t="n"/>
      <c r="AA63" s="907" t="n"/>
      <c r="AB63" s="907" t="n"/>
      <c r="AC63" s="907" t="n"/>
      <c r="AF63" s="907" t="n"/>
      <c r="AG63" s="907" t="n"/>
      <c r="AH63" s="907" t="n"/>
    </row>
    <row r="64" ht="15" customHeight="1">
      <c r="A64" s="254" t="n"/>
      <c r="B64" s="253" t="n"/>
      <c r="C64" s="255" t="n"/>
      <c r="D64" s="255" t="inlineStr">
        <is>
          <t>Error Amp Pole Frequency</t>
        </is>
      </c>
      <c r="E64" s="784">
        <f>Fp1_u</f>
        <v/>
      </c>
      <c r="F64" s="257" t="inlineStr">
        <is>
          <t>Hz</t>
        </is>
      </c>
      <c r="G64" s="134" t="n"/>
      <c r="H64" s="134" t="n"/>
      <c r="I64" s="895" t="n"/>
      <c r="J64" s="601" t="n"/>
      <c r="K64" s="83" t="n"/>
      <c r="L64" s="83" t="n"/>
      <c r="M64" s="83" t="n"/>
      <c r="N64" s="83" t="n"/>
      <c r="O64" s="83" t="n"/>
      <c r="P64" s="106" t="n"/>
      <c r="Q64" s="906" t="n"/>
      <c r="R64" s="907" t="n"/>
      <c r="S64" s="907" t="n"/>
      <c r="V64" s="907" t="n"/>
      <c r="W64" s="907" t="n"/>
      <c r="X64" s="907" t="n"/>
      <c r="AA64" s="907" t="n"/>
      <c r="AB64" s="907" t="n"/>
      <c r="AC64" s="907" t="n"/>
      <c r="AF64" s="907" t="n"/>
      <c r="AG64" s="907" t="n"/>
      <c r="AH64" s="907" t="n"/>
    </row>
    <row r="65" ht="15" customHeight="1">
      <c r="A65" s="254" t="n"/>
      <c r="B65" s="253" t="n"/>
      <c r="C65" s="255" t="n"/>
      <c r="D65" s="271">
        <f>CHOOSE(VOUT_setting, "Upper Feedback Resistor","","","")</f>
        <v/>
      </c>
      <c r="E65" s="279" t="n">
        <v>78.7</v>
      </c>
      <c r="F65" s="267" t="inlineStr">
        <is>
          <t>kΩ</t>
        </is>
      </c>
      <c r="G65" s="134" t="n"/>
      <c r="H65" s="134" t="n"/>
      <c r="I65" s="635" t="n"/>
      <c r="J65" s="590" t="n"/>
      <c r="K65" s="83" t="n"/>
      <c r="L65" s="83" t="n"/>
      <c r="M65" s="83" t="n"/>
      <c r="N65" s="83" t="n"/>
      <c r="O65" s="83" t="n"/>
      <c r="P65" s="106" t="n"/>
      <c r="Q65" s="906" t="n"/>
      <c r="R65" s="907" t="n"/>
      <c r="S65" s="907" t="n"/>
      <c r="V65" s="907" t="n"/>
      <c r="W65" s="907" t="n"/>
      <c r="X65" s="907" t="n"/>
      <c r="AA65" s="907" t="n"/>
      <c r="AB65" s="907" t="n"/>
      <c r="AC65" s="907" t="n"/>
      <c r="AF65" s="907" t="n"/>
      <c r="AG65" s="907" t="n"/>
      <c r="AH65" s="907" t="n"/>
    </row>
    <row r="66" ht="15" customHeight="1">
      <c r="A66" s="572" t="n"/>
      <c r="B66" s="253" t="n"/>
      <c r="C66" s="255" t="n"/>
      <c r="D66" s="255">
        <f>CHOOSE(VOUT_setting, "Lower Feedback Resistor", "* Connect "&amp;'Variable Management'!D419&amp;" from FB to VDDA","* Tie FB to VDDA","* Connect "&amp;'Variable Management'!D419&amp;" from FB to VDDA")</f>
        <v/>
      </c>
      <c r="E66" s="255">
        <f>IF(Vout=Vref,"OPEN",Rfb2_u/1000)</f>
        <v/>
      </c>
      <c r="F66" s="257">
        <f>IF(Vout=Vref,"","kΩ")</f>
        <v/>
      </c>
      <c r="G66" s="582" t="n"/>
      <c r="H66" s="134" t="n"/>
      <c r="I66" s="605" t="n"/>
      <c r="J66" s="601" t="n"/>
      <c r="K66" s="83" t="n"/>
      <c r="L66" s="83" t="n"/>
      <c r="M66" s="83" t="n"/>
      <c r="N66" s="83" t="n"/>
      <c r="O66" s="83" t="n"/>
      <c r="P66" s="106" t="n"/>
      <c r="Q66" s="906" t="n"/>
      <c r="R66" s="907" t="n"/>
      <c r="S66" s="907" t="n"/>
      <c r="V66" s="907" t="n"/>
      <c r="W66" s="907" t="n"/>
      <c r="X66" s="907" t="n"/>
      <c r="AA66" s="907" t="n"/>
      <c r="AB66" s="907" t="n"/>
      <c r="AC66" s="907" t="n"/>
      <c r="AF66" s="907" t="n"/>
      <c r="AG66" s="907" t="n"/>
      <c r="AH66" s="907" t="n"/>
    </row>
    <row r="67" ht="15" customHeight="1" thickBot="1">
      <c r="A67" s="273" t="n"/>
      <c r="B67" s="274" t="n"/>
      <c r="C67" s="272" t="n"/>
      <c r="D67" s="272">
        <f>CHOOSE(VOUT_setting, "Actual Output Voltage Setpoint","","","")</f>
        <v/>
      </c>
      <c r="E67" s="908">
        <f>0.8/E66*(E65+E66)</f>
        <v/>
      </c>
      <c r="F67" s="275" t="inlineStr">
        <is>
          <t>V</t>
        </is>
      </c>
      <c r="G67" s="134" t="n"/>
      <c r="H67" s="134" t="n"/>
      <c r="I67" s="605" t="n"/>
      <c r="J67" s="601" t="n"/>
      <c r="K67" s="83" t="n"/>
      <c r="L67" s="83" t="n"/>
      <c r="M67" s="83" t="n"/>
      <c r="N67" s="83" t="n"/>
      <c r="O67" s="83" t="n"/>
      <c r="P67" s="106" t="n"/>
      <c r="Q67" s="906" t="n"/>
      <c r="R67" s="907" t="n"/>
      <c r="S67" s="907" t="n"/>
      <c r="V67" s="907" t="n"/>
      <c r="W67" s="907" t="n"/>
      <c r="X67" s="907" t="n"/>
      <c r="AA67" s="907" t="n"/>
      <c r="AB67" s="907" t="n"/>
      <c r="AC67" s="907" t="n"/>
      <c r="AF67" s="907" t="n"/>
      <c r="AG67" s="907" t="n"/>
      <c r="AH67" s="907" t="n"/>
    </row>
    <row r="68" ht="13.5" customHeight="1">
      <c r="A68" s="185" t="n"/>
      <c r="B68" s="532" t="n"/>
      <c r="C68" s="145" t="n"/>
      <c r="D68" s="134" t="n"/>
      <c r="E68" s="134" t="n"/>
      <c r="F68" s="134" t="n"/>
      <c r="G68" s="144" t="n"/>
      <c r="H68" s="143" t="n"/>
      <c r="I68" s="83" t="n"/>
      <c r="J68" s="83" t="n"/>
      <c r="K68" s="83" t="n"/>
      <c r="L68" s="83" t="n"/>
      <c r="M68" s="83" t="n"/>
      <c r="N68" s="83" t="n"/>
      <c r="O68" s="83" t="n"/>
      <c r="P68" s="106" t="n"/>
      <c r="Q68" s="906" t="n"/>
      <c r="R68" s="907" t="n"/>
      <c r="S68" s="907" t="n"/>
      <c r="V68" s="907" t="n"/>
      <c r="W68" s="907" t="n"/>
      <c r="X68" s="907" t="n"/>
      <c r="AA68" s="907" t="n"/>
      <c r="AB68" s="907" t="n"/>
      <c r="AC68" s="907" t="n"/>
      <c r="AF68" s="907" t="n"/>
      <c r="AG68" s="907" t="n"/>
      <c r="AH68" s="907" t="n"/>
    </row>
    <row r="69" ht="15.75" customHeight="1">
      <c r="A69" s="461" t="inlineStr">
        <is>
          <t>Compensation Components</t>
        </is>
      </c>
      <c r="B69" s="146" t="n"/>
      <c r="C69" s="124" t="n"/>
      <c r="D69" s="140" t="n"/>
      <c r="E69" s="909" t="n"/>
      <c r="F69" s="142" t="n"/>
      <c r="G69" s="147" t="n"/>
      <c r="H69" s="127" t="n"/>
      <c r="I69" s="83" t="n"/>
      <c r="J69" s="83" t="n"/>
      <c r="K69" s="83" t="n"/>
      <c r="L69" s="83" t="n"/>
      <c r="M69" s="83" t="n"/>
      <c r="N69" s="83" t="n"/>
      <c r="O69" s="83" t="n"/>
      <c r="P69" s="106" t="n"/>
      <c r="Q69" s="906" t="n"/>
      <c r="R69" s="910" t="n"/>
      <c r="S69" s="910" t="n"/>
      <c r="T69" s="189" t="n"/>
      <c r="U69" s="189" t="n"/>
      <c r="V69" s="910" t="n"/>
      <c r="W69" s="910" t="n"/>
      <c r="X69" s="910" t="n"/>
      <c r="Y69" s="189" t="n"/>
      <c r="Z69" s="189" t="n"/>
      <c r="AA69" s="910" t="n"/>
      <c r="AB69" s="910" t="n"/>
      <c r="AC69" s="910" t="n"/>
      <c r="AD69" s="189" t="n"/>
      <c r="AE69" s="189" t="n"/>
      <c r="AF69" s="907" t="n"/>
      <c r="AG69" s="907" t="n"/>
      <c r="AH69" s="907" t="n"/>
    </row>
    <row r="70" ht="13.5" customFormat="1" customHeight="1" s="200" thickBot="1">
      <c r="A70" s="205" t="n"/>
      <c r="B70" s="206" t="inlineStr">
        <is>
          <t>Calculated /</t>
        </is>
      </c>
      <c r="C70" s="207" t="inlineStr">
        <is>
          <t>Std Values</t>
        </is>
      </c>
      <c r="D70" s="911">
        <f>C70</f>
        <v/>
      </c>
      <c r="E70" s="537" t="n"/>
      <c r="F70" s="785" t="inlineStr">
        <is>
          <t>Actual P/Z Frequencies</t>
        </is>
      </c>
      <c r="I70" s="195" t="n"/>
      <c r="J70" s="195" t="n"/>
      <c r="K70" s="195" t="n"/>
      <c r="L70" s="195" t="n"/>
      <c r="M70" s="195" t="n"/>
      <c r="N70" s="195" t="n"/>
      <c r="O70" s="195" t="n"/>
      <c r="P70" s="196" t="n"/>
      <c r="Q70" s="912" t="n"/>
      <c r="R70" s="913" t="n"/>
      <c r="S70" s="913" t="n"/>
      <c r="T70" s="198" t="n"/>
      <c r="U70" s="198" t="n"/>
      <c r="V70" s="913" t="n"/>
      <c r="W70" s="913" t="n"/>
      <c r="X70" s="913" t="n"/>
      <c r="Y70" s="198" t="n"/>
      <c r="Z70" s="198" t="n"/>
      <c r="AA70" s="913" t="n"/>
      <c r="AB70" s="913" t="n"/>
      <c r="AC70" s="913" t="n"/>
      <c r="AD70" s="198" t="n"/>
      <c r="AE70" s="198" t="n"/>
      <c r="AF70" s="914" t="n"/>
      <c r="AG70" s="914" t="n"/>
      <c r="AH70" s="914" t="n"/>
    </row>
    <row r="71" ht="15.75" customHeight="1">
      <c r="A71" s="170" t="inlineStr">
        <is>
          <t>RC1</t>
        </is>
      </c>
      <c r="B71" s="915">
        <f>Rcea1/1000</f>
        <v/>
      </c>
      <c r="C71" s="166">
        <f>'Standard Value Calculator'!S32</f>
        <v/>
      </c>
      <c r="D71" s="167">
        <f>C71</f>
        <v/>
      </c>
      <c r="E71" s="168" t="inlineStr">
        <is>
          <t>kΩ</t>
        </is>
      </c>
      <c r="F71" s="916">
        <f>Fp1_u</f>
        <v/>
      </c>
      <c r="G71" s="418" t="inlineStr">
        <is>
          <t>Hz   (FPEA)</t>
        </is>
      </c>
      <c r="H71" s="134" t="n"/>
      <c r="I71" s="917" t="n"/>
      <c r="J71" s="127" t="n"/>
      <c r="K71" s="83" t="n"/>
      <c r="L71" s="83" t="n"/>
      <c r="M71" s="83" t="n"/>
      <c r="N71" s="83" t="n"/>
      <c r="O71" s="83" t="n"/>
      <c r="P71" s="106" t="n"/>
      <c r="Q71" s="906" t="n"/>
      <c r="R71" s="910" t="n"/>
      <c r="S71" s="910" t="n"/>
      <c r="T71" s="189" t="n"/>
      <c r="U71" s="189" t="n"/>
      <c r="V71" s="910" t="n"/>
      <c r="W71" s="910" t="n"/>
      <c r="X71" s="910" t="n"/>
      <c r="Y71" s="189" t="n"/>
      <c r="Z71" s="189" t="n"/>
      <c r="AA71" s="910" t="n"/>
      <c r="AB71" s="910" t="n"/>
      <c r="AC71" s="910" t="n"/>
      <c r="AD71" s="189" t="n"/>
      <c r="AE71" s="189" t="n"/>
      <c r="AF71" s="907" t="n"/>
      <c r="AG71" s="907" t="n"/>
      <c r="AH71" s="907" t="n"/>
    </row>
    <row r="72" ht="15.75" customHeight="1">
      <c r="A72" s="171" t="inlineStr">
        <is>
          <t>CC1</t>
        </is>
      </c>
      <c r="B72" s="918">
        <f>Cc1ea*1000000000</f>
        <v/>
      </c>
      <c r="C72" s="143">
        <f>'Standard Value Calculator'!S33</f>
        <v/>
      </c>
      <c r="D72" s="148">
        <f>C72</f>
        <v/>
      </c>
      <c r="E72" s="169" t="inlineStr">
        <is>
          <t>nF</t>
        </is>
      </c>
      <c r="F72" s="919">
        <f>Fz1_u/1000</f>
        <v/>
      </c>
      <c r="G72" s="420" t="inlineStr">
        <is>
          <t>kHz (FZCOMP)</t>
        </is>
      </c>
      <c r="H72" s="134" t="n"/>
      <c r="I72" s="917" t="n"/>
      <c r="J72" s="127" t="n"/>
      <c r="K72" s="83" t="n"/>
      <c r="L72" s="83" t="n"/>
      <c r="M72" s="83" t="n"/>
      <c r="N72" s="83" t="n"/>
      <c r="O72" s="83" t="n"/>
      <c r="P72" s="106" t="n"/>
      <c r="Q72" s="906" t="n"/>
      <c r="R72" s="910" t="n"/>
      <c r="S72" s="910" t="n"/>
      <c r="T72" s="189" t="n"/>
      <c r="U72" s="189" t="n"/>
      <c r="V72" s="910" t="n"/>
      <c r="W72" s="910" t="n"/>
      <c r="X72" s="910" t="n"/>
      <c r="Y72" s="189" t="n"/>
      <c r="Z72" s="189" t="n"/>
      <c r="AA72" s="910" t="n"/>
      <c r="AB72" s="910" t="n"/>
      <c r="AC72" s="910" t="n"/>
      <c r="AD72" s="189" t="n"/>
      <c r="AE72" s="189" t="n"/>
      <c r="AF72" s="907" t="n"/>
      <c r="AG72" s="907" t="n"/>
      <c r="AH72" s="907" t="n"/>
    </row>
    <row r="73" ht="16.5" customHeight="1" thickBot="1">
      <c r="A73" s="357" t="inlineStr">
        <is>
          <t>CC2</t>
        </is>
      </c>
      <c r="B73" s="181">
        <f>IF(Cc2ea&lt;0, "N/A", Cc2ea*1000000000000)</f>
        <v/>
      </c>
      <c r="C73" s="177">
        <f>'Standard Value Calculator'!S34</f>
        <v/>
      </c>
      <c r="D73" s="178">
        <f>C73</f>
        <v/>
      </c>
      <c r="E73" s="179" t="inlineStr">
        <is>
          <t>pF</t>
        </is>
      </c>
      <c r="F73" s="423">
        <f>Fp2_u/1000</f>
        <v/>
      </c>
      <c r="G73" s="421" t="inlineStr">
        <is>
          <t>kHz (FPCOMP)</t>
        </is>
      </c>
      <c r="H73" s="134" t="n"/>
      <c r="I73" s="83" t="n"/>
      <c r="J73" s="83" t="n"/>
      <c r="K73" s="83" t="n"/>
      <c r="L73" s="83" t="n"/>
      <c r="M73" s="83" t="n"/>
      <c r="N73" s="83" t="n"/>
      <c r="O73" s="83" t="n"/>
      <c r="P73" s="106" t="n"/>
      <c r="Q73" s="906" t="n"/>
      <c r="R73" s="910" t="n"/>
      <c r="S73" s="910" t="n"/>
      <c r="T73" s="189" t="n"/>
      <c r="U73" s="189" t="n"/>
      <c r="V73" s="910" t="n"/>
      <c r="W73" s="910" t="n"/>
      <c r="X73" s="910" t="n"/>
      <c r="Y73" s="189" t="n"/>
      <c r="Z73" s="189" t="n"/>
      <c r="AA73" s="910" t="n"/>
      <c r="AB73" s="910" t="n"/>
      <c r="AC73" s="910" t="n"/>
      <c r="AD73" s="189" t="n"/>
      <c r="AE73" s="189" t="n"/>
      <c r="AF73" s="907" t="n"/>
      <c r="AG73" s="907" t="n"/>
      <c r="AH73" s="907" t="n"/>
    </row>
    <row r="74">
      <c r="A74" s="170" t="n"/>
      <c r="B74" s="915" t="n"/>
      <c r="C74" s="636" t="n"/>
      <c r="D74" s="642" t="n"/>
      <c r="E74" s="637" t="n"/>
      <c r="F74" s="638" t="n"/>
      <c r="G74" s="639" t="n"/>
      <c r="H74" s="134" t="n"/>
      <c r="I74" s="83" t="n"/>
      <c r="J74" s="83" t="n"/>
      <c r="K74" s="83" t="n"/>
      <c r="L74" s="83" t="n"/>
      <c r="M74" s="123" t="n"/>
      <c r="N74" s="780" t="n"/>
      <c r="O74" s="132" t="n"/>
      <c r="P74" s="106" t="n"/>
      <c r="Q74" s="906" t="n"/>
      <c r="R74" s="910" t="n"/>
      <c r="S74" s="910" t="n"/>
      <c r="T74" s="189" t="n"/>
      <c r="U74" s="189" t="n"/>
      <c r="V74" s="910" t="n"/>
      <c r="W74" s="910" t="n"/>
      <c r="X74" s="910" t="n"/>
      <c r="Y74" s="189" t="n"/>
      <c r="Z74" s="189" t="n"/>
      <c r="AA74" s="910" t="n"/>
      <c r="AB74" s="910" t="n"/>
      <c r="AC74" s="910" t="n"/>
      <c r="AD74" s="189" t="n"/>
      <c r="AE74" s="189" t="n"/>
      <c r="AF74" s="907" t="n"/>
      <c r="AG74" s="907" t="n"/>
      <c r="AH74" s="907" t="n"/>
    </row>
    <row r="75" ht="13.5" customHeight="1" thickBot="1">
      <c r="A75" s="126" t="n"/>
      <c r="B75" s="124" t="n"/>
      <c r="C75" s="640" t="n"/>
      <c r="D75" s="641" t="n"/>
      <c r="E75" s="641" t="n"/>
      <c r="F75" s="641" t="n"/>
      <c r="G75" s="641" t="n"/>
      <c r="H75" s="127" t="n"/>
      <c r="I75" s="83" t="n"/>
      <c r="J75" s="83" t="n"/>
      <c r="K75" s="83" t="n"/>
      <c r="L75" s="83" t="n"/>
      <c r="M75" s="83" t="n"/>
      <c r="N75" s="83" t="n"/>
      <c r="O75" s="83" t="n"/>
      <c r="P75" s="106" t="n"/>
      <c r="Q75" s="906" t="n"/>
      <c r="R75" s="910" t="n"/>
      <c r="S75" s="910" t="n"/>
      <c r="T75" s="189" t="n"/>
      <c r="U75" s="189" t="n"/>
      <c r="V75" s="910" t="n"/>
      <c r="W75" s="910" t="n"/>
      <c r="X75" s="910" t="n"/>
      <c r="Y75" s="189" t="n"/>
      <c r="Z75" s="189" t="n"/>
      <c r="AA75" s="910" t="n"/>
      <c r="AB75" s="910" t="n"/>
      <c r="AC75" s="910" t="n"/>
      <c r="AD75" s="189" t="n"/>
      <c r="AE75" s="189" t="n"/>
      <c r="AF75" s="907" t="n"/>
      <c r="AG75" s="907" t="n"/>
      <c r="AH75" s="907" t="n"/>
    </row>
    <row r="76" ht="18.75" customFormat="1" customHeight="1" s="86" thickBot="1">
      <c r="A76" s="186" t="inlineStr">
        <is>
          <t>Efficiency / Power Loss Analyzer</t>
        </is>
      </c>
      <c r="B76" s="138" t="n"/>
      <c r="C76" s="149" t="n"/>
      <c r="D76" s="149" t="n"/>
      <c r="E76" s="149" t="n"/>
      <c r="F76" s="149" t="n"/>
      <c r="G76" s="149" t="n"/>
      <c r="H76" s="149" t="n"/>
      <c r="I76" s="84" t="n"/>
      <c r="J76" s="84" t="n"/>
      <c r="K76" s="84" t="n"/>
      <c r="L76" s="84" t="n"/>
      <c r="M76" s="84" t="n"/>
      <c r="N76" s="84" t="n"/>
      <c r="O76" s="84" t="n"/>
      <c r="P76" s="85" t="n"/>
      <c r="Q76" s="920" t="n"/>
      <c r="R76" s="921" t="n"/>
      <c r="S76" s="921" t="n"/>
      <c r="T76" s="191" t="n"/>
      <c r="U76" s="191" t="n"/>
      <c r="V76" s="921" t="n"/>
      <c r="W76" s="921" t="n"/>
      <c r="X76" s="921" t="n"/>
      <c r="Y76" s="191" t="n"/>
      <c r="Z76" s="191" t="n"/>
      <c r="AA76" s="921" t="n"/>
      <c r="AB76" s="921" t="n"/>
      <c r="AC76" s="921" t="n"/>
      <c r="AD76" s="191" t="n"/>
      <c r="AE76" s="191" t="n"/>
      <c r="AF76" s="922" t="n"/>
      <c r="AG76" s="922" t="n"/>
      <c r="AH76" s="922" t="n"/>
    </row>
    <row r="77">
      <c r="A77" s="184" t="n"/>
      <c r="B77" s="134" t="n"/>
      <c r="C77" s="127" t="n"/>
      <c r="D77" s="127" t="n"/>
      <c r="E77" s="127" t="n"/>
      <c r="F77" s="127" t="n"/>
      <c r="G77" s="127" t="n"/>
      <c r="H77" s="127" t="n"/>
      <c r="I77" s="83" t="n"/>
      <c r="J77" s="83" t="n"/>
      <c r="K77" s="83" t="n"/>
      <c r="L77" s="83" t="n"/>
      <c r="M77" s="83" t="n"/>
      <c r="N77" s="83" t="n"/>
      <c r="O77" s="83" t="n"/>
      <c r="P77" s="106" t="n"/>
      <c r="Q77" s="906" t="n"/>
      <c r="R77" s="910" t="n"/>
      <c r="S77" s="910" t="n"/>
      <c r="T77" s="189" t="n"/>
      <c r="U77" s="189" t="n"/>
      <c r="V77" s="910" t="n"/>
      <c r="W77" s="910" t="n"/>
      <c r="X77" s="910" t="n"/>
      <c r="Y77" s="189" t="n"/>
      <c r="Z77" s="189" t="n"/>
      <c r="AA77" s="910" t="n"/>
      <c r="AB77" s="910" t="n"/>
      <c r="AC77" s="910" t="n"/>
      <c r="AD77" s="189" t="n"/>
      <c r="AE77" s="189" t="n"/>
      <c r="AF77" s="907" t="n"/>
      <c r="AG77" s="907" t="n"/>
      <c r="AH77" s="907" t="n"/>
    </row>
    <row r="78" ht="19.5" customHeight="1" thickBot="1">
      <c r="A78" s="150" t="inlineStr">
        <is>
          <t>Step 8: Efficiency</t>
        </is>
      </c>
      <c r="B78" s="131" t="n"/>
      <c r="C78" s="127" t="n"/>
      <c r="D78" s="127" t="n"/>
      <c r="E78" s="127" t="n"/>
      <c r="F78" s="127" t="n"/>
      <c r="G78" s="127" t="n"/>
      <c r="H78" s="127" t="n"/>
      <c r="I78" s="83" t="n"/>
      <c r="J78" s="83" t="n"/>
      <c r="K78" s="83" t="n"/>
      <c r="L78" s="83" t="n"/>
      <c r="M78" s="83" t="n"/>
      <c r="N78" s="83" t="n"/>
      <c r="O78" s="83" t="n"/>
      <c r="P78" s="106" t="n"/>
      <c r="Q78" s="906" t="n"/>
      <c r="R78" s="910" t="n"/>
      <c r="S78" s="910" t="n"/>
      <c r="T78" s="189" t="n"/>
      <c r="U78" s="189" t="n"/>
      <c r="V78" s="910" t="n"/>
      <c r="W78" s="910" t="n"/>
      <c r="X78" s="910" t="n"/>
      <c r="Y78" s="189" t="n"/>
      <c r="Z78" s="189" t="n"/>
      <c r="AA78" s="910" t="n"/>
      <c r="AB78" s="910" t="n"/>
      <c r="AC78" s="910" t="n"/>
      <c r="AD78" s="189" t="n"/>
      <c r="AE78" s="189" t="n"/>
      <c r="AF78" s="907" t="n"/>
      <c r="AG78" s="907" t="n"/>
      <c r="AH78" s="907" t="n"/>
    </row>
    <row r="79" ht="18" customHeight="1">
      <c r="A79" s="172" t="n"/>
      <c r="B79" s="173" t="n"/>
      <c r="C79" s="542" t="n"/>
      <c r="D79" s="542" t="n"/>
      <c r="E79" s="542" t="n"/>
      <c r="F79" s="201" t="inlineStr">
        <is>
          <t>Power MOSFETs</t>
        </is>
      </c>
      <c r="G79" s="579" t="inlineStr">
        <is>
          <t xml:space="preserve">(Q1, Q2) </t>
        </is>
      </c>
      <c r="H79" s="588" t="n"/>
      <c r="I79" s="600" t="n"/>
      <c r="J79" s="83" t="n"/>
      <c r="K79" s="83" t="n"/>
      <c r="L79" s="83" t="n"/>
      <c r="M79" s="83" t="n"/>
      <c r="N79" s="83" t="n"/>
      <c r="O79" s="83" t="n"/>
      <c r="P79" s="106" t="n"/>
      <c r="Q79" s="906" t="n"/>
      <c r="R79" s="910" t="n"/>
      <c r="S79" s="120" t="n"/>
      <c r="T79" s="120" t="n"/>
      <c r="U79" s="189" t="n"/>
      <c r="V79" s="910" t="n"/>
      <c r="W79" s="910" t="n"/>
      <c r="X79" s="910" t="n"/>
      <c r="Y79" s="189" t="n"/>
      <c r="Z79" s="189" t="n"/>
      <c r="AA79" s="910" t="n"/>
      <c r="AB79" s="910" t="n"/>
      <c r="AC79" s="910" t="n"/>
      <c r="AD79" s="189" t="n"/>
      <c r="AE79" s="189" t="n"/>
      <c r="AF79" s="907" t="n"/>
      <c r="AG79" s="907" t="n"/>
      <c r="AH79" s="907" t="n"/>
    </row>
    <row r="80" ht="14.25" customHeight="1">
      <c r="A80" s="576" t="n"/>
      <c r="B80" s="132" t="n"/>
      <c r="C80" s="577" t="n"/>
      <c r="D80" s="578" t="n"/>
      <c r="E80" s="777" t="inlineStr">
        <is>
          <t>'852, '824</t>
        </is>
      </c>
      <c r="F80" s="127" t="n"/>
      <c r="G80" s="162" t="n"/>
      <c r="H80" s="662" t="n"/>
      <c r="I80" s="134" t="n"/>
      <c r="J80" s="83" t="n"/>
      <c r="K80" s="83" t="n"/>
      <c r="L80" s="83" t="n"/>
      <c r="M80" s="83" t="n"/>
      <c r="N80" s="83" t="n"/>
      <c r="O80" s="83" t="n"/>
      <c r="P80" s="106" t="n"/>
      <c r="Q80" s="906" t="n"/>
      <c r="R80" s="910" t="n"/>
      <c r="S80" s="120" t="n"/>
      <c r="T80" s="120" t="n"/>
      <c r="U80" s="189" t="n"/>
      <c r="V80" s="910" t="n"/>
      <c r="W80" s="910" t="n"/>
      <c r="X80" s="910" t="n"/>
      <c r="Y80" s="189" t="n"/>
      <c r="Z80" s="189" t="n"/>
      <c r="AA80" s="910" t="n"/>
      <c r="AB80" s="910" t="n"/>
      <c r="AC80" s="910" t="n"/>
      <c r="AD80" s="189" t="n"/>
      <c r="AE80" s="189" t="n"/>
      <c r="AF80" s="907" t="n"/>
      <c r="AG80" s="907" t="n"/>
      <c r="AH80" s="907" t="n"/>
    </row>
    <row r="81" ht="14.65" customHeight="1">
      <c r="A81" s="468" t="n"/>
      <c r="B81" s="112" t="n"/>
      <c r="C81" s="112" t="n"/>
      <c r="D81" s="112" t="n"/>
      <c r="E81" s="469" t="inlineStr">
        <is>
          <t>High-side</t>
        </is>
      </c>
      <c r="F81" s="790" t="inlineStr">
        <is>
          <t xml:space="preserve">  Low-side</t>
        </is>
      </c>
      <c r="G81" s="57" t="n"/>
      <c r="H81" s="599" t="n"/>
      <c r="I81" s="601" t="n"/>
      <c r="J81" s="83" t="n"/>
      <c r="K81" s="83" t="n"/>
      <c r="L81" s="83" t="n"/>
      <c r="M81" s="83" t="n"/>
      <c r="N81" s="83" t="n"/>
      <c r="O81" s="83" t="n"/>
      <c r="P81" s="106" t="n"/>
      <c r="Q81" s="906" t="n"/>
      <c r="R81" s="910" t="n"/>
      <c r="S81" s="120" t="n"/>
      <c r="T81" s="120" t="n"/>
      <c r="U81" s="189" t="n"/>
      <c r="V81" s="910" t="n"/>
      <c r="W81" s="910" t="n"/>
      <c r="X81" s="910" t="n"/>
      <c r="Y81" s="189" t="n"/>
      <c r="Z81" s="189" t="n"/>
      <c r="AA81" s="910" t="n"/>
      <c r="AB81" s="910" t="n"/>
      <c r="AC81" s="910" t="n"/>
      <c r="AD81" s="189" t="n"/>
      <c r="AE81" s="189" t="n"/>
      <c r="AF81" s="907" t="n"/>
      <c r="AG81" s="907" t="n"/>
      <c r="AH81" s="907" t="n"/>
    </row>
    <row r="82" ht="14.65" customHeight="1">
      <c r="A82" s="126" t="n"/>
      <c r="B82" s="127" t="n"/>
      <c r="C82" s="132" t="n"/>
      <c r="D82" s="123" t="inlineStr">
        <is>
          <t xml:space="preserve">On-State Resistance, RDS(on) </t>
        </is>
      </c>
      <c r="E82" s="923" t="n">
        <v>12</v>
      </c>
      <c r="F82" s="128" t="n">
        <v>4.1</v>
      </c>
      <c r="G82" s="162" t="inlineStr">
        <is>
          <t>mΩ</t>
        </is>
      </c>
      <c r="H82" s="581" t="n"/>
      <c r="I82" s="134" t="n"/>
      <c r="J82" s="83" t="n"/>
      <c r="K82" s="83" t="n"/>
      <c r="L82" s="83" t="n"/>
      <c r="M82" s="83" t="n"/>
      <c r="N82" s="83" t="n"/>
      <c r="O82" s="83" t="n"/>
      <c r="P82" s="106" t="n"/>
      <c r="Q82" s="906" t="n"/>
      <c r="R82" s="910" t="n"/>
      <c r="S82" s="120" t="n"/>
      <c r="T82" s="120" t="n"/>
      <c r="U82" s="189" t="n"/>
      <c r="V82" s="910" t="n"/>
      <c r="W82" s="910" t="n"/>
      <c r="X82" s="910" t="n"/>
      <c r="Y82" s="189" t="n"/>
      <c r="Z82" s="189" t="n"/>
      <c r="AA82" s="910" t="n"/>
      <c r="AB82" s="910" t="n"/>
      <c r="AC82" s="910" t="n"/>
      <c r="AD82" s="189" t="n"/>
      <c r="AE82" s="189" t="n"/>
      <c r="AF82" s="907" t="n"/>
      <c r="AG82" s="907" t="n"/>
      <c r="AH82" s="907" t="n"/>
    </row>
    <row r="83" ht="14.65" customHeight="1">
      <c r="A83" s="126" t="n"/>
      <c r="B83" s="127" t="n"/>
      <c r="C83" s="132" t="n"/>
      <c r="D83" s="123" t="inlineStr">
        <is>
          <t xml:space="preserve">Total Gate Charge, QG </t>
        </is>
      </c>
      <c r="E83" s="128" t="n">
        <v>8</v>
      </c>
      <c r="F83" s="128" t="n">
        <v>25</v>
      </c>
      <c r="G83" s="162" t="inlineStr">
        <is>
          <t>nC</t>
        </is>
      </c>
      <c r="H83" s="581" t="n"/>
      <c r="I83" s="134" t="n"/>
      <c r="J83" s="83" t="n"/>
      <c r="K83" s="83" t="n"/>
      <c r="L83" s="83" t="n"/>
      <c r="M83" s="83" t="n"/>
      <c r="N83" s="83" t="n"/>
      <c r="O83" s="83" t="n"/>
      <c r="P83" s="106" t="n"/>
      <c r="Q83" s="906" t="n"/>
      <c r="R83" s="910" t="n"/>
      <c r="S83" s="120" t="n"/>
      <c r="T83" s="120" t="n"/>
      <c r="U83" s="189" t="n"/>
      <c r="V83" s="910" t="n"/>
      <c r="W83" s="910" t="n"/>
      <c r="X83" s="910" t="n"/>
      <c r="Y83" s="189" t="n"/>
      <c r="Z83" s="189" t="n"/>
      <c r="AA83" s="910" t="n"/>
      <c r="AB83" s="910" t="n"/>
      <c r="AC83" s="910" t="n"/>
      <c r="AD83" s="189" t="n"/>
      <c r="AE83" s="189" t="n"/>
      <c r="AF83" s="907" t="n"/>
      <c r="AG83" s="907" t="n"/>
      <c r="AH83" s="907" t="n"/>
    </row>
    <row r="84" ht="14.65" customHeight="1">
      <c r="A84" s="126" t="n"/>
      <c r="B84" s="127" t="n"/>
      <c r="C84" s="132" t="n"/>
      <c r="D84" s="123" t="inlineStr">
        <is>
          <t xml:space="preserve">Gate-Drain Charge, QGD </t>
        </is>
      </c>
      <c r="E84" s="128" t="n">
        <v>2.9</v>
      </c>
      <c r="F84" s="128" t="n">
        <v>9</v>
      </c>
      <c r="G84" s="162" t="inlineStr">
        <is>
          <t>nC</t>
        </is>
      </c>
      <c r="H84" s="581" t="n"/>
      <c r="I84" s="134" t="n"/>
      <c r="J84" s="83" t="n"/>
      <c r="K84" s="83" t="n"/>
      <c r="L84" s="83" t="n"/>
      <c r="M84" s="83" t="n"/>
      <c r="N84" s="83" t="n"/>
      <c r="O84" s="83" t="n"/>
      <c r="P84" s="106" t="n"/>
      <c r="Q84" s="906" t="n"/>
      <c r="R84" s="910" t="n"/>
      <c r="S84" s="120" t="n"/>
      <c r="T84" s="120" t="n"/>
      <c r="U84" s="189" t="n"/>
      <c r="V84" s="910" t="n"/>
      <c r="W84" s="910" t="n"/>
      <c r="X84" s="910" t="n"/>
      <c r="Y84" s="189" t="n"/>
      <c r="Z84" s="189" t="n"/>
      <c r="AA84" s="910" t="n"/>
      <c r="AB84" s="910" t="n"/>
      <c r="AC84" s="910" t="n"/>
      <c r="AD84" s="189" t="n"/>
      <c r="AE84" s="189" t="n"/>
      <c r="AF84" s="907" t="n"/>
      <c r="AG84" s="907" t="n"/>
      <c r="AH84" s="907" t="n"/>
    </row>
    <row r="85" ht="14.65" customHeight="1">
      <c r="A85" s="126" t="n"/>
      <c r="B85" s="127" t="n"/>
      <c r="C85" s="132" t="n"/>
      <c r="D85" s="123" t="inlineStr">
        <is>
          <t xml:space="preserve">Gate-Source Charge, QGS </t>
        </is>
      </c>
      <c r="E85" s="128" t="n">
        <v>3.1</v>
      </c>
      <c r="F85" s="128" t="n">
        <v>8.699999999999999</v>
      </c>
      <c r="G85" s="162" t="inlineStr">
        <is>
          <t>nC</t>
        </is>
      </c>
      <c r="H85" s="581" t="n"/>
      <c r="I85" s="134" t="n"/>
      <c r="J85" s="83" t="n"/>
      <c r="K85" s="83" t="n"/>
      <c r="L85" s="83" t="n"/>
      <c r="M85" s="83" t="n"/>
      <c r="N85" s="83" t="n"/>
      <c r="O85" s="83" t="n"/>
      <c r="P85" s="106" t="n"/>
      <c r="Q85" s="906" t="n"/>
      <c r="R85" s="910" t="n"/>
      <c r="S85" s="120" t="n"/>
      <c r="T85" s="120" t="n"/>
      <c r="U85" s="189" t="n"/>
      <c r="V85" s="910" t="n"/>
      <c r="W85" s="910" t="n"/>
      <c r="X85" s="910" t="n"/>
      <c r="Y85" s="189" t="n"/>
      <c r="Z85" s="189" t="n"/>
      <c r="AA85" s="910" t="n"/>
      <c r="AB85" s="910" t="n"/>
      <c r="AC85" s="910" t="n"/>
      <c r="AD85" s="189" t="n"/>
      <c r="AE85" s="189" t="n"/>
      <c r="AF85" s="907" t="n"/>
      <c r="AG85" s="907" t="n"/>
      <c r="AH85" s="907" t="n"/>
    </row>
    <row r="86" ht="14.65" customHeight="1">
      <c r="A86" s="468" t="n"/>
      <c r="B86" s="112" t="n"/>
      <c r="C86" s="112" t="n"/>
      <c r="D86" s="123" t="inlineStr">
        <is>
          <t xml:space="preserve">Output Charge, QOSS </t>
        </is>
      </c>
      <c r="E86" s="581" t="n"/>
      <c r="F86" s="128" t="n">
        <v>30</v>
      </c>
      <c r="G86" s="162" t="inlineStr">
        <is>
          <t>nC</t>
        </is>
      </c>
      <c r="H86" s="581" t="n"/>
      <c r="I86" s="134" t="n"/>
      <c r="J86" s="83" t="n"/>
      <c r="K86" s="83" t="n"/>
      <c r="L86" s="83" t="n"/>
      <c r="M86" s="83" t="n"/>
      <c r="N86" s="83" t="n"/>
      <c r="O86" s="83" t="n"/>
      <c r="P86" s="106" t="n"/>
      <c r="Q86" s="906" t="n"/>
      <c r="R86" s="910" t="n"/>
      <c r="S86" s="120" t="n"/>
      <c r="T86" s="120" t="n"/>
      <c r="U86" s="189" t="n"/>
      <c r="V86" s="910" t="n"/>
      <c r="W86" s="910" t="n"/>
      <c r="X86" s="910" t="n"/>
      <c r="Y86" s="189" t="n"/>
      <c r="Z86" s="189" t="n"/>
      <c r="AA86" s="910" t="n"/>
      <c r="AB86" s="910" t="n"/>
      <c r="AC86" s="910" t="n"/>
      <c r="AD86" s="189" t="n"/>
      <c r="AE86" s="189" t="n"/>
      <c r="AF86" s="907" t="n"/>
      <c r="AG86" s="907" t="n"/>
      <c r="AH86" s="907" t="n"/>
    </row>
    <row r="87" ht="14.65" customHeight="1">
      <c r="A87" s="468" t="n"/>
      <c r="B87" s="112" t="n"/>
      <c r="C87" s="112" t="n"/>
      <c r="D87" s="123" t="inlineStr">
        <is>
          <t xml:space="preserve">Output Capacitance, COSS </t>
        </is>
      </c>
      <c r="E87" s="128" t="n">
        <v>116</v>
      </c>
      <c r="F87" s="128" t="n">
        <v>366</v>
      </c>
      <c r="G87" s="162" t="inlineStr">
        <is>
          <t>pF</t>
        </is>
      </c>
      <c r="H87" s="581" t="n"/>
      <c r="I87" s="134" t="n"/>
      <c r="J87" s="83" t="n"/>
      <c r="K87" s="83" t="n"/>
      <c r="L87" s="83" t="n"/>
      <c r="M87" s="83" t="n"/>
      <c r="N87" s="83" t="n"/>
      <c r="O87" s="83" t="n"/>
      <c r="P87" s="106" t="n"/>
      <c r="Q87" s="906" t="n"/>
      <c r="R87" s="910" t="n"/>
      <c r="S87" s="120" t="n"/>
      <c r="T87" s="120" t="n"/>
      <c r="U87" s="189" t="n"/>
      <c r="V87" s="910" t="n"/>
      <c r="W87" s="910" t="n"/>
      <c r="X87" s="910" t="n"/>
      <c r="Y87" s="189" t="n"/>
      <c r="Z87" s="189" t="n"/>
      <c r="AA87" s="910" t="n"/>
      <c r="AB87" s="910" t="n"/>
      <c r="AC87" s="910" t="n"/>
      <c r="AD87" s="189" t="n"/>
      <c r="AE87" s="189" t="n"/>
      <c r="AF87" s="907" t="n"/>
      <c r="AG87" s="907" t="n"/>
      <c r="AH87" s="907" t="n"/>
    </row>
    <row r="88" ht="14.65" customHeight="1">
      <c r="A88" s="126" t="n"/>
      <c r="B88" s="127" t="n"/>
      <c r="C88" s="132" t="n"/>
      <c r="D88" s="123" t="inlineStr">
        <is>
          <t xml:space="preserve">Gate Resistance, RG </t>
        </is>
      </c>
      <c r="E88" s="128" t="n">
        <v>1.2</v>
      </c>
      <c r="F88" s="128" t="n">
        <v>1.2</v>
      </c>
      <c r="G88" s="162" t="inlineStr">
        <is>
          <t>Ω</t>
        </is>
      </c>
      <c r="H88" s="581" t="n"/>
      <c r="I88" s="134" t="n"/>
      <c r="J88" s="83" t="n"/>
      <c r="K88" s="83" t="n"/>
      <c r="L88" s="83" t="n"/>
      <c r="M88" s="83" t="n"/>
      <c r="N88" s="83" t="n"/>
      <c r="O88" s="83" t="n"/>
      <c r="P88" s="106" t="n"/>
      <c r="Q88" s="906" t="n"/>
      <c r="R88" s="910" t="n"/>
      <c r="S88" s="120" t="n"/>
      <c r="T88" s="120" t="n"/>
      <c r="U88" s="189" t="n"/>
      <c r="V88" s="910" t="n"/>
      <c r="W88" s="910" t="n"/>
      <c r="X88" s="910" t="n"/>
      <c r="Y88" s="189" t="n"/>
      <c r="Z88" s="189" t="n"/>
      <c r="AA88" s="910" t="n"/>
      <c r="AB88" s="910" t="n"/>
      <c r="AC88" s="910" t="n"/>
      <c r="AD88" s="189" t="n"/>
      <c r="AE88" s="189" t="n"/>
      <c r="AF88" s="907" t="n"/>
      <c r="AG88" s="907" t="n"/>
      <c r="AH88" s="907" t="n"/>
    </row>
    <row r="89" ht="14.65" customHeight="1">
      <c r="A89" s="126" t="n"/>
      <c r="B89" s="127" t="n"/>
      <c r="C89" s="132" t="n"/>
      <c r="D89" s="123" t="inlineStr">
        <is>
          <t xml:space="preserve">Transconductance, gFS </t>
        </is>
      </c>
      <c r="E89" s="128" t="n">
        <v>55</v>
      </c>
      <c r="F89" s="128" t="n">
        <v>178</v>
      </c>
      <c r="G89" s="162" t="inlineStr">
        <is>
          <t>S</t>
        </is>
      </c>
      <c r="H89" s="581" t="n"/>
      <c r="I89" s="134" t="n"/>
      <c r="J89" s="83" t="n"/>
      <c r="K89" s="83" t="n"/>
      <c r="L89" s="83" t="n"/>
      <c r="M89" s="83" t="n"/>
      <c r="N89" s="83" t="n"/>
      <c r="O89" s="83" t="n"/>
      <c r="P89" s="106" t="n"/>
      <c r="Q89" s="906" t="n"/>
      <c r="R89" s="910" t="n"/>
      <c r="S89" s="120" t="n"/>
      <c r="T89" s="120" t="n"/>
      <c r="U89" s="189" t="n"/>
      <c r="V89" s="910" t="n"/>
      <c r="W89" s="910" t="n"/>
      <c r="X89" s="910" t="n"/>
      <c r="Y89" s="189" t="n"/>
      <c r="Z89" s="189" t="n"/>
      <c r="AA89" s="910" t="n"/>
      <c r="AB89" s="910" t="n"/>
      <c r="AC89" s="910" t="n"/>
      <c r="AD89" s="189" t="n"/>
      <c r="AE89" s="189" t="n"/>
      <c r="AF89" s="907" t="n"/>
      <c r="AG89" s="907" t="n"/>
      <c r="AH89" s="907" t="n"/>
    </row>
    <row r="90" ht="14.65" customHeight="1">
      <c r="A90" s="126" t="n"/>
      <c r="B90" s="127" t="n"/>
      <c r="C90" s="132" t="n"/>
      <c r="D90" s="123" t="inlineStr">
        <is>
          <t xml:space="preserve">Gate-Source Threshold Voltage, VTH </t>
        </is>
      </c>
      <c r="E90" s="128" t="n">
        <v>3.1</v>
      </c>
      <c r="F90" s="128" t="n">
        <v>3</v>
      </c>
      <c r="G90" s="162" t="inlineStr">
        <is>
          <t>V</t>
        </is>
      </c>
      <c r="H90" s="581" t="n"/>
      <c r="I90" s="134" t="n"/>
      <c r="J90" s="83" t="n"/>
      <c r="K90" s="83" t="n"/>
      <c r="L90" s="83" t="n"/>
      <c r="M90" s="83" t="n"/>
      <c r="N90" s="83" t="n"/>
      <c r="O90" s="83" t="n"/>
      <c r="P90" s="106" t="n"/>
      <c r="Q90" s="906" t="n"/>
      <c r="R90" s="910" t="n"/>
      <c r="S90" s="120" t="n"/>
      <c r="T90" s="120" t="n"/>
      <c r="U90" s="189" t="n"/>
      <c r="V90" s="910" t="n"/>
      <c r="W90" s="910" t="n"/>
      <c r="X90" s="910" t="n"/>
      <c r="Y90" s="189" t="n"/>
      <c r="Z90" s="189" t="n"/>
      <c r="AA90" s="910" t="n"/>
      <c r="AB90" s="910" t="n"/>
      <c r="AC90" s="910" t="n"/>
      <c r="AD90" s="189" t="n"/>
      <c r="AE90" s="189" t="n"/>
      <c r="AF90" s="907" t="n"/>
      <c r="AG90" s="907" t="n"/>
      <c r="AH90" s="907" t="n"/>
    </row>
    <row r="91" ht="14.65" customHeight="1">
      <c r="A91" s="126" t="n"/>
      <c r="B91" s="127" t="n"/>
      <c r="C91" s="132" t="n"/>
      <c r="D91" s="123" t="inlineStr">
        <is>
          <t xml:space="preserve">Body Diode Forward Voltage, VBD </t>
        </is>
      </c>
      <c r="E91" s="128" t="n">
        <v>0.7</v>
      </c>
      <c r="F91" s="128" t="n">
        <v>0.7</v>
      </c>
      <c r="G91" s="162" t="inlineStr">
        <is>
          <t>V</t>
        </is>
      </c>
      <c r="H91" s="581" t="n"/>
      <c r="I91" s="134" t="n"/>
      <c r="J91" s="83" t="n"/>
      <c r="K91" s="83" t="n"/>
      <c r="L91" s="83" t="n"/>
      <c r="M91" s="83" t="n"/>
      <c r="N91" s="83" t="n"/>
      <c r="O91" s="83" t="n"/>
      <c r="P91" s="106" t="n"/>
      <c r="Q91" s="906" t="n"/>
      <c r="R91" s="910" t="n"/>
      <c r="S91" s="120" t="n"/>
      <c r="T91" s="120" t="n"/>
      <c r="U91" s="189" t="n"/>
      <c r="V91" s="910" t="n"/>
      <c r="W91" s="910" t="n"/>
      <c r="X91" s="910" t="n"/>
      <c r="Y91" s="189" t="n"/>
      <c r="Z91" s="189" t="n"/>
      <c r="AA91" s="910" t="n"/>
      <c r="AB91" s="910" t="n"/>
      <c r="AC91" s="910" t="n"/>
      <c r="AD91" s="189" t="n"/>
      <c r="AE91" s="189" t="n"/>
      <c r="AF91" s="907" t="n"/>
      <c r="AG91" s="907" t="n"/>
      <c r="AH91" s="907" t="n"/>
    </row>
    <row r="92" ht="14.25" customHeight="1">
      <c r="A92" s="126" t="n"/>
      <c r="B92" s="127" t="n"/>
      <c r="C92" s="127" t="n"/>
      <c r="D92" s="123" t="inlineStr">
        <is>
          <t xml:space="preserve">Body Diode Rev Recovery Charge, QRR </t>
        </is>
      </c>
      <c r="E92" s="2" t="n"/>
      <c r="F92" s="128" t="n">
        <v>59</v>
      </c>
      <c r="G92" s="162" t="inlineStr">
        <is>
          <t>nC</t>
        </is>
      </c>
      <c r="H92" s="588" t="n"/>
      <c r="I92" s="134" t="n"/>
      <c r="J92" s="83" t="n"/>
      <c r="K92" s="83" t="n"/>
      <c r="L92" s="83" t="n"/>
      <c r="M92" s="83" t="n"/>
      <c r="N92" s="83" t="n"/>
      <c r="O92" s="83" t="n"/>
      <c r="P92" s="106" t="n"/>
      <c r="Q92" s="906" t="n"/>
      <c r="R92" s="910" t="n"/>
      <c r="S92" s="120" t="n"/>
      <c r="T92" s="120" t="n"/>
      <c r="U92" s="189" t="n"/>
      <c r="V92" s="910" t="n"/>
      <c r="W92" s="910" t="n"/>
      <c r="X92" s="910" t="n"/>
      <c r="Y92" s="189" t="n"/>
      <c r="Z92" s="189" t="n"/>
      <c r="AA92" s="910" t="n"/>
      <c r="AB92" s="910" t="n"/>
      <c r="AC92" s="910" t="n"/>
      <c r="AD92" s="189" t="n"/>
      <c r="AE92" s="189" t="n"/>
      <c r="AF92" s="907" t="n"/>
      <c r="AG92" s="907" t="n"/>
      <c r="AH92" s="907" t="n"/>
    </row>
    <row r="93" ht="14.65" customHeight="1" thickBot="1">
      <c r="A93" s="192" t="n"/>
      <c r="B93" s="174" t="n"/>
      <c r="C93" s="193" t="n"/>
      <c r="D93" s="175" t="inlineStr">
        <is>
          <t xml:space="preserve">Thermal Resistance, θJA </t>
        </is>
      </c>
      <c r="E93" s="246" t="n">
        <v>42</v>
      </c>
      <c r="F93" s="246" t="n">
        <v>40.7</v>
      </c>
      <c r="G93" s="176" t="inlineStr">
        <is>
          <t>°C/W</t>
        </is>
      </c>
      <c r="H93" s="632" t="n"/>
      <c r="I93" s="134" t="n"/>
      <c r="J93" s="83" t="n"/>
      <c r="K93" s="83" t="n"/>
      <c r="L93" s="83" t="n"/>
      <c r="M93" s="83" t="n"/>
      <c r="N93" s="83" t="n"/>
      <c r="O93" s="83" t="n"/>
      <c r="P93" s="106" t="n"/>
      <c r="Q93" s="906" t="n"/>
      <c r="R93" s="910" t="n"/>
      <c r="S93" s="120" t="n"/>
      <c r="T93" s="120" t="n"/>
      <c r="U93" s="189" t="n"/>
      <c r="V93" s="910" t="n"/>
      <c r="W93" s="910" t="n"/>
      <c r="X93" s="910" t="n"/>
      <c r="Y93" s="189" t="n"/>
      <c r="Z93" s="189" t="n"/>
      <c r="AA93" s="910" t="n"/>
      <c r="AB93" s="910" t="n"/>
      <c r="AC93" s="910" t="n"/>
      <c r="AD93" s="189" t="n"/>
      <c r="AE93" s="189" t="n"/>
      <c r="AF93" s="907" t="n"/>
      <c r="AG93" s="907" t="n"/>
      <c r="AH93" s="907" t="n"/>
    </row>
    <row r="94" ht="14.65" customHeight="1" thickBot="1">
      <c r="A94" s="126" t="n"/>
      <c r="B94" s="127" t="n"/>
      <c r="C94" s="132" t="n"/>
      <c r="D94" s="123" t="n"/>
      <c r="E94" s="134" t="n"/>
      <c r="F94" s="194" t="n"/>
      <c r="G94" s="127" t="n"/>
      <c r="H94" s="127" t="n"/>
      <c r="I94" s="83" t="n"/>
      <c r="J94" s="83" t="n"/>
      <c r="K94" s="83" t="n"/>
      <c r="L94" s="83" t="n"/>
      <c r="M94" s="83" t="n"/>
      <c r="N94" s="83" t="n"/>
      <c r="O94" s="83" t="n"/>
      <c r="P94" s="106" t="n"/>
      <c r="Q94" s="906" t="n"/>
      <c r="R94" s="910" t="n"/>
      <c r="S94" s="120" t="n"/>
      <c r="T94" s="120" t="n"/>
      <c r="U94" s="189" t="n"/>
      <c r="V94" s="910" t="n"/>
      <c r="W94" s="910" t="n"/>
      <c r="X94" s="910" t="n"/>
      <c r="Y94" s="189" t="n"/>
      <c r="Z94" s="189" t="n"/>
      <c r="AA94" s="910" t="n"/>
      <c r="AB94" s="910" t="n"/>
      <c r="AC94" s="910" t="n"/>
      <c r="AD94" s="189" t="n"/>
      <c r="AE94" s="189" t="n"/>
      <c r="AF94" s="907" t="n"/>
      <c r="AG94" s="907" t="n"/>
      <c r="AH94" s="907" t="n"/>
    </row>
    <row r="95" ht="14.65" customHeight="1">
      <c r="A95" s="571" t="inlineStr">
        <is>
          <t>External Schottky Diode (if applicable)</t>
        </is>
      </c>
      <c r="B95" s="458" t="n"/>
      <c r="C95" s="459" t="n"/>
      <c r="D95" s="471" t="n"/>
      <c r="E95" s="564" t="n"/>
      <c r="F95" s="565" t="n"/>
      <c r="G95" s="460" t="n"/>
      <c r="H95" s="127" t="n"/>
      <c r="I95" s="83" t="n"/>
      <c r="J95" s="83" t="n"/>
      <c r="K95" s="83" t="n"/>
      <c r="L95" s="83" t="n"/>
      <c r="M95" s="83" t="n"/>
      <c r="N95" s="83" t="n"/>
      <c r="O95" s="83" t="n"/>
      <c r="P95" s="106" t="n"/>
      <c r="Q95" s="906" t="n"/>
      <c r="R95" s="910" t="n"/>
      <c r="S95" s="120" t="n"/>
      <c r="T95" s="120" t="n"/>
      <c r="U95" s="189" t="n"/>
      <c r="V95" s="910" t="n"/>
      <c r="W95" s="910" t="n"/>
      <c r="X95" s="910" t="n"/>
      <c r="Y95" s="189" t="n"/>
      <c r="Z95" s="189" t="n"/>
      <c r="AA95" s="910" t="n"/>
      <c r="AB95" s="910" t="n"/>
      <c r="AC95" s="910" t="n"/>
      <c r="AD95" s="189" t="n"/>
      <c r="AE95" s="189" t="n"/>
      <c r="AF95" s="907" t="n"/>
      <c r="AG95" s="907" t="n"/>
      <c r="AH95" s="907" t="n"/>
    </row>
    <row r="96" ht="14.65" customHeight="1">
      <c r="A96" s="126" t="n"/>
      <c r="B96" s="127" t="n"/>
      <c r="C96" s="127" t="n"/>
      <c r="D96" s="123" t="inlineStr">
        <is>
          <t xml:space="preserve">Schottky Fwd Voltage, VFWDsch </t>
        </is>
      </c>
      <c r="E96" s="112" t="n"/>
      <c r="F96" s="247" t="n">
        <v>0</v>
      </c>
      <c r="G96" s="162" t="inlineStr">
        <is>
          <t>V</t>
        </is>
      </c>
      <c r="H96" s="127" t="n"/>
      <c r="I96" s="83" t="n"/>
      <c r="J96" s="83" t="n"/>
      <c r="K96" s="83" t="n"/>
      <c r="L96" s="83" t="n"/>
      <c r="M96" s="83" t="n"/>
      <c r="N96" s="83" t="n"/>
      <c r="O96" s="83" t="n"/>
      <c r="P96" s="106" t="n"/>
      <c r="Q96" s="906" t="n"/>
      <c r="R96" s="910" t="n"/>
      <c r="S96" s="120" t="n"/>
      <c r="T96" s="120" t="n"/>
      <c r="U96" s="189" t="n"/>
      <c r="V96" s="910" t="n"/>
      <c r="W96" s="910" t="n"/>
      <c r="X96" s="910" t="n"/>
      <c r="Y96" s="189" t="n"/>
      <c r="Z96" s="189" t="n"/>
      <c r="AA96" s="910" t="n"/>
      <c r="AB96" s="910" t="n"/>
      <c r="AC96" s="910" t="n"/>
      <c r="AD96" s="189" t="n"/>
      <c r="AE96" s="189" t="n"/>
      <c r="AF96" s="907" t="n"/>
      <c r="AG96" s="907" t="n"/>
      <c r="AH96" s="907" t="n"/>
    </row>
    <row r="97" ht="14.65" customHeight="1" thickBot="1">
      <c r="A97" s="192" t="n"/>
      <c r="B97" s="174" t="n"/>
      <c r="C97" s="174" t="n"/>
      <c r="D97" s="175" t="inlineStr">
        <is>
          <t xml:space="preserve">Schottky Rev Recovery Charge, QRRsch </t>
        </is>
      </c>
      <c r="E97" s="543" t="n"/>
      <c r="F97" s="248" t="n">
        <v>0</v>
      </c>
      <c r="G97" s="176" t="inlineStr">
        <is>
          <t>nC</t>
        </is>
      </c>
      <c r="H97" s="127" t="n"/>
      <c r="I97" s="83" t="n"/>
      <c r="J97" s="83" t="n"/>
      <c r="K97" s="83" t="n"/>
      <c r="L97" s="83" t="n"/>
      <c r="M97" s="83" t="n"/>
      <c r="N97" s="83" t="n"/>
      <c r="O97" s="83" t="n"/>
      <c r="P97" s="106" t="n"/>
      <c r="Q97" s="906" t="n"/>
      <c r="R97" s="910" t="n"/>
      <c r="S97" s="120" t="n"/>
      <c r="T97" s="120" t="n"/>
      <c r="U97" s="189" t="n"/>
      <c r="V97" s="910" t="n"/>
      <c r="W97" s="910" t="n"/>
      <c r="X97" s="910" t="n"/>
      <c r="Y97" s="189" t="n"/>
      <c r="Z97" s="189" t="n"/>
      <c r="AA97" s="910" t="n"/>
      <c r="AB97" s="910" t="n"/>
      <c r="AC97" s="910" t="n"/>
      <c r="AD97" s="189" t="n"/>
      <c r="AE97" s="189" t="n"/>
      <c r="AF97" s="907" t="n"/>
      <c r="AG97" s="907" t="n"/>
      <c r="AH97" s="907" t="n"/>
    </row>
    <row r="98" ht="14.65" customHeight="1">
      <c r="A98" s="184" t="n"/>
      <c r="B98" s="134" t="n"/>
      <c r="C98" s="134" t="n"/>
      <c r="D98" s="580" t="n"/>
      <c r="E98" s="112" t="n"/>
      <c r="F98" s="112" t="n"/>
      <c r="G98" s="112" t="n"/>
      <c r="H98" s="127" t="n"/>
      <c r="I98" s="83" t="n"/>
      <c r="J98" s="83" t="n"/>
      <c r="K98" s="83" t="n"/>
      <c r="L98" s="83" t="n"/>
      <c r="M98" s="83" t="n"/>
      <c r="N98" s="83" t="n"/>
      <c r="O98" s="83" t="n"/>
      <c r="P98" s="106" t="n"/>
      <c r="Q98" s="906" t="n"/>
      <c r="R98" s="910" t="n"/>
      <c r="S98" s="120" t="n"/>
      <c r="T98" s="120" t="n"/>
      <c r="U98" s="189" t="n"/>
      <c r="V98" s="910" t="n"/>
      <c r="W98" s="910" t="n"/>
      <c r="X98" s="910" t="n"/>
      <c r="Y98" s="189" t="n"/>
      <c r="Z98" s="189" t="n"/>
      <c r="AA98" s="910" t="n"/>
      <c r="AB98" s="910" t="n"/>
      <c r="AC98" s="910" t="n"/>
      <c r="AD98" s="189" t="n"/>
      <c r="AE98" s="189" t="n"/>
      <c r="AF98" s="907" t="n"/>
      <c r="AG98" s="907" t="n"/>
      <c r="AH98" s="907" t="n"/>
    </row>
    <row r="99" ht="19.5" customHeight="1">
      <c r="A99" s="184" t="n"/>
      <c r="B99" s="134" t="n"/>
      <c r="C99" s="581" t="n"/>
      <c r="D99" s="580" t="n"/>
      <c r="E99" s="112" t="n"/>
      <c r="F99" s="112" t="n"/>
      <c r="G99" s="112" t="n"/>
      <c r="H99" s="127" t="n"/>
      <c r="I99" s="83" t="n"/>
      <c r="J99" s="83" t="n"/>
      <c r="K99" s="83" t="n"/>
      <c r="L99" s="83" t="n"/>
      <c r="M99" s="83" t="n"/>
      <c r="N99" s="83" t="n"/>
      <c r="O99" s="83" t="n"/>
      <c r="P99" s="106" t="n"/>
      <c r="Q99" s="906" t="n"/>
      <c r="R99" s="910" t="n"/>
      <c r="S99" s="120" t="n"/>
      <c r="T99" s="120" t="n"/>
      <c r="U99" s="189" t="n"/>
      <c r="V99" s="910" t="n"/>
      <c r="W99" s="910" t="n"/>
      <c r="X99" s="910" t="n"/>
      <c r="Y99" s="189" t="n"/>
      <c r="Z99" s="189" t="n"/>
      <c r="AA99" s="910" t="n"/>
      <c r="AB99" s="910" t="n"/>
      <c r="AC99" s="910" t="n"/>
      <c r="AD99" s="189" t="n"/>
      <c r="AE99" s="189" t="n"/>
      <c r="AF99" s="907" t="n"/>
      <c r="AG99" s="907" t="n"/>
      <c r="AH99" s="907" t="n"/>
    </row>
    <row r="100" ht="15" customHeight="1">
      <c r="A100" s="184" t="n"/>
      <c r="B100" s="134" t="n"/>
      <c r="C100" s="581" t="n"/>
      <c r="D100" s="580" t="n"/>
      <c r="E100" s="112" t="n"/>
      <c r="F100" s="112" t="n"/>
      <c r="G100" s="112" t="n"/>
      <c r="H100" s="127" t="n"/>
      <c r="I100" s="83" t="n"/>
      <c r="J100" s="83" t="n"/>
      <c r="K100" s="83" t="n"/>
      <c r="L100" s="83" t="n"/>
      <c r="M100" s="83" t="n"/>
      <c r="N100" s="83" t="n"/>
      <c r="O100" s="83" t="n"/>
      <c r="P100" s="106" t="n"/>
      <c r="Q100" s="906" t="n"/>
      <c r="R100" s="907" t="n"/>
      <c r="S100" s="6" t="n"/>
      <c r="T100" s="6" t="n"/>
      <c r="V100" s="907" t="n"/>
      <c r="W100" s="907" t="n"/>
      <c r="X100" s="907" t="n"/>
      <c r="AA100" s="907" t="n"/>
      <c r="AB100" s="907" t="n"/>
      <c r="AC100" s="907" t="n"/>
      <c r="AF100" s="907" t="n"/>
      <c r="AG100" s="907" t="n"/>
      <c r="AH100" s="907" t="n"/>
    </row>
    <row r="101" ht="19.5" customHeight="1" thickBot="1">
      <c r="A101" s="150" t="inlineStr">
        <is>
          <t>Step 9: IC Power Loss</t>
        </is>
      </c>
      <c r="B101" s="134" t="n"/>
      <c r="C101" s="581" t="n"/>
      <c r="D101" s="580" t="n"/>
      <c r="E101" s="112" t="n"/>
      <c r="F101" s="112" t="n"/>
      <c r="G101" s="112" t="n"/>
      <c r="H101" s="127" t="n"/>
      <c r="I101" s="83" t="n"/>
      <c r="J101" s="83" t="n"/>
      <c r="K101" s="83" t="n"/>
      <c r="L101" s="83" t="n"/>
      <c r="M101" s="83" t="n"/>
      <c r="N101" s="83" t="n"/>
      <c r="O101" s="83" t="n"/>
      <c r="P101" s="106" t="n"/>
      <c r="Q101" s="906" t="n"/>
      <c r="R101" s="907" t="n"/>
      <c r="S101" s="907" t="n"/>
      <c r="V101" s="907" t="n"/>
      <c r="W101" s="907" t="n"/>
      <c r="X101" s="907" t="n"/>
      <c r="AA101" s="907" t="n"/>
      <c r="AB101" s="907" t="n"/>
      <c r="AC101" s="907" t="n"/>
      <c r="AF101" s="907" t="n"/>
      <c r="AG101" s="907" t="n"/>
      <c r="AH101" s="907" t="n"/>
    </row>
    <row r="102" ht="15.75" customHeight="1">
      <c r="A102" s="183" t="n"/>
      <c r="B102" s="153" t="n"/>
      <c r="C102" s="154" t="n"/>
      <c r="D102" s="154" t="inlineStr">
        <is>
          <t>IC Power Dissipation</t>
        </is>
      </c>
      <c r="E102" s="541">
        <f>'Variable Management'!B362</f>
        <v/>
      </c>
      <c r="F102" s="161" t="inlineStr">
        <is>
          <t>W</t>
        </is>
      </c>
      <c r="G102" s="112" t="n"/>
      <c r="H102" s="127" t="n"/>
      <c r="I102" s="83" t="n"/>
      <c r="J102" s="83" t="n"/>
      <c r="K102" s="83" t="n"/>
      <c r="L102" s="83" t="n"/>
      <c r="M102" s="83" t="n"/>
      <c r="N102" s="83" t="n"/>
      <c r="O102" s="83" t="n"/>
      <c r="P102" s="106" t="n"/>
      <c r="Q102" s="906" t="n"/>
      <c r="R102" s="907" t="n"/>
      <c r="S102" s="907" t="n"/>
      <c r="V102" s="907" t="n"/>
      <c r="W102" s="907" t="n"/>
      <c r="X102" s="907" t="n"/>
      <c r="AA102" s="907" t="n"/>
      <c r="AB102" s="907" t="n"/>
      <c r="AC102" s="907" t="n"/>
      <c r="AF102" s="907" t="n"/>
      <c r="AG102" s="907" t="n"/>
      <c r="AH102" s="907" t="n"/>
    </row>
    <row r="103" ht="15.75" customHeight="1">
      <c r="A103" s="583" t="n"/>
      <c r="B103" s="127" t="n"/>
      <c r="C103" s="127" t="n"/>
      <c r="D103" s="255" t="inlineStr">
        <is>
          <t>IC Junction Temperature (estimate)</t>
        </is>
      </c>
      <c r="E103" s="894">
        <f>'Variable Management'!B364</f>
        <v/>
      </c>
      <c r="F103" s="257" t="inlineStr">
        <is>
          <t>°C</t>
        </is>
      </c>
      <c r="G103" s="112" t="n"/>
      <c r="H103" s="127" t="n"/>
      <c r="I103" s="83" t="n"/>
      <c r="J103" s="83" t="n"/>
      <c r="K103" s="83" t="n"/>
      <c r="L103" s="83" t="n"/>
      <c r="M103" s="83" t="n"/>
      <c r="N103" s="83" t="n"/>
      <c r="O103" s="83" t="n"/>
      <c r="P103" s="106" t="n"/>
      <c r="Q103" s="906" t="n"/>
      <c r="R103" s="907" t="n"/>
      <c r="S103" s="907" t="n"/>
      <c r="V103" s="907" t="n"/>
      <c r="W103" s="907" t="n"/>
      <c r="X103" s="907" t="n"/>
      <c r="AA103" s="907" t="n"/>
      <c r="AB103" s="907" t="n"/>
      <c r="AC103" s="907" t="n"/>
      <c r="AF103" s="907" t="n"/>
      <c r="AG103" s="907" t="n"/>
      <c r="AH103" s="907" t="n"/>
    </row>
    <row r="104" ht="14.25" customHeight="1" thickBot="1">
      <c r="A104" s="643" t="n"/>
      <c r="B104" s="644" t="n"/>
      <c r="C104" s="644" t="n"/>
      <c r="D104" s="645" t="n"/>
      <c r="E104" s="645">
        <f>CHOOSE(Ext_VCC, "", "* Tie VCCX to PGND")</f>
        <v/>
      </c>
      <c r="F104" s="646" t="n"/>
      <c r="G104" s="112" t="n"/>
      <c r="H104" s="127" t="n"/>
      <c r="I104" s="83" t="n"/>
      <c r="J104" s="83" t="n"/>
      <c r="K104" s="83" t="n"/>
      <c r="L104" s="83" t="n"/>
      <c r="M104" s="83" t="n"/>
      <c r="N104" s="83" t="n"/>
      <c r="O104" s="83" t="n"/>
      <c r="P104" s="106" t="n"/>
      <c r="Q104" s="906" t="n"/>
      <c r="R104" s="907" t="n"/>
      <c r="S104" s="907" t="n"/>
      <c r="V104" s="907" t="n"/>
      <c r="W104" s="907" t="n"/>
      <c r="X104" s="907" t="n"/>
      <c r="AA104" s="907" t="n"/>
      <c r="AB104" s="907" t="n"/>
      <c r="AC104" s="907" t="n"/>
      <c r="AF104" s="907" t="n"/>
      <c r="AG104" s="907" t="n"/>
      <c r="AH104" s="907" t="n"/>
    </row>
    <row r="105" ht="14.65" customHeight="1">
      <c r="A105" s="583" t="n"/>
      <c r="B105" s="127" t="n"/>
      <c r="C105" s="127" t="n"/>
      <c r="D105" s="123" t="n"/>
      <c r="E105" s="2" t="n"/>
      <c r="F105" s="127" t="n"/>
      <c r="G105" s="127" t="n"/>
      <c r="H105" s="127" t="n"/>
      <c r="I105" s="87" t="n"/>
      <c r="J105" s="83" t="n"/>
      <c r="K105" s="83" t="n"/>
      <c r="L105" s="83" t="n"/>
      <c r="M105" s="83" t="n"/>
      <c r="N105" s="83" t="n"/>
      <c r="O105" s="83" t="n"/>
      <c r="P105" s="106" t="n"/>
      <c r="Q105" s="906" t="n"/>
      <c r="R105" s="907" t="n"/>
      <c r="S105" s="907" t="n"/>
      <c r="V105" s="907" t="n"/>
      <c r="W105" s="907" t="n"/>
      <c r="X105" s="907" t="n"/>
      <c r="AA105" s="907" t="n"/>
      <c r="AB105" s="907" t="n"/>
      <c r="AC105" s="907" t="n"/>
      <c r="AF105" s="907" t="n"/>
      <c r="AG105" s="907" t="n"/>
      <c r="AH105" s="907" t="n"/>
    </row>
    <row r="106" ht="13.5" customHeight="1" thickBot="1">
      <c r="A106" s="158" t="n"/>
      <c r="B106" s="159" t="n"/>
      <c r="C106" s="159" t="n"/>
      <c r="D106" s="159" t="n"/>
      <c r="E106" s="202" t="n"/>
      <c r="F106" s="159" t="n"/>
      <c r="G106" s="159" t="n"/>
      <c r="H106" s="159" t="n"/>
      <c r="I106" s="203" t="n"/>
      <c r="J106" s="203" t="n"/>
      <c r="K106" s="203" t="n"/>
      <c r="L106" s="203" t="n"/>
      <c r="M106" s="203" t="n"/>
      <c r="N106" s="203" t="n"/>
      <c r="O106" s="203" t="n"/>
      <c r="P106" s="204" t="n"/>
      <c r="Q106" s="906" t="n"/>
      <c r="R106" s="907" t="n"/>
      <c r="S106" s="907" t="n"/>
      <c r="V106" s="907" t="n"/>
      <c r="W106" s="907" t="n"/>
      <c r="X106" s="907" t="n"/>
      <c r="AA106" s="907" t="n"/>
      <c r="AB106" s="907" t="n"/>
      <c r="AC106" s="907" t="n"/>
      <c r="AF106" s="907" t="n"/>
      <c r="AG106" s="907" t="n"/>
      <c r="AH106" s="907" t="n"/>
    </row>
    <row r="107">
      <c r="A107" s="480" t="n"/>
      <c r="B107" s="481" t="n"/>
      <c r="C107" s="482" t="n"/>
      <c r="D107" s="482" t="n"/>
      <c r="E107" s="482" t="n"/>
      <c r="F107" s="482" t="n"/>
      <c r="G107" s="482" t="n"/>
      <c r="H107" s="482" t="n"/>
      <c r="I107" s="482" t="n"/>
      <c r="J107" s="482" t="n"/>
      <c r="K107" s="482" t="n"/>
      <c r="L107" s="482" t="n"/>
      <c r="M107" s="482" t="n"/>
      <c r="N107" s="482" t="n"/>
      <c r="O107" s="482" t="n"/>
      <c r="P107" s="482" t="n"/>
      <c r="Q107" s="906" t="n"/>
      <c r="R107" s="907" t="n"/>
      <c r="S107" s="907" t="n"/>
      <c r="V107" s="907" t="n"/>
      <c r="W107" s="907" t="n"/>
      <c r="X107" s="907" t="n"/>
      <c r="AA107" s="907" t="n"/>
      <c r="AB107" s="907" t="n"/>
      <c r="AC107" s="907" t="n"/>
      <c r="AF107" s="907" t="n"/>
      <c r="AG107" s="907" t="n"/>
      <c r="AH107" s="907" t="n"/>
    </row>
    <row r="108">
      <c r="A108" s="79" t="n"/>
      <c r="Q108" s="907" t="n"/>
      <c r="R108" s="907" t="n"/>
      <c r="S108" s="907" t="n"/>
      <c r="V108" s="907" t="n"/>
      <c r="W108" s="907" t="n"/>
      <c r="X108" s="907" t="n"/>
      <c r="AA108" s="907" t="n"/>
      <c r="AB108" s="907" t="n"/>
      <c r="AC108" s="907" t="n"/>
      <c r="AF108" s="907" t="n"/>
      <c r="AG108" s="907" t="n"/>
      <c r="AH108" s="907" t="n"/>
    </row>
    <row r="109">
      <c r="Q109" s="907" t="n"/>
      <c r="R109" s="907" t="n"/>
      <c r="S109" s="907" t="n"/>
      <c r="V109" s="907" t="n"/>
      <c r="W109" s="907" t="n"/>
      <c r="X109" s="907" t="n"/>
      <c r="AA109" s="907" t="n"/>
      <c r="AB109" s="907" t="n"/>
      <c r="AC109" s="907" t="n"/>
      <c r="AF109" s="907" t="n"/>
      <c r="AG109" s="907" t="n"/>
      <c r="AH109" s="907" t="n"/>
    </row>
    <row r="110">
      <c r="Q110" s="907" t="n"/>
      <c r="R110" s="907" t="n"/>
      <c r="S110" s="907" t="n"/>
      <c r="V110" s="907" t="n"/>
      <c r="W110" s="907" t="n"/>
      <c r="X110" s="907" t="n"/>
      <c r="AA110" s="907" t="n"/>
      <c r="AB110" s="907" t="n"/>
      <c r="AC110" s="907" t="n"/>
      <c r="AF110" s="907" t="n"/>
      <c r="AG110" s="907" t="n"/>
      <c r="AH110" s="907" t="n"/>
    </row>
    <row r="111">
      <c r="Q111" s="907" t="n"/>
      <c r="R111" s="907" t="n"/>
      <c r="S111" s="907" t="n"/>
      <c r="V111" s="907" t="n"/>
      <c r="W111" s="907" t="n"/>
      <c r="X111" s="907" t="n"/>
      <c r="AA111" s="907" t="n"/>
      <c r="AB111" s="907" t="n"/>
      <c r="AC111" s="907" t="n"/>
      <c r="AF111" s="907" t="n"/>
      <c r="AG111" s="907" t="n"/>
      <c r="AH111" s="907" t="n"/>
    </row>
    <row r="112">
      <c r="Q112" s="907" t="n"/>
      <c r="R112" s="907" t="n"/>
      <c r="S112" s="907" t="n"/>
      <c r="V112" s="907" t="n"/>
      <c r="W112" s="907" t="n"/>
      <c r="X112" s="907" t="n"/>
      <c r="AA112" s="907" t="n"/>
      <c r="AB112" s="907" t="n"/>
      <c r="AC112" s="907" t="n"/>
      <c r="AF112" s="907" t="n"/>
      <c r="AG112" s="907" t="n"/>
      <c r="AH112" s="907" t="n"/>
    </row>
    <row r="113">
      <c r="Q113" s="907" t="n"/>
      <c r="R113" s="907" t="n"/>
      <c r="S113" s="907" t="n"/>
      <c r="V113" s="907" t="n"/>
      <c r="W113" s="907" t="n"/>
      <c r="X113" s="907" t="n"/>
      <c r="AA113" s="907" t="n"/>
      <c r="AB113" s="907" t="n"/>
      <c r="AC113" s="907" t="n"/>
      <c r="AF113" s="907" t="n"/>
      <c r="AG113" s="907" t="n"/>
      <c r="AH113" s="907" t="n"/>
    </row>
    <row r="114">
      <c r="Q114" s="907" t="n"/>
      <c r="R114" s="907" t="n"/>
      <c r="S114" s="907" t="n"/>
      <c r="V114" s="907" t="n"/>
      <c r="W114" s="907" t="n"/>
      <c r="X114" s="907" t="n"/>
      <c r="AA114" s="907" t="n"/>
      <c r="AB114" s="907" t="n"/>
      <c r="AC114" s="907" t="n"/>
      <c r="AF114" s="907" t="n"/>
      <c r="AG114" s="907" t="n"/>
      <c r="AH114" s="907" t="n"/>
    </row>
    <row r="115">
      <c r="Q115" s="907" t="n"/>
      <c r="R115" s="907" t="n"/>
      <c r="S115" s="907" t="n"/>
      <c r="V115" s="907" t="n"/>
      <c r="W115" s="907" t="n"/>
      <c r="X115" s="907" t="n"/>
      <c r="AA115" s="907" t="n"/>
      <c r="AB115" s="907" t="n"/>
      <c r="AC115" s="907" t="n"/>
      <c r="AF115" s="907" t="n"/>
      <c r="AG115" s="907" t="n"/>
      <c r="AH115" s="907" t="n"/>
    </row>
    <row r="116">
      <c r="Q116" s="907" t="n"/>
      <c r="R116" s="907" t="n"/>
      <c r="S116" s="907" t="n"/>
      <c r="V116" s="907" t="n"/>
      <c r="W116" s="907" t="n"/>
      <c r="X116" s="907" t="n"/>
      <c r="AA116" s="907" t="n"/>
      <c r="AB116" s="907" t="n"/>
      <c r="AC116" s="907" t="n"/>
      <c r="AF116" s="907" t="n"/>
      <c r="AG116" s="907" t="n"/>
      <c r="AH116" s="907" t="n"/>
    </row>
    <row r="117">
      <c r="Q117" s="907" t="n"/>
      <c r="R117" s="907" t="n"/>
      <c r="S117" s="907" t="n"/>
      <c r="V117" s="907" t="n"/>
      <c r="W117" s="907" t="n"/>
      <c r="X117" s="907" t="n"/>
      <c r="AA117" s="907" t="n"/>
      <c r="AB117" s="907" t="n"/>
      <c r="AC117" s="907" t="n"/>
      <c r="AF117" s="907" t="n"/>
      <c r="AG117" s="907" t="n"/>
      <c r="AH117" s="907" t="n"/>
    </row>
    <row r="118">
      <c r="Q118" s="907" t="n"/>
      <c r="R118" s="907" t="n"/>
      <c r="S118" s="907" t="n"/>
      <c r="V118" s="907" t="n"/>
      <c r="W118" s="907" t="n"/>
      <c r="X118" s="907" t="n"/>
      <c r="AA118" s="907" t="n"/>
      <c r="AB118" s="907" t="n"/>
      <c r="AC118" s="907" t="n"/>
      <c r="AF118" s="907" t="n"/>
      <c r="AG118" s="907" t="n"/>
      <c r="AH118" s="907" t="n"/>
    </row>
    <row r="119">
      <c r="Q119" s="907" t="n"/>
      <c r="R119" s="907" t="n"/>
      <c r="S119" s="907" t="n"/>
      <c r="V119" s="907" t="n"/>
      <c r="W119" s="907" t="n"/>
      <c r="X119" s="907" t="n"/>
      <c r="AA119" s="907" t="n"/>
      <c r="AB119" s="907" t="n"/>
      <c r="AC119" s="907" t="n"/>
      <c r="AF119" s="907" t="n"/>
      <c r="AG119" s="907" t="n"/>
      <c r="AH119" s="907" t="n"/>
    </row>
    <row r="120">
      <c r="Q120" s="907" t="n"/>
      <c r="R120" s="907" t="n"/>
      <c r="S120" s="907" t="n"/>
      <c r="V120" s="907" t="n"/>
      <c r="W120" s="907" t="n"/>
      <c r="X120" s="907" t="n"/>
      <c r="AA120" s="907" t="n"/>
      <c r="AB120" s="907" t="n"/>
      <c r="AC120" s="907" t="n"/>
      <c r="AF120" s="907" t="n"/>
      <c r="AG120" s="907" t="n"/>
      <c r="AH120" s="907" t="n"/>
    </row>
    <row r="121">
      <c r="Q121" s="907" t="n"/>
      <c r="R121" s="907" t="n"/>
      <c r="S121" s="907" t="n"/>
      <c r="V121" s="907" t="n"/>
      <c r="W121" s="907" t="n"/>
      <c r="X121" s="907" t="n"/>
      <c r="AA121" s="907" t="n"/>
      <c r="AB121" s="907" t="n"/>
      <c r="AC121" s="907" t="n"/>
      <c r="AF121" s="907" t="n"/>
      <c r="AG121" s="907" t="n"/>
      <c r="AH121" s="907" t="n"/>
    </row>
    <row r="122">
      <c r="Q122" s="907" t="n"/>
      <c r="R122" s="907" t="n"/>
      <c r="S122" s="907" t="n"/>
      <c r="V122" s="907" t="n"/>
      <c r="W122" s="907" t="n"/>
      <c r="X122" s="907" t="n"/>
      <c r="AA122" s="907" t="n"/>
      <c r="AB122" s="907" t="n"/>
      <c r="AC122" s="907" t="n"/>
      <c r="AF122" s="907" t="n"/>
      <c r="AG122" s="907" t="n"/>
      <c r="AH122" s="907" t="n"/>
    </row>
    <row r="123">
      <c r="Q123" s="907" t="n"/>
      <c r="R123" s="907" t="n"/>
      <c r="S123" s="907" t="n"/>
      <c r="V123" s="907" t="n"/>
      <c r="W123" s="907" t="n"/>
      <c r="X123" s="907" t="n"/>
      <c r="AA123" s="907" t="n"/>
      <c r="AB123" s="907" t="n"/>
      <c r="AC123" s="907" t="n"/>
      <c r="AF123" s="907" t="n"/>
      <c r="AG123" s="907" t="n"/>
      <c r="AH123" s="907" t="n"/>
    </row>
    <row r="124">
      <c r="Q124" s="907" t="n"/>
      <c r="R124" s="907" t="n"/>
      <c r="S124" s="907" t="n"/>
      <c r="V124" s="907" t="n"/>
      <c r="W124" s="907" t="n"/>
      <c r="X124" s="907" t="n"/>
      <c r="AA124" s="907" t="n"/>
      <c r="AB124" s="907" t="n"/>
      <c r="AC124" s="907" t="n"/>
      <c r="AF124" s="907" t="n"/>
      <c r="AG124" s="907" t="n"/>
      <c r="AH124" s="907" t="n"/>
    </row>
    <row r="125">
      <c r="Q125" s="907" t="n"/>
      <c r="R125" s="907" t="n"/>
      <c r="S125" s="907" t="n"/>
      <c r="V125" s="907" t="n"/>
      <c r="W125" s="907" t="n"/>
      <c r="X125" s="907" t="n"/>
      <c r="AA125" s="907" t="n"/>
      <c r="AB125" s="907" t="n"/>
      <c r="AC125" s="907" t="n"/>
      <c r="AF125" s="907" t="n"/>
      <c r="AG125" s="907" t="n"/>
      <c r="AH125" s="907" t="n"/>
    </row>
    <row r="126">
      <c r="Q126" s="907" t="n"/>
      <c r="R126" s="907" t="n"/>
      <c r="S126" s="907" t="n"/>
      <c r="V126" s="907" t="n"/>
      <c r="W126" s="907" t="n"/>
      <c r="X126" s="907" t="n"/>
      <c r="AA126" s="907" t="n"/>
      <c r="AB126" s="907" t="n"/>
      <c r="AC126" s="907" t="n"/>
      <c r="AF126" s="907" t="n"/>
      <c r="AG126" s="907" t="n"/>
      <c r="AH126" s="907" t="n"/>
    </row>
    <row r="127">
      <c r="Q127" s="907" t="n"/>
      <c r="R127" s="907" t="n"/>
      <c r="S127" s="907" t="n"/>
      <c r="V127" s="907" t="n"/>
      <c r="W127" s="907" t="n"/>
      <c r="X127" s="907" t="n"/>
      <c r="AA127" s="907" t="n"/>
      <c r="AB127" s="907" t="n"/>
      <c r="AC127" s="907" t="n"/>
      <c r="AF127" s="907" t="n"/>
      <c r="AG127" s="907" t="n"/>
      <c r="AH127" s="907" t="n"/>
    </row>
    <row r="128">
      <c r="Q128" s="907" t="n"/>
      <c r="R128" s="907" t="n"/>
      <c r="S128" s="907" t="n"/>
      <c r="V128" s="907" t="n"/>
      <c r="W128" s="907" t="n"/>
      <c r="X128" s="907" t="n"/>
      <c r="AA128" s="907" t="n"/>
      <c r="AB128" s="907" t="n"/>
      <c r="AC128" s="907" t="n"/>
      <c r="AF128" s="907" t="n"/>
      <c r="AG128" s="907" t="n"/>
      <c r="AH128" s="907" t="n"/>
    </row>
    <row r="129">
      <c r="Q129" s="907" t="n"/>
      <c r="R129" s="907" t="n"/>
      <c r="S129" s="907" t="n"/>
      <c r="V129" s="907" t="n"/>
      <c r="W129" s="907" t="n"/>
      <c r="X129" s="907" t="n"/>
      <c r="AA129" s="907" t="n"/>
      <c r="AB129" s="907" t="n"/>
      <c r="AC129" s="907" t="n"/>
      <c r="AF129" s="907" t="n"/>
      <c r="AG129" s="907" t="n"/>
      <c r="AH129" s="907" t="n"/>
    </row>
    <row r="130">
      <c r="Q130" s="907" t="n"/>
      <c r="R130" s="907" t="n"/>
      <c r="S130" s="907" t="n"/>
      <c r="V130" s="907" t="n"/>
      <c r="W130" s="907" t="n"/>
      <c r="X130" s="907" t="n"/>
      <c r="AA130" s="907" t="n"/>
      <c r="AB130" s="907" t="n"/>
      <c r="AC130" s="907" t="n"/>
      <c r="AF130" s="907" t="n"/>
      <c r="AG130" s="907" t="n"/>
      <c r="AH130" s="907" t="n"/>
    </row>
    <row r="131">
      <c r="Q131" s="907" t="n"/>
      <c r="R131" s="907" t="n"/>
      <c r="S131" s="907" t="n"/>
      <c r="V131" s="907" t="n"/>
      <c r="W131" s="907" t="n"/>
      <c r="X131" s="907" t="n"/>
      <c r="AA131" s="907" t="n"/>
      <c r="AB131" s="907" t="n"/>
      <c r="AC131" s="907" t="n"/>
      <c r="AF131" s="907" t="n"/>
      <c r="AG131" s="907" t="n"/>
      <c r="AH131" s="907" t="n"/>
    </row>
    <row r="132">
      <c r="Q132" s="907" t="n"/>
      <c r="R132" s="907" t="n"/>
      <c r="S132" s="907" t="n"/>
      <c r="V132" s="907" t="n"/>
      <c r="W132" s="907" t="n"/>
      <c r="X132" s="907" t="n"/>
      <c r="AA132" s="907" t="n"/>
      <c r="AB132" s="907" t="n"/>
      <c r="AC132" s="907" t="n"/>
      <c r="AF132" s="907" t="n"/>
      <c r="AG132" s="907" t="n"/>
      <c r="AH132" s="907" t="n"/>
    </row>
    <row r="133">
      <c r="Q133" s="907" t="n"/>
      <c r="R133" s="907" t="n"/>
      <c r="S133" s="907" t="n"/>
      <c r="V133" s="907" t="n"/>
      <c r="W133" s="907" t="n"/>
      <c r="X133" s="907" t="n"/>
      <c r="AA133" s="907" t="n"/>
      <c r="AB133" s="907" t="n"/>
      <c r="AC133" s="907" t="n"/>
      <c r="AF133" s="907" t="n"/>
      <c r="AG133" s="907" t="n"/>
      <c r="AH133" s="907" t="n"/>
    </row>
    <row r="134">
      <c r="Q134" s="907" t="n"/>
      <c r="R134" s="907" t="n"/>
      <c r="S134" s="907" t="n"/>
      <c r="V134" s="907" t="n"/>
      <c r="W134" s="907" t="n"/>
      <c r="X134" s="907" t="n"/>
      <c r="AA134" s="907" t="n"/>
      <c r="AB134" s="907" t="n"/>
      <c r="AC134" s="907" t="n"/>
      <c r="AF134" s="907" t="n"/>
      <c r="AG134" s="907" t="n"/>
      <c r="AH134" s="907" t="n"/>
    </row>
    <row r="135">
      <c r="Q135" s="907" t="n"/>
      <c r="R135" s="907" t="n"/>
      <c r="S135" s="907" t="n"/>
      <c r="V135" s="907" t="n"/>
      <c r="W135" s="907" t="n"/>
      <c r="X135" s="907" t="n"/>
      <c r="AA135" s="907" t="n"/>
      <c r="AB135" s="907" t="n"/>
      <c r="AC135" s="907" t="n"/>
      <c r="AF135" s="907" t="n"/>
      <c r="AG135" s="907" t="n"/>
      <c r="AH135" s="907" t="n"/>
    </row>
    <row r="136">
      <c r="Q136" s="907" t="n"/>
      <c r="R136" s="907" t="n"/>
      <c r="S136" s="907" t="n"/>
      <c r="V136" s="907" t="n"/>
      <c r="W136" s="907" t="n"/>
      <c r="X136" s="907" t="n"/>
      <c r="AA136" s="907" t="n"/>
      <c r="AB136" s="907" t="n"/>
      <c r="AC136" s="907" t="n"/>
      <c r="AF136" s="907" t="n"/>
      <c r="AG136" s="907" t="n"/>
      <c r="AH136" s="907" t="n"/>
    </row>
    <row r="137">
      <c r="Q137" s="907" t="n"/>
      <c r="R137" s="907" t="n"/>
      <c r="S137" s="907" t="n"/>
      <c r="V137" s="907" t="n"/>
      <c r="W137" s="907" t="n"/>
      <c r="X137" s="907" t="n"/>
      <c r="AA137" s="907" t="n"/>
      <c r="AB137" s="907" t="n"/>
      <c r="AC137" s="907" t="n"/>
      <c r="AF137" s="907" t="n"/>
      <c r="AG137" s="907" t="n"/>
      <c r="AH137" s="907" t="n"/>
    </row>
    <row r="138">
      <c r="Q138" s="907" t="n"/>
      <c r="R138" s="907" t="n"/>
      <c r="S138" s="907" t="n"/>
      <c r="V138" s="907" t="n"/>
      <c r="W138" s="907" t="n"/>
      <c r="X138" s="907" t="n"/>
      <c r="AA138" s="907" t="n"/>
      <c r="AB138" s="907" t="n"/>
      <c r="AC138" s="907" t="n"/>
      <c r="AF138" s="907" t="n"/>
      <c r="AG138" s="907" t="n"/>
      <c r="AH138" s="907" t="n"/>
    </row>
    <row r="139">
      <c r="Q139" s="907" t="n"/>
      <c r="R139" s="907" t="n"/>
      <c r="S139" s="907" t="n"/>
      <c r="V139" s="907" t="n"/>
      <c r="W139" s="907" t="n"/>
      <c r="X139" s="907" t="n"/>
      <c r="AA139" s="907" t="n"/>
      <c r="AB139" s="907" t="n"/>
      <c r="AC139" s="907" t="n"/>
      <c r="AF139" s="907" t="n"/>
      <c r="AG139" s="907" t="n"/>
      <c r="AH139" s="907" t="n"/>
    </row>
    <row r="140">
      <c r="Q140" s="907" t="n"/>
      <c r="R140" s="907" t="n"/>
      <c r="S140" s="907" t="n"/>
      <c r="V140" s="907" t="n"/>
      <c r="W140" s="907" t="n"/>
      <c r="X140" s="907" t="n"/>
      <c r="AA140" s="907" t="n"/>
      <c r="AB140" s="907" t="n"/>
      <c r="AC140" s="907" t="n"/>
      <c r="AF140" s="907" t="n"/>
      <c r="AG140" s="907" t="n"/>
      <c r="AH140" s="907" t="n"/>
    </row>
    <row r="141">
      <c r="Q141" s="907" t="n"/>
      <c r="R141" s="907" t="n"/>
      <c r="S141" s="907" t="n"/>
      <c r="V141" s="907" t="n"/>
      <c r="W141" s="907" t="n"/>
      <c r="X141" s="907" t="n"/>
      <c r="AA141" s="907" t="n"/>
      <c r="AB141" s="907" t="n"/>
      <c r="AC141" s="907" t="n"/>
      <c r="AF141" s="907" t="n"/>
      <c r="AG141" s="907" t="n"/>
      <c r="AH141" s="907" t="n"/>
    </row>
    <row r="142">
      <c r="Q142" s="907" t="n"/>
      <c r="R142" s="907" t="n"/>
      <c r="S142" s="907" t="n"/>
      <c r="V142" s="907" t="n"/>
      <c r="W142" s="907" t="n"/>
      <c r="X142" s="907" t="n"/>
      <c r="AA142" s="907" t="n"/>
      <c r="AB142" s="907" t="n"/>
      <c r="AC142" s="907" t="n"/>
      <c r="AF142" s="907" t="n"/>
      <c r="AG142" s="907" t="n"/>
      <c r="AH142" s="907" t="n"/>
    </row>
    <row r="143">
      <c r="Q143" s="907" t="n"/>
      <c r="R143" s="907" t="n"/>
      <c r="S143" s="907" t="n"/>
      <c r="V143" s="907" t="n"/>
      <c r="W143" s="907" t="n"/>
      <c r="X143" s="907" t="n"/>
      <c r="AA143" s="907" t="n"/>
      <c r="AB143" s="907" t="n"/>
      <c r="AC143" s="907" t="n"/>
      <c r="AF143" s="907" t="n"/>
      <c r="AG143" s="907" t="n"/>
      <c r="AH143" s="907" t="n"/>
    </row>
    <row r="144">
      <c r="Q144" s="907" t="n"/>
      <c r="R144" s="907" t="n"/>
      <c r="S144" s="907" t="n"/>
      <c r="V144" s="907" t="n"/>
      <c r="W144" s="907" t="n"/>
      <c r="X144" s="907" t="n"/>
      <c r="AA144" s="907" t="n"/>
      <c r="AB144" s="907" t="n"/>
      <c r="AC144" s="907" t="n"/>
      <c r="AF144" s="907" t="n"/>
      <c r="AG144" s="907" t="n"/>
      <c r="AH144" s="907" t="n"/>
    </row>
    <row r="145">
      <c r="Q145" s="907" t="n"/>
      <c r="R145" s="907" t="n"/>
      <c r="S145" s="907" t="n"/>
      <c r="V145" s="907" t="n"/>
      <c r="W145" s="907" t="n"/>
      <c r="X145" s="907" t="n"/>
      <c r="AA145" s="907" t="n"/>
      <c r="AB145" s="907" t="n"/>
      <c r="AC145" s="907" t="n"/>
      <c r="AF145" s="907" t="n"/>
      <c r="AG145" s="907" t="n"/>
      <c r="AH145" s="907" t="n"/>
    </row>
    <row r="146">
      <c r="Q146" s="907" t="n"/>
      <c r="R146" s="907" t="n"/>
      <c r="S146" s="907" t="n"/>
      <c r="V146" s="907" t="n"/>
      <c r="W146" s="907" t="n"/>
      <c r="X146" s="907" t="n"/>
      <c r="AA146" s="907" t="n"/>
      <c r="AB146" s="907" t="n"/>
      <c r="AC146" s="907" t="n"/>
      <c r="AF146" s="907" t="n"/>
      <c r="AG146" s="907" t="n"/>
      <c r="AH146" s="907" t="n"/>
    </row>
    <row r="147">
      <c r="Q147" s="907" t="n"/>
      <c r="R147" s="907" t="n"/>
      <c r="S147" s="907" t="n"/>
      <c r="V147" s="907" t="n"/>
      <c r="W147" s="907" t="n"/>
      <c r="X147" s="907" t="n"/>
      <c r="AA147" s="907" t="n"/>
      <c r="AB147" s="907" t="n"/>
      <c r="AC147" s="907" t="n"/>
      <c r="AF147" s="907" t="n"/>
      <c r="AG147" s="907" t="n"/>
      <c r="AH147" s="907" t="n"/>
    </row>
    <row r="148">
      <c r="Q148" s="907" t="n"/>
      <c r="R148" s="907" t="n"/>
      <c r="S148" s="907" t="n"/>
      <c r="V148" s="907" t="n"/>
      <c r="W148" s="907" t="n"/>
      <c r="X148" s="907" t="n"/>
      <c r="AA148" s="907" t="n"/>
      <c r="AB148" s="907" t="n"/>
      <c r="AC148" s="907" t="n"/>
      <c r="AF148" s="907" t="n"/>
      <c r="AG148" s="907" t="n"/>
      <c r="AH148" s="907" t="n"/>
    </row>
    <row r="149">
      <c r="Q149" s="907" t="n"/>
      <c r="R149" s="907" t="n"/>
      <c r="S149" s="907" t="n"/>
      <c r="V149" s="907" t="n"/>
      <c r="W149" s="907" t="n"/>
      <c r="X149" s="907" t="n"/>
      <c r="AA149" s="907" t="n"/>
      <c r="AB149" s="907" t="n"/>
      <c r="AC149" s="907" t="n"/>
      <c r="AF149" s="907" t="n"/>
      <c r="AG149" s="907" t="n"/>
      <c r="AH149" s="907" t="n"/>
    </row>
    <row r="150">
      <c r="Q150" s="907" t="n"/>
      <c r="R150" s="907" t="n"/>
      <c r="S150" s="907" t="n"/>
      <c r="V150" s="907" t="n"/>
      <c r="W150" s="907" t="n"/>
      <c r="X150" s="907" t="n"/>
      <c r="AA150" s="907" t="n"/>
      <c r="AB150" s="907" t="n"/>
      <c r="AC150" s="907" t="n"/>
      <c r="AF150" s="907" t="n"/>
      <c r="AG150" s="907" t="n"/>
      <c r="AH150" s="907" t="n"/>
    </row>
    <row r="151">
      <c r="Q151" s="907" t="n"/>
      <c r="R151" s="907" t="n"/>
      <c r="S151" s="907" t="n"/>
      <c r="V151" s="907" t="n"/>
      <c r="W151" s="907" t="n"/>
      <c r="X151" s="907" t="n"/>
      <c r="AA151" s="907" t="n"/>
      <c r="AB151" s="907" t="n"/>
      <c r="AC151" s="907" t="n"/>
      <c r="AF151" s="907" t="n"/>
      <c r="AG151" s="907" t="n"/>
      <c r="AH151" s="907" t="n"/>
    </row>
    <row r="152">
      <c r="Q152" s="907" t="n"/>
      <c r="R152" s="907" t="n"/>
      <c r="S152" s="907" t="n"/>
      <c r="V152" s="907" t="n"/>
      <c r="W152" s="907" t="n"/>
      <c r="X152" s="907" t="n"/>
      <c r="AA152" s="907" t="n"/>
      <c r="AB152" s="907" t="n"/>
      <c r="AC152" s="907" t="n"/>
      <c r="AF152" s="907" t="n"/>
      <c r="AG152" s="907" t="n"/>
      <c r="AH152" s="907" t="n"/>
    </row>
    <row r="153">
      <c r="Q153" s="907" t="n"/>
      <c r="R153" s="907" t="n"/>
      <c r="S153" s="907" t="n"/>
      <c r="V153" s="907" t="n"/>
      <c r="W153" s="907" t="n"/>
      <c r="X153" s="907" t="n"/>
      <c r="AA153" s="907" t="n"/>
      <c r="AB153" s="907" t="n"/>
      <c r="AC153" s="907" t="n"/>
      <c r="AF153" s="907" t="n"/>
      <c r="AG153" s="907" t="n"/>
      <c r="AH153" s="907" t="n"/>
    </row>
    <row r="154">
      <c r="Q154" s="907" t="n"/>
      <c r="R154" s="907" t="n"/>
      <c r="S154" s="907" t="n"/>
      <c r="V154" s="907" t="n"/>
      <c r="W154" s="907" t="n"/>
      <c r="X154" s="907" t="n"/>
      <c r="AA154" s="907" t="n"/>
      <c r="AB154" s="907" t="n"/>
      <c r="AC154" s="907" t="n"/>
      <c r="AF154" s="907" t="n"/>
      <c r="AG154" s="907" t="n"/>
      <c r="AH154" s="907" t="n"/>
    </row>
    <row r="155">
      <c r="Q155" s="907" t="n"/>
      <c r="R155" s="907" t="n"/>
      <c r="S155" s="907" t="n"/>
      <c r="V155" s="907" t="n"/>
      <c r="W155" s="907" t="n"/>
      <c r="X155" s="907" t="n"/>
      <c r="AA155" s="907" t="n"/>
      <c r="AB155" s="907" t="n"/>
      <c r="AC155" s="907" t="n"/>
      <c r="AF155" s="907" t="n"/>
      <c r="AG155" s="907" t="n"/>
      <c r="AH155" s="907" t="n"/>
    </row>
    <row r="156">
      <c r="Q156" s="907" t="n"/>
      <c r="R156" s="907" t="n"/>
      <c r="S156" s="907" t="n"/>
      <c r="V156" s="907" t="n"/>
      <c r="W156" s="907" t="n"/>
      <c r="X156" s="907" t="n"/>
      <c r="AA156" s="907" t="n"/>
      <c r="AB156" s="907" t="n"/>
      <c r="AC156" s="907" t="n"/>
      <c r="AF156" s="907" t="n"/>
      <c r="AG156" s="907" t="n"/>
      <c r="AH156" s="907" t="n"/>
    </row>
    <row r="157">
      <c r="Q157" s="907" t="n"/>
      <c r="R157" s="907" t="n"/>
      <c r="S157" s="907" t="n"/>
      <c r="V157" s="907" t="n"/>
      <c r="W157" s="907" t="n"/>
      <c r="X157" s="907" t="n"/>
      <c r="AA157" s="907" t="n"/>
      <c r="AB157" s="907" t="n"/>
      <c r="AC157" s="907" t="n"/>
      <c r="AF157" s="907" t="n"/>
      <c r="AG157" s="907" t="n"/>
      <c r="AH157" s="907" t="n"/>
    </row>
    <row r="158">
      <c r="Q158" s="907" t="n"/>
      <c r="R158" s="907" t="n"/>
      <c r="S158" s="907" t="n"/>
      <c r="V158" s="907" t="n"/>
      <c r="W158" s="907" t="n"/>
      <c r="X158" s="907" t="n"/>
      <c r="AA158" s="907" t="n"/>
      <c r="AB158" s="907" t="n"/>
      <c r="AC158" s="907" t="n"/>
      <c r="AF158" s="907" t="n"/>
      <c r="AG158" s="907" t="n"/>
      <c r="AH158" s="907" t="n"/>
    </row>
    <row r="159">
      <c r="Q159" s="907" t="n"/>
      <c r="R159" s="907" t="n"/>
      <c r="S159" s="907" t="n"/>
      <c r="V159" s="907" t="n"/>
      <c r="W159" s="907" t="n"/>
      <c r="X159" s="907" t="n"/>
      <c r="AA159" s="907" t="n"/>
      <c r="AB159" s="907" t="n"/>
      <c r="AC159" s="907" t="n"/>
      <c r="AF159" s="907" t="n"/>
      <c r="AG159" s="907" t="n"/>
      <c r="AH159" s="907" t="n"/>
    </row>
    <row r="160">
      <c r="Q160" s="907" t="n"/>
      <c r="R160" s="907" t="n"/>
      <c r="S160" s="907" t="n"/>
      <c r="V160" s="907" t="n"/>
      <c r="W160" s="907" t="n"/>
      <c r="X160" s="907" t="n"/>
      <c r="AA160" s="907" t="n"/>
      <c r="AB160" s="907" t="n"/>
      <c r="AC160" s="907" t="n"/>
      <c r="AF160" s="907" t="n"/>
      <c r="AG160" s="907" t="n"/>
      <c r="AH160" s="907" t="n"/>
    </row>
    <row r="161">
      <c r="Q161" s="907" t="n"/>
      <c r="R161" s="907" t="n"/>
      <c r="S161" s="907" t="n"/>
      <c r="V161" s="907" t="n"/>
      <c r="W161" s="907" t="n"/>
      <c r="X161" s="907" t="n"/>
      <c r="AA161" s="907" t="n"/>
      <c r="AB161" s="907" t="n"/>
      <c r="AC161" s="907" t="n"/>
      <c r="AF161" s="907" t="n"/>
      <c r="AG161" s="907" t="n"/>
      <c r="AH161" s="907" t="n"/>
    </row>
    <row r="162">
      <c r="Q162" s="907" t="n"/>
      <c r="R162" s="907" t="n"/>
      <c r="S162" s="907" t="n"/>
      <c r="V162" s="907" t="n"/>
      <c r="W162" s="907" t="n"/>
      <c r="X162" s="907" t="n"/>
      <c r="AA162" s="907" t="n"/>
      <c r="AB162" s="907" t="n"/>
      <c r="AC162" s="907" t="n"/>
      <c r="AF162" s="907" t="n"/>
      <c r="AG162" s="907" t="n"/>
      <c r="AH162" s="907" t="n"/>
    </row>
    <row r="163">
      <c r="Q163" s="907" t="n"/>
      <c r="R163" s="907" t="n"/>
      <c r="S163" s="907" t="n"/>
      <c r="V163" s="907" t="n"/>
      <c r="W163" s="907" t="n"/>
      <c r="X163" s="907" t="n"/>
      <c r="AA163" s="907" t="n"/>
      <c r="AB163" s="907" t="n"/>
      <c r="AC163" s="907" t="n"/>
      <c r="AF163" s="907" t="n"/>
      <c r="AG163" s="907" t="n"/>
      <c r="AH163" s="907" t="n"/>
    </row>
    <row r="164">
      <c r="Q164" s="907" t="n"/>
      <c r="R164" s="907" t="n"/>
      <c r="S164" s="907" t="n"/>
      <c r="V164" s="907" t="n"/>
      <c r="W164" s="907" t="n"/>
      <c r="X164" s="907" t="n"/>
      <c r="AA164" s="907" t="n"/>
      <c r="AB164" s="907" t="n"/>
      <c r="AC164" s="907" t="n"/>
      <c r="AF164" s="907" t="n"/>
      <c r="AG164" s="907" t="n"/>
      <c r="AH164" s="907" t="n"/>
    </row>
    <row r="165">
      <c r="Q165" s="907" t="n"/>
      <c r="R165" s="907" t="n"/>
      <c r="S165" s="907" t="n"/>
      <c r="V165" s="907" t="n"/>
      <c r="W165" s="907" t="n"/>
      <c r="X165" s="907" t="n"/>
      <c r="AA165" s="907" t="n"/>
      <c r="AB165" s="907" t="n"/>
      <c r="AC165" s="907" t="n"/>
      <c r="AF165" s="907" t="n"/>
      <c r="AG165" s="907" t="n"/>
      <c r="AH165" s="907" t="n"/>
    </row>
    <row r="166">
      <c r="Q166" s="907" t="n"/>
      <c r="R166" s="907" t="n"/>
      <c r="S166" s="907" t="n"/>
      <c r="V166" s="907" t="n"/>
      <c r="W166" s="907" t="n"/>
      <c r="X166" s="907" t="n"/>
      <c r="AA166" s="907" t="n"/>
      <c r="AB166" s="907" t="n"/>
      <c r="AC166" s="907" t="n"/>
      <c r="AF166" s="907" t="n"/>
      <c r="AG166" s="907" t="n"/>
      <c r="AH166" s="907" t="n"/>
    </row>
    <row r="167">
      <c r="Q167" s="907" t="n"/>
      <c r="R167" s="907" t="n"/>
      <c r="S167" s="907" t="n"/>
      <c r="V167" s="907" t="n"/>
      <c r="W167" s="907" t="n"/>
      <c r="X167" s="907" t="n"/>
      <c r="AA167" s="907" t="n"/>
      <c r="AB167" s="907" t="n"/>
      <c r="AC167" s="907" t="n"/>
      <c r="AF167" s="907" t="n"/>
      <c r="AG167" s="907" t="n"/>
      <c r="AH167" s="907" t="n"/>
    </row>
    <row r="168">
      <c r="Q168" s="907" t="n"/>
      <c r="R168" s="907" t="n"/>
      <c r="S168" s="907" t="n"/>
      <c r="V168" s="907" t="n"/>
      <c r="W168" s="907" t="n"/>
      <c r="X168" s="907" t="n"/>
      <c r="AA168" s="907" t="n"/>
      <c r="AB168" s="907" t="n"/>
      <c r="AC168" s="907" t="n"/>
      <c r="AF168" s="907" t="n"/>
      <c r="AG168" s="907" t="n"/>
      <c r="AH168" s="907" t="n"/>
    </row>
    <row r="169">
      <c r="Q169" s="907" t="n"/>
      <c r="R169" s="907" t="n"/>
      <c r="S169" s="907" t="n"/>
      <c r="V169" s="907" t="n"/>
      <c r="W169" s="907" t="n"/>
      <c r="X169" s="907" t="n"/>
      <c r="AA169" s="907" t="n"/>
      <c r="AB169" s="907" t="n"/>
      <c r="AC169" s="907" t="n"/>
      <c r="AF169" s="907" t="n"/>
      <c r="AG169" s="907" t="n"/>
      <c r="AH169" s="907" t="n"/>
    </row>
    <row r="170">
      <c r="Q170" s="907" t="n"/>
      <c r="R170" s="907" t="n"/>
      <c r="S170" s="907" t="n"/>
      <c r="V170" s="907" t="n"/>
      <c r="W170" s="907" t="n"/>
      <c r="X170" s="907" t="n"/>
      <c r="AA170" s="907" t="n"/>
      <c r="AB170" s="907" t="n"/>
      <c r="AC170" s="907" t="n"/>
      <c r="AF170" s="907" t="n"/>
      <c r="AG170" s="907" t="n"/>
      <c r="AH170" s="907" t="n"/>
    </row>
    <row r="171">
      <c r="Q171" s="907" t="n"/>
      <c r="R171" s="907" t="n"/>
      <c r="S171" s="907" t="n"/>
      <c r="V171" s="907" t="n"/>
      <c r="W171" s="907" t="n"/>
      <c r="X171" s="907" t="n"/>
      <c r="AA171" s="907" t="n"/>
      <c r="AB171" s="907" t="n"/>
      <c r="AC171" s="907" t="n"/>
      <c r="AF171" s="907" t="n"/>
      <c r="AG171" s="907" t="n"/>
      <c r="AH171" s="907" t="n"/>
    </row>
    <row r="172">
      <c r="Q172" s="907" t="n"/>
      <c r="R172" s="907" t="n"/>
      <c r="S172" s="907" t="n"/>
      <c r="V172" s="907" t="n"/>
      <c r="W172" s="907" t="n"/>
      <c r="X172" s="907" t="n"/>
      <c r="AA172" s="907" t="n"/>
      <c r="AB172" s="907" t="n"/>
      <c r="AC172" s="907" t="n"/>
      <c r="AF172" s="907" t="n"/>
      <c r="AG172" s="907" t="n"/>
      <c r="AH172" s="907" t="n"/>
    </row>
    <row r="173">
      <c r="Q173" s="907" t="n"/>
      <c r="R173" s="907" t="n"/>
      <c r="S173" s="907" t="n"/>
      <c r="V173" s="907" t="n"/>
      <c r="W173" s="907" t="n"/>
      <c r="X173" s="907" t="n"/>
      <c r="AA173" s="907" t="n"/>
      <c r="AB173" s="907" t="n"/>
      <c r="AC173" s="907" t="n"/>
      <c r="AF173" s="907" t="n"/>
      <c r="AG173" s="907" t="n"/>
      <c r="AH173" s="907" t="n"/>
    </row>
    <row r="174">
      <c r="Q174" s="907" t="n"/>
      <c r="R174" s="907" t="n"/>
      <c r="S174" s="907" t="n"/>
      <c r="V174" s="907" t="n"/>
      <c r="W174" s="907" t="n"/>
      <c r="X174" s="907" t="n"/>
      <c r="AA174" s="907" t="n"/>
      <c r="AB174" s="907" t="n"/>
      <c r="AC174" s="907" t="n"/>
      <c r="AF174" s="907" t="n"/>
      <c r="AG174" s="907" t="n"/>
      <c r="AH174" s="907" t="n"/>
    </row>
    <row r="175">
      <c r="Q175" s="907" t="n"/>
      <c r="R175" s="907" t="n"/>
      <c r="S175" s="907" t="n"/>
      <c r="V175" s="907" t="n"/>
      <c r="W175" s="907" t="n"/>
      <c r="X175" s="907" t="n"/>
      <c r="AA175" s="907" t="n"/>
      <c r="AB175" s="907" t="n"/>
      <c r="AC175" s="907" t="n"/>
      <c r="AF175" s="907" t="n"/>
      <c r="AG175" s="907" t="n"/>
      <c r="AH175" s="907" t="n"/>
    </row>
    <row r="176">
      <c r="Q176" s="907" t="n"/>
      <c r="R176" s="907" t="n"/>
      <c r="S176" s="907" t="n"/>
      <c r="V176" s="907" t="n"/>
      <c r="W176" s="907" t="n"/>
      <c r="X176" s="907" t="n"/>
      <c r="AA176" s="907" t="n"/>
      <c r="AB176" s="907" t="n"/>
      <c r="AC176" s="907" t="n"/>
      <c r="AF176" s="907" t="n"/>
      <c r="AG176" s="907" t="n"/>
      <c r="AH176" s="907" t="n"/>
    </row>
    <row r="177">
      <c r="Q177" s="907" t="n"/>
      <c r="R177" s="907" t="n"/>
      <c r="S177" s="907" t="n"/>
      <c r="V177" s="907" t="n"/>
      <c r="W177" s="907" t="n"/>
      <c r="X177" s="907" t="n"/>
      <c r="AA177" s="907" t="n"/>
      <c r="AB177" s="907" t="n"/>
      <c r="AC177" s="907" t="n"/>
      <c r="AF177" s="907" t="n"/>
      <c r="AG177" s="907" t="n"/>
      <c r="AH177" s="907" t="n"/>
    </row>
    <row r="178">
      <c r="Q178" s="907" t="n"/>
      <c r="R178" s="907" t="n"/>
      <c r="S178" s="907" t="n"/>
      <c r="V178" s="907" t="n"/>
      <c r="W178" s="907" t="n"/>
      <c r="X178" s="907" t="n"/>
      <c r="AA178" s="907" t="n"/>
      <c r="AB178" s="907" t="n"/>
      <c r="AC178" s="907" t="n"/>
      <c r="AF178" s="907" t="n"/>
      <c r="AG178" s="907" t="n"/>
      <c r="AH178" s="907" t="n"/>
    </row>
    <row r="179">
      <c r="Q179" s="907" t="n"/>
      <c r="R179" s="907" t="n"/>
      <c r="S179" s="907" t="n"/>
      <c r="V179" s="907" t="n"/>
      <c r="W179" s="907" t="n"/>
      <c r="X179" s="907" t="n"/>
      <c r="AA179" s="907" t="n"/>
      <c r="AB179" s="907" t="n"/>
      <c r="AC179" s="907" t="n"/>
      <c r="AF179" s="907" t="n"/>
      <c r="AG179" s="907" t="n"/>
      <c r="AH179" s="907" t="n"/>
    </row>
    <row r="180">
      <c r="Q180" s="907" t="n"/>
      <c r="R180" s="907" t="n"/>
      <c r="S180" s="907" t="n"/>
      <c r="V180" s="907" t="n"/>
      <c r="W180" s="907" t="n"/>
      <c r="X180" s="907" t="n"/>
      <c r="AA180" s="907" t="n"/>
      <c r="AB180" s="907" t="n"/>
      <c r="AC180" s="907" t="n"/>
      <c r="AF180" s="907" t="n"/>
      <c r="AG180" s="907" t="n"/>
      <c r="AH180" s="907" t="n"/>
    </row>
    <row r="181">
      <c r="Q181" s="907" t="n"/>
      <c r="R181" s="907" t="n"/>
      <c r="S181" s="907" t="n"/>
      <c r="V181" s="907" t="n"/>
      <c r="W181" s="907" t="n"/>
      <c r="X181" s="907" t="n"/>
      <c r="AA181" s="907" t="n"/>
      <c r="AB181" s="907" t="n"/>
      <c r="AC181" s="907" t="n"/>
      <c r="AF181" s="907" t="n"/>
      <c r="AG181" s="907" t="n"/>
      <c r="AH181" s="907" t="n"/>
    </row>
    <row r="182">
      <c r="Q182" s="907" t="n"/>
      <c r="R182" s="907" t="n"/>
      <c r="S182" s="907" t="n"/>
      <c r="V182" s="907" t="n"/>
      <c r="W182" s="907" t="n"/>
      <c r="X182" s="907" t="n"/>
      <c r="AA182" s="907" t="n"/>
      <c r="AB182" s="907" t="n"/>
      <c r="AC182" s="907" t="n"/>
      <c r="AF182" s="907" t="n"/>
      <c r="AG182" s="907" t="n"/>
      <c r="AH182" s="907" t="n"/>
    </row>
    <row r="183">
      <c r="Q183" s="907" t="n"/>
      <c r="R183" s="907" t="n"/>
      <c r="S183" s="907" t="n"/>
      <c r="V183" s="907" t="n"/>
      <c r="W183" s="907" t="n"/>
      <c r="X183" s="907" t="n"/>
      <c r="AA183" s="907" t="n"/>
      <c r="AB183" s="907" t="n"/>
      <c r="AC183" s="907" t="n"/>
      <c r="AF183" s="907" t="n"/>
      <c r="AG183" s="907" t="n"/>
      <c r="AH183" s="907" t="n"/>
    </row>
    <row r="184">
      <c r="Q184" s="907" t="n"/>
      <c r="R184" s="907" t="n"/>
      <c r="S184" s="907" t="n"/>
      <c r="V184" s="907" t="n"/>
      <c r="W184" s="907" t="n"/>
      <c r="X184" s="907" t="n"/>
      <c r="AA184" s="907" t="n"/>
      <c r="AB184" s="907" t="n"/>
      <c r="AC184" s="907" t="n"/>
      <c r="AF184" s="907" t="n"/>
      <c r="AG184" s="907" t="n"/>
      <c r="AH184" s="907" t="n"/>
    </row>
    <row r="185">
      <c r="Q185" s="907" t="n"/>
      <c r="R185" s="907" t="n"/>
      <c r="S185" s="907" t="n"/>
      <c r="V185" s="907" t="n"/>
      <c r="W185" s="907" t="n"/>
      <c r="X185" s="907" t="n"/>
      <c r="AA185" s="907" t="n"/>
      <c r="AB185" s="907" t="n"/>
      <c r="AC185" s="907" t="n"/>
      <c r="AF185" s="907" t="n"/>
      <c r="AG185" s="907" t="n"/>
      <c r="AH185" s="907" t="n"/>
    </row>
    <row r="186">
      <c r="Q186" s="907" t="n"/>
      <c r="R186" s="907" t="n"/>
      <c r="S186" s="907" t="n"/>
      <c r="V186" s="907" t="n"/>
      <c r="W186" s="907" t="n"/>
      <c r="X186" s="907" t="n"/>
      <c r="AA186" s="907" t="n"/>
      <c r="AB186" s="907" t="n"/>
      <c r="AC186" s="907" t="n"/>
      <c r="AF186" s="907" t="n"/>
      <c r="AG186" s="907" t="n"/>
      <c r="AH186" s="907" t="n"/>
    </row>
    <row r="187">
      <c r="Q187" s="907" t="n"/>
      <c r="R187" s="907" t="n"/>
      <c r="S187" s="907" t="n"/>
      <c r="V187" s="907" t="n"/>
      <c r="W187" s="907" t="n"/>
      <c r="X187" s="907" t="n"/>
      <c r="AA187" s="907" t="n"/>
      <c r="AB187" s="907" t="n"/>
      <c r="AC187" s="907" t="n"/>
      <c r="AF187" s="907" t="n"/>
      <c r="AG187" s="907" t="n"/>
      <c r="AH187" s="907" t="n"/>
    </row>
    <row r="188">
      <c r="Q188" s="907" t="n"/>
      <c r="R188" s="907" t="n"/>
      <c r="S188" s="907" t="n"/>
      <c r="V188" s="907" t="n"/>
      <c r="W188" s="907" t="n"/>
      <c r="X188" s="907" t="n"/>
      <c r="AA188" s="907" t="n"/>
      <c r="AB188" s="907" t="n"/>
      <c r="AC188" s="907" t="n"/>
      <c r="AF188" s="907" t="n"/>
      <c r="AG188" s="907" t="n"/>
      <c r="AH188" s="907" t="n"/>
    </row>
    <row r="189">
      <c r="Q189" s="907" t="n"/>
      <c r="R189" s="907" t="n"/>
      <c r="S189" s="907" t="n"/>
      <c r="V189" s="907" t="n"/>
      <c r="W189" s="907" t="n"/>
      <c r="X189" s="907" t="n"/>
      <c r="AA189" s="907" t="n"/>
      <c r="AB189" s="907" t="n"/>
      <c r="AC189" s="907" t="n"/>
      <c r="AF189" s="907" t="n"/>
      <c r="AG189" s="907" t="n"/>
      <c r="AH189" s="907" t="n"/>
    </row>
    <row r="190">
      <c r="Q190" s="907" t="n"/>
      <c r="R190" s="907" t="n"/>
      <c r="S190" s="907" t="n"/>
      <c r="V190" s="907" t="n"/>
      <c r="W190" s="907" t="n"/>
      <c r="X190" s="907" t="n"/>
      <c r="AA190" s="907" t="n"/>
      <c r="AB190" s="907" t="n"/>
      <c r="AC190" s="907" t="n"/>
      <c r="AF190" s="907" t="n"/>
      <c r="AG190" s="907" t="n"/>
      <c r="AH190" s="907" t="n"/>
    </row>
    <row r="191">
      <c r="Q191" s="907" t="n"/>
      <c r="R191" s="907" t="n"/>
      <c r="S191" s="907" t="n"/>
      <c r="V191" s="907" t="n"/>
      <c r="W191" s="907" t="n"/>
      <c r="X191" s="907" t="n"/>
      <c r="AA191" s="907" t="n"/>
      <c r="AB191" s="907" t="n"/>
      <c r="AC191" s="907" t="n"/>
      <c r="AF191" s="907" t="n"/>
      <c r="AG191" s="907" t="n"/>
      <c r="AH191" s="907" t="n"/>
    </row>
    <row r="192">
      <c r="Q192" s="907" t="n"/>
      <c r="R192" s="907" t="n"/>
      <c r="S192" s="907" t="n"/>
      <c r="V192" s="907" t="n"/>
      <c r="W192" s="907" t="n"/>
      <c r="X192" s="907" t="n"/>
      <c r="AA192" s="907" t="n"/>
      <c r="AB192" s="907" t="n"/>
      <c r="AC192" s="907" t="n"/>
      <c r="AF192" s="907" t="n"/>
      <c r="AG192" s="907" t="n"/>
      <c r="AH192" s="907" t="n"/>
    </row>
    <row r="193">
      <c r="Q193" s="907" t="n"/>
      <c r="R193" s="907" t="n"/>
      <c r="S193" s="907" t="n"/>
      <c r="V193" s="907" t="n"/>
      <c r="W193" s="907" t="n"/>
      <c r="X193" s="907" t="n"/>
      <c r="AA193" s="907" t="n"/>
      <c r="AB193" s="907" t="n"/>
      <c r="AC193" s="907" t="n"/>
      <c r="AF193" s="907" t="n"/>
      <c r="AG193" s="907" t="n"/>
      <c r="AH193" s="907" t="n"/>
    </row>
    <row r="194">
      <c r="Q194" s="907" t="n"/>
      <c r="R194" s="907" t="n"/>
      <c r="S194" s="907" t="n"/>
      <c r="V194" s="907" t="n"/>
      <c r="W194" s="907" t="n"/>
      <c r="X194" s="907" t="n"/>
      <c r="AA194" s="907" t="n"/>
      <c r="AB194" s="907" t="n"/>
      <c r="AC194" s="907" t="n"/>
      <c r="AF194" s="907" t="n"/>
      <c r="AG194" s="907" t="n"/>
      <c r="AH194" s="907" t="n"/>
    </row>
    <row r="195">
      <c r="Q195" s="907" t="n"/>
      <c r="R195" s="907" t="n"/>
      <c r="S195" s="907" t="n"/>
      <c r="V195" s="907" t="n"/>
      <c r="W195" s="907" t="n"/>
      <c r="X195" s="907" t="n"/>
      <c r="AA195" s="907" t="n"/>
      <c r="AB195" s="907" t="n"/>
      <c r="AC195" s="907" t="n"/>
      <c r="AF195" s="907" t="n"/>
      <c r="AG195" s="907" t="n"/>
      <c r="AH195" s="907" t="n"/>
    </row>
    <row r="196">
      <c r="Q196" s="907" t="n"/>
      <c r="R196" s="907" t="n"/>
      <c r="S196" s="907" t="n"/>
      <c r="V196" s="907" t="n"/>
      <c r="W196" s="907" t="n"/>
      <c r="X196" s="907" t="n"/>
      <c r="AA196" s="907" t="n"/>
      <c r="AB196" s="907" t="n"/>
      <c r="AC196" s="907" t="n"/>
      <c r="AF196" s="907" t="n"/>
      <c r="AG196" s="907" t="n"/>
      <c r="AH196" s="907" t="n"/>
    </row>
    <row r="197">
      <c r="Q197" s="907" t="n"/>
      <c r="R197" s="907" t="n"/>
      <c r="S197" s="907" t="n"/>
      <c r="V197" s="907" t="n"/>
      <c r="W197" s="907" t="n"/>
      <c r="X197" s="907" t="n"/>
      <c r="AA197" s="907" t="n"/>
      <c r="AB197" s="907" t="n"/>
      <c r="AC197" s="907" t="n"/>
      <c r="AF197" s="907" t="n"/>
      <c r="AG197" s="907" t="n"/>
      <c r="AH197" s="907" t="n"/>
    </row>
    <row r="198">
      <c r="Q198" s="907" t="n"/>
      <c r="R198" s="907" t="n"/>
      <c r="S198" s="907" t="n"/>
      <c r="V198" s="907" t="n"/>
      <c r="W198" s="907" t="n"/>
      <c r="X198" s="907" t="n"/>
      <c r="AA198" s="907" t="n"/>
      <c r="AB198" s="907" t="n"/>
      <c r="AC198" s="907" t="n"/>
      <c r="AF198" s="907" t="n"/>
      <c r="AG198" s="907" t="n"/>
      <c r="AH198" s="907" t="n"/>
    </row>
    <row r="199">
      <c r="Q199" s="907" t="n"/>
      <c r="R199" s="907" t="n"/>
      <c r="S199" s="907" t="n"/>
      <c r="V199" s="907" t="n"/>
      <c r="W199" s="907" t="n"/>
      <c r="X199" s="907" t="n"/>
      <c r="AA199" s="907" t="n"/>
      <c r="AB199" s="907" t="n"/>
      <c r="AC199" s="907" t="n"/>
      <c r="AF199" s="907" t="n"/>
      <c r="AG199" s="907" t="n"/>
      <c r="AH199" s="907" t="n"/>
    </row>
    <row r="200">
      <c r="Q200" s="907" t="n"/>
      <c r="R200" s="907" t="n"/>
      <c r="S200" s="907" t="n"/>
      <c r="V200" s="907" t="n"/>
      <c r="W200" s="907" t="n"/>
      <c r="X200" s="907" t="n"/>
      <c r="AA200" s="907" t="n"/>
      <c r="AB200" s="907" t="n"/>
      <c r="AC200" s="907" t="n"/>
      <c r="AF200" s="907" t="n"/>
      <c r="AG200" s="907" t="n"/>
      <c r="AH200" s="907" t="n"/>
    </row>
    <row r="201">
      <c r="Q201" s="907" t="n"/>
      <c r="R201" s="907" t="n"/>
      <c r="S201" s="907" t="n"/>
      <c r="V201" s="907" t="n"/>
      <c r="W201" s="907" t="n"/>
      <c r="X201" s="907" t="n"/>
      <c r="AA201" s="907" t="n"/>
      <c r="AB201" s="907" t="n"/>
      <c r="AC201" s="907" t="n"/>
      <c r="AF201" s="907" t="n"/>
      <c r="AG201" s="907" t="n"/>
      <c r="AH201" s="907" t="n"/>
    </row>
    <row r="202">
      <c r="Q202" s="907" t="n"/>
      <c r="R202" s="907" t="n"/>
      <c r="S202" s="907" t="n"/>
      <c r="V202" s="907" t="n"/>
      <c r="W202" s="907" t="n"/>
      <c r="X202" s="907" t="n"/>
      <c r="AA202" s="907" t="n"/>
      <c r="AB202" s="907" t="n"/>
      <c r="AC202" s="907" t="n"/>
      <c r="AF202" s="907" t="n"/>
      <c r="AG202" s="907" t="n"/>
      <c r="AH202" s="907" t="n"/>
    </row>
    <row r="203">
      <c r="Q203" s="907" t="n"/>
      <c r="R203" s="907" t="n"/>
      <c r="S203" s="907" t="n"/>
      <c r="V203" s="907" t="n"/>
      <c r="W203" s="907" t="n"/>
      <c r="X203" s="907" t="n"/>
      <c r="AA203" s="907" t="n"/>
      <c r="AB203" s="907" t="n"/>
      <c r="AC203" s="907" t="n"/>
      <c r="AF203" s="907" t="n"/>
      <c r="AG203" s="907" t="n"/>
      <c r="AH203" s="907" t="n"/>
    </row>
    <row r="204">
      <c r="Q204" s="907" t="n"/>
      <c r="R204" s="907" t="n"/>
      <c r="S204" s="907" t="n"/>
      <c r="V204" s="907" t="n"/>
      <c r="W204" s="907" t="n"/>
      <c r="X204" s="907" t="n"/>
      <c r="AA204" s="907" t="n"/>
      <c r="AB204" s="907" t="n"/>
      <c r="AC204" s="907" t="n"/>
      <c r="AF204" s="907" t="n"/>
      <c r="AG204" s="907" t="n"/>
      <c r="AH204" s="907" t="n"/>
    </row>
    <row r="205">
      <c r="Q205" s="907" t="n"/>
      <c r="R205" s="907" t="n"/>
      <c r="S205" s="907" t="n"/>
      <c r="V205" s="907" t="n"/>
      <c r="W205" s="907" t="n"/>
      <c r="X205" s="907" t="n"/>
      <c r="AA205" s="907" t="n"/>
      <c r="AB205" s="907" t="n"/>
      <c r="AC205" s="907" t="n"/>
      <c r="AF205" s="907" t="n"/>
      <c r="AG205" s="907" t="n"/>
      <c r="AH205" s="907" t="n"/>
    </row>
    <row r="206">
      <c r="Q206" s="907" t="n"/>
      <c r="R206" s="907" t="n"/>
      <c r="S206" s="907" t="n"/>
      <c r="V206" s="907" t="n"/>
      <c r="W206" s="907" t="n"/>
      <c r="X206" s="907" t="n"/>
      <c r="AA206" s="907" t="n"/>
      <c r="AB206" s="907" t="n"/>
      <c r="AC206" s="907" t="n"/>
      <c r="AF206" s="907" t="n"/>
      <c r="AG206" s="907" t="n"/>
      <c r="AH206" s="907" t="n"/>
    </row>
    <row r="207">
      <c r="Q207" s="907" t="n"/>
      <c r="R207" s="907" t="n"/>
      <c r="S207" s="907" t="n"/>
      <c r="V207" s="907" t="n"/>
      <c r="W207" s="907" t="n"/>
      <c r="X207" s="907" t="n"/>
      <c r="AA207" s="907" t="n"/>
      <c r="AB207" s="907" t="n"/>
      <c r="AC207" s="907" t="n"/>
      <c r="AF207" s="907" t="n"/>
      <c r="AG207" s="907" t="n"/>
      <c r="AH207" s="907" t="n"/>
    </row>
    <row r="208">
      <c r="Q208" s="907" t="n"/>
      <c r="R208" s="907" t="n"/>
      <c r="S208" s="907" t="n"/>
      <c r="V208" s="907" t="n"/>
      <c r="W208" s="907" t="n"/>
      <c r="X208" s="907" t="n"/>
      <c r="AA208" s="907" t="n"/>
      <c r="AB208" s="907" t="n"/>
      <c r="AC208" s="907" t="n"/>
      <c r="AF208" s="907" t="n"/>
      <c r="AG208" s="907" t="n"/>
      <c r="AH208" s="907" t="n"/>
    </row>
    <row r="209">
      <c r="Q209" s="907" t="n"/>
      <c r="R209" s="907" t="n"/>
      <c r="S209" s="907" t="n"/>
      <c r="V209" s="907" t="n"/>
      <c r="W209" s="907" t="n"/>
      <c r="X209" s="907" t="n"/>
      <c r="AA209" s="907" t="n"/>
      <c r="AB209" s="907" t="n"/>
      <c r="AC209" s="907" t="n"/>
      <c r="AF209" s="907" t="n"/>
      <c r="AG209" s="907" t="n"/>
      <c r="AH209" s="907" t="n"/>
    </row>
    <row r="210">
      <c r="Q210" s="907" t="n"/>
      <c r="R210" s="907" t="n"/>
      <c r="S210" s="907" t="n"/>
      <c r="V210" s="907" t="n"/>
      <c r="W210" s="907" t="n"/>
      <c r="X210" s="907" t="n"/>
      <c r="AA210" s="907" t="n"/>
      <c r="AB210" s="907" t="n"/>
      <c r="AC210" s="907" t="n"/>
      <c r="AF210" s="907" t="n"/>
      <c r="AG210" s="907" t="n"/>
      <c r="AH210" s="907" t="n"/>
    </row>
    <row r="211">
      <c r="Q211" s="907" t="n"/>
      <c r="R211" s="907" t="n"/>
      <c r="S211" s="907" t="n"/>
      <c r="V211" s="907" t="n"/>
      <c r="W211" s="907" t="n"/>
      <c r="X211" s="907" t="n"/>
      <c r="AA211" s="907" t="n"/>
      <c r="AB211" s="907" t="n"/>
      <c r="AC211" s="907" t="n"/>
      <c r="AF211" s="907" t="n"/>
      <c r="AG211" s="907" t="n"/>
      <c r="AH211" s="907" t="n"/>
    </row>
    <row r="212">
      <c r="Q212" s="907" t="n"/>
      <c r="R212" s="907" t="n"/>
      <c r="S212" s="907" t="n"/>
      <c r="V212" s="907" t="n"/>
      <c r="W212" s="907" t="n"/>
      <c r="X212" s="907" t="n"/>
      <c r="AA212" s="907" t="n"/>
      <c r="AB212" s="907" t="n"/>
      <c r="AC212" s="907" t="n"/>
      <c r="AF212" s="907" t="n"/>
      <c r="AG212" s="907" t="n"/>
      <c r="AH212" s="907" t="n"/>
    </row>
    <row r="213">
      <c r="Q213" s="907" t="n"/>
      <c r="R213" s="907" t="n"/>
      <c r="S213" s="907" t="n"/>
      <c r="V213" s="907" t="n"/>
      <c r="W213" s="907" t="n"/>
      <c r="X213" s="907" t="n"/>
      <c r="AA213" s="907" t="n"/>
      <c r="AB213" s="907" t="n"/>
      <c r="AC213" s="907" t="n"/>
      <c r="AF213" s="907" t="n"/>
      <c r="AG213" s="907" t="n"/>
      <c r="AH213" s="907" t="n"/>
    </row>
    <row r="214">
      <c r="Q214" s="907" t="n"/>
      <c r="R214" s="907" t="n"/>
      <c r="S214" s="907" t="n"/>
      <c r="V214" s="907" t="n"/>
      <c r="W214" s="907" t="n"/>
      <c r="X214" s="907" t="n"/>
      <c r="AA214" s="907" t="n"/>
      <c r="AB214" s="907" t="n"/>
      <c r="AC214" s="907" t="n"/>
      <c r="AF214" s="907" t="n"/>
      <c r="AG214" s="907" t="n"/>
      <c r="AH214" s="907" t="n"/>
    </row>
    <row r="215">
      <c r="Q215" s="907" t="n"/>
      <c r="R215" s="907" t="n"/>
      <c r="S215" s="907" t="n"/>
      <c r="V215" s="907" t="n"/>
      <c r="W215" s="907" t="n"/>
      <c r="X215" s="907" t="n"/>
      <c r="AA215" s="907" t="n"/>
      <c r="AB215" s="907" t="n"/>
      <c r="AC215" s="907" t="n"/>
      <c r="AF215" s="907" t="n"/>
      <c r="AG215" s="907" t="n"/>
      <c r="AH215" s="907" t="n"/>
    </row>
    <row r="216">
      <c r="Q216" s="907" t="n"/>
      <c r="R216" s="907" t="n"/>
      <c r="S216" s="907" t="n"/>
      <c r="V216" s="907" t="n"/>
      <c r="W216" s="907" t="n"/>
      <c r="X216" s="907" t="n"/>
      <c r="AA216" s="907" t="n"/>
      <c r="AB216" s="907" t="n"/>
      <c r="AC216" s="907" t="n"/>
      <c r="AF216" s="907" t="n"/>
      <c r="AG216" s="907" t="n"/>
      <c r="AH216" s="907" t="n"/>
    </row>
    <row r="217">
      <c r="Q217" s="907" t="n"/>
      <c r="R217" s="907" t="n"/>
      <c r="S217" s="907" t="n"/>
      <c r="V217" s="907" t="n"/>
      <c r="W217" s="907" t="n"/>
      <c r="X217" s="907" t="n"/>
      <c r="AA217" s="907" t="n"/>
      <c r="AB217" s="907" t="n"/>
      <c r="AC217" s="907" t="n"/>
      <c r="AF217" s="907" t="n"/>
      <c r="AG217" s="907" t="n"/>
      <c r="AH217" s="907" t="n"/>
    </row>
    <row r="218">
      <c r="Q218" s="907" t="n"/>
      <c r="R218" s="907" t="n"/>
      <c r="S218" s="907" t="n"/>
      <c r="V218" s="907" t="n"/>
      <c r="W218" s="907" t="n"/>
      <c r="X218" s="907" t="n"/>
      <c r="AA218" s="907" t="n"/>
      <c r="AB218" s="907" t="n"/>
      <c r="AC218" s="907" t="n"/>
      <c r="AF218" s="907" t="n"/>
      <c r="AG218" s="907" t="n"/>
      <c r="AH218" s="907" t="n"/>
    </row>
    <row r="219">
      <c r="Q219" s="907" t="n"/>
      <c r="R219" s="907" t="n"/>
      <c r="S219" s="907" t="n"/>
      <c r="V219" s="907" t="n"/>
      <c r="W219" s="907" t="n"/>
      <c r="X219" s="907" t="n"/>
      <c r="AA219" s="907" t="n"/>
      <c r="AB219" s="907" t="n"/>
      <c r="AC219" s="907" t="n"/>
      <c r="AF219" s="907" t="n"/>
      <c r="AG219" s="907" t="n"/>
      <c r="AH219" s="907" t="n"/>
    </row>
    <row r="220">
      <c r="Q220" s="907" t="n"/>
      <c r="R220" s="907" t="n"/>
      <c r="S220" s="907" t="n"/>
      <c r="V220" s="907" t="n"/>
      <c r="W220" s="907" t="n"/>
      <c r="X220" s="907" t="n"/>
      <c r="AA220" s="907" t="n"/>
      <c r="AB220" s="907" t="n"/>
      <c r="AC220" s="907" t="n"/>
      <c r="AF220" s="907" t="n"/>
      <c r="AG220" s="907" t="n"/>
      <c r="AH220" s="907" t="n"/>
    </row>
    <row r="221">
      <c r="Q221" s="907" t="n"/>
      <c r="R221" s="907" t="n"/>
      <c r="S221" s="907" t="n"/>
      <c r="V221" s="907" t="n"/>
      <c r="W221" s="907" t="n"/>
      <c r="X221" s="907" t="n"/>
      <c r="AA221" s="907" t="n"/>
      <c r="AB221" s="907" t="n"/>
      <c r="AC221" s="907" t="n"/>
      <c r="AF221" s="907" t="n"/>
      <c r="AG221" s="907" t="n"/>
      <c r="AH221" s="907" t="n"/>
    </row>
    <row r="222">
      <c r="Q222" s="907" t="n"/>
      <c r="R222" s="907" t="n"/>
      <c r="S222" s="907" t="n"/>
      <c r="V222" s="907" t="n"/>
      <c r="W222" s="907" t="n"/>
      <c r="X222" s="907" t="n"/>
      <c r="AA222" s="907" t="n"/>
      <c r="AB222" s="907" t="n"/>
      <c r="AC222" s="907" t="n"/>
      <c r="AF222" s="907" t="n"/>
      <c r="AG222" s="907" t="n"/>
      <c r="AH222" s="907" t="n"/>
    </row>
    <row r="223">
      <c r="Q223" s="907" t="n"/>
      <c r="R223" s="907" t="n"/>
      <c r="S223" s="907" t="n"/>
      <c r="V223" s="907" t="n"/>
      <c r="W223" s="907" t="n"/>
      <c r="X223" s="907" t="n"/>
      <c r="AA223" s="907" t="n"/>
      <c r="AB223" s="907" t="n"/>
      <c r="AC223" s="907" t="n"/>
      <c r="AF223" s="907" t="n"/>
      <c r="AG223" s="907" t="n"/>
      <c r="AH223" s="907" t="n"/>
    </row>
    <row r="224">
      <c r="Q224" s="907" t="n"/>
      <c r="R224" s="907" t="n"/>
      <c r="S224" s="907" t="n"/>
      <c r="V224" s="907" t="n"/>
      <c r="W224" s="907" t="n"/>
      <c r="X224" s="907" t="n"/>
      <c r="AA224" s="907" t="n"/>
      <c r="AB224" s="907" t="n"/>
      <c r="AC224" s="907" t="n"/>
      <c r="AF224" s="907" t="n"/>
      <c r="AG224" s="907" t="n"/>
      <c r="AH224" s="907" t="n"/>
    </row>
    <row r="225">
      <c r="Q225" s="907" t="n"/>
      <c r="R225" s="907" t="n"/>
      <c r="S225" s="907" t="n"/>
      <c r="V225" s="907" t="n"/>
      <c r="W225" s="907" t="n"/>
      <c r="X225" s="907" t="n"/>
      <c r="AA225" s="907" t="n"/>
      <c r="AB225" s="907" t="n"/>
      <c r="AC225" s="907" t="n"/>
      <c r="AF225" s="907" t="n"/>
      <c r="AG225" s="907" t="n"/>
      <c r="AH225" s="907" t="n"/>
    </row>
    <row r="226">
      <c r="Q226" s="907" t="n"/>
      <c r="R226" s="907" t="n"/>
      <c r="S226" s="907" t="n"/>
      <c r="V226" s="907" t="n"/>
      <c r="W226" s="907" t="n"/>
      <c r="X226" s="907" t="n"/>
      <c r="AA226" s="907" t="n"/>
      <c r="AB226" s="907" t="n"/>
      <c r="AC226" s="907" t="n"/>
      <c r="AF226" s="907" t="n"/>
      <c r="AG226" s="907" t="n"/>
      <c r="AH226" s="907" t="n"/>
    </row>
    <row r="227">
      <c r="Q227" s="907" t="n"/>
      <c r="R227" s="907" t="n"/>
      <c r="S227" s="907" t="n"/>
      <c r="V227" s="907" t="n"/>
      <c r="W227" s="907" t="n"/>
      <c r="X227" s="907" t="n"/>
      <c r="AA227" s="907" t="n"/>
      <c r="AB227" s="907" t="n"/>
      <c r="AC227" s="907" t="n"/>
      <c r="AF227" s="907" t="n"/>
      <c r="AG227" s="907" t="n"/>
      <c r="AH227" s="907" t="n"/>
    </row>
    <row r="228">
      <c r="Q228" s="907" t="n"/>
      <c r="R228" s="907" t="n"/>
      <c r="S228" s="907" t="n"/>
      <c r="V228" s="907" t="n"/>
      <c r="W228" s="907" t="n"/>
      <c r="X228" s="907" t="n"/>
      <c r="AA228" s="907" t="n"/>
      <c r="AB228" s="907" t="n"/>
      <c r="AC228" s="907" t="n"/>
      <c r="AF228" s="907" t="n"/>
      <c r="AG228" s="907" t="n"/>
      <c r="AH228" s="907" t="n"/>
    </row>
    <row r="229">
      <c r="Q229" s="907" t="n"/>
      <c r="R229" s="907" t="n"/>
      <c r="S229" s="907" t="n"/>
      <c r="V229" s="907" t="n"/>
      <c r="W229" s="907" t="n"/>
      <c r="X229" s="907" t="n"/>
      <c r="AA229" s="907" t="n"/>
      <c r="AB229" s="907" t="n"/>
      <c r="AC229" s="907" t="n"/>
      <c r="AF229" s="907" t="n"/>
      <c r="AG229" s="907" t="n"/>
      <c r="AH229" s="907" t="n"/>
    </row>
    <row r="230">
      <c r="Q230" s="907" t="n"/>
      <c r="R230" s="907" t="n"/>
      <c r="S230" s="907" t="n"/>
      <c r="V230" s="907" t="n"/>
      <c r="W230" s="907" t="n"/>
      <c r="X230" s="907" t="n"/>
      <c r="AA230" s="907" t="n"/>
      <c r="AB230" s="907" t="n"/>
      <c r="AC230" s="907" t="n"/>
      <c r="AF230" s="907" t="n"/>
      <c r="AG230" s="907" t="n"/>
      <c r="AH230" s="907" t="n"/>
    </row>
    <row r="231">
      <c r="Q231" s="907" t="n"/>
      <c r="R231" s="907" t="n"/>
      <c r="S231" s="907" t="n"/>
      <c r="V231" s="907" t="n"/>
      <c r="W231" s="907" t="n"/>
      <c r="X231" s="907" t="n"/>
      <c r="AA231" s="907" t="n"/>
      <c r="AB231" s="907" t="n"/>
      <c r="AC231" s="907" t="n"/>
      <c r="AF231" s="907" t="n"/>
      <c r="AG231" s="907" t="n"/>
      <c r="AH231" s="907" t="n"/>
    </row>
    <row r="232">
      <c r="Q232" s="907" t="n"/>
      <c r="R232" s="907" t="n"/>
      <c r="S232" s="907" t="n"/>
      <c r="V232" s="907" t="n"/>
      <c r="W232" s="907" t="n"/>
      <c r="X232" s="907" t="n"/>
      <c r="AA232" s="907" t="n"/>
      <c r="AB232" s="907" t="n"/>
      <c r="AC232" s="907" t="n"/>
      <c r="AF232" s="907" t="n"/>
      <c r="AG232" s="907" t="n"/>
      <c r="AH232" s="907" t="n"/>
    </row>
    <row r="233">
      <c r="Q233" s="907" t="n"/>
      <c r="R233" s="907" t="n"/>
      <c r="S233" s="907" t="n"/>
      <c r="V233" s="907" t="n"/>
      <c r="W233" s="907" t="n"/>
      <c r="X233" s="907" t="n"/>
      <c r="AA233" s="907" t="n"/>
      <c r="AB233" s="907" t="n"/>
      <c r="AC233" s="907" t="n"/>
      <c r="AF233" s="907" t="n"/>
      <c r="AG233" s="907" t="n"/>
      <c r="AH233" s="907" t="n"/>
    </row>
    <row r="234">
      <c r="Q234" s="907" t="n"/>
      <c r="R234" s="907" t="n"/>
      <c r="S234" s="907" t="n"/>
      <c r="V234" s="907" t="n"/>
      <c r="W234" s="907" t="n"/>
      <c r="X234" s="907" t="n"/>
      <c r="AA234" s="907" t="n"/>
      <c r="AB234" s="907" t="n"/>
      <c r="AC234" s="907" t="n"/>
      <c r="AF234" s="907" t="n"/>
      <c r="AG234" s="907" t="n"/>
      <c r="AH234" s="907" t="n"/>
    </row>
    <row r="235">
      <c r="Q235" s="907" t="n"/>
      <c r="R235" s="907" t="n"/>
      <c r="S235" s="907" t="n"/>
      <c r="V235" s="907" t="n"/>
      <c r="W235" s="907" t="n"/>
      <c r="X235" s="907" t="n"/>
      <c r="AA235" s="907" t="n"/>
      <c r="AB235" s="907" t="n"/>
      <c r="AC235" s="907" t="n"/>
      <c r="AF235" s="907" t="n"/>
      <c r="AG235" s="907" t="n"/>
      <c r="AH235" s="907" t="n"/>
    </row>
    <row r="236">
      <c r="Q236" s="907" t="n"/>
      <c r="R236" s="907" t="n"/>
      <c r="S236" s="907" t="n"/>
      <c r="V236" s="907" t="n"/>
      <c r="W236" s="907" t="n"/>
      <c r="X236" s="907" t="n"/>
      <c r="AA236" s="907" t="n"/>
      <c r="AB236" s="907" t="n"/>
      <c r="AC236" s="907" t="n"/>
      <c r="AF236" s="907" t="n"/>
      <c r="AG236" s="907" t="n"/>
      <c r="AH236" s="907" t="n"/>
    </row>
    <row r="237">
      <c r="Q237" s="907" t="n"/>
      <c r="R237" s="907" t="n"/>
      <c r="S237" s="907" t="n"/>
      <c r="V237" s="907" t="n"/>
      <c r="W237" s="907" t="n"/>
      <c r="X237" s="907" t="n"/>
      <c r="AA237" s="907" t="n"/>
      <c r="AB237" s="907" t="n"/>
      <c r="AC237" s="907" t="n"/>
      <c r="AF237" s="907" t="n"/>
      <c r="AG237" s="907" t="n"/>
      <c r="AH237" s="907" t="n"/>
    </row>
    <row r="238">
      <c r="Q238" s="907" t="n"/>
      <c r="R238" s="907" t="n"/>
      <c r="S238" s="907" t="n"/>
      <c r="V238" s="907" t="n"/>
      <c r="W238" s="907" t="n"/>
      <c r="X238" s="907" t="n"/>
      <c r="AA238" s="907" t="n"/>
      <c r="AB238" s="907" t="n"/>
      <c r="AC238" s="907" t="n"/>
      <c r="AF238" s="907" t="n"/>
      <c r="AG238" s="907" t="n"/>
      <c r="AH238" s="907" t="n"/>
    </row>
    <row r="239">
      <c r="Q239" s="907" t="n"/>
      <c r="R239" s="907" t="n"/>
      <c r="S239" s="907" t="n"/>
      <c r="V239" s="907" t="n"/>
      <c r="W239" s="907" t="n"/>
      <c r="X239" s="907" t="n"/>
      <c r="AA239" s="907" t="n"/>
      <c r="AB239" s="907" t="n"/>
      <c r="AC239" s="907" t="n"/>
      <c r="AF239" s="907" t="n"/>
      <c r="AG239" s="907" t="n"/>
      <c r="AH239" s="907" t="n"/>
    </row>
    <row r="240">
      <c r="Q240" s="907" t="n"/>
      <c r="R240" s="907" t="n"/>
      <c r="S240" s="907" t="n"/>
      <c r="V240" s="907" t="n"/>
      <c r="W240" s="907" t="n"/>
      <c r="X240" s="907" t="n"/>
      <c r="AA240" s="907" t="n"/>
      <c r="AB240" s="907" t="n"/>
      <c r="AC240" s="907" t="n"/>
      <c r="AF240" s="907" t="n"/>
      <c r="AG240" s="907" t="n"/>
      <c r="AH240" s="907" t="n"/>
    </row>
    <row r="241">
      <c r="Q241" s="907" t="n"/>
      <c r="R241" s="907" t="n"/>
      <c r="S241" s="907" t="n"/>
      <c r="V241" s="907" t="n"/>
      <c r="W241" s="907" t="n"/>
      <c r="X241" s="907" t="n"/>
      <c r="AA241" s="907" t="n"/>
      <c r="AB241" s="907" t="n"/>
      <c r="AC241" s="907" t="n"/>
      <c r="AF241" s="907" t="n"/>
      <c r="AG241" s="907" t="n"/>
      <c r="AH241" s="907" t="n"/>
    </row>
    <row r="242">
      <c r="Q242" s="907" t="n"/>
      <c r="R242" s="907" t="n"/>
      <c r="S242" s="907" t="n"/>
      <c r="V242" s="907" t="n"/>
      <c r="W242" s="907" t="n"/>
      <c r="X242" s="907" t="n"/>
      <c r="AA242" s="907" t="n"/>
      <c r="AB242" s="907" t="n"/>
      <c r="AC242" s="907" t="n"/>
      <c r="AF242" s="907" t="n"/>
      <c r="AG242" s="907" t="n"/>
      <c r="AH242" s="907" t="n"/>
    </row>
    <row r="243">
      <c r="Q243" s="907" t="n"/>
      <c r="R243" s="907" t="n"/>
      <c r="S243" s="907" t="n"/>
      <c r="V243" s="907" t="n"/>
      <c r="W243" s="907" t="n"/>
      <c r="X243" s="907" t="n"/>
      <c r="AA243" s="907" t="n"/>
      <c r="AB243" s="907" t="n"/>
      <c r="AC243" s="907" t="n"/>
      <c r="AF243" s="907" t="n"/>
      <c r="AG243" s="907" t="n"/>
      <c r="AH243" s="907" t="n"/>
    </row>
    <row r="244">
      <c r="Q244" s="907" t="n"/>
      <c r="R244" s="907" t="n"/>
      <c r="S244" s="907" t="n"/>
      <c r="V244" s="907" t="n"/>
      <c r="W244" s="907" t="n"/>
      <c r="X244" s="907" t="n"/>
      <c r="AA244" s="907" t="n"/>
      <c r="AB244" s="907" t="n"/>
      <c r="AC244" s="907" t="n"/>
      <c r="AF244" s="907" t="n"/>
      <c r="AG244" s="907" t="n"/>
      <c r="AH244" s="907" t="n"/>
    </row>
    <row r="245">
      <c r="Q245" s="907" t="n"/>
      <c r="R245" s="907" t="n"/>
      <c r="S245" s="907" t="n"/>
      <c r="V245" s="907" t="n"/>
      <c r="W245" s="907" t="n"/>
      <c r="X245" s="907" t="n"/>
      <c r="AA245" s="907" t="n"/>
      <c r="AB245" s="907" t="n"/>
      <c r="AC245" s="907" t="n"/>
      <c r="AF245" s="907" t="n"/>
      <c r="AG245" s="907" t="n"/>
      <c r="AH245" s="907" t="n"/>
    </row>
    <row r="246">
      <c r="Q246" s="907" t="n"/>
      <c r="R246" s="907" t="n"/>
      <c r="S246" s="907" t="n"/>
      <c r="V246" s="907" t="n"/>
      <c r="W246" s="907" t="n"/>
      <c r="X246" s="907" t="n"/>
      <c r="AA246" s="907" t="n"/>
      <c r="AB246" s="907" t="n"/>
      <c r="AC246" s="907" t="n"/>
      <c r="AF246" s="907" t="n"/>
      <c r="AG246" s="907" t="n"/>
      <c r="AH246" s="907" t="n"/>
    </row>
    <row r="247">
      <c r="Q247" s="907" t="n"/>
      <c r="R247" s="907" t="n"/>
      <c r="S247" s="907" t="n"/>
      <c r="V247" s="907" t="n"/>
      <c r="W247" s="907" t="n"/>
      <c r="X247" s="907" t="n"/>
      <c r="AA247" s="907" t="n"/>
      <c r="AB247" s="907" t="n"/>
      <c r="AC247" s="907" t="n"/>
      <c r="AF247" s="907" t="n"/>
      <c r="AG247" s="907" t="n"/>
      <c r="AH247" s="907" t="n"/>
    </row>
    <row r="248">
      <c r="Q248" s="907" t="n"/>
      <c r="R248" s="907" t="n"/>
      <c r="S248" s="907" t="n"/>
      <c r="V248" s="907" t="n"/>
      <c r="W248" s="907" t="n"/>
      <c r="X248" s="907" t="n"/>
      <c r="AA248" s="907" t="n"/>
      <c r="AB248" s="907" t="n"/>
      <c r="AC248" s="907" t="n"/>
      <c r="AF248" s="907" t="n"/>
      <c r="AG248" s="907" t="n"/>
      <c r="AH248" s="907" t="n"/>
    </row>
    <row r="249">
      <c r="Q249" s="907" t="n"/>
      <c r="R249" s="907" t="n"/>
      <c r="S249" s="907" t="n"/>
      <c r="V249" s="907" t="n"/>
      <c r="W249" s="907" t="n"/>
      <c r="X249" s="907" t="n"/>
      <c r="AA249" s="907" t="n"/>
      <c r="AB249" s="907" t="n"/>
      <c r="AC249" s="907" t="n"/>
      <c r="AF249" s="907" t="n"/>
      <c r="AG249" s="907" t="n"/>
      <c r="AH249" s="907" t="n"/>
    </row>
    <row r="250">
      <c r="Q250" s="907" t="n"/>
      <c r="R250" s="907" t="n"/>
      <c r="S250" s="907" t="n"/>
      <c r="V250" s="907" t="n"/>
      <c r="W250" s="907" t="n"/>
      <c r="X250" s="907" t="n"/>
      <c r="AA250" s="907" t="n"/>
      <c r="AB250" s="907" t="n"/>
      <c r="AC250" s="907" t="n"/>
      <c r="AF250" s="907" t="n"/>
      <c r="AG250" s="907" t="n"/>
      <c r="AH250" s="907" t="n"/>
    </row>
    <row r="251">
      <c r="Q251" s="907" t="n"/>
      <c r="R251" s="907" t="n"/>
      <c r="S251" s="907" t="n"/>
      <c r="V251" s="907" t="n"/>
      <c r="W251" s="907" t="n"/>
      <c r="X251" s="907" t="n"/>
      <c r="AA251" s="907" t="n"/>
      <c r="AB251" s="907" t="n"/>
      <c r="AC251" s="907" t="n"/>
      <c r="AF251" s="907" t="n"/>
      <c r="AG251" s="907" t="n"/>
      <c r="AH251" s="907" t="n"/>
    </row>
    <row r="252">
      <c r="Q252" s="907" t="n"/>
      <c r="R252" s="907" t="n"/>
      <c r="S252" s="907" t="n"/>
      <c r="V252" s="907" t="n"/>
      <c r="W252" s="907" t="n"/>
      <c r="X252" s="907" t="n"/>
      <c r="AA252" s="907" t="n"/>
      <c r="AB252" s="907" t="n"/>
      <c r="AC252" s="907" t="n"/>
      <c r="AF252" s="907" t="n"/>
      <c r="AG252" s="907" t="n"/>
      <c r="AH252" s="907" t="n"/>
    </row>
    <row r="253">
      <c r="Q253" s="907" t="n"/>
      <c r="R253" s="907" t="n"/>
      <c r="S253" s="907" t="n"/>
      <c r="V253" s="907" t="n"/>
      <c r="W253" s="907" t="n"/>
      <c r="X253" s="907" t="n"/>
      <c r="AA253" s="907" t="n"/>
      <c r="AB253" s="907" t="n"/>
      <c r="AC253" s="907" t="n"/>
      <c r="AF253" s="907" t="n"/>
      <c r="AG253" s="907" t="n"/>
      <c r="AH253" s="907" t="n"/>
    </row>
    <row r="254">
      <c r="Q254" s="907" t="n"/>
      <c r="R254" s="907" t="n"/>
      <c r="S254" s="907" t="n"/>
      <c r="V254" s="907" t="n"/>
      <c r="W254" s="907" t="n"/>
      <c r="X254" s="907" t="n"/>
      <c r="AA254" s="907" t="n"/>
      <c r="AB254" s="907" t="n"/>
      <c r="AC254" s="907" t="n"/>
      <c r="AF254" s="907" t="n"/>
      <c r="AG254" s="907" t="n"/>
      <c r="AH254" s="907" t="n"/>
    </row>
    <row r="255">
      <c r="Q255" s="907" t="n"/>
      <c r="R255" s="907" t="n"/>
      <c r="S255" s="907" t="n"/>
      <c r="V255" s="907" t="n"/>
      <c r="W255" s="907" t="n"/>
      <c r="X255" s="907" t="n"/>
      <c r="AA255" s="907" t="n"/>
      <c r="AB255" s="907" t="n"/>
      <c r="AC255" s="907" t="n"/>
      <c r="AF255" s="907" t="n"/>
      <c r="AG255" s="907" t="n"/>
      <c r="AH255" s="907" t="n"/>
    </row>
    <row r="256">
      <c r="Q256" s="907" t="n"/>
      <c r="R256" s="907" t="n"/>
      <c r="S256" s="907" t="n"/>
      <c r="V256" s="907" t="n"/>
      <c r="W256" s="907" t="n"/>
      <c r="X256" s="907" t="n"/>
      <c r="AA256" s="907" t="n"/>
      <c r="AB256" s="907" t="n"/>
      <c r="AC256" s="907" t="n"/>
      <c r="AF256" s="907" t="n"/>
      <c r="AG256" s="907" t="n"/>
      <c r="AH256" s="907" t="n"/>
    </row>
    <row r="257">
      <c r="Q257" s="907" t="n"/>
      <c r="R257" s="907" t="n"/>
      <c r="S257" s="907" t="n"/>
      <c r="V257" s="907" t="n"/>
      <c r="W257" s="907" t="n"/>
      <c r="X257" s="907" t="n"/>
      <c r="AA257" s="907" t="n"/>
      <c r="AB257" s="907" t="n"/>
      <c r="AC257" s="907" t="n"/>
      <c r="AF257" s="907" t="n"/>
      <c r="AG257" s="907" t="n"/>
      <c r="AH257" s="907" t="n"/>
    </row>
    <row r="258">
      <c r="Q258" s="907" t="n"/>
      <c r="R258" s="907" t="n"/>
      <c r="S258" s="907" t="n"/>
      <c r="V258" s="907" t="n"/>
      <c r="W258" s="907" t="n"/>
      <c r="X258" s="907" t="n"/>
      <c r="AA258" s="907" t="n"/>
      <c r="AB258" s="907" t="n"/>
      <c r="AC258" s="907" t="n"/>
      <c r="AF258" s="907" t="n"/>
      <c r="AG258" s="907" t="n"/>
      <c r="AH258" s="907" t="n"/>
    </row>
    <row r="259">
      <c r="Q259" s="907" t="n"/>
      <c r="R259" s="907" t="n"/>
      <c r="S259" s="907" t="n"/>
      <c r="V259" s="907" t="n"/>
      <c r="W259" s="907" t="n"/>
      <c r="X259" s="907" t="n"/>
      <c r="AA259" s="907" t="n"/>
      <c r="AB259" s="907" t="n"/>
      <c r="AC259" s="907" t="n"/>
      <c r="AF259" s="907" t="n"/>
      <c r="AG259" s="907" t="n"/>
      <c r="AH259" s="907" t="n"/>
    </row>
    <row r="260">
      <c r="Q260" s="907" t="n"/>
      <c r="R260" s="907" t="n"/>
      <c r="S260" s="907" t="n"/>
      <c r="V260" s="907" t="n"/>
      <c r="W260" s="907" t="n"/>
      <c r="X260" s="907" t="n"/>
      <c r="AA260" s="907" t="n"/>
      <c r="AB260" s="907" t="n"/>
      <c r="AC260" s="907" t="n"/>
      <c r="AF260" s="907" t="n"/>
      <c r="AG260" s="907" t="n"/>
      <c r="AH260" s="907" t="n"/>
    </row>
    <row r="261">
      <c r="Q261" s="907" t="n"/>
      <c r="R261" s="907" t="n"/>
      <c r="S261" s="907" t="n"/>
      <c r="V261" s="907" t="n"/>
      <c r="W261" s="907" t="n"/>
      <c r="X261" s="907" t="n"/>
      <c r="AA261" s="907" t="n"/>
      <c r="AB261" s="907" t="n"/>
      <c r="AC261" s="907" t="n"/>
      <c r="AF261" s="907" t="n"/>
      <c r="AG261" s="907" t="n"/>
      <c r="AH261" s="907" t="n"/>
    </row>
    <row r="262">
      <c r="Q262" s="907" t="n"/>
      <c r="R262" s="907" t="n"/>
      <c r="S262" s="907" t="n"/>
      <c r="V262" s="907" t="n"/>
      <c r="W262" s="907" t="n"/>
      <c r="X262" s="907" t="n"/>
      <c r="AA262" s="907" t="n"/>
      <c r="AB262" s="907" t="n"/>
      <c r="AC262" s="907" t="n"/>
      <c r="AF262" s="907" t="n"/>
      <c r="AG262" s="907" t="n"/>
      <c r="AH262" s="907" t="n"/>
    </row>
    <row r="263">
      <c r="Q263" s="907" t="n"/>
      <c r="R263" s="907" t="n"/>
      <c r="S263" s="907" t="n"/>
      <c r="V263" s="907" t="n"/>
      <c r="W263" s="907" t="n"/>
      <c r="X263" s="907" t="n"/>
      <c r="AA263" s="907" t="n"/>
      <c r="AB263" s="907" t="n"/>
      <c r="AC263" s="907" t="n"/>
      <c r="AF263" s="907" t="n"/>
      <c r="AG263" s="907" t="n"/>
      <c r="AH263" s="907" t="n"/>
    </row>
    <row r="264">
      <c r="Q264" s="907" t="n"/>
      <c r="R264" s="907" t="n"/>
      <c r="S264" s="907" t="n"/>
      <c r="V264" s="907" t="n"/>
      <c r="W264" s="907" t="n"/>
      <c r="X264" s="907" t="n"/>
      <c r="AA264" s="907" t="n"/>
      <c r="AB264" s="907" t="n"/>
      <c r="AC264" s="907" t="n"/>
      <c r="AF264" s="907" t="n"/>
      <c r="AG264" s="907" t="n"/>
      <c r="AH264" s="907" t="n"/>
    </row>
    <row r="265">
      <c r="Q265" s="907" t="n"/>
      <c r="R265" s="907" t="n"/>
      <c r="S265" s="907" t="n"/>
      <c r="V265" s="907" t="n"/>
      <c r="W265" s="907" t="n"/>
      <c r="X265" s="907" t="n"/>
      <c r="AA265" s="907" t="n"/>
      <c r="AB265" s="907" t="n"/>
      <c r="AC265" s="907" t="n"/>
      <c r="AF265" s="907" t="n"/>
      <c r="AG265" s="907" t="n"/>
      <c r="AH265" s="907" t="n"/>
    </row>
    <row r="266">
      <c r="Q266" s="907" t="n"/>
      <c r="R266" s="907" t="n"/>
      <c r="S266" s="907" t="n"/>
      <c r="V266" s="907" t="n"/>
      <c r="W266" s="907" t="n"/>
      <c r="X266" s="907" t="n"/>
      <c r="AA266" s="907" t="n"/>
      <c r="AB266" s="907" t="n"/>
      <c r="AC266" s="907" t="n"/>
      <c r="AF266" s="907" t="n"/>
      <c r="AG266" s="907" t="n"/>
      <c r="AH266" s="907" t="n"/>
    </row>
    <row r="267">
      <c r="Q267" s="907" t="n"/>
      <c r="R267" s="907" t="n"/>
      <c r="S267" s="907" t="n"/>
      <c r="V267" s="907" t="n"/>
      <c r="W267" s="907" t="n"/>
      <c r="X267" s="907" t="n"/>
      <c r="AA267" s="907" t="n"/>
      <c r="AB267" s="907" t="n"/>
      <c r="AC267" s="907" t="n"/>
      <c r="AF267" s="907" t="n"/>
      <c r="AG267" s="907" t="n"/>
      <c r="AH267" s="907" t="n"/>
    </row>
    <row r="268">
      <c r="Q268" s="907" t="n"/>
      <c r="R268" s="907" t="n"/>
      <c r="S268" s="907" t="n"/>
      <c r="V268" s="907" t="n"/>
      <c r="W268" s="907" t="n"/>
      <c r="X268" s="907" t="n"/>
      <c r="AA268" s="907" t="n"/>
      <c r="AB268" s="907" t="n"/>
      <c r="AC268" s="907" t="n"/>
      <c r="AF268" s="907" t="n"/>
      <c r="AG268" s="907" t="n"/>
      <c r="AH268" s="907" t="n"/>
    </row>
    <row r="269">
      <c r="Q269" s="907" t="n"/>
      <c r="R269" s="907" t="n"/>
      <c r="S269" s="907" t="n"/>
      <c r="V269" s="907" t="n"/>
      <c r="W269" s="907" t="n"/>
      <c r="X269" s="907" t="n"/>
      <c r="AA269" s="907" t="n"/>
      <c r="AB269" s="907" t="n"/>
      <c r="AC269" s="907" t="n"/>
      <c r="AF269" s="907" t="n"/>
      <c r="AG269" s="907" t="n"/>
      <c r="AH269" s="907" t="n"/>
    </row>
    <row r="270">
      <c r="Q270" s="907" t="n"/>
      <c r="R270" s="907" t="n"/>
      <c r="S270" s="907" t="n"/>
      <c r="V270" s="907" t="n"/>
      <c r="W270" s="907" t="n"/>
      <c r="X270" s="907" t="n"/>
      <c r="AA270" s="907" t="n"/>
      <c r="AB270" s="907" t="n"/>
      <c r="AC270" s="907" t="n"/>
      <c r="AF270" s="907" t="n"/>
      <c r="AG270" s="907" t="n"/>
      <c r="AH270" s="907" t="n"/>
    </row>
    <row r="271">
      <c r="Q271" s="907" t="n"/>
      <c r="R271" s="907" t="n"/>
      <c r="S271" s="907" t="n"/>
      <c r="V271" s="907" t="n"/>
      <c r="W271" s="907" t="n"/>
      <c r="X271" s="907" t="n"/>
      <c r="AA271" s="907" t="n"/>
      <c r="AB271" s="907" t="n"/>
      <c r="AC271" s="907" t="n"/>
      <c r="AF271" s="907" t="n"/>
      <c r="AG271" s="907" t="n"/>
      <c r="AH271" s="907" t="n"/>
    </row>
    <row r="272">
      <c r="Q272" s="907" t="n"/>
      <c r="R272" s="907" t="n"/>
      <c r="S272" s="907" t="n"/>
      <c r="V272" s="907" t="n"/>
      <c r="W272" s="907" t="n"/>
      <c r="X272" s="907" t="n"/>
      <c r="AA272" s="907" t="n"/>
      <c r="AB272" s="907" t="n"/>
      <c r="AC272" s="907" t="n"/>
      <c r="AF272" s="907" t="n"/>
      <c r="AG272" s="907" t="n"/>
      <c r="AH272" s="907" t="n"/>
    </row>
    <row r="273">
      <c r="Q273" s="907" t="n"/>
      <c r="R273" s="907" t="n"/>
      <c r="S273" s="907" t="n"/>
      <c r="V273" s="907" t="n"/>
      <c r="W273" s="907" t="n"/>
      <c r="X273" s="907" t="n"/>
      <c r="AA273" s="907" t="n"/>
      <c r="AB273" s="907" t="n"/>
      <c r="AC273" s="907" t="n"/>
      <c r="AF273" s="907" t="n"/>
      <c r="AG273" s="907" t="n"/>
      <c r="AH273" s="907" t="n"/>
    </row>
    <row r="274">
      <c r="Q274" s="907" t="n"/>
      <c r="R274" s="907" t="n"/>
      <c r="S274" s="907" t="n"/>
      <c r="V274" s="907" t="n"/>
      <c r="W274" s="907" t="n"/>
      <c r="X274" s="907" t="n"/>
      <c r="AA274" s="907" t="n"/>
      <c r="AB274" s="907" t="n"/>
      <c r="AC274" s="907" t="n"/>
      <c r="AF274" s="907" t="n"/>
      <c r="AG274" s="907" t="n"/>
      <c r="AH274" s="907" t="n"/>
    </row>
    <row r="275">
      <c r="Q275" s="907" t="n"/>
      <c r="R275" s="907" t="n"/>
      <c r="S275" s="907" t="n"/>
      <c r="V275" s="907" t="n"/>
      <c r="W275" s="907" t="n"/>
      <c r="X275" s="907" t="n"/>
      <c r="AA275" s="907" t="n"/>
      <c r="AB275" s="907" t="n"/>
      <c r="AC275" s="907" t="n"/>
      <c r="AF275" s="907" t="n"/>
      <c r="AG275" s="907" t="n"/>
      <c r="AH275" s="907" t="n"/>
    </row>
    <row r="276">
      <c r="Q276" s="907" t="n"/>
      <c r="R276" s="907" t="n"/>
      <c r="S276" s="907" t="n"/>
      <c r="V276" s="907" t="n"/>
      <c r="W276" s="907" t="n"/>
      <c r="X276" s="907" t="n"/>
      <c r="AA276" s="907" t="n"/>
      <c r="AB276" s="907" t="n"/>
      <c r="AC276" s="907" t="n"/>
      <c r="AF276" s="907" t="n"/>
      <c r="AG276" s="907" t="n"/>
      <c r="AH276" s="907" t="n"/>
    </row>
    <row r="277">
      <c r="Q277" s="907" t="n"/>
      <c r="R277" s="907" t="n"/>
      <c r="S277" s="907" t="n"/>
      <c r="V277" s="907" t="n"/>
      <c r="W277" s="907" t="n"/>
      <c r="X277" s="907" t="n"/>
      <c r="AA277" s="907" t="n"/>
      <c r="AB277" s="907" t="n"/>
      <c r="AC277" s="907" t="n"/>
      <c r="AF277" s="907" t="n"/>
      <c r="AG277" s="907" t="n"/>
      <c r="AH277" s="907" t="n"/>
    </row>
    <row r="278">
      <c r="Q278" s="907" t="n"/>
      <c r="R278" s="907" t="n"/>
      <c r="S278" s="907" t="n"/>
      <c r="V278" s="907" t="n"/>
      <c r="W278" s="907" t="n"/>
      <c r="X278" s="907" t="n"/>
      <c r="AA278" s="907" t="n"/>
      <c r="AB278" s="907" t="n"/>
      <c r="AC278" s="907" t="n"/>
      <c r="AF278" s="907" t="n"/>
      <c r="AG278" s="907" t="n"/>
      <c r="AH278" s="907" t="n"/>
    </row>
    <row r="279">
      <c r="Q279" s="907" t="n"/>
      <c r="R279" s="907" t="n"/>
      <c r="S279" s="907" t="n"/>
      <c r="V279" s="907" t="n"/>
      <c r="W279" s="907" t="n"/>
      <c r="X279" s="907" t="n"/>
      <c r="AA279" s="907" t="n"/>
      <c r="AB279" s="907" t="n"/>
      <c r="AC279" s="907" t="n"/>
      <c r="AF279" s="907" t="n"/>
      <c r="AG279" s="907" t="n"/>
      <c r="AH279" s="907" t="n"/>
    </row>
    <row r="280">
      <c r="Q280" s="907" t="n"/>
      <c r="R280" s="907" t="n"/>
      <c r="S280" s="907" t="n"/>
      <c r="V280" s="907" t="n"/>
      <c r="W280" s="907" t="n"/>
      <c r="X280" s="907" t="n"/>
      <c r="AA280" s="907" t="n"/>
      <c r="AB280" s="907" t="n"/>
      <c r="AC280" s="907" t="n"/>
      <c r="AF280" s="907" t="n"/>
      <c r="AG280" s="907" t="n"/>
      <c r="AH280" s="907" t="n"/>
    </row>
    <row r="281">
      <c r="Q281" s="907" t="n"/>
      <c r="R281" s="907" t="n"/>
      <c r="S281" s="907" t="n"/>
      <c r="V281" s="907" t="n"/>
      <c r="W281" s="907" t="n"/>
      <c r="X281" s="907" t="n"/>
      <c r="AA281" s="907" t="n"/>
      <c r="AB281" s="907" t="n"/>
      <c r="AC281" s="907" t="n"/>
      <c r="AF281" s="907" t="n"/>
      <c r="AG281" s="907" t="n"/>
      <c r="AH281" s="907" t="n"/>
    </row>
    <row r="282">
      <c r="Q282" s="907" t="n"/>
      <c r="R282" s="907" t="n"/>
      <c r="S282" s="907" t="n"/>
      <c r="V282" s="907" t="n"/>
      <c r="W282" s="907" t="n"/>
      <c r="X282" s="907" t="n"/>
      <c r="AA282" s="907" t="n"/>
      <c r="AB282" s="907" t="n"/>
      <c r="AC282" s="907" t="n"/>
      <c r="AF282" s="907" t="n"/>
      <c r="AG282" s="907" t="n"/>
      <c r="AH282" s="907" t="n"/>
    </row>
    <row r="283">
      <c r="Q283" s="907" t="n"/>
      <c r="R283" s="907" t="n"/>
      <c r="S283" s="907" t="n"/>
      <c r="V283" s="907" t="n"/>
      <c r="W283" s="907" t="n"/>
      <c r="X283" s="907" t="n"/>
      <c r="AA283" s="907" t="n"/>
      <c r="AB283" s="907" t="n"/>
      <c r="AC283" s="907" t="n"/>
      <c r="AF283" s="907" t="n"/>
      <c r="AG283" s="907" t="n"/>
      <c r="AH283" s="907" t="n"/>
    </row>
    <row r="284">
      <c r="Q284" s="907" t="n"/>
      <c r="R284" s="907" t="n"/>
      <c r="S284" s="907" t="n"/>
      <c r="V284" s="907" t="n"/>
      <c r="W284" s="907" t="n"/>
      <c r="X284" s="907" t="n"/>
      <c r="AA284" s="907" t="n"/>
      <c r="AB284" s="907" t="n"/>
      <c r="AC284" s="907" t="n"/>
      <c r="AF284" s="907" t="n"/>
      <c r="AG284" s="907" t="n"/>
      <c r="AH284" s="907" t="n"/>
    </row>
    <row r="285">
      <c r="Q285" s="907" t="n"/>
      <c r="R285" s="907" t="n"/>
      <c r="S285" s="907" t="n"/>
      <c r="V285" s="907" t="n"/>
      <c r="W285" s="907" t="n"/>
      <c r="X285" s="907" t="n"/>
      <c r="AA285" s="907" t="n"/>
      <c r="AB285" s="907" t="n"/>
      <c r="AC285" s="907" t="n"/>
      <c r="AF285" s="907" t="n"/>
      <c r="AG285" s="907" t="n"/>
      <c r="AH285" s="907" t="n"/>
    </row>
    <row r="286">
      <c r="Q286" s="907" t="n"/>
      <c r="R286" s="907" t="n"/>
      <c r="S286" s="907" t="n"/>
      <c r="V286" s="907" t="n"/>
      <c r="W286" s="907" t="n"/>
      <c r="X286" s="907" t="n"/>
      <c r="AA286" s="907" t="n"/>
      <c r="AB286" s="907" t="n"/>
      <c r="AC286" s="907" t="n"/>
      <c r="AF286" s="907" t="n"/>
      <c r="AG286" s="907" t="n"/>
      <c r="AH286" s="907" t="n"/>
    </row>
    <row r="287">
      <c r="Q287" s="907" t="n"/>
      <c r="R287" s="907" t="n"/>
      <c r="S287" s="907" t="n"/>
      <c r="V287" s="907" t="n"/>
      <c r="W287" s="907" t="n"/>
      <c r="X287" s="907" t="n"/>
      <c r="AA287" s="907" t="n"/>
      <c r="AB287" s="907" t="n"/>
      <c r="AC287" s="907" t="n"/>
      <c r="AF287" s="907" t="n"/>
      <c r="AG287" s="907" t="n"/>
      <c r="AH287" s="907" t="n"/>
    </row>
    <row r="288">
      <c r="Q288" s="907" t="n"/>
      <c r="R288" s="907" t="n"/>
      <c r="S288" s="907" t="n"/>
      <c r="V288" s="907" t="n"/>
      <c r="W288" s="907" t="n"/>
      <c r="X288" s="907" t="n"/>
      <c r="AA288" s="907" t="n"/>
      <c r="AB288" s="907" t="n"/>
      <c r="AC288" s="907" t="n"/>
      <c r="AF288" s="907" t="n"/>
      <c r="AG288" s="907" t="n"/>
      <c r="AH288" s="907" t="n"/>
    </row>
    <row r="289">
      <c r="Q289" s="907" t="n"/>
      <c r="R289" s="907" t="n"/>
      <c r="S289" s="907" t="n"/>
      <c r="V289" s="907" t="n"/>
      <c r="W289" s="907" t="n"/>
      <c r="X289" s="907" t="n"/>
      <c r="AA289" s="907" t="n"/>
      <c r="AB289" s="907" t="n"/>
      <c r="AC289" s="907" t="n"/>
      <c r="AF289" s="907" t="n"/>
      <c r="AG289" s="907" t="n"/>
      <c r="AH289" s="907" t="n"/>
    </row>
    <row r="290">
      <c r="Q290" s="907" t="n"/>
      <c r="R290" s="907" t="n"/>
      <c r="S290" s="907" t="n"/>
      <c r="V290" s="907" t="n"/>
      <c r="W290" s="907" t="n"/>
      <c r="X290" s="907" t="n"/>
      <c r="AA290" s="907" t="n"/>
      <c r="AB290" s="907" t="n"/>
      <c r="AC290" s="907" t="n"/>
      <c r="AF290" s="907" t="n"/>
      <c r="AG290" s="907" t="n"/>
      <c r="AH290" s="907" t="n"/>
    </row>
    <row r="291">
      <c r="Q291" s="907" t="n"/>
      <c r="R291" s="907" t="n"/>
      <c r="S291" s="907" t="n"/>
      <c r="V291" s="907" t="n"/>
      <c r="W291" s="907" t="n"/>
      <c r="X291" s="907" t="n"/>
      <c r="AA291" s="907" t="n"/>
      <c r="AB291" s="907" t="n"/>
      <c r="AC291" s="907" t="n"/>
      <c r="AF291" s="907" t="n"/>
      <c r="AG291" s="907" t="n"/>
      <c r="AH291" s="907" t="n"/>
    </row>
    <row r="292">
      <c r="Q292" s="907" t="n"/>
      <c r="R292" s="907" t="n"/>
      <c r="S292" s="907" t="n"/>
      <c r="V292" s="907" t="n"/>
      <c r="W292" s="907" t="n"/>
      <c r="X292" s="907" t="n"/>
      <c r="AA292" s="907" t="n"/>
      <c r="AB292" s="907" t="n"/>
      <c r="AC292" s="907" t="n"/>
      <c r="AF292" s="907" t="n"/>
      <c r="AG292" s="907" t="n"/>
      <c r="AH292" s="907" t="n"/>
    </row>
    <row r="293">
      <c r="Q293" s="907" t="n"/>
      <c r="R293" s="907" t="n"/>
      <c r="S293" s="907" t="n"/>
      <c r="V293" s="907" t="n"/>
      <c r="W293" s="907" t="n"/>
      <c r="X293" s="907" t="n"/>
      <c r="AA293" s="907" t="n"/>
      <c r="AB293" s="907" t="n"/>
      <c r="AC293" s="907" t="n"/>
      <c r="AF293" s="907" t="n"/>
      <c r="AG293" s="907" t="n"/>
      <c r="AH293" s="907" t="n"/>
    </row>
    <row r="294">
      <c r="Q294" s="907" t="n"/>
      <c r="R294" s="907" t="n"/>
      <c r="S294" s="907" t="n"/>
      <c r="V294" s="907" t="n"/>
      <c r="W294" s="907" t="n"/>
      <c r="X294" s="907" t="n"/>
      <c r="AA294" s="907" t="n"/>
      <c r="AB294" s="907" t="n"/>
      <c r="AC294" s="907" t="n"/>
      <c r="AF294" s="907" t="n"/>
      <c r="AG294" s="907" t="n"/>
      <c r="AH294" s="907" t="n"/>
    </row>
    <row r="295">
      <c r="Q295" s="907" t="n"/>
      <c r="R295" s="907" t="n"/>
      <c r="S295" s="907" t="n"/>
      <c r="V295" s="907" t="n"/>
      <c r="W295" s="907" t="n"/>
      <c r="X295" s="907" t="n"/>
      <c r="AA295" s="907" t="n"/>
      <c r="AB295" s="907" t="n"/>
      <c r="AC295" s="907" t="n"/>
      <c r="AF295" s="907" t="n"/>
      <c r="AG295" s="907" t="n"/>
      <c r="AH295" s="907" t="n"/>
    </row>
    <row r="296">
      <c r="Q296" s="907" t="n"/>
      <c r="R296" s="907" t="n"/>
      <c r="S296" s="907" t="n"/>
      <c r="V296" s="907" t="n"/>
      <c r="W296" s="907" t="n"/>
      <c r="X296" s="907" t="n"/>
      <c r="AA296" s="907" t="n"/>
      <c r="AB296" s="907" t="n"/>
      <c r="AC296" s="907" t="n"/>
      <c r="AF296" s="907" t="n"/>
      <c r="AG296" s="907" t="n"/>
      <c r="AH296" s="907" t="n"/>
    </row>
    <row r="297">
      <c r="Q297" s="907" t="n"/>
      <c r="R297" s="907" t="n"/>
      <c r="S297" s="907" t="n"/>
      <c r="V297" s="907" t="n"/>
      <c r="W297" s="907" t="n"/>
      <c r="X297" s="907" t="n"/>
      <c r="AA297" s="907" t="n"/>
      <c r="AB297" s="907" t="n"/>
      <c r="AC297" s="907" t="n"/>
      <c r="AF297" s="907" t="n"/>
      <c r="AG297" s="907" t="n"/>
      <c r="AH297" s="907" t="n"/>
    </row>
    <row r="298">
      <c r="Q298" s="907" t="n"/>
      <c r="R298" s="907" t="n"/>
      <c r="S298" s="907" t="n"/>
      <c r="V298" s="907" t="n"/>
      <c r="W298" s="907" t="n"/>
      <c r="X298" s="907" t="n"/>
      <c r="AA298" s="907" t="n"/>
      <c r="AB298" s="907" t="n"/>
      <c r="AC298" s="907" t="n"/>
      <c r="AF298" s="907" t="n"/>
      <c r="AG298" s="907" t="n"/>
      <c r="AH298" s="907" t="n"/>
    </row>
    <row r="299">
      <c r="Q299" s="907" t="n"/>
      <c r="R299" s="907" t="n"/>
      <c r="S299" s="907" t="n"/>
      <c r="V299" s="907" t="n"/>
      <c r="W299" s="907" t="n"/>
      <c r="X299" s="907" t="n"/>
      <c r="AA299" s="907" t="n"/>
      <c r="AB299" s="907" t="n"/>
      <c r="AC299" s="907" t="n"/>
      <c r="AF299" s="907" t="n"/>
      <c r="AG299" s="907" t="n"/>
      <c r="AH299" s="907" t="n"/>
    </row>
    <row r="300">
      <c r="Q300" s="907" t="n"/>
      <c r="R300" s="907" t="n"/>
      <c r="S300" s="907" t="n"/>
      <c r="V300" s="907" t="n"/>
      <c r="W300" s="907" t="n"/>
      <c r="X300" s="907" t="n"/>
      <c r="AA300" s="907" t="n"/>
      <c r="AB300" s="907" t="n"/>
      <c r="AC300" s="907" t="n"/>
      <c r="AF300" s="907" t="n"/>
      <c r="AG300" s="907" t="n"/>
      <c r="AH300" s="907" t="n"/>
    </row>
    <row r="301">
      <c r="Q301" s="907" t="n"/>
      <c r="R301" s="907" t="n"/>
      <c r="S301" s="907" t="n"/>
      <c r="V301" s="907" t="n"/>
      <c r="W301" s="907" t="n"/>
      <c r="X301" s="907" t="n"/>
      <c r="AA301" s="907" t="n"/>
      <c r="AB301" s="907" t="n"/>
      <c r="AC301" s="907" t="n"/>
      <c r="AF301" s="907" t="n"/>
      <c r="AG301" s="907" t="n"/>
      <c r="AH301" s="907" t="n"/>
    </row>
    <row r="302">
      <c r="Q302" s="907" t="n"/>
      <c r="R302" s="907" t="n"/>
      <c r="S302" s="907" t="n"/>
      <c r="V302" s="907" t="n"/>
      <c r="W302" s="907" t="n"/>
      <c r="X302" s="907" t="n"/>
      <c r="AA302" s="907" t="n"/>
      <c r="AB302" s="907" t="n"/>
      <c r="AC302" s="907" t="n"/>
      <c r="AF302" s="907" t="n"/>
      <c r="AG302" s="907" t="n"/>
      <c r="AH302" s="907" t="n"/>
    </row>
    <row r="303">
      <c r="Q303" s="907" t="n"/>
      <c r="R303" s="907" t="n"/>
      <c r="S303" s="907" t="n"/>
      <c r="V303" s="907" t="n"/>
      <c r="W303" s="907" t="n"/>
      <c r="X303" s="907" t="n"/>
      <c r="AA303" s="907" t="n"/>
      <c r="AB303" s="907" t="n"/>
      <c r="AC303" s="907" t="n"/>
      <c r="AF303" s="907" t="n"/>
      <c r="AG303" s="907" t="n"/>
      <c r="AH303" s="907" t="n"/>
    </row>
    <row r="304">
      <c r="Q304" s="907" t="n"/>
      <c r="R304" s="907" t="n"/>
      <c r="S304" s="907" t="n"/>
      <c r="V304" s="907" t="n"/>
      <c r="W304" s="907" t="n"/>
      <c r="X304" s="907" t="n"/>
      <c r="AA304" s="907" t="n"/>
      <c r="AB304" s="907" t="n"/>
      <c r="AC304" s="907" t="n"/>
      <c r="AF304" s="907" t="n"/>
      <c r="AG304" s="907" t="n"/>
      <c r="AH304" s="907" t="n"/>
    </row>
    <row r="305">
      <c r="Q305" s="907" t="n"/>
      <c r="R305" s="907" t="n"/>
      <c r="S305" s="907" t="n"/>
      <c r="V305" s="907" t="n"/>
      <c r="W305" s="907" t="n"/>
      <c r="X305" s="907" t="n"/>
      <c r="AA305" s="907" t="n"/>
      <c r="AB305" s="907" t="n"/>
      <c r="AC305" s="907" t="n"/>
      <c r="AF305" s="907" t="n"/>
      <c r="AG305" s="907" t="n"/>
      <c r="AH305" s="907" t="n"/>
    </row>
    <row r="306">
      <c r="Q306" s="907" t="n"/>
      <c r="R306" s="907" t="n"/>
      <c r="S306" s="907" t="n"/>
      <c r="V306" s="907" t="n"/>
      <c r="W306" s="907" t="n"/>
      <c r="X306" s="907" t="n"/>
      <c r="AA306" s="907" t="n"/>
      <c r="AB306" s="907" t="n"/>
      <c r="AC306" s="907" t="n"/>
      <c r="AF306" s="907" t="n"/>
      <c r="AG306" s="907" t="n"/>
      <c r="AH306" s="907" t="n"/>
    </row>
    <row r="307">
      <c r="Q307" s="907" t="n"/>
      <c r="R307" s="907" t="n"/>
      <c r="S307" s="907" t="n"/>
      <c r="V307" s="907" t="n"/>
      <c r="W307" s="907" t="n"/>
      <c r="X307" s="907" t="n"/>
      <c r="AA307" s="907" t="n"/>
      <c r="AB307" s="907" t="n"/>
      <c r="AC307" s="907" t="n"/>
      <c r="AF307" s="907" t="n"/>
      <c r="AG307" s="907" t="n"/>
      <c r="AH307" s="907" t="n"/>
    </row>
    <row r="308">
      <c r="Q308" s="907" t="n"/>
      <c r="R308" s="907" t="n"/>
      <c r="S308" s="907" t="n"/>
      <c r="V308" s="907" t="n"/>
      <c r="W308" s="907" t="n"/>
      <c r="X308" s="907" t="n"/>
      <c r="AA308" s="907" t="n"/>
      <c r="AB308" s="907" t="n"/>
      <c r="AC308" s="907" t="n"/>
      <c r="AF308" s="907" t="n"/>
      <c r="AG308" s="907" t="n"/>
      <c r="AH308" s="907" t="n"/>
    </row>
    <row r="309">
      <c r="Q309" s="907" t="n"/>
      <c r="R309" s="907" t="n"/>
      <c r="S309" s="907" t="n"/>
      <c r="V309" s="907" t="n"/>
      <c r="W309" s="907" t="n"/>
      <c r="X309" s="907" t="n"/>
      <c r="AA309" s="907" t="n"/>
      <c r="AB309" s="907" t="n"/>
      <c r="AC309" s="907" t="n"/>
      <c r="AF309" s="907" t="n"/>
      <c r="AG309" s="907" t="n"/>
      <c r="AH309" s="907" t="n"/>
    </row>
    <row r="310">
      <c r="Q310" s="907" t="n"/>
      <c r="R310" s="907" t="n"/>
      <c r="S310" s="907" t="n"/>
      <c r="V310" s="907" t="n"/>
      <c r="W310" s="907" t="n"/>
      <c r="X310" s="907" t="n"/>
      <c r="AA310" s="907" t="n"/>
      <c r="AB310" s="907" t="n"/>
      <c r="AC310" s="907" t="n"/>
      <c r="AF310" s="907" t="n"/>
      <c r="AG310" s="907" t="n"/>
      <c r="AH310" s="907" t="n"/>
    </row>
    <row r="311">
      <c r="Q311" s="907" t="n"/>
      <c r="R311" s="907" t="n"/>
      <c r="S311" s="907" t="n"/>
      <c r="V311" s="907" t="n"/>
      <c r="W311" s="907" t="n"/>
      <c r="X311" s="907" t="n"/>
      <c r="AA311" s="907" t="n"/>
      <c r="AB311" s="907" t="n"/>
      <c r="AC311" s="907" t="n"/>
      <c r="AF311" s="907" t="n"/>
      <c r="AG311" s="907" t="n"/>
      <c r="AH311" s="907" t="n"/>
    </row>
    <row r="312">
      <c r="Q312" s="907" t="n"/>
      <c r="R312" s="907" t="n"/>
      <c r="S312" s="907" t="n"/>
      <c r="V312" s="907" t="n"/>
      <c r="W312" s="907" t="n"/>
      <c r="X312" s="907" t="n"/>
      <c r="AA312" s="907" t="n"/>
      <c r="AB312" s="907" t="n"/>
      <c r="AC312" s="907" t="n"/>
      <c r="AF312" s="907" t="n"/>
      <c r="AG312" s="907" t="n"/>
      <c r="AH312" s="907" t="n"/>
    </row>
    <row r="313">
      <c r="Q313" s="907" t="n"/>
      <c r="R313" s="907" t="n"/>
      <c r="S313" s="907" t="n"/>
      <c r="V313" s="907" t="n"/>
      <c r="W313" s="907" t="n"/>
      <c r="X313" s="907" t="n"/>
      <c r="AA313" s="907" t="n"/>
      <c r="AB313" s="907" t="n"/>
      <c r="AC313" s="907" t="n"/>
      <c r="AF313" s="907" t="n"/>
      <c r="AG313" s="907" t="n"/>
      <c r="AH313" s="907" t="n"/>
    </row>
    <row r="314">
      <c r="Q314" s="907" t="n"/>
      <c r="R314" s="907" t="n"/>
      <c r="S314" s="907" t="n"/>
      <c r="V314" s="907" t="n"/>
      <c r="W314" s="907" t="n"/>
      <c r="X314" s="907" t="n"/>
      <c r="AA314" s="907" t="n"/>
      <c r="AB314" s="907" t="n"/>
      <c r="AC314" s="907" t="n"/>
      <c r="AF314" s="907" t="n"/>
      <c r="AG314" s="907" t="n"/>
      <c r="AH314" s="907" t="n"/>
    </row>
    <row r="315">
      <c r="Q315" s="907" t="n"/>
      <c r="R315" s="907" t="n"/>
      <c r="S315" s="907" t="n"/>
      <c r="V315" s="907" t="n"/>
      <c r="W315" s="907" t="n"/>
      <c r="X315" s="907" t="n"/>
      <c r="AA315" s="907" t="n"/>
      <c r="AB315" s="907" t="n"/>
      <c r="AC315" s="907" t="n"/>
      <c r="AF315" s="907" t="n"/>
      <c r="AG315" s="907" t="n"/>
      <c r="AH315" s="907" t="n"/>
    </row>
    <row r="316">
      <c r="Q316" s="907" t="n"/>
      <c r="R316" s="907" t="n"/>
      <c r="S316" s="907" t="n"/>
      <c r="V316" s="907" t="n"/>
      <c r="W316" s="907" t="n"/>
      <c r="X316" s="907" t="n"/>
      <c r="AA316" s="907" t="n"/>
      <c r="AB316" s="907" t="n"/>
      <c r="AC316" s="907" t="n"/>
      <c r="AF316" s="907" t="n"/>
      <c r="AG316" s="907" t="n"/>
      <c r="AH316" s="907" t="n"/>
    </row>
    <row r="317">
      <c r="Q317" s="907" t="n"/>
      <c r="R317" s="907" t="n"/>
      <c r="S317" s="907" t="n"/>
      <c r="V317" s="907" t="n"/>
      <c r="W317" s="907" t="n"/>
      <c r="X317" s="907" t="n"/>
      <c r="AA317" s="907" t="n"/>
      <c r="AB317" s="907" t="n"/>
      <c r="AC317" s="907" t="n"/>
      <c r="AF317" s="907" t="n"/>
      <c r="AG317" s="907" t="n"/>
      <c r="AH317" s="907" t="n"/>
    </row>
    <row r="318">
      <c r="Q318" s="907" t="n"/>
      <c r="R318" s="907" t="n"/>
      <c r="S318" s="907" t="n"/>
      <c r="V318" s="907" t="n"/>
      <c r="W318" s="907" t="n"/>
      <c r="X318" s="907" t="n"/>
      <c r="AA318" s="907" t="n"/>
      <c r="AB318" s="907" t="n"/>
      <c r="AC318" s="907" t="n"/>
      <c r="AF318" s="907" t="n"/>
      <c r="AG318" s="907" t="n"/>
      <c r="AH318" s="907" t="n"/>
    </row>
    <row r="319">
      <c r="Q319" s="907" t="n"/>
      <c r="R319" s="907" t="n"/>
      <c r="S319" s="907" t="n"/>
      <c r="V319" s="907" t="n"/>
      <c r="W319" s="907" t="n"/>
      <c r="X319" s="907" t="n"/>
      <c r="AA319" s="907" t="n"/>
      <c r="AB319" s="907" t="n"/>
      <c r="AC319" s="907" t="n"/>
      <c r="AF319" s="907" t="n"/>
      <c r="AG319" s="907" t="n"/>
      <c r="AH319" s="907" t="n"/>
    </row>
    <row r="320">
      <c r="Q320" s="907" t="n"/>
      <c r="R320" s="907" t="n"/>
      <c r="S320" s="907" t="n"/>
      <c r="V320" s="907" t="n"/>
      <c r="W320" s="907" t="n"/>
      <c r="X320" s="907" t="n"/>
      <c r="AA320" s="907" t="n"/>
      <c r="AB320" s="907" t="n"/>
      <c r="AC320" s="907" t="n"/>
      <c r="AF320" s="907" t="n"/>
      <c r="AG320" s="907" t="n"/>
      <c r="AH320" s="907" t="n"/>
    </row>
    <row r="321">
      <c r="Q321" s="907" t="n"/>
      <c r="R321" s="907" t="n"/>
      <c r="S321" s="907" t="n"/>
      <c r="V321" s="907" t="n"/>
      <c r="W321" s="907" t="n"/>
      <c r="X321" s="907" t="n"/>
      <c r="AA321" s="907" t="n"/>
      <c r="AB321" s="907" t="n"/>
      <c r="AC321" s="907" t="n"/>
      <c r="AF321" s="907" t="n"/>
      <c r="AG321" s="907" t="n"/>
      <c r="AH321" s="907" t="n"/>
    </row>
    <row r="322">
      <c r="Q322" s="907" t="n"/>
      <c r="R322" s="907" t="n"/>
      <c r="S322" s="907" t="n"/>
      <c r="V322" s="907" t="n"/>
      <c r="W322" s="907" t="n"/>
      <c r="X322" s="907" t="n"/>
      <c r="AA322" s="907" t="n"/>
      <c r="AB322" s="907" t="n"/>
      <c r="AC322" s="907" t="n"/>
      <c r="AF322" s="907" t="n"/>
      <c r="AG322" s="907" t="n"/>
      <c r="AH322" s="907" t="n"/>
    </row>
    <row r="323">
      <c r="Q323" s="907" t="n"/>
      <c r="R323" s="907" t="n"/>
      <c r="S323" s="907" t="n"/>
      <c r="V323" s="907" t="n"/>
      <c r="W323" s="907" t="n"/>
      <c r="X323" s="907" t="n"/>
      <c r="AA323" s="907" t="n"/>
      <c r="AB323" s="907" t="n"/>
      <c r="AC323" s="907" t="n"/>
      <c r="AF323" s="907" t="n"/>
      <c r="AG323" s="907" t="n"/>
      <c r="AH323" s="907" t="n"/>
    </row>
    <row r="324">
      <c r="Q324" s="907" t="n"/>
      <c r="R324" s="907" t="n"/>
      <c r="S324" s="907" t="n"/>
      <c r="V324" s="907" t="n"/>
      <c r="W324" s="907" t="n"/>
      <c r="X324" s="907" t="n"/>
      <c r="AA324" s="907" t="n"/>
      <c r="AB324" s="907" t="n"/>
      <c r="AC324" s="907" t="n"/>
      <c r="AF324" s="907" t="n"/>
      <c r="AG324" s="907" t="n"/>
      <c r="AH324" s="907" t="n"/>
    </row>
    <row r="325">
      <c r="Q325" s="907" t="n"/>
      <c r="R325" s="907" t="n"/>
      <c r="S325" s="907" t="n"/>
      <c r="V325" s="907" t="n"/>
      <c r="W325" s="907" t="n"/>
      <c r="X325" s="907" t="n"/>
      <c r="AA325" s="907" t="n"/>
      <c r="AB325" s="907" t="n"/>
      <c r="AC325" s="907" t="n"/>
      <c r="AF325" s="907" t="n"/>
      <c r="AG325" s="907" t="n"/>
      <c r="AH325" s="907" t="n"/>
    </row>
    <row r="326">
      <c r="Q326" s="907" t="n"/>
      <c r="R326" s="907" t="n"/>
      <c r="S326" s="907" t="n"/>
      <c r="V326" s="907" t="n"/>
      <c r="W326" s="907" t="n"/>
      <c r="X326" s="907" t="n"/>
      <c r="AA326" s="907" t="n"/>
      <c r="AB326" s="907" t="n"/>
      <c r="AC326" s="907" t="n"/>
      <c r="AF326" s="907" t="n"/>
      <c r="AG326" s="907" t="n"/>
      <c r="AH326" s="907" t="n"/>
    </row>
    <row r="327">
      <c r="Q327" s="907" t="n"/>
      <c r="R327" s="907" t="n"/>
      <c r="S327" s="907" t="n"/>
      <c r="V327" s="907" t="n"/>
      <c r="W327" s="907" t="n"/>
      <c r="X327" s="907" t="n"/>
      <c r="AA327" s="907" t="n"/>
      <c r="AB327" s="907" t="n"/>
      <c r="AC327" s="907" t="n"/>
      <c r="AF327" s="907" t="n"/>
      <c r="AG327" s="907" t="n"/>
      <c r="AH327" s="907" t="n"/>
    </row>
    <row r="328">
      <c r="Q328" s="907" t="n"/>
      <c r="R328" s="907" t="n"/>
      <c r="S328" s="907" t="n"/>
      <c r="V328" s="907" t="n"/>
      <c r="W328" s="907" t="n"/>
      <c r="X328" s="907" t="n"/>
      <c r="AA328" s="907" t="n"/>
      <c r="AB328" s="907" t="n"/>
      <c r="AC328" s="907" t="n"/>
      <c r="AF328" s="907" t="n"/>
      <c r="AG328" s="907" t="n"/>
      <c r="AH328" s="907" t="n"/>
    </row>
    <row r="329">
      <c r="Q329" s="907" t="n"/>
      <c r="R329" s="907" t="n"/>
      <c r="S329" s="907" t="n"/>
      <c r="V329" s="907" t="n"/>
      <c r="W329" s="907" t="n"/>
      <c r="X329" s="907" t="n"/>
      <c r="AA329" s="907" t="n"/>
      <c r="AB329" s="907" t="n"/>
      <c r="AC329" s="907" t="n"/>
      <c r="AF329" s="907" t="n"/>
      <c r="AG329" s="907" t="n"/>
      <c r="AH329" s="907" t="n"/>
    </row>
    <row r="330">
      <c r="Q330" s="907" t="n"/>
      <c r="R330" s="907" t="n"/>
      <c r="S330" s="907" t="n"/>
      <c r="V330" s="907" t="n"/>
      <c r="W330" s="907" t="n"/>
      <c r="X330" s="907" t="n"/>
      <c r="AA330" s="907" t="n"/>
      <c r="AB330" s="907" t="n"/>
      <c r="AC330" s="907" t="n"/>
      <c r="AF330" s="907" t="n"/>
      <c r="AG330" s="907" t="n"/>
      <c r="AH330" s="907" t="n"/>
    </row>
    <row r="331">
      <c r="Q331" s="907" t="n"/>
      <c r="R331" s="907" t="n"/>
      <c r="S331" s="907" t="n"/>
      <c r="V331" s="907" t="n"/>
      <c r="W331" s="907" t="n"/>
      <c r="X331" s="907" t="n"/>
      <c r="AA331" s="907" t="n"/>
      <c r="AB331" s="907" t="n"/>
      <c r="AC331" s="907" t="n"/>
      <c r="AF331" s="907" t="n"/>
      <c r="AG331" s="907" t="n"/>
      <c r="AH331" s="907" t="n"/>
    </row>
    <row r="332">
      <c r="Q332" s="907" t="n"/>
      <c r="R332" s="907" t="n"/>
      <c r="S332" s="907" t="n"/>
      <c r="V332" s="907" t="n"/>
      <c r="W332" s="907" t="n"/>
      <c r="X332" s="907" t="n"/>
      <c r="AA332" s="907" t="n"/>
      <c r="AB332" s="907" t="n"/>
      <c r="AC332" s="907" t="n"/>
      <c r="AF332" s="907" t="n"/>
      <c r="AG332" s="907" t="n"/>
      <c r="AH332" s="907" t="n"/>
    </row>
    <row r="333">
      <c r="Q333" s="907" t="n"/>
      <c r="R333" s="907" t="n"/>
      <c r="S333" s="907" t="n"/>
      <c r="V333" s="907" t="n"/>
      <c r="W333" s="907" t="n"/>
      <c r="X333" s="907" t="n"/>
      <c r="AA333" s="907" t="n"/>
      <c r="AB333" s="907" t="n"/>
      <c r="AC333" s="907" t="n"/>
      <c r="AF333" s="907" t="n"/>
      <c r="AG333" s="907" t="n"/>
      <c r="AH333" s="907" t="n"/>
    </row>
    <row r="334">
      <c r="Q334" s="907" t="n"/>
      <c r="R334" s="907" t="n"/>
      <c r="S334" s="907" t="n"/>
      <c r="V334" s="907" t="n"/>
      <c r="W334" s="907" t="n"/>
      <c r="X334" s="907" t="n"/>
      <c r="AA334" s="907" t="n"/>
      <c r="AB334" s="907" t="n"/>
      <c r="AC334" s="907" t="n"/>
      <c r="AF334" s="907" t="n"/>
      <c r="AG334" s="907" t="n"/>
      <c r="AH334" s="907" t="n"/>
    </row>
    <row r="335">
      <c r="Q335" s="907" t="n"/>
      <c r="R335" s="907" t="n"/>
      <c r="S335" s="907" t="n"/>
      <c r="V335" s="907" t="n"/>
      <c r="W335" s="907" t="n"/>
      <c r="X335" s="907" t="n"/>
      <c r="AA335" s="907" t="n"/>
      <c r="AB335" s="907" t="n"/>
      <c r="AC335" s="907" t="n"/>
      <c r="AF335" s="907" t="n"/>
      <c r="AG335" s="907" t="n"/>
      <c r="AH335" s="907" t="n"/>
    </row>
    <row r="336">
      <c r="Q336" s="907" t="n"/>
      <c r="R336" s="907" t="n"/>
      <c r="S336" s="907" t="n"/>
      <c r="V336" s="907" t="n"/>
      <c r="W336" s="907" t="n"/>
      <c r="X336" s="907" t="n"/>
      <c r="AA336" s="907" t="n"/>
      <c r="AB336" s="907" t="n"/>
      <c r="AC336" s="907" t="n"/>
      <c r="AF336" s="907" t="n"/>
      <c r="AG336" s="907" t="n"/>
      <c r="AH336" s="907" t="n"/>
    </row>
    <row r="337">
      <c r="Q337" s="907" t="n"/>
      <c r="R337" s="907" t="n"/>
      <c r="S337" s="907" t="n"/>
      <c r="V337" s="907" t="n"/>
      <c r="W337" s="907" t="n"/>
      <c r="X337" s="907" t="n"/>
      <c r="AA337" s="907" t="n"/>
      <c r="AB337" s="907" t="n"/>
      <c r="AC337" s="907" t="n"/>
      <c r="AF337" s="907" t="n"/>
      <c r="AG337" s="907" t="n"/>
      <c r="AH337" s="907" t="n"/>
    </row>
    <row r="338">
      <c r="Q338" s="907" t="n"/>
      <c r="R338" s="907" t="n"/>
      <c r="S338" s="907" t="n"/>
      <c r="V338" s="907" t="n"/>
      <c r="W338" s="907" t="n"/>
      <c r="X338" s="907" t="n"/>
      <c r="AA338" s="907" t="n"/>
      <c r="AB338" s="907" t="n"/>
      <c r="AC338" s="907" t="n"/>
      <c r="AF338" s="907" t="n"/>
      <c r="AG338" s="907" t="n"/>
      <c r="AH338" s="907" t="n"/>
    </row>
    <row r="339">
      <c r="Q339" s="907" t="n"/>
      <c r="R339" s="907" t="n"/>
      <c r="S339" s="907" t="n"/>
      <c r="V339" s="907" t="n"/>
      <c r="W339" s="907" t="n"/>
      <c r="X339" s="907" t="n"/>
      <c r="AA339" s="907" t="n"/>
      <c r="AB339" s="907" t="n"/>
      <c r="AC339" s="907" t="n"/>
      <c r="AF339" s="907" t="n"/>
      <c r="AG339" s="907" t="n"/>
      <c r="AH339" s="907" t="n"/>
    </row>
    <row r="340">
      <c r="Q340" s="907" t="n"/>
      <c r="R340" s="907" t="n"/>
      <c r="S340" s="907" t="n"/>
      <c r="V340" s="907" t="n"/>
      <c r="W340" s="907" t="n"/>
      <c r="X340" s="907" t="n"/>
      <c r="AA340" s="907" t="n"/>
      <c r="AB340" s="907" t="n"/>
      <c r="AC340" s="907" t="n"/>
      <c r="AF340" s="907" t="n"/>
      <c r="AG340" s="907" t="n"/>
      <c r="AH340" s="907" t="n"/>
    </row>
    <row r="341">
      <c r="Q341" s="907" t="n"/>
      <c r="R341" s="907" t="n"/>
      <c r="S341" s="907" t="n"/>
      <c r="V341" s="907" t="n"/>
      <c r="W341" s="907" t="n"/>
      <c r="X341" s="907" t="n"/>
      <c r="AA341" s="907" t="n"/>
      <c r="AB341" s="907" t="n"/>
      <c r="AC341" s="907" t="n"/>
      <c r="AF341" s="907" t="n"/>
      <c r="AG341" s="907" t="n"/>
      <c r="AH341" s="907" t="n"/>
    </row>
    <row r="342">
      <c r="Q342" s="907" t="n"/>
      <c r="R342" s="907" t="n"/>
      <c r="S342" s="907" t="n"/>
      <c r="V342" s="907" t="n"/>
      <c r="W342" s="907" t="n"/>
      <c r="X342" s="907" t="n"/>
      <c r="AA342" s="907" t="n"/>
      <c r="AB342" s="907" t="n"/>
      <c r="AC342" s="907" t="n"/>
      <c r="AF342" s="907" t="n"/>
      <c r="AG342" s="907" t="n"/>
      <c r="AH342" s="907" t="n"/>
    </row>
    <row r="343">
      <c r="Q343" s="907" t="n"/>
      <c r="R343" s="907" t="n"/>
      <c r="S343" s="907" t="n"/>
      <c r="V343" s="907" t="n"/>
      <c r="W343" s="907" t="n"/>
      <c r="X343" s="907" t="n"/>
      <c r="AA343" s="907" t="n"/>
      <c r="AB343" s="907" t="n"/>
      <c r="AC343" s="907" t="n"/>
      <c r="AF343" s="907" t="n"/>
      <c r="AG343" s="907" t="n"/>
      <c r="AH343" s="907" t="n"/>
    </row>
    <row r="344">
      <c r="Q344" s="907" t="n"/>
      <c r="R344" s="907" t="n"/>
      <c r="S344" s="907" t="n"/>
      <c r="V344" s="907" t="n"/>
      <c r="W344" s="907" t="n"/>
      <c r="X344" s="907" t="n"/>
      <c r="AA344" s="907" t="n"/>
      <c r="AB344" s="907" t="n"/>
      <c r="AC344" s="907" t="n"/>
      <c r="AF344" s="907" t="n"/>
      <c r="AG344" s="907" t="n"/>
      <c r="AH344" s="907" t="n"/>
    </row>
    <row r="345">
      <c r="Q345" s="907" t="n"/>
      <c r="R345" s="907" t="n"/>
      <c r="S345" s="907" t="n"/>
      <c r="V345" s="907" t="n"/>
      <c r="W345" s="907" t="n"/>
      <c r="X345" s="907" t="n"/>
      <c r="AA345" s="907" t="n"/>
      <c r="AB345" s="907" t="n"/>
      <c r="AC345" s="907" t="n"/>
      <c r="AF345" s="907" t="n"/>
      <c r="AG345" s="907" t="n"/>
      <c r="AH345" s="907" t="n"/>
    </row>
    <row r="346">
      <c r="Q346" s="907" t="n"/>
      <c r="R346" s="907" t="n"/>
      <c r="S346" s="907" t="n"/>
      <c r="V346" s="907" t="n"/>
      <c r="W346" s="907" t="n"/>
      <c r="X346" s="907" t="n"/>
      <c r="AA346" s="907" t="n"/>
      <c r="AB346" s="907" t="n"/>
      <c r="AC346" s="907" t="n"/>
      <c r="AF346" s="907" t="n"/>
      <c r="AG346" s="907" t="n"/>
      <c r="AH346" s="907" t="n"/>
    </row>
    <row r="347">
      <c r="Q347" s="907" t="n"/>
      <c r="R347" s="907" t="n"/>
      <c r="S347" s="907" t="n"/>
      <c r="V347" s="907" t="n"/>
      <c r="W347" s="907" t="n"/>
      <c r="X347" s="907" t="n"/>
      <c r="AA347" s="907" t="n"/>
      <c r="AB347" s="907" t="n"/>
      <c r="AC347" s="907" t="n"/>
      <c r="AF347" s="907" t="n"/>
      <c r="AG347" s="907" t="n"/>
      <c r="AH347" s="907" t="n"/>
    </row>
    <row r="348">
      <c r="Q348" s="907" t="n"/>
      <c r="R348" s="907" t="n"/>
      <c r="S348" s="907" t="n"/>
      <c r="V348" s="907" t="n"/>
      <c r="W348" s="907" t="n"/>
      <c r="X348" s="907" t="n"/>
      <c r="AA348" s="907" t="n"/>
      <c r="AB348" s="907" t="n"/>
      <c r="AC348" s="907" t="n"/>
      <c r="AF348" s="907" t="n"/>
      <c r="AG348" s="907" t="n"/>
      <c r="AH348" s="907" t="n"/>
    </row>
    <row r="349">
      <c r="Q349" s="907" t="n"/>
      <c r="R349" s="907" t="n"/>
      <c r="S349" s="907" t="n"/>
      <c r="V349" s="907" t="n"/>
      <c r="W349" s="907" t="n"/>
      <c r="X349" s="907" t="n"/>
      <c r="AA349" s="907" t="n"/>
      <c r="AB349" s="907" t="n"/>
      <c r="AC349" s="907" t="n"/>
      <c r="AF349" s="907" t="n"/>
      <c r="AG349" s="907" t="n"/>
      <c r="AH349" s="907" t="n"/>
    </row>
    <row r="350">
      <c r="Q350" s="907" t="n"/>
      <c r="R350" s="907" t="n"/>
      <c r="S350" s="907" t="n"/>
      <c r="V350" s="907" t="n"/>
      <c r="W350" s="907" t="n"/>
      <c r="X350" s="907" t="n"/>
      <c r="AA350" s="907" t="n"/>
      <c r="AB350" s="907" t="n"/>
      <c r="AC350" s="907" t="n"/>
      <c r="AF350" s="907" t="n"/>
      <c r="AG350" s="907" t="n"/>
      <c r="AH350" s="907" t="n"/>
    </row>
    <row r="351">
      <c r="Q351" s="907" t="n"/>
      <c r="R351" s="907" t="n"/>
      <c r="S351" s="907" t="n"/>
      <c r="V351" s="907" t="n"/>
      <c r="W351" s="907" t="n"/>
      <c r="X351" s="907" t="n"/>
      <c r="AA351" s="907" t="n"/>
      <c r="AB351" s="907" t="n"/>
      <c r="AC351" s="907" t="n"/>
      <c r="AF351" s="907" t="n"/>
      <c r="AG351" s="907" t="n"/>
      <c r="AH351" s="907" t="n"/>
    </row>
    <row r="352">
      <c r="Q352" s="907" t="n"/>
      <c r="R352" s="907" t="n"/>
      <c r="S352" s="907" t="n"/>
      <c r="V352" s="907" t="n"/>
      <c r="W352" s="907" t="n"/>
      <c r="X352" s="907" t="n"/>
      <c r="AA352" s="907" t="n"/>
      <c r="AB352" s="907" t="n"/>
      <c r="AC352" s="907" t="n"/>
      <c r="AF352" s="907" t="n"/>
      <c r="AG352" s="907" t="n"/>
      <c r="AH352" s="907" t="n"/>
    </row>
    <row r="353">
      <c r="Q353" s="907" t="n"/>
      <c r="R353" s="907" t="n"/>
      <c r="S353" s="907" t="n"/>
      <c r="V353" s="907" t="n"/>
      <c r="W353" s="907" t="n"/>
      <c r="X353" s="907" t="n"/>
      <c r="AA353" s="907" t="n"/>
      <c r="AB353" s="907" t="n"/>
      <c r="AC353" s="907" t="n"/>
      <c r="AF353" s="907" t="n"/>
      <c r="AG353" s="907" t="n"/>
      <c r="AH353" s="907" t="n"/>
    </row>
    <row r="354">
      <c r="Q354" s="907" t="n"/>
      <c r="R354" s="907" t="n"/>
      <c r="S354" s="907" t="n"/>
      <c r="V354" s="907" t="n"/>
      <c r="W354" s="907" t="n"/>
      <c r="X354" s="907" t="n"/>
      <c r="AA354" s="907" t="n"/>
      <c r="AB354" s="907" t="n"/>
      <c r="AC354" s="907" t="n"/>
      <c r="AF354" s="907" t="n"/>
      <c r="AG354" s="907" t="n"/>
      <c r="AH354" s="907" t="n"/>
    </row>
    <row r="355">
      <c r="Q355" s="907" t="n"/>
      <c r="R355" s="907" t="n"/>
      <c r="S355" s="907" t="n"/>
      <c r="V355" s="907" t="n"/>
      <c r="W355" s="907" t="n"/>
      <c r="X355" s="907" t="n"/>
      <c r="AA355" s="907" t="n"/>
      <c r="AB355" s="907" t="n"/>
      <c r="AC355" s="907" t="n"/>
      <c r="AF355" s="907" t="n"/>
      <c r="AG355" s="907" t="n"/>
      <c r="AH355" s="907" t="n"/>
    </row>
    <row r="356">
      <c r="Q356" s="907" t="n"/>
      <c r="R356" s="907" t="n"/>
      <c r="S356" s="907" t="n"/>
      <c r="V356" s="907" t="n"/>
      <c r="W356" s="907" t="n"/>
      <c r="X356" s="907" t="n"/>
      <c r="AA356" s="907" t="n"/>
      <c r="AB356" s="907" t="n"/>
      <c r="AC356" s="907" t="n"/>
      <c r="AF356" s="907" t="n"/>
      <c r="AG356" s="907" t="n"/>
      <c r="AH356" s="907" t="n"/>
    </row>
    <row r="357">
      <c r="Q357" s="907" t="n"/>
      <c r="R357" s="907" t="n"/>
      <c r="S357" s="907" t="n"/>
      <c r="V357" s="907" t="n"/>
      <c r="W357" s="907" t="n"/>
      <c r="X357" s="907" t="n"/>
      <c r="AA357" s="907" t="n"/>
      <c r="AB357" s="907" t="n"/>
      <c r="AC357" s="907" t="n"/>
      <c r="AF357" s="907" t="n"/>
      <c r="AG357" s="907" t="n"/>
      <c r="AH357" s="907" t="n"/>
    </row>
    <row r="358">
      <c r="Q358" s="907" t="n"/>
      <c r="R358" s="907" t="n"/>
      <c r="S358" s="907" t="n"/>
      <c r="V358" s="907" t="n"/>
      <c r="W358" s="907" t="n"/>
      <c r="X358" s="907" t="n"/>
      <c r="AA358" s="907" t="n"/>
      <c r="AB358" s="907" t="n"/>
      <c r="AC358" s="907" t="n"/>
      <c r="AF358" s="907" t="n"/>
      <c r="AG358" s="907" t="n"/>
      <c r="AH358" s="907" t="n"/>
    </row>
    <row r="359">
      <c r="Q359" s="907" t="n"/>
      <c r="R359" s="907" t="n"/>
      <c r="S359" s="907" t="n"/>
      <c r="V359" s="907" t="n"/>
      <c r="W359" s="907" t="n"/>
      <c r="X359" s="907" t="n"/>
      <c r="AA359" s="907" t="n"/>
      <c r="AB359" s="907" t="n"/>
      <c r="AC359" s="907" t="n"/>
      <c r="AF359" s="907" t="n"/>
      <c r="AG359" s="907" t="n"/>
      <c r="AH359" s="907" t="n"/>
    </row>
    <row r="360">
      <c r="Q360" s="907" t="n"/>
      <c r="R360" s="907" t="n"/>
      <c r="S360" s="907" t="n"/>
      <c r="V360" s="907" t="n"/>
      <c r="W360" s="907" t="n"/>
      <c r="X360" s="907" t="n"/>
      <c r="AA360" s="907" t="n"/>
      <c r="AB360" s="907" t="n"/>
      <c r="AC360" s="907" t="n"/>
      <c r="AF360" s="907" t="n"/>
      <c r="AG360" s="907" t="n"/>
      <c r="AH360" s="907" t="n"/>
    </row>
    <row r="361">
      <c r="Q361" s="907" t="n"/>
      <c r="R361" s="907" t="n"/>
      <c r="S361" s="907" t="n"/>
      <c r="V361" s="907" t="n"/>
      <c r="W361" s="907" t="n"/>
      <c r="X361" s="907" t="n"/>
      <c r="AA361" s="907" t="n"/>
      <c r="AB361" s="907" t="n"/>
      <c r="AC361" s="907" t="n"/>
      <c r="AF361" s="907" t="n"/>
      <c r="AG361" s="907" t="n"/>
      <c r="AH361" s="907" t="n"/>
    </row>
    <row r="362">
      <c r="Q362" s="907" t="n"/>
      <c r="R362" s="907" t="n"/>
      <c r="S362" s="907" t="n"/>
      <c r="V362" s="907" t="n"/>
      <c r="W362" s="907" t="n"/>
      <c r="X362" s="907" t="n"/>
      <c r="AA362" s="907" t="n"/>
      <c r="AB362" s="907" t="n"/>
      <c r="AC362" s="907" t="n"/>
      <c r="AF362" s="907" t="n"/>
      <c r="AG362" s="907" t="n"/>
      <c r="AH362" s="907" t="n"/>
    </row>
    <row r="363">
      <c r="Q363" s="907" t="n"/>
      <c r="R363" s="907" t="n"/>
      <c r="S363" s="907" t="n"/>
      <c r="V363" s="907" t="n"/>
      <c r="W363" s="907" t="n"/>
      <c r="X363" s="907" t="n"/>
      <c r="AA363" s="907" t="n"/>
      <c r="AB363" s="907" t="n"/>
      <c r="AC363" s="907" t="n"/>
      <c r="AF363" s="907" t="n"/>
      <c r="AG363" s="907" t="n"/>
      <c r="AH363" s="907" t="n"/>
    </row>
    <row r="364">
      <c r="Q364" s="907" t="n"/>
      <c r="R364" s="907" t="n"/>
      <c r="S364" s="907" t="n"/>
      <c r="V364" s="907" t="n"/>
      <c r="W364" s="907" t="n"/>
      <c r="X364" s="907" t="n"/>
      <c r="AA364" s="907" t="n"/>
      <c r="AB364" s="907" t="n"/>
      <c r="AC364" s="907" t="n"/>
      <c r="AF364" s="907" t="n"/>
      <c r="AG364" s="907" t="n"/>
      <c r="AH364" s="907" t="n"/>
    </row>
    <row r="365">
      <c r="Q365" s="907" t="n"/>
      <c r="R365" s="907" t="n"/>
      <c r="S365" s="907" t="n"/>
      <c r="V365" s="907" t="n"/>
      <c r="W365" s="907" t="n"/>
      <c r="X365" s="907" t="n"/>
      <c r="AA365" s="907" t="n"/>
      <c r="AB365" s="907" t="n"/>
      <c r="AC365" s="907" t="n"/>
      <c r="AF365" s="907" t="n"/>
      <c r="AG365" s="907" t="n"/>
      <c r="AH365" s="907" t="n"/>
    </row>
    <row r="366">
      <c r="Q366" s="907" t="n"/>
      <c r="R366" s="907" t="n"/>
      <c r="S366" s="907" t="n"/>
      <c r="V366" s="907" t="n"/>
      <c r="W366" s="907" t="n"/>
      <c r="X366" s="907" t="n"/>
      <c r="AA366" s="907" t="n"/>
      <c r="AB366" s="907" t="n"/>
      <c r="AC366" s="907" t="n"/>
      <c r="AF366" s="907" t="n"/>
      <c r="AG366" s="907" t="n"/>
      <c r="AH366" s="907" t="n"/>
    </row>
    <row r="367">
      <c r="Q367" s="907" t="n"/>
      <c r="R367" s="907" t="n"/>
      <c r="S367" s="907" t="n"/>
      <c r="V367" s="907" t="n"/>
      <c r="W367" s="907" t="n"/>
      <c r="X367" s="907" t="n"/>
      <c r="AA367" s="907" t="n"/>
      <c r="AB367" s="907" t="n"/>
      <c r="AC367" s="907" t="n"/>
      <c r="AF367" s="907" t="n"/>
      <c r="AG367" s="907" t="n"/>
      <c r="AH367" s="907" t="n"/>
    </row>
    <row r="368">
      <c r="Q368" s="907" t="n"/>
      <c r="R368" s="907" t="n"/>
      <c r="S368" s="907" t="n"/>
      <c r="V368" s="907" t="n"/>
      <c r="W368" s="907" t="n"/>
      <c r="X368" s="907" t="n"/>
      <c r="AA368" s="907" t="n"/>
      <c r="AB368" s="907" t="n"/>
      <c r="AC368" s="907" t="n"/>
      <c r="AF368" s="907" t="n"/>
      <c r="AG368" s="907" t="n"/>
      <c r="AH368" s="907" t="n"/>
    </row>
    <row r="369">
      <c r="Q369" s="907" t="n"/>
      <c r="R369" s="907" t="n"/>
      <c r="S369" s="907" t="n"/>
      <c r="V369" s="907" t="n"/>
      <c r="W369" s="907" t="n"/>
      <c r="X369" s="907" t="n"/>
      <c r="AA369" s="907" t="n"/>
      <c r="AB369" s="907" t="n"/>
      <c r="AC369" s="907" t="n"/>
      <c r="AF369" s="907" t="n"/>
      <c r="AG369" s="907" t="n"/>
      <c r="AH369" s="907" t="n"/>
    </row>
    <row r="370">
      <c r="Q370" s="907" t="n"/>
      <c r="R370" s="907" t="n"/>
      <c r="S370" s="907" t="n"/>
      <c r="V370" s="907" t="n"/>
      <c r="W370" s="907" t="n"/>
      <c r="X370" s="907" t="n"/>
      <c r="AA370" s="907" t="n"/>
      <c r="AB370" s="907" t="n"/>
      <c r="AC370" s="907" t="n"/>
      <c r="AF370" s="907" t="n"/>
      <c r="AG370" s="907" t="n"/>
      <c r="AH370" s="907" t="n"/>
    </row>
    <row r="371">
      <c r="Q371" s="907" t="n"/>
      <c r="R371" s="907" t="n"/>
      <c r="S371" s="907" t="n"/>
      <c r="V371" s="907" t="n"/>
      <c r="W371" s="907" t="n"/>
      <c r="X371" s="907" t="n"/>
      <c r="AA371" s="907" t="n"/>
      <c r="AB371" s="907" t="n"/>
      <c r="AC371" s="907" t="n"/>
      <c r="AF371" s="907" t="n"/>
      <c r="AG371" s="907" t="n"/>
      <c r="AH371" s="907" t="n"/>
    </row>
    <row r="372">
      <c r="Q372" s="907" t="n"/>
      <c r="R372" s="907" t="n"/>
      <c r="S372" s="907" t="n"/>
      <c r="V372" s="907" t="n"/>
      <c r="W372" s="907" t="n"/>
      <c r="X372" s="907" t="n"/>
      <c r="AA372" s="907" t="n"/>
      <c r="AB372" s="907" t="n"/>
      <c r="AC372" s="907" t="n"/>
      <c r="AF372" s="907" t="n"/>
      <c r="AG372" s="907" t="n"/>
      <c r="AH372" s="907" t="n"/>
    </row>
    <row r="373">
      <c r="Q373" s="907" t="n"/>
      <c r="R373" s="907" t="n"/>
      <c r="S373" s="907" t="n"/>
      <c r="V373" s="907" t="n"/>
      <c r="W373" s="907" t="n"/>
      <c r="X373" s="907" t="n"/>
      <c r="AA373" s="907" t="n"/>
      <c r="AB373" s="907" t="n"/>
      <c r="AC373" s="907" t="n"/>
      <c r="AF373" s="907" t="n"/>
      <c r="AG373" s="907" t="n"/>
      <c r="AH373" s="907" t="n"/>
    </row>
    <row r="374">
      <c r="Q374" s="907" t="n"/>
      <c r="R374" s="907" t="n"/>
      <c r="S374" s="907" t="n"/>
      <c r="V374" s="907" t="n"/>
      <c r="W374" s="907" t="n"/>
      <c r="X374" s="907" t="n"/>
      <c r="AA374" s="907" t="n"/>
      <c r="AB374" s="907" t="n"/>
      <c r="AC374" s="907" t="n"/>
      <c r="AF374" s="907" t="n"/>
      <c r="AG374" s="907" t="n"/>
      <c r="AH374" s="907" t="n"/>
    </row>
    <row r="375">
      <c r="Q375" s="907" t="n"/>
      <c r="R375" s="907" t="n"/>
      <c r="S375" s="907" t="n"/>
      <c r="V375" s="907" t="n"/>
      <c r="W375" s="907" t="n"/>
      <c r="X375" s="907" t="n"/>
      <c r="AA375" s="907" t="n"/>
      <c r="AB375" s="907" t="n"/>
      <c r="AC375" s="907" t="n"/>
      <c r="AF375" s="907" t="n"/>
      <c r="AG375" s="907" t="n"/>
      <c r="AH375" s="907" t="n"/>
    </row>
    <row r="376">
      <c r="Q376" s="907" t="n"/>
      <c r="R376" s="907" t="n"/>
      <c r="S376" s="907" t="n"/>
      <c r="V376" s="907" t="n"/>
      <c r="W376" s="907" t="n"/>
      <c r="X376" s="907" t="n"/>
      <c r="AA376" s="907" t="n"/>
      <c r="AB376" s="907" t="n"/>
      <c r="AC376" s="907" t="n"/>
      <c r="AF376" s="907" t="n"/>
      <c r="AG376" s="907" t="n"/>
      <c r="AH376" s="907" t="n"/>
    </row>
    <row r="377">
      <c r="Q377" s="907" t="n"/>
      <c r="R377" s="907" t="n"/>
      <c r="S377" s="907" t="n"/>
      <c r="V377" s="907" t="n"/>
      <c r="W377" s="907" t="n"/>
      <c r="X377" s="907" t="n"/>
      <c r="AA377" s="907" t="n"/>
      <c r="AB377" s="907" t="n"/>
      <c r="AC377" s="907" t="n"/>
      <c r="AF377" s="907" t="n"/>
      <c r="AG377" s="907" t="n"/>
      <c r="AH377" s="907" t="n"/>
    </row>
    <row r="378">
      <c r="Q378" s="907" t="n"/>
      <c r="R378" s="907" t="n"/>
      <c r="S378" s="907" t="n"/>
      <c r="V378" s="907" t="n"/>
      <c r="W378" s="907" t="n"/>
      <c r="X378" s="907" t="n"/>
      <c r="AA378" s="907" t="n"/>
      <c r="AB378" s="907" t="n"/>
      <c r="AC378" s="907" t="n"/>
      <c r="AF378" s="907" t="n"/>
      <c r="AG378" s="907" t="n"/>
      <c r="AH378" s="907" t="n"/>
    </row>
    <row r="379">
      <c r="Q379" s="907" t="n"/>
      <c r="R379" s="907" t="n"/>
      <c r="S379" s="907" t="n"/>
      <c r="V379" s="907" t="n"/>
      <c r="W379" s="907" t="n"/>
      <c r="X379" s="907" t="n"/>
      <c r="AA379" s="907" t="n"/>
      <c r="AB379" s="907" t="n"/>
      <c r="AC379" s="907" t="n"/>
      <c r="AF379" s="907" t="n"/>
      <c r="AG379" s="907" t="n"/>
      <c r="AH379" s="907" t="n"/>
    </row>
    <row r="380">
      <c r="Q380" s="907" t="n"/>
      <c r="R380" s="907" t="n"/>
      <c r="S380" s="907" t="n"/>
      <c r="V380" s="907" t="n"/>
      <c r="W380" s="907" t="n"/>
      <c r="X380" s="907" t="n"/>
      <c r="AA380" s="907" t="n"/>
      <c r="AB380" s="907" t="n"/>
      <c r="AC380" s="907" t="n"/>
      <c r="AF380" s="907" t="n"/>
      <c r="AG380" s="907" t="n"/>
      <c r="AH380" s="907" t="n"/>
    </row>
    <row r="381">
      <c r="Q381" s="907" t="n"/>
      <c r="R381" s="907" t="n"/>
      <c r="S381" s="907" t="n"/>
      <c r="V381" s="907" t="n"/>
      <c r="W381" s="907" t="n"/>
      <c r="X381" s="907" t="n"/>
      <c r="AA381" s="907" t="n"/>
      <c r="AB381" s="907" t="n"/>
      <c r="AC381" s="907" t="n"/>
      <c r="AF381" s="907" t="n"/>
      <c r="AG381" s="907" t="n"/>
      <c r="AH381" s="907" t="n"/>
    </row>
    <row r="382">
      <c r="Q382" s="907" t="n"/>
      <c r="R382" s="907" t="n"/>
      <c r="S382" s="907" t="n"/>
      <c r="V382" s="907" t="n"/>
      <c r="W382" s="907" t="n"/>
      <c r="X382" s="907" t="n"/>
      <c r="AA382" s="907" t="n"/>
      <c r="AB382" s="907" t="n"/>
      <c r="AC382" s="907" t="n"/>
      <c r="AF382" s="907" t="n"/>
      <c r="AG382" s="907" t="n"/>
      <c r="AH382" s="907" t="n"/>
    </row>
    <row r="383">
      <c r="Q383" s="907" t="n"/>
      <c r="R383" s="907" t="n"/>
      <c r="S383" s="907" t="n"/>
      <c r="V383" s="907" t="n"/>
      <c r="W383" s="907" t="n"/>
      <c r="X383" s="907" t="n"/>
      <c r="AA383" s="907" t="n"/>
      <c r="AB383" s="907" t="n"/>
      <c r="AC383" s="907" t="n"/>
      <c r="AF383" s="907" t="n"/>
      <c r="AG383" s="907" t="n"/>
      <c r="AH383" s="907" t="n"/>
    </row>
    <row r="384">
      <c r="Q384" s="907" t="n"/>
      <c r="R384" s="907" t="n"/>
      <c r="S384" s="907" t="n"/>
      <c r="V384" s="907" t="n"/>
      <c r="W384" s="907" t="n"/>
      <c r="X384" s="907" t="n"/>
      <c r="AA384" s="907" t="n"/>
      <c r="AB384" s="907" t="n"/>
      <c r="AC384" s="907" t="n"/>
      <c r="AF384" s="907" t="n"/>
      <c r="AG384" s="907" t="n"/>
      <c r="AH384" s="907" t="n"/>
    </row>
    <row r="385">
      <c r="Q385" s="907" t="n"/>
      <c r="R385" s="907" t="n"/>
      <c r="S385" s="907" t="n"/>
      <c r="V385" s="907" t="n"/>
      <c r="W385" s="907" t="n"/>
      <c r="X385" s="907" t="n"/>
      <c r="AA385" s="907" t="n"/>
      <c r="AB385" s="907" t="n"/>
      <c r="AC385" s="907" t="n"/>
      <c r="AF385" s="907" t="n"/>
      <c r="AG385" s="907" t="n"/>
      <c r="AH385" s="907" t="n"/>
    </row>
    <row r="386">
      <c r="Q386" s="907" t="n"/>
      <c r="R386" s="907" t="n"/>
      <c r="S386" s="907" t="n"/>
      <c r="V386" s="907" t="n"/>
      <c r="W386" s="907" t="n"/>
      <c r="X386" s="907" t="n"/>
      <c r="AA386" s="907" t="n"/>
      <c r="AB386" s="907" t="n"/>
      <c r="AC386" s="907" t="n"/>
      <c r="AF386" s="907" t="n"/>
      <c r="AG386" s="907" t="n"/>
      <c r="AH386" s="907" t="n"/>
    </row>
    <row r="387">
      <c r="Q387" s="907" t="n"/>
      <c r="R387" s="907" t="n"/>
      <c r="S387" s="907" t="n"/>
      <c r="V387" s="907" t="n"/>
      <c r="W387" s="907" t="n"/>
      <c r="X387" s="907" t="n"/>
      <c r="AA387" s="907" t="n"/>
      <c r="AB387" s="907" t="n"/>
      <c r="AC387" s="907" t="n"/>
      <c r="AF387" s="907" t="n"/>
      <c r="AG387" s="907" t="n"/>
      <c r="AH387" s="907" t="n"/>
    </row>
    <row r="388">
      <c r="Q388" s="907" t="n"/>
      <c r="R388" s="907" t="n"/>
      <c r="S388" s="907" t="n"/>
      <c r="V388" s="907" t="n"/>
      <c r="W388" s="907" t="n"/>
      <c r="X388" s="907" t="n"/>
      <c r="AA388" s="907" t="n"/>
      <c r="AB388" s="907" t="n"/>
      <c r="AC388" s="907" t="n"/>
      <c r="AF388" s="907" t="n"/>
      <c r="AG388" s="907" t="n"/>
      <c r="AH388" s="907" t="n"/>
    </row>
    <row r="389">
      <c r="Q389" s="907" t="n"/>
      <c r="R389" s="907" t="n"/>
      <c r="S389" s="907" t="n"/>
      <c r="V389" s="907" t="n"/>
      <c r="W389" s="907" t="n"/>
      <c r="X389" s="907" t="n"/>
      <c r="AA389" s="907" t="n"/>
      <c r="AB389" s="907" t="n"/>
      <c r="AC389" s="907" t="n"/>
      <c r="AF389" s="907" t="n"/>
      <c r="AG389" s="907" t="n"/>
      <c r="AH389" s="907" t="n"/>
    </row>
    <row r="390">
      <c r="Q390" s="907" t="n"/>
      <c r="R390" s="907" t="n"/>
      <c r="S390" s="907" t="n"/>
      <c r="V390" s="907" t="n"/>
      <c r="W390" s="907" t="n"/>
      <c r="X390" s="907" t="n"/>
      <c r="AA390" s="907" t="n"/>
      <c r="AB390" s="907" t="n"/>
      <c r="AC390" s="907" t="n"/>
      <c r="AF390" s="907" t="n"/>
      <c r="AG390" s="907" t="n"/>
      <c r="AH390" s="907" t="n"/>
    </row>
    <row r="391">
      <c r="Q391" s="907" t="n"/>
      <c r="R391" s="907" t="n"/>
      <c r="S391" s="907" t="n"/>
      <c r="V391" s="907" t="n"/>
      <c r="W391" s="907" t="n"/>
      <c r="X391" s="907" t="n"/>
      <c r="AA391" s="907" t="n"/>
      <c r="AB391" s="907" t="n"/>
      <c r="AC391" s="907" t="n"/>
      <c r="AF391" s="907" t="n"/>
      <c r="AG391" s="907" t="n"/>
      <c r="AH391" s="907" t="n"/>
    </row>
    <row r="392">
      <c r="Q392" s="907" t="n"/>
      <c r="R392" s="907" t="n"/>
      <c r="S392" s="907" t="n"/>
      <c r="V392" s="907" t="n"/>
      <c r="W392" s="907" t="n"/>
      <c r="X392" s="907" t="n"/>
      <c r="AA392" s="907" t="n"/>
      <c r="AB392" s="907" t="n"/>
      <c r="AC392" s="907" t="n"/>
      <c r="AF392" s="907" t="n"/>
      <c r="AG392" s="907" t="n"/>
      <c r="AH392" s="907" t="n"/>
    </row>
    <row r="393">
      <c r="Q393" s="907" t="n"/>
      <c r="R393" s="907" t="n"/>
      <c r="S393" s="907" t="n"/>
      <c r="V393" s="907" t="n"/>
      <c r="W393" s="907" t="n"/>
      <c r="X393" s="907" t="n"/>
      <c r="AA393" s="907" t="n"/>
      <c r="AB393" s="907" t="n"/>
      <c r="AC393" s="907" t="n"/>
      <c r="AF393" s="907" t="n"/>
      <c r="AG393" s="907" t="n"/>
      <c r="AH393" s="907" t="n"/>
    </row>
    <row r="394">
      <c r="Q394" s="907" t="n"/>
      <c r="R394" s="907" t="n"/>
      <c r="S394" s="907" t="n"/>
      <c r="V394" s="907" t="n"/>
      <c r="W394" s="907" t="n"/>
      <c r="X394" s="907" t="n"/>
      <c r="AA394" s="907" t="n"/>
      <c r="AB394" s="907" t="n"/>
      <c r="AC394" s="907" t="n"/>
      <c r="AF394" s="907" t="n"/>
      <c r="AG394" s="907" t="n"/>
      <c r="AH394" s="907" t="n"/>
    </row>
    <row r="395">
      <c r="Q395" s="907" t="n"/>
      <c r="R395" s="907" t="n"/>
      <c r="S395" s="907" t="n"/>
      <c r="V395" s="907" t="n"/>
      <c r="W395" s="907" t="n"/>
      <c r="X395" s="907" t="n"/>
      <c r="AA395" s="907" t="n"/>
      <c r="AB395" s="907" t="n"/>
      <c r="AC395" s="907" t="n"/>
      <c r="AF395" s="907" t="n"/>
      <c r="AG395" s="907" t="n"/>
      <c r="AH395" s="907" t="n"/>
    </row>
    <row r="396">
      <c r="Q396" s="907" t="n"/>
      <c r="R396" s="907" t="n"/>
      <c r="S396" s="907" t="n"/>
      <c r="V396" s="907" t="n"/>
      <c r="W396" s="907" t="n"/>
      <c r="X396" s="907" t="n"/>
      <c r="AA396" s="907" t="n"/>
      <c r="AB396" s="907" t="n"/>
      <c r="AC396" s="907" t="n"/>
      <c r="AF396" s="907" t="n"/>
      <c r="AG396" s="907" t="n"/>
      <c r="AH396" s="907" t="n"/>
    </row>
    <row r="397">
      <c r="Q397" s="907" t="n"/>
      <c r="R397" s="907" t="n"/>
      <c r="S397" s="907" t="n"/>
      <c r="V397" s="907" t="n"/>
      <c r="W397" s="907" t="n"/>
      <c r="X397" s="907" t="n"/>
      <c r="AA397" s="907" t="n"/>
      <c r="AB397" s="907" t="n"/>
      <c r="AC397" s="907" t="n"/>
      <c r="AF397" s="907" t="n"/>
      <c r="AG397" s="907" t="n"/>
      <c r="AH397" s="907" t="n"/>
    </row>
    <row r="398">
      <c r="Q398" s="907" t="n"/>
      <c r="R398" s="907" t="n"/>
      <c r="S398" s="907" t="n"/>
      <c r="V398" s="907" t="n"/>
      <c r="W398" s="907" t="n"/>
      <c r="X398" s="907" t="n"/>
      <c r="AA398" s="907" t="n"/>
      <c r="AB398" s="907" t="n"/>
      <c r="AC398" s="907" t="n"/>
      <c r="AF398" s="907" t="n"/>
      <c r="AG398" s="907" t="n"/>
      <c r="AH398" s="907" t="n"/>
    </row>
    <row r="399">
      <c r="Q399" s="907" t="n"/>
      <c r="R399" s="907" t="n"/>
      <c r="S399" s="907" t="n"/>
      <c r="V399" s="907" t="n"/>
      <c r="W399" s="907" t="n"/>
      <c r="X399" s="907" t="n"/>
      <c r="AA399" s="907" t="n"/>
      <c r="AB399" s="907" t="n"/>
      <c r="AC399" s="907" t="n"/>
      <c r="AF399" s="907" t="n"/>
      <c r="AG399" s="907" t="n"/>
      <c r="AH399" s="907" t="n"/>
    </row>
    <row r="400">
      <c r="Q400" s="907" t="n"/>
      <c r="R400" s="907" t="n"/>
      <c r="S400" s="907" t="n"/>
      <c r="V400" s="907" t="n"/>
      <c r="W400" s="907" t="n"/>
      <c r="X400" s="907" t="n"/>
      <c r="AA400" s="907" t="n"/>
      <c r="AB400" s="907" t="n"/>
      <c r="AC400" s="907" t="n"/>
      <c r="AF400" s="907" t="n"/>
      <c r="AG400" s="907" t="n"/>
      <c r="AH400" s="907" t="n"/>
    </row>
    <row r="401">
      <c r="Q401" s="907" t="n"/>
      <c r="R401" s="907" t="n"/>
      <c r="S401" s="907" t="n"/>
      <c r="V401" s="907" t="n"/>
      <c r="W401" s="907" t="n"/>
      <c r="X401" s="907" t="n"/>
      <c r="AA401" s="907" t="n"/>
      <c r="AB401" s="907" t="n"/>
      <c r="AC401" s="907" t="n"/>
      <c r="AF401" s="907" t="n"/>
      <c r="AG401" s="907" t="n"/>
      <c r="AH401" s="907" t="n"/>
    </row>
    <row r="402">
      <c r="Q402" s="907" t="n"/>
      <c r="R402" s="907" t="n"/>
      <c r="S402" s="907" t="n"/>
      <c r="V402" s="907" t="n"/>
      <c r="W402" s="907" t="n"/>
      <c r="X402" s="907" t="n"/>
      <c r="AA402" s="907" t="n"/>
      <c r="AB402" s="907" t="n"/>
      <c r="AC402" s="907" t="n"/>
      <c r="AF402" s="907" t="n"/>
      <c r="AG402" s="907" t="n"/>
      <c r="AH402" s="907" t="n"/>
    </row>
    <row r="403">
      <c r="Q403" s="907" t="n"/>
      <c r="R403" s="907" t="n"/>
      <c r="S403" s="907" t="n"/>
      <c r="V403" s="907" t="n"/>
      <c r="W403" s="907" t="n"/>
      <c r="X403" s="907" t="n"/>
      <c r="AA403" s="907" t="n"/>
      <c r="AB403" s="907" t="n"/>
      <c r="AC403" s="907" t="n"/>
      <c r="AF403" s="907" t="n"/>
      <c r="AG403" s="907" t="n"/>
      <c r="AH403" s="907" t="n"/>
    </row>
    <row r="404">
      <c r="Q404" s="907" t="n"/>
      <c r="R404" s="907" t="n"/>
      <c r="S404" s="907" t="n"/>
      <c r="V404" s="907" t="n"/>
      <c r="W404" s="907" t="n"/>
      <c r="X404" s="907" t="n"/>
      <c r="AA404" s="907" t="n"/>
      <c r="AB404" s="907" t="n"/>
      <c r="AC404" s="907" t="n"/>
      <c r="AF404" s="907" t="n"/>
      <c r="AG404" s="907" t="n"/>
      <c r="AH404" s="907" t="n"/>
    </row>
    <row r="405">
      <c r="Q405" s="907" t="n"/>
      <c r="R405" s="907" t="n"/>
      <c r="S405" s="907" t="n"/>
      <c r="V405" s="907" t="n"/>
      <c r="W405" s="907" t="n"/>
      <c r="X405" s="907" t="n"/>
      <c r="AA405" s="907" t="n"/>
      <c r="AB405" s="907" t="n"/>
      <c r="AC405" s="907" t="n"/>
      <c r="AF405" s="907" t="n"/>
      <c r="AG405" s="907" t="n"/>
      <c r="AH405" s="907" t="n"/>
    </row>
    <row r="406">
      <c r="Q406" s="907" t="n"/>
      <c r="R406" s="907" t="n"/>
      <c r="S406" s="907" t="n"/>
      <c r="V406" s="907" t="n"/>
      <c r="W406" s="907" t="n"/>
      <c r="X406" s="907" t="n"/>
      <c r="AA406" s="907" t="n"/>
      <c r="AB406" s="907" t="n"/>
      <c r="AC406" s="907" t="n"/>
      <c r="AF406" s="907" t="n"/>
      <c r="AG406" s="907" t="n"/>
      <c r="AH406" s="907" t="n"/>
    </row>
    <row r="407">
      <c r="Q407" s="907" t="n"/>
      <c r="R407" s="907" t="n"/>
      <c r="S407" s="907" t="n"/>
      <c r="V407" s="907" t="n"/>
      <c r="W407" s="907" t="n"/>
      <c r="X407" s="907" t="n"/>
      <c r="AA407" s="907" t="n"/>
      <c r="AB407" s="907" t="n"/>
      <c r="AC407" s="907" t="n"/>
      <c r="AF407" s="907" t="n"/>
      <c r="AG407" s="907" t="n"/>
      <c r="AH407" s="907" t="n"/>
    </row>
    <row r="408">
      <c r="Q408" s="907" t="n"/>
      <c r="R408" s="907" t="n"/>
      <c r="S408" s="907" t="n"/>
      <c r="V408" s="907" t="n"/>
      <c r="W408" s="907" t="n"/>
      <c r="X408" s="907" t="n"/>
      <c r="AA408" s="907" t="n"/>
      <c r="AB408" s="907" t="n"/>
      <c r="AC408" s="907" t="n"/>
      <c r="AF408" s="907" t="n"/>
      <c r="AG408" s="907" t="n"/>
      <c r="AH408" s="907" t="n"/>
    </row>
    <row r="409">
      <c r="Q409" s="907" t="n"/>
      <c r="R409" s="907" t="n"/>
      <c r="S409" s="907" t="n"/>
      <c r="V409" s="907" t="n"/>
      <c r="W409" s="907" t="n"/>
      <c r="X409" s="907" t="n"/>
      <c r="AA409" s="907" t="n"/>
      <c r="AB409" s="907" t="n"/>
      <c r="AC409" s="907" t="n"/>
      <c r="AF409" s="907" t="n"/>
      <c r="AG409" s="907" t="n"/>
      <c r="AH409" s="907" t="n"/>
    </row>
    <row r="410">
      <c r="Q410" s="907" t="n"/>
      <c r="R410" s="907" t="n"/>
      <c r="S410" s="907" t="n"/>
      <c r="V410" s="907" t="n"/>
      <c r="W410" s="907" t="n"/>
      <c r="X410" s="907" t="n"/>
      <c r="AA410" s="907" t="n"/>
      <c r="AB410" s="907" t="n"/>
      <c r="AC410" s="907" t="n"/>
      <c r="AF410" s="907" t="n"/>
      <c r="AG410" s="907" t="n"/>
      <c r="AH410" s="907" t="n"/>
    </row>
    <row r="411">
      <c r="Q411" s="907" t="n"/>
      <c r="R411" s="907" t="n"/>
      <c r="S411" s="907" t="n"/>
      <c r="V411" s="907" t="n"/>
      <c r="W411" s="907" t="n"/>
      <c r="X411" s="907" t="n"/>
      <c r="AA411" s="907" t="n"/>
      <c r="AB411" s="907" t="n"/>
      <c r="AC411" s="907" t="n"/>
      <c r="AF411" s="907" t="n"/>
      <c r="AG411" s="907" t="n"/>
      <c r="AH411" s="907" t="n"/>
    </row>
    <row r="412">
      <c r="Q412" s="907" t="n"/>
      <c r="R412" s="907" t="n"/>
      <c r="S412" s="907" t="n"/>
      <c r="V412" s="907" t="n"/>
      <c r="W412" s="907" t="n"/>
      <c r="X412" s="907" t="n"/>
      <c r="AA412" s="907" t="n"/>
      <c r="AB412" s="907" t="n"/>
      <c r="AC412" s="907" t="n"/>
      <c r="AF412" s="907" t="n"/>
      <c r="AG412" s="907" t="n"/>
      <c r="AH412" s="907" t="n"/>
    </row>
    <row r="413">
      <c r="Q413" s="907" t="n"/>
      <c r="R413" s="907" t="n"/>
      <c r="S413" s="907" t="n"/>
      <c r="V413" s="907" t="n"/>
      <c r="W413" s="907" t="n"/>
      <c r="X413" s="907" t="n"/>
      <c r="AA413" s="907" t="n"/>
      <c r="AB413" s="907" t="n"/>
      <c r="AC413" s="907" t="n"/>
      <c r="AF413" s="907" t="n"/>
      <c r="AG413" s="907" t="n"/>
      <c r="AH413" s="907" t="n"/>
    </row>
    <row r="414">
      <c r="Q414" s="907" t="n"/>
      <c r="R414" s="907" t="n"/>
      <c r="S414" s="907" t="n"/>
      <c r="V414" s="907" t="n"/>
      <c r="W414" s="907" t="n"/>
      <c r="X414" s="907" t="n"/>
      <c r="AA414" s="907" t="n"/>
      <c r="AB414" s="907" t="n"/>
      <c r="AC414" s="907" t="n"/>
      <c r="AF414" s="907" t="n"/>
      <c r="AG414" s="907" t="n"/>
      <c r="AH414" s="907" t="n"/>
    </row>
    <row r="415">
      <c r="Q415" s="907" t="n"/>
      <c r="R415" s="907" t="n"/>
      <c r="S415" s="907" t="n"/>
      <c r="V415" s="907" t="n"/>
      <c r="W415" s="907" t="n"/>
      <c r="X415" s="907" t="n"/>
      <c r="AA415" s="907" t="n"/>
      <c r="AB415" s="907" t="n"/>
      <c r="AC415" s="907" t="n"/>
      <c r="AF415" s="907" t="n"/>
      <c r="AG415" s="907" t="n"/>
      <c r="AH415" s="907" t="n"/>
    </row>
    <row r="416">
      <c r="Q416" s="907" t="n"/>
      <c r="R416" s="907" t="n"/>
      <c r="S416" s="907" t="n"/>
      <c r="V416" s="907" t="n"/>
      <c r="W416" s="907" t="n"/>
      <c r="X416" s="907" t="n"/>
      <c r="AA416" s="907" t="n"/>
      <c r="AB416" s="907" t="n"/>
      <c r="AC416" s="907" t="n"/>
      <c r="AF416" s="907" t="n"/>
      <c r="AG416" s="907" t="n"/>
      <c r="AH416" s="907" t="n"/>
    </row>
    <row r="417">
      <c r="Q417" s="907" t="n"/>
      <c r="R417" s="907" t="n"/>
      <c r="S417" s="907" t="n"/>
      <c r="V417" s="907" t="n"/>
      <c r="W417" s="907" t="n"/>
      <c r="X417" s="907" t="n"/>
      <c r="AA417" s="907" t="n"/>
      <c r="AB417" s="907" t="n"/>
      <c r="AC417" s="907" t="n"/>
      <c r="AF417" s="907" t="n"/>
      <c r="AG417" s="907" t="n"/>
      <c r="AH417" s="907" t="n"/>
    </row>
    <row r="418">
      <c r="Q418" s="907" t="n"/>
      <c r="R418" s="907" t="n"/>
      <c r="S418" s="907" t="n"/>
      <c r="V418" s="907" t="n"/>
      <c r="W418" s="907" t="n"/>
      <c r="X418" s="907" t="n"/>
      <c r="AA418" s="907" t="n"/>
      <c r="AB418" s="907" t="n"/>
      <c r="AC418" s="907" t="n"/>
      <c r="AF418" s="907" t="n"/>
      <c r="AG418" s="907" t="n"/>
      <c r="AH418" s="907" t="n"/>
    </row>
    <row r="419">
      <c r="Q419" s="907" t="n"/>
      <c r="R419" s="907" t="n"/>
      <c r="S419" s="907" t="n"/>
      <c r="V419" s="907" t="n"/>
      <c r="W419" s="907" t="n"/>
      <c r="X419" s="907" t="n"/>
      <c r="AA419" s="907" t="n"/>
      <c r="AB419" s="907" t="n"/>
      <c r="AC419" s="907" t="n"/>
      <c r="AF419" s="907" t="n"/>
      <c r="AG419" s="907" t="n"/>
      <c r="AH419" s="907" t="n"/>
    </row>
    <row r="420">
      <c r="Q420" s="907" t="n"/>
      <c r="R420" s="907" t="n"/>
      <c r="S420" s="907" t="n"/>
      <c r="V420" s="907" t="n"/>
      <c r="W420" s="907" t="n"/>
      <c r="X420" s="907" t="n"/>
      <c r="AA420" s="907" t="n"/>
      <c r="AB420" s="907" t="n"/>
      <c r="AC420" s="907" t="n"/>
      <c r="AF420" s="907" t="n"/>
      <c r="AG420" s="907" t="n"/>
      <c r="AH420" s="907" t="n"/>
    </row>
    <row r="421">
      <c r="Q421" s="907" t="n"/>
      <c r="R421" s="907" t="n"/>
      <c r="S421" s="907" t="n"/>
      <c r="V421" s="907" t="n"/>
      <c r="W421" s="907" t="n"/>
      <c r="X421" s="907" t="n"/>
      <c r="AA421" s="907" t="n"/>
      <c r="AB421" s="907" t="n"/>
      <c r="AC421" s="907" t="n"/>
      <c r="AF421" s="907" t="n"/>
      <c r="AG421" s="907" t="n"/>
      <c r="AH421" s="907" t="n"/>
    </row>
    <row r="422">
      <c r="Q422" s="907" t="n"/>
      <c r="R422" s="907" t="n"/>
      <c r="S422" s="907" t="n"/>
      <c r="V422" s="907" t="n"/>
      <c r="W422" s="907" t="n"/>
      <c r="X422" s="907" t="n"/>
      <c r="AA422" s="907" t="n"/>
      <c r="AB422" s="907" t="n"/>
      <c r="AC422" s="907" t="n"/>
      <c r="AF422" s="907" t="n"/>
      <c r="AG422" s="907" t="n"/>
      <c r="AH422" s="907" t="n"/>
    </row>
    <row r="423">
      <c r="Q423" s="907" t="n"/>
      <c r="R423" s="907" t="n"/>
      <c r="S423" s="907" t="n"/>
      <c r="V423" s="907" t="n"/>
      <c r="W423" s="907" t="n"/>
      <c r="X423" s="907" t="n"/>
      <c r="AA423" s="907" t="n"/>
      <c r="AB423" s="907" t="n"/>
      <c r="AC423" s="907" t="n"/>
      <c r="AF423" s="907" t="n"/>
      <c r="AG423" s="907" t="n"/>
      <c r="AH423" s="907" t="n"/>
    </row>
    <row r="424">
      <c r="Q424" s="907" t="n"/>
      <c r="R424" s="907" t="n"/>
      <c r="S424" s="907" t="n"/>
      <c r="V424" s="907" t="n"/>
      <c r="W424" s="907" t="n"/>
      <c r="X424" s="907" t="n"/>
      <c r="AA424" s="907" t="n"/>
      <c r="AB424" s="907" t="n"/>
      <c r="AC424" s="907" t="n"/>
      <c r="AF424" s="907" t="n"/>
      <c r="AG424" s="907" t="n"/>
      <c r="AH424" s="907" t="n"/>
    </row>
    <row r="425">
      <c r="Q425" s="907" t="n"/>
      <c r="R425" s="907" t="n"/>
      <c r="S425" s="907" t="n"/>
      <c r="V425" s="907" t="n"/>
      <c r="W425" s="907" t="n"/>
      <c r="X425" s="907" t="n"/>
      <c r="AA425" s="907" t="n"/>
      <c r="AB425" s="907" t="n"/>
      <c r="AC425" s="907" t="n"/>
      <c r="AF425" s="907" t="n"/>
      <c r="AG425" s="907" t="n"/>
      <c r="AH425" s="907" t="n"/>
    </row>
    <row r="426">
      <c r="Q426" s="907" t="n"/>
      <c r="R426" s="907" t="n"/>
      <c r="S426" s="907" t="n"/>
      <c r="V426" s="907" t="n"/>
      <c r="W426" s="907" t="n"/>
      <c r="X426" s="907" t="n"/>
      <c r="AA426" s="907" t="n"/>
      <c r="AB426" s="907" t="n"/>
      <c r="AC426" s="907" t="n"/>
      <c r="AF426" s="907" t="n"/>
      <c r="AG426" s="907" t="n"/>
      <c r="AH426" s="907" t="n"/>
    </row>
    <row r="427">
      <c r="Q427" s="907" t="n"/>
      <c r="R427" s="907" t="n"/>
      <c r="S427" s="907" t="n"/>
      <c r="V427" s="907" t="n"/>
      <c r="W427" s="907" t="n"/>
      <c r="X427" s="907" t="n"/>
      <c r="AA427" s="907" t="n"/>
      <c r="AB427" s="907" t="n"/>
      <c r="AC427" s="907" t="n"/>
      <c r="AF427" s="907" t="n"/>
      <c r="AG427" s="907" t="n"/>
      <c r="AH427" s="907" t="n"/>
    </row>
    <row r="428">
      <c r="Q428" s="907" t="n"/>
      <c r="R428" s="907" t="n"/>
      <c r="S428" s="907" t="n"/>
      <c r="V428" s="907" t="n"/>
      <c r="W428" s="907" t="n"/>
      <c r="X428" s="907" t="n"/>
      <c r="AA428" s="907" t="n"/>
      <c r="AB428" s="907" t="n"/>
      <c r="AC428" s="907" t="n"/>
      <c r="AF428" s="907" t="n"/>
      <c r="AG428" s="907" t="n"/>
      <c r="AH428" s="907" t="n"/>
    </row>
    <row r="429">
      <c r="Q429" s="907" t="n"/>
      <c r="R429" s="907" t="n"/>
      <c r="S429" s="907" t="n"/>
      <c r="V429" s="907" t="n"/>
      <c r="W429" s="907" t="n"/>
      <c r="X429" s="907" t="n"/>
      <c r="AA429" s="907" t="n"/>
      <c r="AB429" s="907" t="n"/>
      <c r="AC429" s="907" t="n"/>
      <c r="AF429" s="907" t="n"/>
      <c r="AG429" s="907" t="n"/>
      <c r="AH429" s="907" t="n"/>
    </row>
    <row r="430">
      <c r="Q430" s="907" t="n"/>
      <c r="R430" s="907" t="n"/>
      <c r="S430" s="907" t="n"/>
      <c r="V430" s="907" t="n"/>
      <c r="W430" s="907" t="n"/>
      <c r="X430" s="907" t="n"/>
      <c r="AA430" s="907" t="n"/>
      <c r="AB430" s="907" t="n"/>
      <c r="AC430" s="907" t="n"/>
      <c r="AF430" s="907" t="n"/>
      <c r="AG430" s="907" t="n"/>
      <c r="AH430" s="907" t="n"/>
    </row>
    <row r="431">
      <c r="Q431" s="907" t="n"/>
      <c r="R431" s="907" t="n"/>
      <c r="S431" s="907" t="n"/>
      <c r="V431" s="907" t="n"/>
      <c r="W431" s="907" t="n"/>
      <c r="X431" s="907" t="n"/>
      <c r="AA431" s="907" t="n"/>
      <c r="AB431" s="907" t="n"/>
      <c r="AC431" s="907" t="n"/>
      <c r="AF431" s="907" t="n"/>
      <c r="AG431" s="907" t="n"/>
      <c r="AH431" s="907" t="n"/>
    </row>
    <row r="432">
      <c r="Q432" s="907" t="n"/>
      <c r="R432" s="907" t="n"/>
      <c r="S432" s="907" t="n"/>
      <c r="V432" s="907" t="n"/>
      <c r="W432" s="907" t="n"/>
      <c r="X432" s="907" t="n"/>
      <c r="AA432" s="907" t="n"/>
      <c r="AB432" s="907" t="n"/>
      <c r="AC432" s="907" t="n"/>
      <c r="AF432" s="907" t="n"/>
      <c r="AG432" s="907" t="n"/>
      <c r="AH432" s="907" t="n"/>
    </row>
    <row r="433">
      <c r="Q433" s="907" t="n"/>
      <c r="R433" s="907" t="n"/>
      <c r="S433" s="907" t="n"/>
      <c r="V433" s="907" t="n"/>
      <c r="W433" s="907" t="n"/>
      <c r="X433" s="907" t="n"/>
      <c r="AA433" s="907" t="n"/>
      <c r="AB433" s="907" t="n"/>
      <c r="AC433" s="907" t="n"/>
      <c r="AF433" s="907" t="n"/>
      <c r="AG433" s="907" t="n"/>
      <c r="AH433" s="907" t="n"/>
    </row>
    <row r="434">
      <c r="Q434" s="907" t="n"/>
      <c r="R434" s="907" t="n"/>
      <c r="S434" s="907" t="n"/>
      <c r="V434" s="907" t="n"/>
      <c r="W434" s="907" t="n"/>
      <c r="X434" s="907" t="n"/>
      <c r="AA434" s="907" t="n"/>
      <c r="AB434" s="907" t="n"/>
      <c r="AC434" s="907" t="n"/>
      <c r="AF434" s="907" t="n"/>
      <c r="AG434" s="907" t="n"/>
      <c r="AH434" s="907" t="n"/>
    </row>
    <row r="435">
      <c r="Q435" s="907" t="n"/>
      <c r="R435" s="907" t="n"/>
      <c r="S435" s="907" t="n"/>
      <c r="V435" s="907" t="n"/>
      <c r="W435" s="907" t="n"/>
      <c r="X435" s="907" t="n"/>
      <c r="AA435" s="907" t="n"/>
      <c r="AB435" s="907" t="n"/>
      <c r="AC435" s="907" t="n"/>
      <c r="AF435" s="907" t="n"/>
      <c r="AG435" s="907" t="n"/>
      <c r="AH435" s="907" t="n"/>
    </row>
    <row r="436">
      <c r="Q436" s="907" t="n"/>
      <c r="R436" s="907" t="n"/>
      <c r="S436" s="907" t="n"/>
      <c r="V436" s="907" t="n"/>
      <c r="W436" s="907" t="n"/>
      <c r="X436" s="907" t="n"/>
      <c r="AA436" s="907" t="n"/>
      <c r="AB436" s="907" t="n"/>
      <c r="AC436" s="907" t="n"/>
      <c r="AF436" s="907" t="n"/>
      <c r="AG436" s="907" t="n"/>
      <c r="AH436" s="907" t="n"/>
    </row>
    <row r="437">
      <c r="Q437" s="907" t="n"/>
      <c r="R437" s="907" t="n"/>
      <c r="S437" s="907" t="n"/>
      <c r="V437" s="907" t="n"/>
      <c r="W437" s="907" t="n"/>
      <c r="X437" s="907" t="n"/>
      <c r="AA437" s="907" t="n"/>
      <c r="AB437" s="907" t="n"/>
      <c r="AC437" s="907" t="n"/>
      <c r="AF437" s="907" t="n"/>
      <c r="AG437" s="907" t="n"/>
      <c r="AH437" s="907" t="n"/>
    </row>
    <row r="438">
      <c r="Q438" s="907" t="n"/>
      <c r="R438" s="907" t="n"/>
      <c r="S438" s="907" t="n"/>
      <c r="V438" s="907" t="n"/>
      <c r="W438" s="907" t="n"/>
      <c r="X438" s="907" t="n"/>
      <c r="AA438" s="907" t="n"/>
      <c r="AB438" s="907" t="n"/>
      <c r="AC438" s="907" t="n"/>
      <c r="AF438" s="907" t="n"/>
      <c r="AG438" s="907" t="n"/>
      <c r="AH438" s="907" t="n"/>
    </row>
    <row r="439">
      <c r="Q439" s="907" t="n"/>
      <c r="R439" s="907" t="n"/>
      <c r="S439" s="907" t="n"/>
      <c r="V439" s="907" t="n"/>
      <c r="W439" s="907" t="n"/>
      <c r="X439" s="907" t="n"/>
      <c r="AA439" s="907" t="n"/>
      <c r="AB439" s="907" t="n"/>
      <c r="AC439" s="907" t="n"/>
      <c r="AF439" s="907" t="n"/>
      <c r="AG439" s="907" t="n"/>
      <c r="AH439" s="907" t="n"/>
    </row>
    <row r="440">
      <c r="Q440" s="907" t="n"/>
      <c r="R440" s="907" t="n"/>
      <c r="S440" s="907" t="n"/>
      <c r="V440" s="907" t="n"/>
      <c r="W440" s="907" t="n"/>
      <c r="X440" s="907" t="n"/>
      <c r="AA440" s="907" t="n"/>
      <c r="AB440" s="907" t="n"/>
      <c r="AC440" s="907" t="n"/>
      <c r="AF440" s="907" t="n"/>
      <c r="AG440" s="907" t="n"/>
      <c r="AH440" s="907" t="n"/>
    </row>
    <row r="441">
      <c r="Q441" s="907" t="n"/>
      <c r="R441" s="907" t="n"/>
      <c r="S441" s="907" t="n"/>
      <c r="V441" s="907" t="n"/>
      <c r="W441" s="907" t="n"/>
      <c r="X441" s="907" t="n"/>
      <c r="AA441" s="907" t="n"/>
      <c r="AB441" s="907" t="n"/>
      <c r="AC441" s="907" t="n"/>
      <c r="AF441" s="907" t="n"/>
      <c r="AG441" s="907" t="n"/>
      <c r="AH441" s="907" t="n"/>
    </row>
    <row r="442">
      <c r="Q442" s="907" t="n"/>
      <c r="R442" s="907" t="n"/>
      <c r="S442" s="907" t="n"/>
      <c r="V442" s="907" t="n"/>
      <c r="W442" s="907" t="n"/>
      <c r="X442" s="907" t="n"/>
      <c r="AA442" s="907" t="n"/>
      <c r="AB442" s="907" t="n"/>
      <c r="AC442" s="907" t="n"/>
      <c r="AF442" s="907" t="n"/>
      <c r="AG442" s="907" t="n"/>
      <c r="AH442" s="907" t="n"/>
    </row>
    <row r="443">
      <c r="Q443" s="907" t="n"/>
      <c r="R443" s="907" t="n"/>
      <c r="S443" s="907" t="n"/>
      <c r="V443" s="907" t="n"/>
      <c r="W443" s="907" t="n"/>
      <c r="X443" s="907" t="n"/>
      <c r="AA443" s="907" t="n"/>
      <c r="AB443" s="907" t="n"/>
      <c r="AC443" s="907" t="n"/>
      <c r="AF443" s="907" t="n"/>
      <c r="AG443" s="907" t="n"/>
      <c r="AH443" s="907" t="n"/>
    </row>
    <row r="444">
      <c r="Q444" s="907" t="n"/>
      <c r="R444" s="907" t="n"/>
      <c r="S444" s="907" t="n"/>
      <c r="V444" s="907" t="n"/>
      <c r="W444" s="907" t="n"/>
      <c r="X444" s="907" t="n"/>
      <c r="AA444" s="907" t="n"/>
      <c r="AB444" s="907" t="n"/>
      <c r="AC444" s="907" t="n"/>
      <c r="AF444" s="907" t="n"/>
      <c r="AG444" s="907" t="n"/>
      <c r="AH444" s="907" t="n"/>
    </row>
    <row r="445">
      <c r="Q445" s="907" t="n"/>
      <c r="R445" s="907" t="n"/>
      <c r="S445" s="907" t="n"/>
      <c r="V445" s="907" t="n"/>
      <c r="W445" s="907" t="n"/>
      <c r="X445" s="907" t="n"/>
      <c r="AA445" s="907" t="n"/>
      <c r="AB445" s="907" t="n"/>
      <c r="AC445" s="907" t="n"/>
      <c r="AF445" s="907" t="n"/>
      <c r="AG445" s="907" t="n"/>
      <c r="AH445" s="907" t="n"/>
    </row>
    <row r="446">
      <c r="Q446" s="907" t="n"/>
      <c r="R446" s="907" t="n"/>
      <c r="S446" s="907" t="n"/>
      <c r="V446" s="907" t="n"/>
      <c r="W446" s="907" t="n"/>
      <c r="X446" s="907" t="n"/>
      <c r="AA446" s="907" t="n"/>
      <c r="AB446" s="907" t="n"/>
      <c r="AC446" s="907" t="n"/>
      <c r="AF446" s="907" t="n"/>
      <c r="AG446" s="907" t="n"/>
      <c r="AH446" s="907" t="n"/>
    </row>
    <row r="447">
      <c r="Q447" s="907" t="n"/>
      <c r="R447" s="907" t="n"/>
      <c r="S447" s="907" t="n"/>
      <c r="V447" s="907" t="n"/>
      <c r="W447" s="907" t="n"/>
      <c r="X447" s="907" t="n"/>
      <c r="AA447" s="907" t="n"/>
      <c r="AB447" s="907" t="n"/>
      <c r="AC447" s="907" t="n"/>
      <c r="AF447" s="907" t="n"/>
      <c r="AG447" s="907" t="n"/>
      <c r="AH447" s="907" t="n"/>
    </row>
    <row r="448">
      <c r="Q448" s="907" t="n"/>
      <c r="R448" s="907" t="n"/>
      <c r="S448" s="907" t="n"/>
      <c r="V448" s="907" t="n"/>
      <c r="W448" s="907" t="n"/>
      <c r="X448" s="907" t="n"/>
      <c r="AA448" s="907" t="n"/>
      <c r="AB448" s="907" t="n"/>
      <c r="AC448" s="907" t="n"/>
      <c r="AF448" s="907" t="n"/>
      <c r="AG448" s="907" t="n"/>
      <c r="AH448" s="907" t="n"/>
    </row>
    <row r="449">
      <c r="Q449" s="907" t="n"/>
      <c r="R449" s="907" t="n"/>
      <c r="S449" s="907" t="n"/>
      <c r="V449" s="907" t="n"/>
      <c r="W449" s="907" t="n"/>
      <c r="X449" s="907" t="n"/>
      <c r="AA449" s="907" t="n"/>
      <c r="AB449" s="907" t="n"/>
      <c r="AC449" s="907" t="n"/>
      <c r="AF449" s="907" t="n"/>
      <c r="AG449" s="907" t="n"/>
      <c r="AH449" s="907" t="n"/>
    </row>
    <row r="450">
      <c r="Q450" s="907" t="n"/>
      <c r="R450" s="907" t="n"/>
      <c r="S450" s="907" t="n"/>
      <c r="V450" s="907" t="n"/>
      <c r="W450" s="907" t="n"/>
      <c r="X450" s="907" t="n"/>
      <c r="AA450" s="907" t="n"/>
      <c r="AB450" s="907" t="n"/>
      <c r="AC450" s="907" t="n"/>
      <c r="AF450" s="907" t="n"/>
      <c r="AG450" s="907" t="n"/>
      <c r="AH450" s="907" t="n"/>
    </row>
    <row r="451">
      <c r="Q451" s="907" t="n"/>
      <c r="R451" s="907" t="n"/>
      <c r="S451" s="907" t="n"/>
      <c r="V451" s="907" t="n"/>
      <c r="W451" s="907" t="n"/>
      <c r="X451" s="907" t="n"/>
      <c r="AA451" s="907" t="n"/>
      <c r="AB451" s="907" t="n"/>
      <c r="AC451" s="907" t="n"/>
      <c r="AF451" s="907" t="n"/>
      <c r="AG451" s="907" t="n"/>
      <c r="AH451" s="907" t="n"/>
    </row>
    <row r="452">
      <c r="Q452" s="907" t="n"/>
      <c r="R452" s="907" t="n"/>
      <c r="S452" s="907" t="n"/>
      <c r="V452" s="907" t="n"/>
      <c r="W452" s="907" t="n"/>
      <c r="X452" s="907" t="n"/>
      <c r="AA452" s="907" t="n"/>
      <c r="AB452" s="907" t="n"/>
      <c r="AC452" s="907" t="n"/>
      <c r="AF452" s="907" t="n"/>
      <c r="AG452" s="907" t="n"/>
      <c r="AH452" s="907" t="n"/>
    </row>
    <row r="453">
      <c r="Q453" s="907" t="n"/>
      <c r="R453" s="907" t="n"/>
      <c r="S453" s="907" t="n"/>
      <c r="V453" s="907" t="n"/>
      <c r="W453" s="907" t="n"/>
      <c r="X453" s="907" t="n"/>
      <c r="AA453" s="907" t="n"/>
      <c r="AB453" s="907" t="n"/>
      <c r="AC453" s="907" t="n"/>
      <c r="AF453" s="907" t="n"/>
      <c r="AG453" s="907" t="n"/>
      <c r="AH453" s="907" t="n"/>
    </row>
    <row r="454">
      <c r="AF454" s="907" t="n"/>
      <c r="AG454" s="907" t="n"/>
      <c r="AH454" s="907" t="n"/>
    </row>
  </sheetData>
  <sheetProtection selectLockedCells="1" selectUnlockedCells="0" algorithmName="SHA-512" sheet="1" objects="1" insertRows="1" insertHyperlinks="1" autoFilter="1" scenarios="1" formatColumns="1" deleteColumns="1" insertColumns="1" pivotTables="1" deleteRows="1" formatCells="1" saltValue="5PI/1P83+glam9dsqP86jg==" formatRows="1" sort="1" spinCount="100000" hashValue="GLXUbgZRqFK04l4q/3yRLy/shwMvyZ7fGKt8SrNdLpSGhxHaP1F8lsAM8ZMnFfiId1oYNiaEsgbrFOrvhb5lTA=="/>
  <mergeCells count="5">
    <mergeCell ref="N3:O3"/>
    <mergeCell ref="A1:P1"/>
    <mergeCell ref="K35:P36"/>
    <mergeCell ref="F81:G81"/>
    <mergeCell ref="F70:H70"/>
  </mergeCells>
  <conditionalFormatting sqref="E6:E8">
    <cfRule type="cellIs" priority="63" operator="notBetween" dxfId="34" stopIfTrue="1">
      <formula>3.5</formula>
      <formula>VIN_MAX_RATING</formula>
    </cfRule>
  </conditionalFormatting>
  <conditionalFormatting sqref="E9">
    <cfRule type="cellIs" priority="60" operator="notBetween" dxfId="23" stopIfTrue="1">
      <formula>0.8</formula>
      <formula>VOUT_MAX_RATING</formula>
    </cfRule>
  </conditionalFormatting>
  <conditionalFormatting sqref="E33">
    <cfRule type="cellIs" priority="58" operator="lessThanOrEqual" dxfId="20" stopIfTrue="1">
      <formula>0</formula>
    </cfRule>
  </conditionalFormatting>
  <conditionalFormatting sqref="E35">
    <cfRule type="cellIs" priority="57" operator="lessThan" dxfId="20" stopIfTrue="1">
      <formula>$E$34</formula>
    </cfRule>
  </conditionalFormatting>
  <conditionalFormatting sqref="E37">
    <cfRule type="cellIs" priority="56" operator="greaterThan" dxfId="20" stopIfTrue="1">
      <formula>$E$36</formula>
    </cfRule>
  </conditionalFormatting>
  <conditionalFormatting sqref="E42">
    <cfRule type="cellIs" priority="54" operator="equal" dxfId="20" stopIfTrue="1">
      <formula>0</formula>
    </cfRule>
  </conditionalFormatting>
  <conditionalFormatting sqref="E44">
    <cfRule type="cellIs" priority="53" operator="lessThan" dxfId="20" stopIfTrue="1">
      <formula>$E$43</formula>
    </cfRule>
  </conditionalFormatting>
  <conditionalFormatting sqref="E46">
    <cfRule type="cellIs" priority="51" operator="greaterThan" dxfId="20" stopIfTrue="1">
      <formula>$E$45</formula>
    </cfRule>
    <cfRule type="cellIs" priority="52" operator="equal" dxfId="20" stopIfTrue="1">
      <formula>0</formula>
    </cfRule>
  </conditionalFormatting>
  <conditionalFormatting sqref="E11">
    <cfRule type="expression" priority="24" dxfId="23">
      <formula>OR(Fsw/1000&gt;2200, Fsw/1000&lt;100)</formula>
    </cfRule>
  </conditionalFormatting>
  <conditionalFormatting sqref="E7">
    <cfRule type="cellIs" priority="67" operator="notBetween" dxfId="23">
      <formula>$E$6</formula>
      <formula>$E$8</formula>
    </cfRule>
  </conditionalFormatting>
  <conditionalFormatting sqref="I10">
    <cfRule type="cellIs" priority="40" operator="notBetween" dxfId="23" stopIfTrue="1">
      <formula>0.6</formula>
      <formula>55</formula>
    </cfRule>
  </conditionalFormatting>
  <conditionalFormatting sqref="I33">
    <cfRule type="cellIs" priority="39" operator="lessThanOrEqual" dxfId="20" stopIfTrue="1">
      <formula>0</formula>
    </cfRule>
  </conditionalFormatting>
  <conditionalFormatting sqref="I35">
    <cfRule type="cellIs" priority="38" operator="lessThan" dxfId="20" stopIfTrue="1">
      <formula>$E$34</formula>
    </cfRule>
  </conditionalFormatting>
  <conditionalFormatting sqref="I37">
    <cfRule type="cellIs" priority="37" operator="greaterThan" dxfId="20" stopIfTrue="1">
      <formula>$I$36</formula>
    </cfRule>
  </conditionalFormatting>
  <conditionalFormatting sqref="A74:G74">
    <cfRule type="expression" priority="35" dxfId="19">
      <formula>MODE=2</formula>
    </cfRule>
  </conditionalFormatting>
  <conditionalFormatting sqref="G10:J10 G16:J23 G26:J30 G33:J39 G43:H43 G45 G47:G49 G61:J67 H41">
    <cfRule type="expression" priority="32" dxfId="2">
      <formula>MODE=2</formula>
    </cfRule>
  </conditionalFormatting>
  <conditionalFormatting sqref="I65:J67">
    <cfRule type="expression" priority="30" dxfId="9">
      <formula>OR((Ch2_VOUT=1),(Ch2_VOUT=2))</formula>
    </cfRule>
  </conditionalFormatting>
  <conditionalFormatting sqref="D80 G79">
    <cfRule type="expression" priority="28" dxfId="16">
      <formula>MODE=2</formula>
    </cfRule>
  </conditionalFormatting>
  <conditionalFormatting sqref="H79:I93">
    <cfRule type="expression" priority="26" dxfId="15">
      <formula>MODE=2</formula>
    </cfRule>
  </conditionalFormatting>
  <conditionalFormatting sqref="D65">
    <cfRule type="expression" priority="8" dxfId="14">
      <formula>OR((VOUT_setting=2),(VOUT_setting=3))</formula>
    </cfRule>
  </conditionalFormatting>
  <conditionalFormatting sqref="A49:F49">
    <cfRule type="expression" priority="6" dxfId="13">
      <formula>INFILTER_TYPE=1</formula>
    </cfRule>
  </conditionalFormatting>
  <conditionalFormatting sqref="D53:F54">
    <cfRule type="expression" priority="5" dxfId="9">
      <formula>UVLO_TYPE=2</formula>
    </cfRule>
  </conditionalFormatting>
  <conditionalFormatting sqref="D61:F64">
    <cfRule type="expression" priority="4" dxfId="9">
      <formula>COMP_TYPE=1</formula>
    </cfRule>
  </conditionalFormatting>
  <conditionalFormatting sqref="A69:H73">
    <cfRule type="expression" priority="3" dxfId="9">
      <formula>COMP_TYPE=1</formula>
    </cfRule>
  </conditionalFormatting>
  <conditionalFormatting sqref="E65:F67">
    <cfRule type="expression" priority="2" dxfId="9">
      <formula>VOUT_setting&lt;&gt;1</formula>
    </cfRule>
  </conditionalFormatting>
  <conditionalFormatting sqref="D66">
    <cfRule type="expression" priority="1" dxfId="8">
      <formula>VOUT_setting&lt;&gt;1</formula>
    </cfRule>
  </conditionalFormatting>
  <hyperlinks>
    <hyperlink xmlns:r="http://schemas.openxmlformats.org/officeDocument/2006/relationships" ref="N2" r:id="rId1"/>
    <hyperlink xmlns:r="http://schemas.openxmlformats.org/officeDocument/2006/relationships" ref="C3" r:id="rId2"/>
  </hyperlinks>
  <printOptions horizontalCentered="1" verticalCentered="1"/>
  <pageMargins left="0.1" right="0.1" top="0.1" bottom="0.1" header="0.25" footer="0.25"/>
  <pageSetup orientation="portrait" scale="46"/>
  <rowBreaks count="1" manualBreakCount="1">
    <brk id="106" min="0" max="16383" man="1"/>
  </rowBreaks>
  <legacyDrawing xmlns:r="http://schemas.openxmlformats.org/officeDocument/2006/relationships" r:id="anysvml"/>
</worksheet>
</file>

<file path=xl/worksheets/sheet2.xml><?xml version="1.0" encoding="utf-8"?>
<worksheet xmlns="http://schemas.openxmlformats.org/spreadsheetml/2006/main">
  <sheetPr codeName="Sheet15">
    <tabColor rgb="FF00B0F0"/>
    <outlinePr summaryBelow="1" summaryRight="1"/>
    <pageSetUpPr/>
  </sheetPr>
  <dimension ref="A1:R453"/>
  <sheetViews>
    <sheetView zoomScaleNormal="100" workbookViewId="0">
      <selection activeCell="O12" sqref="O12"/>
    </sheetView>
  </sheetViews>
  <sheetFormatPr baseColWidth="8" defaultColWidth="9.140625" defaultRowHeight="12.75"/>
  <cols>
    <col width="9.140625" customWidth="1" style="307" min="1" max="3"/>
    <col width="4.28515625" customWidth="1" style="307" min="4" max="4"/>
    <col width="9.5703125" bestFit="1" customWidth="1" style="307" min="5" max="6"/>
    <col width="9.140625" customWidth="1" style="307" min="7" max="7"/>
    <col width="5.140625" customWidth="1" style="307" min="8" max="8"/>
    <col width="10.7109375" customWidth="1" style="307" min="9" max="9"/>
    <col width="9.7109375" customWidth="1" style="307" min="10" max="10"/>
    <col width="11.42578125" customWidth="1" style="307" min="11" max="11"/>
    <col width="5.5703125" customWidth="1" style="307" min="12" max="12"/>
    <col width="9.140625" customWidth="1" style="307" min="13" max="15"/>
    <col width="9.140625" customWidth="1" style="307" min="16" max="16"/>
    <col width="102" customWidth="1" style="307" min="17" max="17"/>
    <col width="30.42578125" customWidth="1" style="701" min="18" max="18"/>
    <col width="9.140625" customWidth="1" style="307" min="19" max="16384"/>
  </cols>
  <sheetData>
    <row r="1" ht="40.5" customHeight="1">
      <c r="A1" s="793" t="inlineStr">
        <is>
          <t xml:space="preserve">                           LM(2)5149-Q1 Synchronous Buck Controller Design Tool</t>
        </is>
      </c>
      <c r="B1" s="924" t="n"/>
      <c r="C1" s="924" t="n"/>
      <c r="D1" s="924" t="n"/>
      <c r="E1" s="924" t="n"/>
      <c r="F1" s="924" t="n"/>
      <c r="G1" s="924" t="n"/>
      <c r="H1" s="924" t="n"/>
      <c r="I1" s="924" t="n"/>
      <c r="J1" s="924" t="n"/>
      <c r="K1" s="924" t="n"/>
      <c r="L1" s="924" t="n"/>
      <c r="M1" s="924" t="n"/>
      <c r="N1" s="924" t="n"/>
      <c r="O1" s="924" t="n"/>
      <c r="P1" s="924" t="n"/>
      <c r="Q1" s="924" t="n"/>
      <c r="R1" s="706" t="n"/>
    </row>
    <row r="2" ht="17.65" customHeight="1">
      <c r="A2" s="755" t="n"/>
      <c r="B2" s="749" t="n"/>
      <c r="C2" s="749" t="n"/>
      <c r="D2" s="749" t="n"/>
      <c r="E2" s="749" t="n"/>
      <c r="F2" s="749" t="n"/>
      <c r="G2" s="749" t="n"/>
      <c r="H2" s="749" t="n"/>
      <c r="I2" s="749" t="n"/>
      <c r="J2" s="749" t="n"/>
      <c r="K2" s="749" t="n"/>
      <c r="L2" s="749" t="n"/>
      <c r="M2" s="749" t="n"/>
      <c r="N2" s="749" t="n"/>
      <c r="O2" s="502" t="inlineStr">
        <is>
          <t>http://www.ti.com/product/lm5175</t>
        </is>
      </c>
      <c r="P2" s="749" t="n"/>
      <c r="Q2" s="749" t="n"/>
      <c r="R2" s="706" t="n"/>
    </row>
    <row r="3" ht="16.15" customHeight="1">
      <c r="A3" s="754" t="inlineStr">
        <is>
          <t>About</t>
        </is>
      </c>
      <c r="B3" s="753" t="n"/>
      <c r="C3" s="501" t="inlineStr">
        <is>
          <t>xx</t>
        </is>
      </c>
      <c r="D3" s="752" t="n"/>
      <c r="E3" s="751" t="n"/>
      <c r="F3" s="750" t="inlineStr">
        <is>
          <t>= Input Box</t>
        </is>
      </c>
      <c r="G3" s="748" t="n"/>
      <c r="H3" s="749" t="n"/>
      <c r="I3" s="749" t="n"/>
      <c r="J3" s="748" t="n"/>
      <c r="K3" s="747" t="n"/>
      <c r="L3" s="746" t="n"/>
      <c r="M3" s="706" t="n"/>
      <c r="N3" s="706" t="n"/>
      <c r="O3" s="795" t="inlineStr">
        <is>
          <t>TERMS OF USE</t>
        </is>
      </c>
      <c r="Q3" s="706" t="inlineStr">
        <is>
          <t xml:space="preserve">                </t>
        </is>
      </c>
      <c r="R3" s="706" t="n"/>
    </row>
    <row r="4" ht="14.65" customHeight="1" thickBot="1">
      <c r="A4" s="745" t="n"/>
      <c r="B4" s="744" t="n"/>
      <c r="C4" s="743" t="n"/>
      <c r="D4" s="743" t="n"/>
      <c r="E4" s="743" t="n"/>
      <c r="F4" s="743" t="n"/>
      <c r="G4" s="743" t="n"/>
      <c r="H4" s="743" t="n"/>
      <c r="I4" s="743" t="n"/>
      <c r="J4" s="743" t="n"/>
      <c r="K4" s="743" t="n"/>
      <c r="L4" s="743" t="n"/>
      <c r="M4" s="742" t="n"/>
      <c r="N4" s="742" t="n"/>
      <c r="O4" s="742" t="n"/>
      <c r="P4" s="742" t="n"/>
      <c r="Q4" s="742" t="n"/>
      <c r="R4" s="706" t="n"/>
    </row>
    <row r="5">
      <c r="A5" s="244" t="n"/>
      <c r="B5" s="244" t="n"/>
      <c r="C5" s="244" t="n"/>
      <c r="D5" s="244" t="n"/>
      <c r="E5" s="244" t="n"/>
      <c r="F5" s="244" t="n"/>
      <c r="G5" s="244" t="n"/>
      <c r="H5" s="244" t="n"/>
      <c r="I5" s="244" t="n"/>
      <c r="J5" s="244" t="n"/>
      <c r="K5" s="244" t="n"/>
      <c r="L5" s="244" t="n"/>
      <c r="M5" s="244" t="n"/>
      <c r="N5" s="244" t="n"/>
      <c r="O5" s="244" t="n"/>
      <c r="P5" s="244" t="n"/>
      <c r="Q5" s="244" t="n"/>
      <c r="R5" s="706" t="n"/>
    </row>
    <row r="6" ht="13.5" customHeight="1" thickBot="1">
      <c r="A6" s="244" t="n"/>
      <c r="B6" s="244" t="n"/>
      <c r="C6" s="244" t="n"/>
      <c r="D6" s="244" t="n"/>
      <c r="E6" s="244" t="n"/>
      <c r="F6" s="244" t="n"/>
      <c r="G6" s="244" t="n"/>
      <c r="H6" s="244" t="n"/>
      <c r="I6" s="244" t="n"/>
      <c r="J6" s="244" t="n"/>
      <c r="K6" s="244" t="n"/>
      <c r="L6" s="244" t="n"/>
      <c r="M6" s="244" t="n"/>
      <c r="N6" s="244" t="n"/>
      <c r="O6" s="244" t="n"/>
      <c r="P6" s="244" t="n"/>
      <c r="Q6" s="244" t="n"/>
      <c r="R6" s="706" t="n"/>
    </row>
    <row r="7" ht="18" customHeight="1">
      <c r="A7" s="741" t="n"/>
      <c r="B7" s="740" t="n"/>
      <c r="C7" s="739" t="n"/>
      <c r="D7" s="739" t="n"/>
      <c r="E7" s="738" t="inlineStr">
        <is>
          <t>AEF</t>
        </is>
      </c>
      <c r="F7" s="759" t="n"/>
      <c r="G7" s="707" t="n"/>
      <c r="H7" s="737" t="n"/>
      <c r="I7" s="715" t="n"/>
      <c r="J7" s="707" t="n"/>
      <c r="K7" s="707" t="n"/>
      <c r="L7" s="707" t="n"/>
      <c r="M7" s="738" t="inlineStr">
        <is>
          <t>Passive</t>
        </is>
      </c>
      <c r="N7" s="707" t="n"/>
      <c r="O7" s="707" t="n"/>
      <c r="P7" s="737" t="n"/>
      <c r="Q7" s="244" t="n"/>
      <c r="R7" s="706" t="n"/>
    </row>
    <row r="8" ht="13.5" customHeight="1" thickBot="1">
      <c r="A8" s="727" t="n"/>
      <c r="B8" s="721" t="n"/>
      <c r="C8" s="721" t="n"/>
      <c r="D8" s="721" t="n"/>
      <c r="E8" s="721" t="n"/>
      <c r="F8" s="721" t="n"/>
      <c r="G8" s="721" t="n"/>
      <c r="H8" s="728" t="n"/>
      <c r="I8" s="727" t="n"/>
      <c r="J8" s="721" t="n"/>
      <c r="K8" s="721" t="n"/>
      <c r="L8" s="721" t="n"/>
      <c r="M8" s="384" t="n"/>
      <c r="N8" s="721" t="n"/>
      <c r="O8" s="384" t="n"/>
      <c r="P8" s="728" t="n"/>
      <c r="Q8" s="244" t="n"/>
      <c r="R8" s="706" t="n"/>
    </row>
    <row r="9" ht="15.75" customHeight="1">
      <c r="A9" s="707" t="n"/>
      <c r="B9" s="736" t="inlineStr">
        <is>
          <t>Design tab - LAEF</t>
        </is>
      </c>
      <c r="C9" s="658">
        <f>'Design Regulator'!E49 &amp; " µH"</f>
        <v/>
      </c>
      <c r="D9" s="734" t="n"/>
      <c r="E9" s="715" t="n"/>
      <c r="F9" s="736" t="inlineStr">
        <is>
          <t>LAEF</t>
        </is>
      </c>
      <c r="G9" s="128" t="n">
        <v>1</v>
      </c>
      <c r="H9" s="734" t="inlineStr">
        <is>
          <t>µH</t>
        </is>
      </c>
      <c r="I9" s="715" t="n"/>
      <c r="J9" s="736" t="inlineStr">
        <is>
          <t>Suggested LIN Inductor</t>
        </is>
      </c>
      <c r="K9" s="658" t="inlineStr">
        <is>
          <t>0.1-10</t>
        </is>
      </c>
      <c r="L9" s="734" t="inlineStr">
        <is>
          <t>µH</t>
        </is>
      </c>
      <c r="M9" s="707" t="n"/>
      <c r="N9" s="736" t="inlineStr">
        <is>
          <t>Chosen LIN</t>
        </is>
      </c>
      <c r="O9" s="735" t="n">
        <v>0.68</v>
      </c>
      <c r="P9" s="734" t="inlineStr">
        <is>
          <t>µH</t>
        </is>
      </c>
      <c r="Q9" s="244" t="n"/>
      <c r="R9" s="706" t="n"/>
    </row>
    <row r="10" ht="15.75" customHeight="1">
      <c r="A10" s="244" t="n"/>
      <c r="B10" s="731" t="inlineStr">
        <is>
          <t>Design tab - CINJ</t>
        </is>
      </c>
      <c r="C10" s="760">
        <f>'Design Regulator'!#REF! &amp; " µF"</f>
        <v/>
      </c>
      <c r="D10" s="729" t="n"/>
      <c r="E10" s="244" t="n"/>
      <c r="F10" s="731" t="inlineStr">
        <is>
          <t>CINJ</t>
        </is>
      </c>
      <c r="G10" s="128" t="n">
        <v>1</v>
      </c>
      <c r="H10" s="729" t="inlineStr">
        <is>
          <t>µF</t>
        </is>
      </c>
      <c r="I10" s="733" t="n"/>
      <c r="J10" s="732" t="inlineStr">
        <is>
          <t>Suggested CF</t>
        </is>
      </c>
      <c r="K10" s="760" t="inlineStr">
        <is>
          <t>0.1-10</t>
        </is>
      </c>
      <c r="L10" s="729" t="inlineStr">
        <is>
          <t>µF</t>
        </is>
      </c>
      <c r="M10" s="244" t="n"/>
      <c r="N10" s="731" t="inlineStr">
        <is>
          <t>Chosen CF</t>
        </is>
      </c>
      <c r="O10" s="730" t="n">
        <v>0.47</v>
      </c>
      <c r="P10" s="729" t="inlineStr">
        <is>
          <t>µF</t>
        </is>
      </c>
      <c r="Q10" s="244" t="n"/>
      <c r="R10" s="706" t="n"/>
    </row>
    <row r="11" ht="15.75" customHeight="1">
      <c r="A11" s="732" t="n"/>
      <c r="B11" s="731" t="inlineStr">
        <is>
          <t>Design tab - CDAMP</t>
        </is>
      </c>
      <c r="C11" s="760">
        <f>'Design Regulator'!#REF! &amp; " µF"</f>
        <v/>
      </c>
      <c r="D11" s="729" t="n"/>
      <c r="E11" s="244" t="n"/>
      <c r="F11" s="731" t="inlineStr">
        <is>
          <t>CDAMP</t>
        </is>
      </c>
      <c r="G11" s="764" t="n">
        <v>1</v>
      </c>
      <c r="H11" s="729" t="inlineStr">
        <is>
          <t>µF</t>
        </is>
      </c>
      <c r="I11" s="733" t="n"/>
      <c r="J11" s="732" t="inlineStr">
        <is>
          <t>Suggested CDAMP</t>
        </is>
      </c>
      <c r="K11" s="761" t="inlineStr">
        <is>
          <t>1-10</t>
        </is>
      </c>
      <c r="L11" s="729" t="inlineStr">
        <is>
          <t>µF</t>
        </is>
      </c>
      <c r="M11" s="244" t="n"/>
      <c r="N11" s="731" t="inlineStr">
        <is>
          <t>Chosen CDAMP</t>
        </is>
      </c>
      <c r="O11" s="730" t="n">
        <v>1</v>
      </c>
      <c r="P11" s="729" t="inlineStr">
        <is>
          <t>µF</t>
        </is>
      </c>
      <c r="Q11" s="244" t="n"/>
      <c r="R11" s="706" t="n"/>
    </row>
    <row r="12" ht="16.5" customHeight="1" thickBot="1">
      <c r="A12" s="725" t="n"/>
      <c r="B12" s="724" t="inlineStr">
        <is>
          <t>Design tab - RDAMP</t>
        </is>
      </c>
      <c r="C12" s="763">
        <f>'Design Regulator'!#REF! &amp; " Ω"</f>
        <v/>
      </c>
      <c r="D12" s="722" t="n"/>
      <c r="E12" s="727" t="n"/>
      <c r="F12" s="724" t="inlineStr">
        <is>
          <t>RDAMP</t>
        </is>
      </c>
      <c r="G12" s="765" t="n">
        <v>10</v>
      </c>
      <c r="H12" s="722" t="inlineStr">
        <is>
          <t>Ω</t>
        </is>
      </c>
      <c r="I12" s="727" t="n"/>
      <c r="J12" s="726" t="inlineStr">
        <is>
          <t>Suggested RDAMP</t>
        </is>
      </c>
      <c r="K12" s="725">
        <f>Rdamp_PassiveStd</f>
        <v/>
      </c>
      <c r="L12" s="722" t="inlineStr">
        <is>
          <t>Ω</t>
        </is>
      </c>
      <c r="M12" s="721" t="n"/>
      <c r="N12" s="724" t="inlineStr">
        <is>
          <t>Chosen RDAMP</t>
        </is>
      </c>
      <c r="O12" s="723" t="n">
        <v>0.35</v>
      </c>
      <c r="P12" s="722" t="inlineStr">
        <is>
          <t>Ω</t>
        </is>
      </c>
      <c r="Q12" s="244" t="n"/>
      <c r="R12" s="706" t="n"/>
    </row>
    <row r="13">
      <c r="A13" s="244" t="n"/>
      <c r="B13" s="244" t="n"/>
      <c r="C13" s="244" t="n"/>
      <c r="D13" s="244" t="n"/>
      <c r="E13" s="244" t="n"/>
      <c r="F13" s="244" t="n"/>
      <c r="G13" s="244" t="n"/>
      <c r="H13" s="244" t="n"/>
      <c r="I13" s="244" t="n"/>
      <c r="J13" s="244" t="n"/>
      <c r="K13" s="244" t="n"/>
      <c r="L13" s="244" t="n"/>
      <c r="M13" s="244" t="n"/>
      <c r="N13" s="244" t="n"/>
      <c r="O13" s="244" t="n"/>
      <c r="P13" s="244" t="n"/>
      <c r="Q13" s="244" t="n"/>
      <c r="R13" s="706" t="n"/>
    </row>
    <row r="14" ht="15.75" customHeight="1">
      <c r="A14" s="244" t="n"/>
      <c r="B14" s="244" t="n"/>
      <c r="C14" s="775" t="inlineStr">
        <is>
          <t>VIN Ripple at Fsw</t>
        </is>
      </c>
      <c r="D14" s="244" t="n"/>
      <c r="E14" s="244" t="n"/>
      <c r="F14" s="925">
        <f>VinRipple_dBuV</f>
        <v/>
      </c>
      <c r="G14" s="720" t="inlineStr">
        <is>
          <t>dBµV</t>
        </is>
      </c>
      <c r="H14" s="773" t="inlineStr">
        <is>
          <t>VIN Ripple</t>
        </is>
      </c>
      <c r="I14" s="926">
        <f>VinRipple_dBuV</f>
        <v/>
      </c>
      <c r="J14" s="719" t="inlineStr">
        <is>
          <t>dBµV</t>
        </is>
      </c>
      <c r="L14" s="244" t="n"/>
      <c r="M14" s="244" t="n"/>
      <c r="N14" s="244" t="n"/>
      <c r="O14" s="244" t="n"/>
      <c r="P14" s="244" t="n"/>
      <c r="Q14" s="244" t="n"/>
      <c r="R14" s="706" t="n"/>
    </row>
    <row r="15" ht="13.5" customHeight="1" thickBot="1">
      <c r="A15" s="244" t="n"/>
      <c r="B15" s="721" t="n"/>
      <c r="C15" s="244" t="n"/>
      <c r="D15" s="721" t="n"/>
      <c r="E15" s="721" t="n"/>
      <c r="F15" s="721" t="n"/>
      <c r="G15" s="244" t="n"/>
      <c r="H15" s="244" t="n"/>
      <c r="I15" s="244" t="n"/>
      <c r="J15" s="244" t="n"/>
      <c r="K15" s="244" t="n"/>
      <c r="L15" s="244" t="n"/>
      <c r="M15" s="244" t="n"/>
      <c r="N15" s="244" t="n"/>
      <c r="O15" s="244" t="n"/>
      <c r="P15" s="244" t="n"/>
      <c r="Q15" s="244" t="n"/>
      <c r="R15" s="706" t="n"/>
    </row>
    <row r="16">
      <c r="A16" s="244" t="n"/>
      <c r="B16" s="757" t="n"/>
      <c r="C16" s="718" t="n"/>
      <c r="D16" s="717" t="inlineStr">
        <is>
          <t>AEF Attenuation at Fsw</t>
        </is>
      </c>
      <c r="E16" s="927">
        <f>-'Input Filter Calculations'!AM97</f>
        <v/>
      </c>
      <c r="F16" s="716" t="inlineStr">
        <is>
          <t>dB</t>
        </is>
      </c>
      <c r="G16" s="244" t="n"/>
      <c r="H16" s="244" t="n"/>
      <c r="I16" s="244" t="n"/>
      <c r="J16" s="762" t="n"/>
      <c r="K16" s="715" t="n"/>
      <c r="L16" s="714" t="inlineStr">
        <is>
          <t>Passive Attenuation at Fsw</t>
        </is>
      </c>
      <c r="M16" s="928">
        <f>-'Input Filter Calculations'!AA97</f>
        <v/>
      </c>
      <c r="N16" s="713" t="inlineStr">
        <is>
          <t>dB</t>
        </is>
      </c>
      <c r="O16" s="244" t="n"/>
      <c r="P16" s="244" t="n"/>
      <c r="Q16" s="244" t="n"/>
      <c r="R16" s="706" t="n"/>
    </row>
    <row r="17" ht="13.5" customHeight="1" thickBot="1">
      <c r="A17" s="711" t="n"/>
      <c r="B17" s="758" t="n"/>
      <c r="C17" s="710" t="n"/>
      <c r="D17" s="712" t="inlineStr">
        <is>
          <t>AEF EMI at Fsw</t>
        </is>
      </c>
      <c r="E17" s="929">
        <f>VinRipple_dBuV-E16</f>
        <v/>
      </c>
      <c r="F17" s="708" t="inlineStr">
        <is>
          <t>dB-µV</t>
        </is>
      </c>
      <c r="G17" s="244" t="n"/>
      <c r="H17" s="244" t="n"/>
      <c r="J17" s="758" t="n"/>
      <c r="K17" s="710" t="n"/>
      <c r="L17" s="709" t="inlineStr">
        <is>
          <t>Passive EMI at Fsw</t>
        </is>
      </c>
      <c r="M17" s="930">
        <f>VinRipple_dBuV-M16</f>
        <v/>
      </c>
      <c r="N17" s="708" t="inlineStr">
        <is>
          <t>dB-µV</t>
        </is>
      </c>
      <c r="O17" s="244" t="n"/>
      <c r="P17" s="244" t="n"/>
      <c r="Q17" s="244" t="n"/>
      <c r="R17" s="706" t="n"/>
    </row>
    <row r="18">
      <c r="A18" s="244" t="n"/>
      <c r="B18" s="244" t="n"/>
      <c r="C18" s="244" t="n"/>
      <c r="D18" s="244" t="n"/>
      <c r="E18" s="244" t="n"/>
      <c r="F18" s="244" t="n"/>
      <c r="G18" s="244" t="n"/>
      <c r="H18" s="244" t="n"/>
      <c r="I18" s="244" t="n"/>
      <c r="J18" s="244" t="n"/>
      <c r="K18" s="244" t="n"/>
      <c r="L18" s="244" t="n"/>
      <c r="M18" s="244" t="n"/>
      <c r="N18" s="244" t="n"/>
      <c r="O18" s="244" t="n"/>
      <c r="P18" s="244" t="n"/>
      <c r="Q18" s="244" t="n"/>
      <c r="R18" s="706" t="n"/>
    </row>
    <row r="19">
      <c r="A19" s="244" t="n"/>
      <c r="B19" s="244" t="n"/>
      <c r="C19" s="244" t="n"/>
      <c r="D19" s="244" t="n"/>
      <c r="E19" s="244" t="n"/>
      <c r="F19" s="244" t="n"/>
      <c r="G19" s="244" t="n"/>
      <c r="H19" s="244" t="n"/>
      <c r="I19" s="244" t="n"/>
      <c r="J19" s="244" t="n"/>
      <c r="K19" s="244" t="n"/>
      <c r="L19" s="244" t="n"/>
      <c r="M19" s="244" t="n"/>
      <c r="N19" s="244" t="n"/>
      <c r="O19" s="244" t="n"/>
      <c r="P19" s="244" t="n"/>
      <c r="Q19" s="244" t="n"/>
      <c r="R19" s="706" t="n"/>
    </row>
    <row r="20">
      <c r="A20" s="244" t="n"/>
      <c r="B20" s="244" t="n"/>
      <c r="C20" s="244" t="n"/>
      <c r="D20" s="244" t="n"/>
      <c r="E20" s="244" t="n"/>
      <c r="F20" s="244" t="n"/>
      <c r="G20" s="244" t="n"/>
      <c r="H20" s="244" t="n"/>
      <c r="I20" s="244" t="n"/>
      <c r="J20" s="244" t="n"/>
      <c r="K20" s="244" t="n"/>
      <c r="L20" s="244" t="n"/>
      <c r="M20" s="244" t="n"/>
      <c r="N20" s="244" t="n"/>
      <c r="O20" s="244" t="n"/>
      <c r="P20" s="244" t="n"/>
      <c r="Q20" s="244" t="n"/>
      <c r="R20" s="706" t="n"/>
    </row>
    <row r="21">
      <c r="A21" s="244" t="n"/>
      <c r="B21" s="244" t="n"/>
      <c r="C21" s="244" t="n"/>
      <c r="D21" s="244" t="n"/>
      <c r="E21" s="244" t="n"/>
      <c r="F21" s="244" t="n"/>
      <c r="G21" s="244" t="n"/>
      <c r="H21" s="244" t="n"/>
      <c r="I21" s="244" t="n"/>
      <c r="J21" s="244" t="n"/>
      <c r="K21" s="244" t="n"/>
      <c r="L21" s="244" t="n"/>
      <c r="M21" s="244" t="n"/>
      <c r="N21" s="244" t="n"/>
      <c r="O21" s="244" t="n"/>
      <c r="P21" s="244" t="n"/>
      <c r="Q21" s="244" t="n"/>
      <c r="R21" s="706" t="n"/>
    </row>
    <row r="22">
      <c r="A22" s="244" t="n"/>
      <c r="B22" s="244" t="n"/>
      <c r="C22" s="244" t="n"/>
      <c r="D22" s="244" t="n"/>
      <c r="E22" s="244" t="n"/>
      <c r="F22" s="244" t="n"/>
      <c r="G22" s="244" t="n"/>
      <c r="H22" s="244" t="n"/>
      <c r="I22" s="244" t="n"/>
      <c r="J22" s="244" t="n"/>
      <c r="K22" s="244" t="n"/>
      <c r="L22" s="244" t="n"/>
      <c r="M22" s="244" t="n"/>
      <c r="N22" s="244" t="n"/>
      <c r="O22" s="244" t="n"/>
      <c r="P22" s="244" t="n"/>
      <c r="Q22" s="244" t="n"/>
      <c r="R22" s="706" t="n"/>
    </row>
    <row r="23">
      <c r="A23" s="244" t="n"/>
      <c r="B23" s="244" t="n"/>
      <c r="C23" s="244" t="n"/>
      <c r="D23" s="244" t="n"/>
      <c r="E23" s="244" t="n"/>
      <c r="F23" s="244" t="n"/>
      <c r="G23" s="244" t="n"/>
      <c r="H23" s="244" t="n"/>
      <c r="I23" s="244" t="n"/>
      <c r="J23" s="244" t="n"/>
      <c r="K23" s="244" t="n"/>
      <c r="L23" s="244" t="n"/>
      <c r="M23" s="244" t="n"/>
      <c r="N23" s="244" t="n"/>
      <c r="O23" s="244" t="n"/>
      <c r="P23" s="244" t="n"/>
      <c r="Q23" s="244" t="n"/>
      <c r="R23" s="706" t="n"/>
    </row>
    <row r="24">
      <c r="A24" s="244" t="n"/>
      <c r="B24" s="244" t="n"/>
      <c r="C24" s="244" t="n"/>
      <c r="D24" s="244" t="n"/>
      <c r="E24" s="244" t="n"/>
      <c r="F24" s="244" t="n"/>
      <c r="G24" s="244" t="n"/>
      <c r="H24" s="244" t="n"/>
      <c r="I24" s="244" t="n"/>
      <c r="J24" s="244" t="n"/>
      <c r="K24" s="244" t="n"/>
      <c r="L24" s="244" t="n"/>
      <c r="M24" s="244" t="n"/>
      <c r="N24" s="244" t="n"/>
      <c r="O24" s="244" t="n"/>
      <c r="P24" s="244" t="n"/>
      <c r="Q24" s="244" t="n"/>
      <c r="R24" s="706" t="n"/>
    </row>
    <row r="25">
      <c r="A25" s="244" t="n"/>
      <c r="B25" s="244" t="n"/>
      <c r="C25" s="244" t="n"/>
      <c r="D25" s="244" t="n"/>
      <c r="E25" s="244" t="n"/>
      <c r="F25" s="244" t="n"/>
      <c r="G25" s="244" t="n"/>
      <c r="H25" s="244" t="n"/>
      <c r="I25" s="244" t="n"/>
      <c r="J25" s="244" t="n"/>
      <c r="K25" s="244" t="n"/>
      <c r="L25" s="244" t="n"/>
      <c r="M25" s="244" t="n"/>
      <c r="N25" s="244" t="n"/>
      <c r="O25" s="244" t="n"/>
      <c r="P25" s="244" t="n"/>
      <c r="Q25" s="244" t="n"/>
      <c r="R25" s="706" t="n"/>
    </row>
    <row r="26">
      <c r="A26" s="244" t="n"/>
      <c r="B26" s="244" t="n"/>
      <c r="C26" s="244" t="n"/>
      <c r="D26" s="244" t="n"/>
      <c r="E26" s="244" t="n"/>
      <c r="F26" s="244" t="n"/>
      <c r="G26" s="244" t="n"/>
      <c r="H26" s="244" t="n"/>
      <c r="I26" s="244" t="n"/>
      <c r="J26" s="244" t="n"/>
      <c r="K26" s="244" t="n"/>
      <c r="L26" s="244" t="n"/>
      <c r="M26" s="244" t="n"/>
      <c r="N26" s="244" t="n"/>
      <c r="O26" s="244" t="n"/>
      <c r="P26" s="244" t="n"/>
      <c r="Q26" s="244" t="n"/>
      <c r="R26" s="706" t="n"/>
    </row>
    <row r="27">
      <c r="A27" s="244" t="n"/>
      <c r="B27" s="244" t="n"/>
      <c r="C27" s="244" t="n"/>
      <c r="D27" s="244" t="n"/>
      <c r="E27" s="244" t="n"/>
      <c r="F27" s="244" t="n"/>
      <c r="G27" s="244" t="n"/>
      <c r="H27" s="244" t="n"/>
      <c r="I27" s="244" t="n"/>
      <c r="J27" s="244" t="n"/>
      <c r="K27" s="244" t="n"/>
      <c r="L27" s="244" t="n"/>
      <c r="M27" s="244" t="n"/>
      <c r="N27" s="244" t="n"/>
      <c r="O27" s="244" t="n"/>
      <c r="P27" s="244" t="n"/>
      <c r="Q27" s="244" t="n"/>
      <c r="R27" s="706" t="n"/>
    </row>
    <row r="28">
      <c r="A28" s="244" t="n"/>
      <c r="B28" s="244" t="n"/>
      <c r="C28" s="244" t="n"/>
      <c r="D28" s="244" t="n"/>
      <c r="E28" s="244" t="n"/>
      <c r="F28" s="244" t="n"/>
      <c r="G28" s="244" t="n"/>
      <c r="H28" s="244" t="n"/>
      <c r="I28" s="244" t="n"/>
      <c r="J28" s="244" t="n"/>
      <c r="K28" s="244" t="n"/>
      <c r="L28" s="244" t="n"/>
      <c r="M28" s="244" t="n"/>
      <c r="N28" s="244" t="n"/>
      <c r="O28" s="244" t="n"/>
      <c r="P28" s="244" t="n"/>
      <c r="Q28" s="244" t="n"/>
      <c r="R28" s="706" t="n"/>
    </row>
    <row r="29">
      <c r="A29" s="244" t="n"/>
      <c r="B29" s="244" t="n"/>
      <c r="C29" s="244" t="n"/>
      <c r="D29" s="244" t="n"/>
      <c r="E29" s="244" t="n"/>
      <c r="F29" s="244" t="n"/>
      <c r="G29" s="244" t="n"/>
      <c r="H29" s="244" t="n"/>
      <c r="I29" s="244" t="n"/>
      <c r="J29" s="244" t="n"/>
      <c r="K29" s="244" t="n"/>
      <c r="L29" s="244" t="n"/>
      <c r="M29" s="244" t="n"/>
      <c r="N29" s="244" t="n"/>
      <c r="O29" s="244" t="n"/>
      <c r="P29" s="244" t="n"/>
      <c r="Q29" s="244" t="n"/>
      <c r="R29" s="706" t="n"/>
    </row>
    <row r="30">
      <c r="A30" s="244" t="n"/>
      <c r="B30" s="244" t="n"/>
      <c r="C30" s="244" t="n"/>
      <c r="D30" s="244" t="n"/>
      <c r="E30" s="244" t="n"/>
      <c r="F30" s="244" t="n"/>
      <c r="G30" s="244" t="n"/>
      <c r="H30" s="244" t="n"/>
      <c r="I30" s="244" t="n"/>
      <c r="J30" s="244" t="n"/>
      <c r="K30" s="244" t="n"/>
      <c r="L30" s="244" t="n"/>
      <c r="M30" s="244" t="n"/>
      <c r="N30" s="244" t="n"/>
      <c r="O30" s="244" t="n"/>
      <c r="P30" s="244" t="n"/>
      <c r="Q30" s="244" t="n"/>
      <c r="R30" s="706" t="n"/>
    </row>
    <row r="31">
      <c r="A31" s="244" t="n"/>
      <c r="B31" s="244" t="n"/>
      <c r="C31" s="244" t="n"/>
      <c r="D31" s="244" t="n"/>
      <c r="E31" s="244" t="n"/>
      <c r="F31" s="244" t="n"/>
      <c r="G31" s="244" t="n"/>
      <c r="H31" s="244" t="n"/>
      <c r="I31" s="244" t="n"/>
      <c r="J31" s="244" t="n"/>
      <c r="K31" s="244" t="n"/>
      <c r="L31" s="244" t="n"/>
      <c r="M31" s="244" t="n"/>
      <c r="N31" s="244" t="n"/>
      <c r="O31" s="244" t="n"/>
      <c r="P31" s="244" t="n"/>
      <c r="Q31" s="244" t="n"/>
      <c r="R31" s="706" t="n"/>
    </row>
    <row r="32">
      <c r="A32" s="244" t="n"/>
      <c r="B32" s="244" t="n"/>
      <c r="C32" s="244" t="n"/>
      <c r="D32" s="244" t="n"/>
      <c r="E32" s="244" t="n"/>
      <c r="F32" s="244" t="n"/>
      <c r="G32" s="244" t="n"/>
      <c r="H32" s="244" t="n"/>
      <c r="I32" s="244" t="n"/>
      <c r="J32" s="244" t="n"/>
      <c r="K32" s="244" t="n"/>
      <c r="L32" s="244" t="n"/>
      <c r="M32" s="244" t="n"/>
      <c r="N32" s="244" t="n"/>
      <c r="O32" s="244" t="n"/>
      <c r="P32" s="244" t="n"/>
      <c r="Q32" s="244" t="n"/>
      <c r="R32" s="706" t="n"/>
    </row>
    <row r="33">
      <c r="A33" s="244" t="n"/>
      <c r="B33" s="244" t="n"/>
      <c r="C33" s="244" t="n"/>
      <c r="D33" s="244" t="n"/>
      <c r="E33" s="244" t="n"/>
      <c r="F33" s="244" t="n"/>
      <c r="G33" s="244" t="n"/>
      <c r="H33" s="244" t="n"/>
      <c r="I33" s="244" t="n"/>
      <c r="J33" s="244" t="n"/>
      <c r="K33" s="244" t="n"/>
      <c r="L33" s="244" t="n"/>
      <c r="M33" s="244" t="n"/>
      <c r="N33" s="244" t="n"/>
      <c r="O33" s="244" t="n"/>
      <c r="P33" s="244" t="n"/>
      <c r="Q33" s="244" t="n"/>
      <c r="R33" s="706" t="n"/>
    </row>
    <row r="34">
      <c r="A34" s="244" t="n"/>
      <c r="B34" s="244" t="n"/>
      <c r="C34" s="244" t="n"/>
      <c r="D34" s="244" t="n"/>
      <c r="E34" s="244" t="n"/>
      <c r="F34" s="244" t="n"/>
      <c r="G34" s="244" t="n"/>
      <c r="H34" s="244" t="n"/>
      <c r="I34" s="244" t="n"/>
      <c r="J34" s="244" t="n"/>
      <c r="K34" s="244" t="n"/>
      <c r="L34" s="244" t="n"/>
      <c r="M34" s="244" t="n"/>
      <c r="N34" s="244" t="n"/>
      <c r="O34" s="244" t="n"/>
      <c r="P34" s="244" t="n"/>
      <c r="Q34" s="244" t="n"/>
      <c r="R34" s="706" t="n"/>
    </row>
    <row r="35">
      <c r="A35" s="244" t="n"/>
      <c r="B35" s="244" t="n"/>
      <c r="C35" s="244" t="n"/>
      <c r="D35" s="244" t="n"/>
      <c r="E35" s="244" t="n"/>
      <c r="F35" s="244" t="n"/>
      <c r="G35" s="244" t="n"/>
      <c r="H35" s="244" t="n"/>
      <c r="I35" s="244" t="n"/>
      <c r="J35" s="244" t="n"/>
      <c r="K35" s="244" t="n"/>
      <c r="L35" s="244" t="n"/>
      <c r="M35" s="244" t="n"/>
      <c r="N35" s="244" t="n"/>
      <c r="O35" s="244" t="n"/>
      <c r="P35" s="244" t="n"/>
      <c r="Q35" s="244" t="n"/>
      <c r="R35" s="706" t="n"/>
    </row>
    <row r="36">
      <c r="A36" s="244" t="n"/>
      <c r="B36" s="244" t="n"/>
      <c r="C36" s="244" t="n"/>
      <c r="D36" s="244" t="n"/>
      <c r="E36" s="244" t="n"/>
      <c r="F36" s="244" t="n"/>
      <c r="G36" s="244" t="n"/>
      <c r="H36" s="244" t="n"/>
      <c r="I36" s="244" t="n"/>
      <c r="J36" s="244" t="n"/>
      <c r="K36" s="244" t="n"/>
      <c r="L36" s="244" t="n"/>
      <c r="M36" s="244" t="n"/>
      <c r="N36" s="244" t="n"/>
      <c r="O36" s="244" t="n"/>
      <c r="P36" s="244" t="n"/>
      <c r="Q36" s="244" t="n"/>
      <c r="R36" s="706" t="n"/>
    </row>
    <row r="37">
      <c r="A37" s="244" t="n"/>
      <c r="B37" s="244" t="n"/>
      <c r="C37" s="244" t="n"/>
      <c r="D37" s="244" t="n"/>
      <c r="E37" s="244" t="n"/>
      <c r="F37" s="244" t="n"/>
      <c r="G37" s="244" t="n"/>
      <c r="H37" s="244" t="n"/>
      <c r="I37" s="244" t="n"/>
      <c r="J37" s="244" t="n"/>
      <c r="K37" s="244" t="n"/>
      <c r="L37" s="244" t="n"/>
      <c r="M37" s="244" t="n"/>
      <c r="N37" s="244" t="n"/>
      <c r="O37" s="244" t="n"/>
      <c r="P37" s="244" t="n"/>
      <c r="Q37" s="244" t="n"/>
      <c r="R37" s="706" t="n"/>
    </row>
    <row r="38">
      <c r="A38" s="244" t="n"/>
      <c r="B38" s="244" t="n"/>
      <c r="C38" s="244" t="n"/>
      <c r="D38" s="244" t="n"/>
      <c r="E38" s="244" t="n"/>
      <c r="F38" s="244" t="n"/>
      <c r="G38" s="244" t="n"/>
      <c r="H38" s="244" t="n"/>
      <c r="I38" s="244" t="n"/>
      <c r="J38" s="244" t="n"/>
      <c r="K38" s="244" t="n"/>
      <c r="L38" s="244" t="n"/>
      <c r="M38" s="244" t="n"/>
      <c r="N38" s="244" t="n"/>
      <c r="O38" s="244" t="n"/>
      <c r="P38" s="244" t="n"/>
      <c r="Q38" s="244" t="n"/>
      <c r="R38" s="706" t="n"/>
    </row>
    <row r="39">
      <c r="A39" s="244" t="n"/>
      <c r="B39" s="244" t="n"/>
      <c r="C39" s="244" t="n"/>
      <c r="D39" s="244" t="n"/>
      <c r="E39" s="244" t="n"/>
      <c r="F39" s="244" t="n"/>
      <c r="G39" s="244" t="n"/>
      <c r="H39" s="244" t="n"/>
      <c r="I39" s="244" t="n"/>
      <c r="J39" s="244" t="n"/>
      <c r="K39" s="244" t="n"/>
      <c r="L39" s="244" t="n"/>
      <c r="M39" s="244" t="n"/>
      <c r="N39" s="244" t="n"/>
      <c r="O39" s="244" t="n"/>
      <c r="P39" s="244" t="n"/>
      <c r="Q39" s="244" t="n"/>
      <c r="R39" s="706" t="n"/>
    </row>
    <row r="40">
      <c r="A40" s="244" t="n"/>
      <c r="B40" s="244" t="n"/>
      <c r="C40" s="244" t="n"/>
      <c r="D40" s="244" t="n"/>
      <c r="E40" s="244" t="n"/>
      <c r="F40" s="244" t="n"/>
      <c r="G40" s="244" t="n"/>
      <c r="H40" s="244" t="n"/>
      <c r="I40" s="244" t="n"/>
      <c r="J40" s="244" t="n"/>
      <c r="K40" s="244" t="n"/>
      <c r="L40" s="244" t="n"/>
      <c r="M40" s="244" t="n"/>
      <c r="N40" s="244" t="n"/>
      <c r="O40" s="244" t="n"/>
      <c r="P40" s="244" t="n"/>
      <c r="Q40" s="244" t="n"/>
      <c r="R40" s="706" t="n"/>
    </row>
    <row r="41">
      <c r="A41" s="244" t="n"/>
      <c r="B41" s="244" t="n"/>
      <c r="C41" s="244" t="n"/>
      <c r="D41" s="244" t="n"/>
      <c r="E41" s="244" t="n"/>
      <c r="F41" s="244" t="n"/>
      <c r="G41" s="244" t="n"/>
      <c r="H41" s="244" t="n"/>
      <c r="I41" s="244" t="n"/>
      <c r="J41" s="244" t="n"/>
      <c r="K41" s="244" t="n"/>
      <c r="L41" s="244" t="n"/>
      <c r="M41" s="244" t="n"/>
      <c r="N41" s="244" t="n"/>
      <c r="O41" s="244" t="n"/>
      <c r="P41" s="244" t="n"/>
      <c r="Q41" s="244" t="n"/>
      <c r="R41" s="706" t="n"/>
    </row>
    <row r="42">
      <c r="A42" s="244" t="n"/>
      <c r="B42" s="244" t="n"/>
      <c r="C42" s="244" t="n"/>
      <c r="D42" s="244" t="n"/>
      <c r="E42" s="244" t="n"/>
      <c r="F42" s="244" t="n"/>
      <c r="G42" s="244" t="n"/>
      <c r="H42" s="244" t="n"/>
      <c r="I42" s="244" t="n"/>
      <c r="J42" s="244" t="n"/>
      <c r="K42" s="244" t="n"/>
      <c r="L42" s="244" t="n"/>
      <c r="M42" s="244" t="n"/>
      <c r="N42" s="244" t="n"/>
      <c r="O42" s="244" t="n"/>
      <c r="P42" s="244" t="n"/>
      <c r="Q42" s="244" t="n"/>
      <c r="R42" s="706" t="n"/>
    </row>
    <row r="43">
      <c r="A43" s="244" t="n"/>
      <c r="B43" s="244" t="n"/>
      <c r="C43" s="244" t="n"/>
      <c r="D43" s="244" t="n"/>
      <c r="E43" s="244" t="n"/>
      <c r="F43" s="244" t="n"/>
      <c r="G43" s="244" t="n"/>
      <c r="H43" s="244" t="n"/>
      <c r="I43" s="244" t="n"/>
      <c r="J43" s="244" t="n"/>
      <c r="K43" s="244" t="n"/>
      <c r="L43" s="244" t="n"/>
      <c r="M43" s="244" t="n"/>
      <c r="N43" s="244" t="n"/>
      <c r="O43" s="244" t="n"/>
      <c r="P43" s="244" t="n"/>
      <c r="Q43" s="244" t="n"/>
      <c r="R43" s="706" t="n"/>
    </row>
    <row r="44">
      <c r="A44" s="244" t="n"/>
      <c r="B44" s="244" t="n"/>
      <c r="C44" s="244" t="n"/>
      <c r="D44" s="244" t="n"/>
      <c r="E44" s="244" t="n"/>
      <c r="F44" s="244" t="n"/>
      <c r="G44" s="244" t="n"/>
      <c r="H44" s="244" t="n"/>
      <c r="I44" s="244" t="n"/>
      <c r="J44" s="244" t="n"/>
      <c r="K44" s="244" t="n"/>
      <c r="L44" s="244" t="n"/>
      <c r="M44" s="244" t="n"/>
      <c r="N44" s="244" t="n"/>
      <c r="O44" s="244" t="n"/>
      <c r="P44" s="244" t="n"/>
      <c r="Q44" s="244" t="n"/>
      <c r="R44" s="706" t="n"/>
    </row>
    <row r="45">
      <c r="A45" s="244" t="n"/>
      <c r="B45" s="244" t="n"/>
      <c r="C45" s="244" t="n"/>
      <c r="D45" s="244" t="n"/>
      <c r="E45" s="244" t="n"/>
      <c r="F45" s="244" t="n"/>
      <c r="G45" s="244" t="n"/>
      <c r="H45" s="244" t="n"/>
      <c r="I45" s="244" t="n"/>
      <c r="J45" s="244" t="n"/>
      <c r="K45" s="244" t="n"/>
      <c r="L45" s="244" t="n"/>
      <c r="M45" s="244" t="n"/>
      <c r="N45" s="244" t="n"/>
      <c r="O45" s="244" t="n"/>
      <c r="P45" s="244" t="n"/>
      <c r="Q45" s="244" t="n"/>
      <c r="R45" s="706" t="n"/>
    </row>
    <row r="46">
      <c r="A46" s="244" t="n"/>
      <c r="B46" s="244" t="n"/>
      <c r="C46" s="244" t="n"/>
      <c r="D46" s="244" t="n"/>
      <c r="E46" s="244" t="n"/>
      <c r="F46" s="244" t="n"/>
      <c r="G46" s="244" t="n"/>
      <c r="H46" s="244" t="n"/>
      <c r="I46" s="244" t="n"/>
      <c r="J46" s="244" t="n"/>
      <c r="K46" s="244" t="n"/>
      <c r="L46" s="244" t="n"/>
      <c r="M46" s="244" t="n"/>
      <c r="N46" s="244" t="n"/>
      <c r="O46" s="244" t="n"/>
      <c r="P46" s="244" t="n"/>
      <c r="Q46" s="244" t="n"/>
      <c r="R46" s="706" t="n"/>
    </row>
    <row r="47">
      <c r="A47" s="244" t="n"/>
      <c r="B47" s="244" t="n"/>
      <c r="C47" s="244" t="n"/>
      <c r="D47" s="244" t="n"/>
      <c r="E47" s="244" t="n"/>
      <c r="F47" s="244" t="n"/>
      <c r="G47" s="244" t="n"/>
      <c r="H47" s="244" t="n"/>
      <c r="I47" s="244" t="n"/>
      <c r="J47" s="244" t="n"/>
      <c r="K47" s="244" t="n"/>
      <c r="L47" s="244" t="n"/>
      <c r="M47" s="244" t="n"/>
      <c r="N47" s="244" t="n"/>
      <c r="O47" s="244" t="n"/>
      <c r="P47" s="244" t="n"/>
      <c r="Q47" s="244" t="n"/>
      <c r="R47" s="706" t="n"/>
    </row>
    <row r="48">
      <c r="A48" s="244" t="n"/>
      <c r="B48" s="244" t="n"/>
      <c r="C48" s="244" t="n"/>
      <c r="D48" s="244" t="n"/>
      <c r="E48" s="244" t="n"/>
      <c r="F48" s="244" t="n"/>
      <c r="G48" s="244" t="n"/>
      <c r="H48" s="244" t="n"/>
      <c r="I48" s="244" t="n"/>
      <c r="J48" s="244" t="n"/>
      <c r="K48" s="244" t="n"/>
      <c r="L48" s="244" t="n"/>
      <c r="M48" s="244" t="n"/>
      <c r="N48" s="244" t="n"/>
      <c r="O48" s="244" t="n"/>
      <c r="P48" s="244" t="n"/>
      <c r="Q48" s="244" t="n"/>
      <c r="R48" s="706" t="n"/>
    </row>
    <row r="49">
      <c r="A49" s="244" t="n"/>
      <c r="B49" s="244" t="n"/>
      <c r="C49" s="244" t="n"/>
      <c r="D49" s="244" t="n"/>
      <c r="E49" s="244" t="n"/>
      <c r="F49" s="244" t="n"/>
      <c r="G49" s="244" t="n"/>
      <c r="H49" s="244" t="n"/>
      <c r="I49" s="244" t="n"/>
      <c r="J49" s="244" t="n"/>
      <c r="K49" s="244" t="n"/>
      <c r="L49" s="244" t="n"/>
      <c r="M49" s="244" t="n"/>
      <c r="N49" s="244" t="n"/>
      <c r="O49" s="244" t="n"/>
      <c r="P49" s="244" t="n"/>
      <c r="Q49" s="244" t="n"/>
      <c r="R49" s="706" t="n"/>
    </row>
    <row r="50">
      <c r="A50" s="244" t="n"/>
      <c r="B50" s="244" t="n"/>
      <c r="C50" s="244" t="n"/>
      <c r="D50" s="244" t="n"/>
      <c r="E50" s="244" t="n"/>
      <c r="F50" s="244" t="n"/>
      <c r="G50" s="244" t="n"/>
      <c r="H50" s="244" t="n"/>
      <c r="I50" s="244" t="n"/>
      <c r="J50" s="244" t="n"/>
      <c r="K50" s="244" t="n"/>
      <c r="L50" s="244" t="n"/>
      <c r="M50" s="244" t="n"/>
      <c r="N50" s="244" t="n"/>
      <c r="O50" s="244" t="n"/>
      <c r="P50" s="244" t="n"/>
      <c r="Q50" s="244" t="n"/>
      <c r="R50" s="706" t="n"/>
    </row>
    <row r="51">
      <c r="A51" s="244" t="n"/>
      <c r="B51" s="244" t="n"/>
      <c r="C51" s="244" t="n"/>
      <c r="D51" s="244" t="n"/>
      <c r="E51" s="244" t="n"/>
      <c r="F51" s="244" t="n"/>
      <c r="G51" s="244" t="n"/>
      <c r="H51" s="244" t="n"/>
      <c r="I51" s="244" t="n"/>
      <c r="J51" s="244" t="n"/>
      <c r="K51" s="244" t="n"/>
      <c r="L51" s="244" t="n"/>
      <c r="M51" s="244" t="n"/>
      <c r="N51" s="244" t="n"/>
      <c r="O51" s="244" t="n"/>
      <c r="P51" s="244" t="n"/>
      <c r="Q51" s="244" t="n"/>
      <c r="R51" s="706" t="n"/>
    </row>
    <row r="52">
      <c r="A52" s="244" t="n"/>
      <c r="B52" s="244" t="n"/>
      <c r="C52" s="244" t="n"/>
      <c r="D52" s="244" t="n"/>
      <c r="E52" s="244" t="n"/>
      <c r="F52" s="244" t="n"/>
      <c r="G52" s="244" t="n"/>
      <c r="H52" s="244" t="n"/>
      <c r="I52" s="244" t="n"/>
      <c r="J52" s="244" t="n"/>
      <c r="K52" s="244" t="n"/>
      <c r="L52" s="244" t="n"/>
      <c r="M52" s="244" t="n"/>
      <c r="N52" s="244" t="n"/>
      <c r="O52" s="244" t="n"/>
      <c r="P52" s="244" t="n"/>
      <c r="Q52" s="244" t="n"/>
      <c r="R52" s="706" t="n"/>
    </row>
    <row r="53">
      <c r="A53" s="244" t="n"/>
      <c r="B53" s="244" t="n"/>
      <c r="C53" s="244" t="n"/>
      <c r="D53" s="244" t="n"/>
      <c r="E53" s="244" t="n"/>
      <c r="F53" s="244" t="n"/>
      <c r="G53" s="244" t="n"/>
      <c r="H53" s="244" t="n"/>
      <c r="I53" s="244" t="n"/>
      <c r="J53" s="244" t="n"/>
      <c r="K53" s="244" t="n"/>
      <c r="L53" s="244" t="n"/>
      <c r="M53" s="244" t="n"/>
      <c r="N53" s="244" t="n"/>
      <c r="O53" s="244" t="n"/>
      <c r="P53" s="244" t="n"/>
      <c r="Q53" s="244" t="n"/>
      <c r="R53" s="706" t="n"/>
    </row>
    <row r="54">
      <c r="A54" s="244" t="n"/>
      <c r="B54" s="244" t="n"/>
      <c r="C54" s="244" t="n"/>
      <c r="D54" s="244" t="n"/>
      <c r="E54" s="244" t="n"/>
      <c r="F54" s="244" t="n"/>
      <c r="G54" s="244" t="n"/>
      <c r="H54" s="244" t="n"/>
      <c r="I54" s="244" t="n"/>
      <c r="J54" s="244" t="n"/>
      <c r="K54" s="244" t="n"/>
      <c r="L54" s="244" t="n"/>
      <c r="M54" s="244" t="n"/>
      <c r="N54" s="244" t="n"/>
      <c r="O54" s="244" t="n"/>
      <c r="P54" s="244" t="n"/>
      <c r="Q54" s="244" t="n"/>
      <c r="R54" s="706" t="n"/>
    </row>
    <row r="55">
      <c r="A55" s="244" t="n"/>
      <c r="B55" s="244" t="n"/>
      <c r="C55" s="244" t="n"/>
      <c r="D55" s="244" t="n"/>
      <c r="E55" s="244" t="n"/>
      <c r="F55" s="244" t="n"/>
      <c r="G55" s="244" t="n"/>
      <c r="H55" s="244" t="n"/>
      <c r="I55" s="244" t="n"/>
      <c r="J55" s="244" t="n"/>
      <c r="K55" s="244" t="n"/>
      <c r="L55" s="244" t="n"/>
      <c r="M55" s="244" t="n"/>
      <c r="N55" s="244" t="n"/>
      <c r="O55" s="244" t="n"/>
      <c r="P55" s="244" t="n"/>
      <c r="Q55" s="244" t="n"/>
      <c r="R55" s="706" t="n"/>
    </row>
    <row r="56">
      <c r="A56" s="244" t="n"/>
      <c r="B56" s="244" t="n"/>
      <c r="C56" s="244" t="n"/>
      <c r="D56" s="244" t="n"/>
      <c r="E56" s="244" t="n"/>
      <c r="F56" s="244" t="n"/>
      <c r="G56" s="244" t="n"/>
      <c r="H56" s="244" t="n"/>
      <c r="I56" s="244" t="n"/>
      <c r="J56" s="244" t="n"/>
      <c r="K56" s="244" t="n"/>
      <c r="L56" s="244" t="n"/>
      <c r="M56" s="244" t="n"/>
      <c r="N56" s="244" t="n"/>
      <c r="O56" s="244" t="n"/>
      <c r="P56" s="244" t="n"/>
      <c r="Q56" s="244" t="n"/>
      <c r="R56" s="706" t="n"/>
    </row>
    <row r="57">
      <c r="A57" s="244" t="n"/>
      <c r="B57" s="244" t="n"/>
      <c r="C57" s="244" t="n"/>
      <c r="D57" s="244" t="n"/>
      <c r="E57" s="244" t="n"/>
      <c r="F57" s="244" t="n"/>
      <c r="G57" s="244" t="n"/>
      <c r="H57" s="244" t="n"/>
      <c r="I57" s="244" t="n"/>
      <c r="J57" s="244" t="n"/>
      <c r="K57" s="244" t="n"/>
      <c r="L57" s="244" t="n"/>
      <c r="M57" s="244" t="n"/>
      <c r="N57" s="244" t="n"/>
      <c r="O57" s="244" t="n"/>
      <c r="P57" s="244" t="n"/>
      <c r="Q57" s="244" t="n"/>
      <c r="R57" s="706" t="n"/>
    </row>
    <row r="58">
      <c r="A58" s="244" t="n"/>
      <c r="B58" s="244" t="n"/>
      <c r="C58" s="244" t="n"/>
      <c r="D58" s="244" t="n"/>
      <c r="E58" s="244" t="n"/>
      <c r="F58" s="244" t="n"/>
      <c r="G58" s="244" t="n"/>
      <c r="H58" s="244" t="n"/>
      <c r="I58" s="244" t="n"/>
      <c r="J58" s="244" t="n"/>
      <c r="K58" s="244" t="n"/>
      <c r="L58" s="244" t="n"/>
      <c r="M58" s="244" t="n"/>
      <c r="N58" s="244" t="n"/>
      <c r="O58" s="244" t="n"/>
      <c r="P58" s="244" t="n"/>
      <c r="Q58" s="244" t="n"/>
      <c r="R58" s="706" t="n"/>
    </row>
    <row r="59">
      <c r="A59" s="244" t="n"/>
      <c r="B59" s="244" t="n"/>
      <c r="C59" s="244" t="n"/>
      <c r="D59" s="244" t="n"/>
      <c r="E59" s="244" t="n"/>
      <c r="F59" s="244" t="n"/>
      <c r="G59" s="244" t="n"/>
      <c r="H59" s="244" t="n"/>
      <c r="I59" s="244" t="n"/>
      <c r="J59" s="244" t="n"/>
      <c r="K59" s="244" t="n"/>
      <c r="L59" s="244" t="n"/>
      <c r="M59" s="244" t="n"/>
      <c r="N59" s="244" t="n"/>
      <c r="O59" s="244" t="n"/>
      <c r="P59" s="244" t="n"/>
      <c r="Q59" s="244" t="n"/>
      <c r="R59" s="706" t="n"/>
    </row>
    <row r="60">
      <c r="A60" s="244" t="n"/>
      <c r="B60" s="244" t="n"/>
      <c r="C60" s="244" t="n"/>
      <c r="D60" s="244" t="n"/>
      <c r="E60" s="244" t="n"/>
      <c r="F60" s="244" t="n"/>
      <c r="G60" s="244" t="n"/>
      <c r="H60" s="244" t="n"/>
      <c r="I60" s="244" t="n"/>
      <c r="J60" s="244" t="n"/>
      <c r="K60" s="244" t="n"/>
      <c r="L60" s="244" t="n"/>
      <c r="M60" s="244" t="n"/>
      <c r="N60" s="244" t="n"/>
      <c r="O60" s="244" t="n"/>
      <c r="P60" s="244" t="n"/>
      <c r="Q60" s="244" t="n"/>
      <c r="R60" s="706" t="n"/>
    </row>
    <row r="61">
      <c r="A61" s="244" t="n"/>
      <c r="B61" s="244" t="n"/>
      <c r="C61" s="244" t="n"/>
      <c r="D61" s="244" t="n"/>
      <c r="E61" s="244" t="n"/>
      <c r="F61" s="244" t="n"/>
      <c r="G61" s="244" t="n"/>
      <c r="H61" s="244" t="n"/>
      <c r="I61" s="244" t="n"/>
      <c r="J61" s="244" t="n"/>
      <c r="K61" s="244" t="n"/>
      <c r="L61" s="244" t="n"/>
      <c r="M61" s="244" t="n"/>
      <c r="N61" s="244" t="n"/>
      <c r="O61" s="244" t="n"/>
      <c r="P61" s="244" t="n"/>
      <c r="Q61" s="244" t="n"/>
      <c r="R61" s="931" t="n"/>
    </row>
    <row r="62">
      <c r="A62" s="244" t="n"/>
      <c r="B62" s="244" t="n"/>
      <c r="C62" s="244" t="n"/>
      <c r="D62" s="244" t="n"/>
      <c r="E62" s="244" t="n"/>
      <c r="F62" s="244" t="n"/>
      <c r="G62" s="244" t="n"/>
      <c r="H62" s="244" t="n"/>
      <c r="I62" s="244" t="n"/>
      <c r="J62" s="244" t="n"/>
      <c r="K62" s="244" t="n"/>
      <c r="L62" s="244" t="n"/>
      <c r="M62" s="244" t="n"/>
      <c r="N62" s="244" t="n"/>
      <c r="O62" s="244" t="n"/>
      <c r="P62" s="244" t="n"/>
      <c r="Q62" s="244" t="n"/>
      <c r="R62" s="931" t="n"/>
    </row>
    <row r="63">
      <c r="A63" s="244" t="n"/>
      <c r="B63" s="244" t="n"/>
      <c r="C63" s="244" t="n"/>
      <c r="D63" s="244" t="n"/>
      <c r="E63" s="244" t="n"/>
      <c r="F63" s="244" t="n"/>
      <c r="G63" s="244" t="n"/>
      <c r="H63" s="244" t="n"/>
      <c r="I63" s="244" t="n"/>
      <c r="J63" s="244" t="n"/>
      <c r="K63" s="244" t="n"/>
      <c r="L63" s="244" t="n"/>
      <c r="M63" s="244" t="n"/>
      <c r="N63" s="244" t="n"/>
      <c r="O63" s="244" t="n"/>
      <c r="P63" s="244" t="n"/>
      <c r="Q63" s="244" t="n"/>
      <c r="R63" s="931" t="n"/>
    </row>
    <row r="64">
      <c r="A64" s="244" t="n"/>
      <c r="B64" s="244" t="n"/>
      <c r="C64" s="244" t="n"/>
      <c r="D64" s="244" t="n"/>
      <c r="E64" s="244" t="n"/>
      <c r="F64" s="244" t="n"/>
      <c r="G64" s="244" t="n"/>
      <c r="H64" s="244" t="n"/>
      <c r="I64" s="244" t="n"/>
      <c r="J64" s="244" t="n"/>
      <c r="K64" s="244" t="n"/>
      <c r="L64" s="244" t="n"/>
      <c r="M64" s="244" t="n"/>
      <c r="N64" s="244" t="n"/>
      <c r="O64" s="244" t="n"/>
      <c r="P64" s="244" t="n"/>
      <c r="Q64" s="244" t="n"/>
      <c r="R64" s="931" t="n"/>
    </row>
    <row r="65">
      <c r="A65" s="244" t="n"/>
      <c r="B65" s="244" t="n"/>
      <c r="C65" s="244" t="n"/>
      <c r="D65" s="244" t="n"/>
      <c r="E65" s="244" t="n"/>
      <c r="F65" s="244" t="n"/>
      <c r="G65" s="244" t="n"/>
      <c r="H65" s="244" t="n"/>
      <c r="I65" s="244" t="n"/>
      <c r="J65" s="244" t="n"/>
      <c r="K65" s="244" t="n"/>
      <c r="L65" s="244" t="n"/>
      <c r="M65" s="244" t="n"/>
      <c r="N65" s="244" t="n"/>
      <c r="O65" s="244" t="n"/>
      <c r="P65" s="244" t="n"/>
      <c r="Q65" s="244" t="n"/>
      <c r="R65" s="931" t="n"/>
    </row>
    <row r="66">
      <c r="A66" s="244" t="n"/>
      <c r="B66" s="244" t="n"/>
      <c r="C66" s="244" t="n"/>
      <c r="D66" s="244" t="n"/>
      <c r="E66" s="244" t="n"/>
      <c r="F66" s="244" t="n"/>
      <c r="G66" s="244" t="n"/>
      <c r="H66" s="244" t="n"/>
      <c r="I66" s="244" t="n"/>
      <c r="J66" s="244" t="n"/>
      <c r="K66" s="244" t="n"/>
      <c r="L66" s="244" t="n"/>
      <c r="M66" s="244" t="n"/>
      <c r="N66" s="244" t="n"/>
      <c r="O66" s="244" t="n"/>
      <c r="P66" s="244" t="n"/>
      <c r="Q66" s="244" t="n"/>
      <c r="R66" s="931" t="n"/>
    </row>
    <row r="67">
      <c r="A67" s="244" t="n"/>
      <c r="B67" s="244" t="n"/>
      <c r="C67" s="244" t="n"/>
      <c r="D67" s="244" t="n"/>
      <c r="E67" s="244" t="n"/>
      <c r="F67" s="244" t="n"/>
      <c r="G67" s="244" t="n"/>
      <c r="H67" s="244" t="n"/>
      <c r="I67" s="244" t="n"/>
      <c r="J67" s="244" t="n"/>
      <c r="K67" s="244" t="n"/>
      <c r="L67" s="244" t="n"/>
      <c r="M67" s="244" t="n"/>
      <c r="N67" s="244" t="n"/>
      <c r="O67" s="244" t="n"/>
      <c r="P67" s="244" t="n"/>
      <c r="Q67" s="244" t="n"/>
      <c r="R67" s="931" t="n"/>
    </row>
    <row r="68">
      <c r="A68" s="244" t="n"/>
      <c r="B68" s="244" t="n"/>
      <c r="C68" s="244" t="n"/>
      <c r="D68" s="244" t="n"/>
      <c r="E68" s="244" t="n"/>
      <c r="F68" s="244" t="n"/>
      <c r="G68" s="244" t="n"/>
      <c r="H68" s="244" t="n"/>
      <c r="I68" s="244" t="n"/>
      <c r="J68" s="244" t="n"/>
      <c r="K68" s="244" t="n"/>
      <c r="L68" s="244" t="n"/>
      <c r="M68" s="244" t="n"/>
      <c r="N68" s="244" t="n"/>
      <c r="O68" s="244" t="n"/>
      <c r="P68" s="244" t="n"/>
      <c r="Q68" s="244" t="n"/>
      <c r="R68" s="931" t="n"/>
    </row>
    <row r="69">
      <c r="A69" s="244" t="n"/>
      <c r="B69" s="244" t="n"/>
      <c r="C69" s="244" t="n"/>
      <c r="D69" s="244" t="n"/>
      <c r="E69" s="244" t="n"/>
      <c r="F69" s="244" t="n"/>
      <c r="G69" s="244" t="n"/>
      <c r="H69" s="244" t="n"/>
      <c r="I69" s="244" t="n"/>
      <c r="J69" s="244" t="n"/>
      <c r="K69" s="244" t="n"/>
      <c r="L69" s="244" t="n"/>
      <c r="M69" s="244" t="n"/>
      <c r="N69" s="244" t="n"/>
      <c r="O69" s="244" t="n"/>
      <c r="P69" s="244" t="n"/>
      <c r="Q69" s="244" t="n"/>
      <c r="R69" s="931" t="n"/>
    </row>
    <row r="70">
      <c r="A70" s="244" t="n"/>
      <c r="B70" s="244" t="n"/>
      <c r="C70" s="244" t="n"/>
      <c r="D70" s="244" t="n"/>
      <c r="E70" s="244" t="n"/>
      <c r="F70" s="244" t="n"/>
      <c r="G70" s="244" t="n"/>
      <c r="H70" s="244" t="n"/>
      <c r="I70" s="244" t="n"/>
      <c r="J70" s="244" t="n"/>
      <c r="K70" s="244" t="n"/>
      <c r="L70" s="244" t="n"/>
      <c r="M70" s="244" t="n"/>
      <c r="N70" s="244" t="n"/>
      <c r="O70" s="244" t="n"/>
      <c r="P70" s="244" t="n"/>
      <c r="Q70" s="244" t="n"/>
      <c r="R70" s="932" t="n"/>
    </row>
    <row r="71">
      <c r="A71" s="244" t="n"/>
      <c r="B71" s="244" t="n"/>
      <c r="C71" s="244" t="n"/>
      <c r="D71" s="244" t="n"/>
      <c r="E71" s="244" t="n"/>
      <c r="F71" s="244" t="n"/>
      <c r="G71" s="244" t="n"/>
      <c r="H71" s="244" t="n"/>
      <c r="I71" s="244" t="n"/>
      <c r="J71" s="244" t="n"/>
      <c r="K71" s="244" t="n"/>
      <c r="L71" s="244" t="n"/>
      <c r="M71" s="244" t="n"/>
      <c r="N71" s="244" t="n"/>
      <c r="O71" s="244" t="n"/>
      <c r="P71" s="244" t="n"/>
      <c r="Q71" s="244" t="n"/>
      <c r="R71" s="931" t="n"/>
    </row>
    <row r="72">
      <c r="A72" s="244" t="n"/>
      <c r="B72" s="244" t="n"/>
      <c r="C72" s="244" t="n"/>
      <c r="D72" s="244" t="n"/>
      <c r="E72" s="244" t="n"/>
      <c r="F72" s="244" t="n"/>
      <c r="G72" s="244" t="n"/>
      <c r="H72" s="244" t="n"/>
      <c r="I72" s="244" t="n"/>
      <c r="J72" s="244" t="n"/>
      <c r="K72" s="244" t="n"/>
      <c r="L72" s="244" t="n"/>
      <c r="M72" s="244" t="n"/>
      <c r="N72" s="244" t="n"/>
      <c r="O72" s="244" t="n"/>
      <c r="P72" s="244" t="n"/>
      <c r="Q72" s="244" t="n"/>
      <c r="R72" s="931" t="n"/>
    </row>
    <row r="73">
      <c r="A73" s="244" t="n"/>
      <c r="B73" s="244" t="n"/>
      <c r="C73" s="244" t="n"/>
      <c r="D73" s="244" t="n"/>
      <c r="E73" s="244" t="n"/>
      <c r="F73" s="244" t="n"/>
      <c r="G73" s="244" t="n"/>
      <c r="H73" s="244" t="n"/>
      <c r="I73" s="244" t="n"/>
      <c r="J73" s="244" t="n"/>
      <c r="K73" s="244" t="n"/>
      <c r="L73" s="244" t="n"/>
      <c r="M73" s="244" t="n"/>
      <c r="N73" s="244" t="n"/>
      <c r="O73" s="244" t="n"/>
      <c r="P73" s="244" t="n"/>
      <c r="Q73" s="244" t="n"/>
      <c r="R73" s="931" t="n"/>
    </row>
    <row r="74">
      <c r="A74" s="244" t="n"/>
      <c r="B74" s="244" t="n"/>
      <c r="C74" s="244" t="n"/>
      <c r="D74" s="244" t="n"/>
      <c r="E74" s="244" t="n"/>
      <c r="F74" s="244" t="n"/>
      <c r="G74" s="244" t="n"/>
      <c r="H74" s="244" t="n"/>
      <c r="I74" s="244" t="n"/>
      <c r="J74" s="244" t="n"/>
      <c r="K74" s="244" t="n"/>
      <c r="L74" s="244" t="n"/>
      <c r="M74" s="244" t="n"/>
      <c r="N74" s="244" t="n"/>
      <c r="O74" s="244" t="n"/>
      <c r="P74" s="244" t="n"/>
      <c r="Q74" s="244" t="n"/>
      <c r="R74" s="931" t="n"/>
    </row>
    <row r="75">
      <c r="A75" s="244" t="n"/>
      <c r="B75" s="244" t="n"/>
      <c r="C75" s="244" t="n"/>
      <c r="D75" s="244" t="n"/>
      <c r="E75" s="244" t="n"/>
      <c r="F75" s="244" t="n"/>
      <c r="G75" s="244" t="n"/>
      <c r="H75" s="244" t="n"/>
      <c r="I75" s="244" t="n"/>
      <c r="J75" s="244" t="n"/>
      <c r="K75" s="244" t="n"/>
      <c r="L75" s="244" t="n"/>
      <c r="M75" s="244" t="n"/>
      <c r="N75" s="244" t="n"/>
      <c r="O75" s="244" t="n"/>
      <c r="P75" s="244" t="n"/>
      <c r="Q75" s="244" t="n"/>
      <c r="R75" s="931" t="n"/>
    </row>
    <row r="76" ht="15.75" customHeight="1">
      <c r="A76" s="244" t="n"/>
      <c r="B76" s="244" t="n"/>
      <c r="C76" s="244" t="n"/>
      <c r="D76" s="244" t="n"/>
      <c r="E76" s="244" t="n"/>
      <c r="F76" s="244" t="n"/>
      <c r="G76" s="244" t="n"/>
      <c r="H76" s="244" t="n"/>
      <c r="I76" s="244" t="n"/>
      <c r="J76" s="244" t="n"/>
      <c r="K76" s="244" t="n"/>
      <c r="L76" s="244" t="n"/>
      <c r="M76" s="244" t="n"/>
      <c r="N76" s="244" t="n"/>
      <c r="O76" s="244" t="n"/>
      <c r="P76" s="244" t="n"/>
      <c r="Q76" s="244" t="n"/>
      <c r="R76" s="933" t="n"/>
    </row>
    <row r="77">
      <c r="A77" s="244" t="n"/>
      <c r="B77" s="244" t="n"/>
      <c r="C77" s="244" t="n"/>
      <c r="D77" s="244" t="n"/>
      <c r="E77" s="244" t="n"/>
      <c r="F77" s="244" t="n"/>
      <c r="G77" s="244" t="n"/>
      <c r="H77" s="244" t="n"/>
      <c r="I77" s="244" t="n"/>
      <c r="J77" s="244" t="n"/>
      <c r="K77" s="244" t="n"/>
      <c r="L77" s="244" t="n"/>
      <c r="M77" s="244" t="n"/>
      <c r="N77" s="244" t="n"/>
      <c r="O77" s="244" t="n"/>
      <c r="P77" s="244" t="n"/>
      <c r="Q77" s="244" t="n"/>
      <c r="R77" s="931" t="n"/>
    </row>
    <row r="78">
      <c r="A78" s="244" t="n"/>
      <c r="B78" s="244" t="n"/>
      <c r="C78" s="244" t="n"/>
      <c r="D78" s="244" t="n"/>
      <c r="E78" s="244" t="n"/>
      <c r="F78" s="244" t="n"/>
      <c r="G78" s="244" t="n"/>
      <c r="H78" s="244" t="n"/>
      <c r="I78" s="244" t="n"/>
      <c r="J78" s="244" t="n"/>
      <c r="K78" s="244" t="n"/>
      <c r="L78" s="244" t="n"/>
      <c r="M78" s="244" t="n"/>
      <c r="N78" s="244" t="n"/>
      <c r="O78" s="244" t="n"/>
      <c r="P78" s="244" t="n"/>
      <c r="Q78" s="244" t="n"/>
      <c r="R78" s="931" t="n"/>
    </row>
    <row r="79">
      <c r="A79" s="244" t="n"/>
      <c r="B79" s="244" t="n"/>
      <c r="C79" s="244" t="n"/>
      <c r="D79" s="244" t="n"/>
      <c r="E79" s="244" t="n"/>
      <c r="F79" s="244" t="n"/>
      <c r="G79" s="244" t="n"/>
      <c r="H79" s="244" t="n"/>
      <c r="I79" s="244" t="n"/>
      <c r="J79" s="244" t="n"/>
      <c r="K79" s="244" t="n"/>
      <c r="L79" s="244" t="n"/>
      <c r="M79" s="244" t="n"/>
      <c r="N79" s="244" t="n"/>
      <c r="O79" s="244" t="n"/>
      <c r="P79" s="244" t="n"/>
      <c r="Q79" s="244" t="n"/>
      <c r="R79" s="931" t="n"/>
    </row>
    <row r="80">
      <c r="A80" s="244" t="n"/>
      <c r="B80" s="244" t="n"/>
      <c r="C80" s="244" t="n"/>
      <c r="D80" s="244" t="n"/>
      <c r="E80" s="244" t="n"/>
      <c r="F80" s="244" t="n"/>
      <c r="G80" s="244" t="n"/>
      <c r="H80" s="244" t="n"/>
      <c r="I80" s="244" t="n"/>
      <c r="J80" s="244" t="n"/>
      <c r="K80" s="244" t="n"/>
      <c r="L80" s="244" t="n"/>
      <c r="M80" s="244" t="n"/>
      <c r="N80" s="244" t="n"/>
      <c r="O80" s="244" t="n"/>
      <c r="P80" s="244" t="n"/>
      <c r="Q80" s="244" t="n"/>
      <c r="R80" s="931" t="n"/>
    </row>
    <row r="81">
      <c r="A81" s="244" t="n"/>
      <c r="B81" s="244" t="n"/>
      <c r="C81" s="244" t="n"/>
      <c r="D81" s="244" t="n"/>
      <c r="E81" s="244" t="n"/>
      <c r="F81" s="244" t="n"/>
      <c r="G81" s="244" t="n"/>
      <c r="H81" s="244" t="n"/>
      <c r="I81" s="244" t="n"/>
      <c r="J81" s="244" t="n"/>
      <c r="K81" s="244" t="n"/>
      <c r="L81" s="244" t="n"/>
      <c r="M81" s="244" t="n"/>
      <c r="N81" s="244" t="n"/>
      <c r="O81" s="244" t="n"/>
      <c r="P81" s="244" t="n"/>
      <c r="Q81" s="244" t="n"/>
      <c r="R81" s="931" t="n"/>
    </row>
    <row r="82">
      <c r="R82" s="931" t="n"/>
    </row>
    <row r="83">
      <c r="R83" s="931" t="n"/>
    </row>
    <row r="84">
      <c r="R84" s="931" t="n"/>
    </row>
    <row r="85">
      <c r="R85" s="931" t="n"/>
    </row>
    <row r="86">
      <c r="R86" s="931" t="n"/>
    </row>
    <row r="87">
      <c r="R87" s="931" t="n"/>
    </row>
    <row r="88">
      <c r="R88" s="931" t="n"/>
    </row>
    <row r="89">
      <c r="R89" s="931" t="n"/>
    </row>
    <row r="90">
      <c r="R90" s="931" t="n"/>
    </row>
    <row r="91">
      <c r="R91" s="931" t="n"/>
    </row>
    <row r="92">
      <c r="R92" s="931" t="n"/>
    </row>
    <row r="93">
      <c r="R93" s="931" t="n"/>
    </row>
    <row r="94">
      <c r="R94" s="931" t="n"/>
    </row>
    <row r="95">
      <c r="R95" s="931" t="n"/>
    </row>
    <row r="96">
      <c r="R96" s="931" t="n"/>
    </row>
    <row r="97">
      <c r="R97" s="931" t="n"/>
    </row>
    <row r="98">
      <c r="R98" s="931" t="n"/>
    </row>
    <row r="99">
      <c r="R99" s="931" t="n"/>
    </row>
    <row r="100">
      <c r="R100" s="931" t="n"/>
    </row>
    <row r="101">
      <c r="R101" s="931" t="n"/>
    </row>
    <row r="102">
      <c r="R102" s="931" t="n"/>
    </row>
    <row r="103">
      <c r="R103" s="931" t="n"/>
    </row>
    <row r="104">
      <c r="R104" s="931" t="n"/>
    </row>
    <row r="105">
      <c r="R105" s="931" t="n"/>
    </row>
    <row r="106">
      <c r="R106" s="931" t="n"/>
    </row>
    <row r="107">
      <c r="R107" s="931" t="n"/>
    </row>
    <row r="108">
      <c r="R108" s="934" t="n"/>
    </row>
    <row r="109">
      <c r="R109" s="934" t="n"/>
    </row>
    <row r="110">
      <c r="R110" s="934" t="n"/>
    </row>
    <row r="111">
      <c r="R111" s="934" t="n"/>
    </row>
    <row r="112">
      <c r="R112" s="934" t="n"/>
    </row>
    <row r="113">
      <c r="R113" s="934" t="n"/>
    </row>
    <row r="114">
      <c r="R114" s="934" t="n"/>
    </row>
    <row r="115">
      <c r="R115" s="934" t="n"/>
    </row>
    <row r="116">
      <c r="R116" s="934" t="n"/>
    </row>
    <row r="117">
      <c r="R117" s="934" t="n"/>
    </row>
    <row r="118">
      <c r="R118" s="934" t="n"/>
    </row>
    <row r="119">
      <c r="R119" s="934" t="n"/>
    </row>
    <row r="120">
      <c r="R120" s="934" t="n"/>
    </row>
    <row r="121">
      <c r="R121" s="934" t="n"/>
    </row>
    <row r="122">
      <c r="R122" s="934" t="n"/>
    </row>
    <row r="123">
      <c r="R123" s="934" t="n"/>
    </row>
    <row r="124">
      <c r="R124" s="934" t="n"/>
    </row>
    <row r="125">
      <c r="R125" s="934" t="n"/>
    </row>
    <row r="126">
      <c r="R126" s="934" t="n"/>
    </row>
    <row r="127">
      <c r="R127" s="934" t="n"/>
    </row>
    <row r="128">
      <c r="R128" s="934" t="n"/>
    </row>
    <row r="129">
      <c r="R129" s="934" t="n"/>
    </row>
    <row r="130">
      <c r="R130" s="934" t="n"/>
    </row>
    <row r="131">
      <c r="R131" s="934" t="n"/>
    </row>
    <row r="132">
      <c r="R132" s="934" t="n"/>
    </row>
    <row r="133">
      <c r="R133" s="934" t="n"/>
    </row>
    <row r="134">
      <c r="R134" s="934" t="n"/>
    </row>
    <row r="135">
      <c r="R135" s="934" t="n"/>
    </row>
    <row r="136">
      <c r="R136" s="934" t="n"/>
    </row>
    <row r="137">
      <c r="R137" s="934" t="n"/>
    </row>
    <row r="138">
      <c r="R138" s="934" t="n"/>
    </row>
    <row r="139">
      <c r="R139" s="934" t="n"/>
    </row>
    <row r="140">
      <c r="R140" s="934" t="n"/>
    </row>
    <row r="141">
      <c r="R141" s="934" t="n"/>
    </row>
    <row r="142">
      <c r="R142" s="934" t="n"/>
    </row>
    <row r="143">
      <c r="R143" s="934" t="n"/>
    </row>
    <row r="144">
      <c r="R144" s="934" t="n"/>
    </row>
    <row r="145">
      <c r="R145" s="934" t="n"/>
    </row>
    <row r="146">
      <c r="R146" s="934" t="n"/>
    </row>
    <row r="147">
      <c r="R147" s="934" t="n"/>
    </row>
    <row r="148">
      <c r="R148" s="934" t="n"/>
    </row>
    <row r="149">
      <c r="R149" s="934" t="n"/>
    </row>
    <row r="150">
      <c r="R150" s="934" t="n"/>
    </row>
    <row r="151">
      <c r="R151" s="934" t="n"/>
    </row>
    <row r="152">
      <c r="R152" s="934" t="n"/>
    </row>
    <row r="153">
      <c r="R153" s="934" t="n"/>
    </row>
    <row r="154">
      <c r="R154" s="934" t="n"/>
    </row>
    <row r="155">
      <c r="R155" s="934" t="n"/>
    </row>
    <row r="156">
      <c r="R156" s="934" t="n"/>
    </row>
    <row r="157">
      <c r="R157" s="934" t="n"/>
    </row>
    <row r="158">
      <c r="R158" s="934" t="n"/>
    </row>
    <row r="159">
      <c r="R159" s="934" t="n"/>
    </row>
    <row r="160">
      <c r="R160" s="934" t="n"/>
    </row>
    <row r="161">
      <c r="R161" s="934" t="n"/>
    </row>
    <row r="162">
      <c r="R162" s="934" t="n"/>
    </row>
    <row r="163">
      <c r="R163" s="934" t="n"/>
    </row>
    <row r="164">
      <c r="R164" s="934" t="n"/>
    </row>
    <row r="165">
      <c r="R165" s="934" t="n"/>
    </row>
    <row r="166">
      <c r="R166" s="934" t="n"/>
    </row>
    <row r="167">
      <c r="R167" s="934" t="n"/>
    </row>
    <row r="168">
      <c r="R168" s="934" t="n"/>
    </row>
    <row r="169">
      <c r="R169" s="934" t="n"/>
    </row>
    <row r="170">
      <c r="R170" s="934" t="n"/>
    </row>
    <row r="171">
      <c r="R171" s="934" t="n"/>
    </row>
    <row r="172">
      <c r="R172" s="934" t="n"/>
    </row>
    <row r="173">
      <c r="R173" s="934" t="n"/>
    </row>
    <row r="174">
      <c r="R174" s="934" t="n"/>
    </row>
    <row r="175">
      <c r="R175" s="934" t="n"/>
    </row>
    <row r="176">
      <c r="R176" s="934" t="n"/>
    </row>
    <row r="177">
      <c r="R177" s="934" t="n"/>
    </row>
    <row r="178">
      <c r="R178" s="934" t="n"/>
    </row>
    <row r="179">
      <c r="R179" s="934" t="n"/>
    </row>
    <row r="180">
      <c r="R180" s="934" t="n"/>
    </row>
    <row r="181">
      <c r="R181" s="934" t="n"/>
    </row>
    <row r="182">
      <c r="R182" s="934" t="n"/>
    </row>
    <row r="183">
      <c r="R183" s="934" t="n"/>
    </row>
    <row r="184">
      <c r="R184" s="934" t="n"/>
    </row>
    <row r="185">
      <c r="R185" s="934" t="n"/>
    </row>
    <row r="186">
      <c r="R186" s="934" t="n"/>
    </row>
    <row r="187">
      <c r="R187" s="934" t="n"/>
    </row>
    <row r="188">
      <c r="R188" s="934" t="n"/>
    </row>
    <row r="189">
      <c r="R189" s="934" t="n"/>
    </row>
    <row r="190">
      <c r="R190" s="934" t="n"/>
    </row>
    <row r="191">
      <c r="R191" s="934" t="n"/>
    </row>
    <row r="192">
      <c r="R192" s="934" t="n"/>
    </row>
    <row r="193">
      <c r="R193" s="934" t="n"/>
    </row>
    <row r="194">
      <c r="R194" s="934" t="n"/>
    </row>
    <row r="195">
      <c r="R195" s="934" t="n"/>
    </row>
    <row r="196">
      <c r="R196" s="934" t="n"/>
    </row>
    <row r="197">
      <c r="R197" s="934" t="n"/>
    </row>
    <row r="198">
      <c r="R198" s="934" t="n"/>
    </row>
    <row r="199">
      <c r="R199" s="934" t="n"/>
    </row>
    <row r="200">
      <c r="R200" s="934" t="n"/>
    </row>
    <row r="201">
      <c r="R201" s="934" t="n"/>
    </row>
    <row r="202">
      <c r="R202" s="934" t="n"/>
    </row>
    <row r="203">
      <c r="R203" s="934" t="n"/>
    </row>
    <row r="204">
      <c r="R204" s="934" t="n"/>
    </row>
    <row r="205">
      <c r="R205" s="934" t="n"/>
    </row>
    <row r="206">
      <c r="R206" s="934" t="n"/>
    </row>
    <row r="207">
      <c r="R207" s="934" t="n"/>
    </row>
    <row r="208">
      <c r="R208" s="934" t="n"/>
    </row>
    <row r="209">
      <c r="R209" s="934" t="n"/>
    </row>
    <row r="210">
      <c r="R210" s="934" t="n"/>
    </row>
    <row r="211">
      <c r="R211" s="934" t="n"/>
    </row>
    <row r="212">
      <c r="R212" s="934" t="n"/>
    </row>
    <row r="213">
      <c r="R213" s="934" t="n"/>
    </row>
    <row r="214">
      <c r="R214" s="934" t="n"/>
    </row>
    <row r="215">
      <c r="R215" s="934" t="n"/>
    </row>
    <row r="216">
      <c r="R216" s="934" t="n"/>
    </row>
    <row r="217">
      <c r="R217" s="934" t="n"/>
    </row>
    <row r="218">
      <c r="R218" s="934" t="n"/>
    </row>
    <row r="219">
      <c r="R219" s="934" t="n"/>
    </row>
    <row r="220">
      <c r="R220" s="934" t="n"/>
    </row>
    <row r="221">
      <c r="R221" s="934" t="n"/>
    </row>
    <row r="222">
      <c r="R222" s="934" t="n"/>
    </row>
    <row r="223">
      <c r="R223" s="934" t="n"/>
    </row>
    <row r="224">
      <c r="R224" s="934" t="n"/>
    </row>
    <row r="225">
      <c r="R225" s="934" t="n"/>
    </row>
    <row r="226">
      <c r="R226" s="934" t="n"/>
    </row>
    <row r="227">
      <c r="R227" s="934" t="n"/>
    </row>
    <row r="228">
      <c r="R228" s="934" t="n"/>
    </row>
    <row r="229">
      <c r="R229" s="934" t="n"/>
    </row>
    <row r="230">
      <c r="R230" s="934" t="n"/>
    </row>
    <row r="231">
      <c r="R231" s="934" t="n"/>
    </row>
    <row r="232">
      <c r="R232" s="934" t="n"/>
    </row>
    <row r="233">
      <c r="R233" s="934" t="n"/>
    </row>
    <row r="234">
      <c r="R234" s="934" t="n"/>
    </row>
    <row r="235">
      <c r="R235" s="934" t="n"/>
    </row>
    <row r="236">
      <c r="R236" s="934" t="n"/>
    </row>
    <row r="237">
      <c r="R237" s="934" t="n"/>
    </row>
    <row r="238">
      <c r="R238" s="934" t="n"/>
    </row>
    <row r="239">
      <c r="R239" s="934" t="n"/>
    </row>
    <row r="240">
      <c r="R240" s="934" t="n"/>
    </row>
    <row r="241">
      <c r="R241" s="934" t="n"/>
    </row>
    <row r="242">
      <c r="R242" s="934" t="n"/>
    </row>
    <row r="243">
      <c r="R243" s="934" t="n"/>
    </row>
    <row r="244">
      <c r="R244" s="934" t="n"/>
    </row>
    <row r="245">
      <c r="R245" s="934" t="n"/>
    </row>
    <row r="246">
      <c r="R246" s="934" t="n"/>
    </row>
    <row r="247">
      <c r="R247" s="934" t="n"/>
    </row>
    <row r="248">
      <c r="R248" s="934" t="n"/>
    </row>
    <row r="249">
      <c r="R249" s="934" t="n"/>
    </row>
    <row r="250">
      <c r="R250" s="934" t="n"/>
    </row>
    <row r="251">
      <c r="R251" s="934" t="n"/>
    </row>
    <row r="252">
      <c r="R252" s="934" t="n"/>
    </row>
    <row r="253">
      <c r="R253" s="934" t="n"/>
    </row>
    <row r="254">
      <c r="R254" s="934" t="n"/>
    </row>
    <row r="255">
      <c r="R255" s="934" t="n"/>
    </row>
    <row r="256">
      <c r="R256" s="934" t="n"/>
    </row>
    <row r="257">
      <c r="R257" s="934" t="n"/>
    </row>
    <row r="258">
      <c r="R258" s="934" t="n"/>
    </row>
    <row r="259">
      <c r="R259" s="934" t="n"/>
    </row>
    <row r="260">
      <c r="R260" s="934" t="n"/>
    </row>
    <row r="261">
      <c r="R261" s="934" t="n"/>
    </row>
    <row r="262">
      <c r="R262" s="934" t="n"/>
    </row>
    <row r="263">
      <c r="R263" s="934" t="n"/>
    </row>
    <row r="264">
      <c r="R264" s="934" t="n"/>
    </row>
    <row r="265">
      <c r="R265" s="934" t="n"/>
    </row>
    <row r="266">
      <c r="R266" s="934" t="n"/>
    </row>
    <row r="267">
      <c r="R267" s="934" t="n"/>
    </row>
    <row r="268">
      <c r="R268" s="934" t="n"/>
    </row>
    <row r="269">
      <c r="R269" s="934" t="n"/>
    </row>
    <row r="270">
      <c r="R270" s="934" t="n"/>
    </row>
    <row r="271">
      <c r="R271" s="934" t="n"/>
    </row>
    <row r="272">
      <c r="R272" s="934" t="n"/>
    </row>
    <row r="273">
      <c r="R273" s="934" t="n"/>
    </row>
    <row r="274">
      <c r="R274" s="934" t="n"/>
    </row>
    <row r="275">
      <c r="R275" s="934" t="n"/>
    </row>
    <row r="276">
      <c r="R276" s="934" t="n"/>
    </row>
    <row r="277">
      <c r="R277" s="934" t="n"/>
    </row>
    <row r="278">
      <c r="R278" s="934" t="n"/>
    </row>
    <row r="279">
      <c r="R279" s="934" t="n"/>
    </row>
    <row r="280">
      <c r="R280" s="934" t="n"/>
    </row>
    <row r="281">
      <c r="R281" s="934" t="n"/>
    </row>
    <row r="282">
      <c r="R282" s="934" t="n"/>
    </row>
    <row r="283">
      <c r="R283" s="934" t="n"/>
    </row>
    <row r="284">
      <c r="R284" s="934" t="n"/>
    </row>
    <row r="285">
      <c r="R285" s="934" t="n"/>
    </row>
    <row r="286">
      <c r="R286" s="934" t="n"/>
    </row>
    <row r="287">
      <c r="R287" s="934" t="n"/>
    </row>
    <row r="288">
      <c r="R288" s="934" t="n"/>
    </row>
    <row r="289">
      <c r="R289" s="934" t="n"/>
    </row>
    <row r="290">
      <c r="R290" s="934" t="n"/>
    </row>
    <row r="291">
      <c r="R291" s="934" t="n"/>
    </row>
    <row r="292">
      <c r="R292" s="934" t="n"/>
    </row>
    <row r="293">
      <c r="R293" s="934" t="n"/>
    </row>
    <row r="294">
      <c r="R294" s="934" t="n"/>
    </row>
    <row r="295">
      <c r="R295" s="934" t="n"/>
    </row>
    <row r="296">
      <c r="R296" s="934" t="n"/>
    </row>
    <row r="297">
      <c r="R297" s="934" t="n"/>
    </row>
    <row r="298">
      <c r="R298" s="934" t="n"/>
    </row>
    <row r="299">
      <c r="R299" s="934" t="n"/>
    </row>
    <row r="300">
      <c r="R300" s="934" t="n"/>
    </row>
    <row r="301">
      <c r="R301" s="934" t="n"/>
    </row>
    <row r="302">
      <c r="R302" s="934" t="n"/>
    </row>
    <row r="303">
      <c r="R303" s="934" t="n"/>
    </row>
    <row r="304">
      <c r="R304" s="934" t="n"/>
    </row>
    <row r="305">
      <c r="R305" s="934" t="n"/>
    </row>
    <row r="306">
      <c r="R306" s="934" t="n"/>
    </row>
    <row r="307">
      <c r="R307" s="934" t="n"/>
    </row>
    <row r="308">
      <c r="R308" s="934" t="n"/>
    </row>
    <row r="309">
      <c r="R309" s="934" t="n"/>
    </row>
    <row r="310">
      <c r="R310" s="934" t="n"/>
    </row>
    <row r="311">
      <c r="R311" s="934" t="n"/>
    </row>
    <row r="312">
      <c r="R312" s="934" t="n"/>
    </row>
    <row r="313">
      <c r="R313" s="934" t="n"/>
    </row>
    <row r="314">
      <c r="R314" s="934" t="n"/>
    </row>
    <row r="315">
      <c r="R315" s="934" t="n"/>
    </row>
    <row r="316">
      <c r="R316" s="934" t="n"/>
    </row>
    <row r="317">
      <c r="R317" s="934" t="n"/>
    </row>
    <row r="318">
      <c r="R318" s="934" t="n"/>
    </row>
    <row r="319">
      <c r="R319" s="934" t="n"/>
    </row>
    <row r="320">
      <c r="R320" s="934" t="n"/>
    </row>
    <row r="321">
      <c r="R321" s="934" t="n"/>
    </row>
    <row r="322">
      <c r="R322" s="934" t="n"/>
    </row>
    <row r="323">
      <c r="R323" s="934" t="n"/>
    </row>
    <row r="324">
      <c r="R324" s="934" t="n"/>
    </row>
    <row r="325">
      <c r="R325" s="934" t="n"/>
    </row>
    <row r="326">
      <c r="R326" s="934" t="n"/>
    </row>
    <row r="327">
      <c r="R327" s="934" t="n"/>
    </row>
    <row r="328">
      <c r="R328" s="934" t="n"/>
    </row>
    <row r="329">
      <c r="R329" s="934" t="n"/>
    </row>
    <row r="330">
      <c r="R330" s="934" t="n"/>
    </row>
    <row r="331">
      <c r="R331" s="934" t="n"/>
    </row>
    <row r="332">
      <c r="R332" s="934" t="n"/>
    </row>
    <row r="333">
      <c r="R333" s="934" t="n"/>
    </row>
    <row r="334">
      <c r="R334" s="934" t="n"/>
    </row>
    <row r="335">
      <c r="R335" s="934" t="n"/>
    </row>
    <row r="336">
      <c r="R336" s="934" t="n"/>
    </row>
    <row r="337">
      <c r="R337" s="934" t="n"/>
    </row>
    <row r="338">
      <c r="R338" s="934" t="n"/>
    </row>
    <row r="339">
      <c r="R339" s="934" t="n"/>
    </row>
    <row r="340">
      <c r="R340" s="934" t="n"/>
    </row>
    <row r="341">
      <c r="R341" s="934" t="n"/>
    </row>
    <row r="342">
      <c r="R342" s="934" t="n"/>
    </row>
    <row r="343">
      <c r="R343" s="934" t="n"/>
    </row>
    <row r="344">
      <c r="R344" s="934" t="n"/>
    </row>
    <row r="345">
      <c r="R345" s="934" t="n"/>
    </row>
    <row r="346">
      <c r="R346" s="934" t="n"/>
    </row>
    <row r="347">
      <c r="R347" s="934" t="n"/>
    </row>
    <row r="348">
      <c r="R348" s="934" t="n"/>
    </row>
    <row r="349">
      <c r="R349" s="934" t="n"/>
    </row>
    <row r="350">
      <c r="R350" s="934" t="n"/>
    </row>
    <row r="351">
      <c r="R351" s="934" t="n"/>
    </row>
    <row r="352">
      <c r="R352" s="934" t="n"/>
    </row>
    <row r="353">
      <c r="R353" s="934" t="n"/>
    </row>
    <row r="354">
      <c r="R354" s="934" t="n"/>
    </row>
    <row r="355">
      <c r="R355" s="934" t="n"/>
    </row>
    <row r="356">
      <c r="R356" s="934" t="n"/>
    </row>
    <row r="357">
      <c r="R357" s="934" t="n"/>
    </row>
    <row r="358">
      <c r="R358" s="934" t="n"/>
    </row>
    <row r="359">
      <c r="R359" s="934" t="n"/>
    </row>
    <row r="360">
      <c r="R360" s="934" t="n"/>
    </row>
    <row r="361">
      <c r="R361" s="934" t="n"/>
    </row>
    <row r="362">
      <c r="R362" s="934" t="n"/>
    </row>
    <row r="363">
      <c r="R363" s="934" t="n"/>
    </row>
    <row r="364">
      <c r="R364" s="934" t="n"/>
    </row>
    <row r="365">
      <c r="R365" s="934" t="n"/>
    </row>
    <row r="366">
      <c r="R366" s="934" t="n"/>
    </row>
    <row r="367">
      <c r="R367" s="934" t="n"/>
    </row>
    <row r="368">
      <c r="R368" s="934" t="n"/>
    </row>
    <row r="369">
      <c r="R369" s="934" t="n"/>
    </row>
    <row r="370">
      <c r="R370" s="934" t="n"/>
    </row>
    <row r="371">
      <c r="R371" s="934" t="n"/>
    </row>
    <row r="372">
      <c r="R372" s="934" t="n"/>
    </row>
    <row r="373">
      <c r="R373" s="934" t="n"/>
    </row>
    <row r="374">
      <c r="R374" s="934" t="n"/>
    </row>
    <row r="375">
      <c r="R375" s="934" t="n"/>
    </row>
    <row r="376">
      <c r="R376" s="934" t="n"/>
    </row>
    <row r="377">
      <c r="R377" s="934" t="n"/>
    </row>
    <row r="378">
      <c r="R378" s="934" t="n"/>
    </row>
    <row r="379">
      <c r="R379" s="934" t="n"/>
    </row>
    <row r="380">
      <c r="R380" s="934" t="n"/>
    </row>
    <row r="381">
      <c r="R381" s="934" t="n"/>
    </row>
    <row r="382">
      <c r="R382" s="934" t="n"/>
    </row>
    <row r="383">
      <c r="R383" s="934" t="n"/>
    </row>
    <row r="384">
      <c r="R384" s="934" t="n"/>
    </row>
    <row r="385">
      <c r="R385" s="934" t="n"/>
    </row>
    <row r="386">
      <c r="R386" s="934" t="n"/>
    </row>
    <row r="387">
      <c r="R387" s="934" t="n"/>
    </row>
    <row r="388">
      <c r="R388" s="934" t="n"/>
    </row>
    <row r="389">
      <c r="R389" s="934" t="n"/>
    </row>
    <row r="390">
      <c r="R390" s="934" t="n"/>
    </row>
    <row r="391">
      <c r="R391" s="934" t="n"/>
    </row>
    <row r="392">
      <c r="R392" s="934" t="n"/>
    </row>
    <row r="393">
      <c r="R393" s="934" t="n"/>
    </row>
    <row r="394">
      <c r="R394" s="934" t="n"/>
    </row>
    <row r="395">
      <c r="R395" s="934" t="n"/>
    </row>
    <row r="396">
      <c r="R396" s="934" t="n"/>
    </row>
    <row r="397">
      <c r="R397" s="934" t="n"/>
    </row>
    <row r="398">
      <c r="R398" s="934" t="n"/>
    </row>
    <row r="399">
      <c r="R399" s="934" t="n"/>
    </row>
    <row r="400">
      <c r="R400" s="934" t="n"/>
    </row>
    <row r="401">
      <c r="R401" s="934" t="n"/>
    </row>
    <row r="402">
      <c r="R402" s="934" t="n"/>
    </row>
    <row r="403">
      <c r="R403" s="934" t="n"/>
    </row>
    <row r="404">
      <c r="R404" s="934" t="n"/>
    </row>
    <row r="405">
      <c r="R405" s="934" t="n"/>
    </row>
    <row r="406">
      <c r="R406" s="934" t="n"/>
    </row>
    <row r="407">
      <c r="R407" s="934" t="n"/>
    </row>
    <row r="408">
      <c r="R408" s="934" t="n"/>
    </row>
    <row r="409">
      <c r="R409" s="934" t="n"/>
    </row>
    <row r="410">
      <c r="R410" s="934" t="n"/>
    </row>
    <row r="411">
      <c r="R411" s="934" t="n"/>
    </row>
    <row r="412">
      <c r="R412" s="934" t="n"/>
    </row>
    <row r="413">
      <c r="R413" s="934" t="n"/>
    </row>
    <row r="414">
      <c r="R414" s="934" t="n"/>
    </row>
    <row r="415">
      <c r="R415" s="934" t="n"/>
    </row>
    <row r="416">
      <c r="R416" s="934" t="n"/>
    </row>
    <row r="417">
      <c r="R417" s="934" t="n"/>
    </row>
    <row r="418">
      <c r="R418" s="934" t="n"/>
    </row>
    <row r="419">
      <c r="R419" s="934" t="n"/>
    </row>
    <row r="420">
      <c r="R420" s="934" t="n"/>
    </row>
    <row r="421">
      <c r="R421" s="934" t="n"/>
    </row>
    <row r="422">
      <c r="R422" s="934" t="n"/>
    </row>
    <row r="423">
      <c r="R423" s="934" t="n"/>
    </row>
    <row r="424">
      <c r="R424" s="934" t="n"/>
    </row>
    <row r="425">
      <c r="R425" s="934" t="n"/>
    </row>
    <row r="426">
      <c r="R426" s="934" t="n"/>
    </row>
    <row r="427">
      <c r="R427" s="934" t="n"/>
    </row>
    <row r="428">
      <c r="R428" s="934" t="n"/>
    </row>
    <row r="429">
      <c r="R429" s="934" t="n"/>
    </row>
    <row r="430">
      <c r="R430" s="934" t="n"/>
    </row>
    <row r="431">
      <c r="R431" s="934" t="n"/>
    </row>
    <row r="432">
      <c r="R432" s="934" t="n"/>
    </row>
    <row r="433">
      <c r="R433" s="934" t="n"/>
    </row>
    <row r="434">
      <c r="R434" s="934" t="n"/>
    </row>
    <row r="435">
      <c r="R435" s="934" t="n"/>
    </row>
    <row r="436">
      <c r="R436" s="934" t="n"/>
    </row>
    <row r="437">
      <c r="R437" s="934" t="n"/>
    </row>
    <row r="438">
      <c r="R438" s="934" t="n"/>
    </row>
    <row r="439">
      <c r="R439" s="934" t="n"/>
    </row>
    <row r="440">
      <c r="R440" s="934" t="n"/>
    </row>
    <row r="441">
      <c r="R441" s="934" t="n"/>
    </row>
    <row r="442">
      <c r="R442" s="934" t="n"/>
    </row>
    <row r="443">
      <c r="R443" s="934" t="n"/>
    </row>
    <row r="444">
      <c r="R444" s="934" t="n"/>
    </row>
    <row r="445">
      <c r="R445" s="934" t="n"/>
    </row>
    <row r="446">
      <c r="R446" s="934" t="n"/>
    </row>
    <row r="447">
      <c r="R447" s="934" t="n"/>
    </row>
    <row r="448">
      <c r="R448" s="934" t="n"/>
    </row>
    <row r="449">
      <c r="R449" s="934" t="n"/>
    </row>
    <row r="450">
      <c r="R450" s="934" t="n"/>
    </row>
    <row r="451">
      <c r="R451" s="934" t="n"/>
    </row>
    <row r="452">
      <c r="R452" s="934" t="n"/>
    </row>
    <row r="453">
      <c r="R453" s="934" t="n"/>
    </row>
  </sheetData>
  <mergeCells count="2">
    <mergeCell ref="O3:P3"/>
    <mergeCell ref="A1:Q1"/>
  </mergeCells>
  <conditionalFormatting sqref="A5:Q5 A19:Q81 Q6:Q18">
    <cfRule type="expression" priority="14" dxfId="2">
      <formula>MODE=2</formula>
    </cfRule>
  </conditionalFormatting>
  <hyperlinks>
    <hyperlink xmlns:r="http://schemas.openxmlformats.org/officeDocument/2006/relationships" ref="O2" r:id="rId1"/>
    <hyperlink xmlns:r="http://schemas.openxmlformats.org/officeDocument/2006/relationships" ref="C3" r:id="rId2"/>
  </hyperlink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codeName="Sheet12">
    <tabColor rgb="FF00B0F0"/>
    <outlinePr summaryBelow="1" summaryRight="1"/>
    <pageSetUpPr/>
  </sheetPr>
  <dimension ref="A1:R452"/>
  <sheetViews>
    <sheetView topLeftCell="C1" zoomScale="115" zoomScaleNormal="115" workbookViewId="0">
      <selection activeCell="G34" sqref="G34"/>
    </sheetView>
  </sheetViews>
  <sheetFormatPr baseColWidth="8" defaultRowHeight="12.75"/>
  <cols>
    <col width="4.28515625" customWidth="1" min="4" max="4"/>
    <col width="20.28515625" customWidth="1" min="16" max="16"/>
    <col width="71.5703125" customWidth="1" min="17" max="17"/>
    <col width="30.42578125" customWidth="1" style="79" min="18" max="18"/>
  </cols>
  <sheetData>
    <row r="1" ht="40.5" customHeight="1">
      <c r="A1" s="796" t="inlineStr">
        <is>
          <t xml:space="preserve">                           LM5149-Q1 Synchronous Buck Controller Design Tool</t>
        </is>
      </c>
      <c r="B1" s="283" t="n"/>
      <c r="C1" s="283" t="n"/>
      <c r="D1" s="283" t="n"/>
      <c r="E1" s="283" t="n"/>
      <c r="F1" s="283" t="n"/>
      <c r="G1" s="283" t="n"/>
      <c r="H1" s="283" t="n"/>
      <c r="I1" s="283" t="n"/>
      <c r="J1" s="283" t="n"/>
      <c r="K1" s="283" t="n"/>
      <c r="L1" s="283" t="n"/>
      <c r="M1" s="283" t="n"/>
      <c r="N1" s="283" t="n"/>
      <c r="O1" s="283" t="n"/>
      <c r="P1" s="283" t="n"/>
      <c r="Q1" s="283" t="n"/>
      <c r="R1" s="484" t="n"/>
    </row>
    <row r="2" ht="17.65" customHeight="1">
      <c r="A2" s="487" t="n"/>
      <c r="B2" s="488" t="n"/>
      <c r="C2" s="488" t="n"/>
      <c r="D2" s="488" t="n"/>
      <c r="E2" s="488" t="n"/>
      <c r="F2" s="488" t="n"/>
      <c r="G2" s="488" t="n"/>
      <c r="H2" s="488" t="n"/>
      <c r="I2" s="488" t="n"/>
      <c r="J2" s="488" t="n"/>
      <c r="K2" s="488" t="n"/>
      <c r="L2" s="488" t="n"/>
      <c r="M2" s="488" t="n"/>
      <c r="N2" s="488" t="n"/>
      <c r="O2" s="502" t="inlineStr">
        <is>
          <t>http://www.ti.com/product/lm5175</t>
        </is>
      </c>
      <c r="P2" s="488" t="n"/>
      <c r="Q2" s="488" t="n"/>
      <c r="R2" s="484" t="n"/>
    </row>
    <row r="3" ht="16.15" customHeight="1">
      <c r="A3" s="489" t="inlineStr">
        <is>
          <t>About</t>
        </is>
      </c>
      <c r="B3" s="490" t="n"/>
      <c r="C3" s="501" t="inlineStr">
        <is>
          <t>xx</t>
        </is>
      </c>
      <c r="D3" s="491" t="n"/>
      <c r="E3" s="119" t="n"/>
      <c r="F3" s="495" t="inlineStr">
        <is>
          <t>= Input Box</t>
        </is>
      </c>
      <c r="G3" s="496" t="n"/>
      <c r="H3" s="488" t="n"/>
      <c r="I3" s="488" t="n"/>
      <c r="J3" s="496" t="n"/>
      <c r="K3" s="497" t="n"/>
      <c r="L3" s="498" t="n"/>
      <c r="M3" s="484" t="n"/>
      <c r="N3" s="484" t="n"/>
      <c r="O3" s="786" t="inlineStr">
        <is>
          <t>TERMS OF USE</t>
        </is>
      </c>
      <c r="Q3" s="484" t="inlineStr">
        <is>
          <t xml:space="preserve">                </t>
        </is>
      </c>
      <c r="R3" s="484" t="n"/>
    </row>
    <row r="4" ht="14.65" customHeight="1" thickBot="1">
      <c r="A4" s="492" t="n"/>
      <c r="B4" s="493" t="n"/>
      <c r="C4" s="494" t="n"/>
      <c r="D4" s="494" t="n"/>
      <c r="E4" s="494" t="n"/>
      <c r="F4" s="494" t="n"/>
      <c r="G4" s="494" t="n"/>
      <c r="H4" s="494" t="n"/>
      <c r="I4" s="494" t="n"/>
      <c r="J4" s="494" t="n"/>
      <c r="K4" s="494" t="n"/>
      <c r="L4" s="494" t="n"/>
      <c r="M4" s="499" t="n"/>
      <c r="N4" s="499" t="n"/>
      <c r="O4" s="499" t="n"/>
      <c r="P4" s="499" t="n"/>
      <c r="Q4" s="500" t="n"/>
      <c r="R4" s="484" t="n"/>
    </row>
    <row r="5">
      <c r="A5" s="134" t="n"/>
      <c r="B5" s="134" t="n"/>
      <c r="C5" s="134" t="n"/>
      <c r="D5" s="134" t="n"/>
      <c r="E5" s="134" t="n"/>
      <c r="F5" s="134" t="n"/>
      <c r="G5" s="134" t="n"/>
      <c r="H5" s="134" t="n"/>
      <c r="I5" s="134" t="n"/>
      <c r="J5" s="134" t="n"/>
      <c r="K5" s="134" t="n"/>
      <c r="L5" s="134" t="n"/>
      <c r="M5" s="134" t="n"/>
      <c r="N5" s="134" t="n"/>
      <c r="O5" s="134" t="n"/>
      <c r="P5" s="134" t="n"/>
      <c r="Q5" s="134" t="n"/>
      <c r="R5" s="484" t="n"/>
    </row>
    <row r="6">
      <c r="A6" s="134" t="n"/>
      <c r="B6" s="134" t="n"/>
      <c r="C6" s="134" t="n"/>
      <c r="D6" s="134" t="n"/>
      <c r="E6" s="134" t="n"/>
      <c r="F6" s="134" t="n"/>
      <c r="G6" s="134" t="n"/>
      <c r="H6" s="134" t="n"/>
      <c r="I6" s="134" t="n"/>
      <c r="J6" s="134" t="n"/>
      <c r="K6" s="134" t="n"/>
      <c r="L6" s="134" t="n"/>
      <c r="M6" s="134" t="n"/>
      <c r="N6" s="134" t="n"/>
      <c r="O6" s="134" t="n"/>
      <c r="P6" s="134" t="n"/>
      <c r="Q6" s="134" t="n"/>
      <c r="R6" s="484" t="n"/>
    </row>
    <row r="7" ht="13.5" customHeight="1" thickBot="1">
      <c r="A7" s="644" t="n"/>
      <c r="B7" s="607" t="inlineStr">
        <is>
          <t>Choose Filter</t>
        </is>
      </c>
      <c r="C7" s="134" t="n"/>
      <c r="D7" s="134" t="n"/>
      <c r="E7" s="134" t="n"/>
      <c r="F7" s="134" t="n"/>
      <c r="G7" s="134" t="n"/>
      <c r="H7" s="134" t="n"/>
      <c r="I7" s="134" t="n"/>
      <c r="J7" s="134" t="n"/>
      <c r="K7" s="134" t="n"/>
      <c r="L7" s="134" t="n"/>
      <c r="M7" s="134" t="n"/>
      <c r="N7" s="134" t="n"/>
      <c r="O7" s="134" t="n"/>
      <c r="P7" s="134" t="n"/>
      <c r="Q7" s="134" t="n"/>
      <c r="R7" s="484" t="n"/>
    </row>
    <row r="8">
      <c r="A8" s="134" t="n"/>
      <c r="B8" s="654" t="inlineStr">
        <is>
          <t>Suggested Inductor</t>
        </is>
      </c>
      <c r="C8" s="658">
        <f>CHOOSE(INFILTER_TYPE,"","0.01-1","0.1-10")</f>
        <v/>
      </c>
      <c r="D8" s="161" t="inlineStr">
        <is>
          <t>µH</t>
        </is>
      </c>
      <c r="E8" s="655" t="n"/>
      <c r="F8" s="654" t="inlineStr">
        <is>
          <t>Chosen Inductor</t>
        </is>
      </c>
      <c r="G8" s="293" t="n">
        <v>1</v>
      </c>
      <c r="H8" s="161" t="inlineStr">
        <is>
          <t>µH</t>
        </is>
      </c>
      <c r="I8" s="134" t="n"/>
      <c r="J8" s="134" t="n"/>
      <c r="K8" s="134" t="n"/>
      <c r="L8" s="134" t="n"/>
      <c r="M8" s="134" t="n"/>
      <c r="N8" s="134" t="n"/>
      <c r="O8" s="134" t="n"/>
      <c r="P8" s="134" t="n"/>
      <c r="Q8" s="134" t="n"/>
      <c r="R8" s="484" t="n"/>
    </row>
    <row r="9">
      <c r="A9" s="134" t="n"/>
      <c r="B9" s="124">
        <f>CHOOSE(INFILTER_TYPE,"","Suggested Cinj","Suggested Cf")</f>
        <v/>
      </c>
      <c r="C9" s="127">
        <f>CHOOSE(INFILTER_TYPE,"",'Standard Value Calculator'!S24,'Standard Value Calculator'!S23)</f>
        <v/>
      </c>
      <c r="D9" s="162" t="inlineStr">
        <is>
          <t>µF</t>
        </is>
      </c>
      <c r="E9" s="134" t="n"/>
      <c r="F9" s="607">
        <f>CHOOSE(INFILTER_TYPE,"","Chosen Cinj","Chosen Cf")</f>
        <v/>
      </c>
      <c r="G9" s="128" t="n">
        <v>0.068</v>
      </c>
      <c r="H9" s="162" t="inlineStr">
        <is>
          <t>µF</t>
        </is>
      </c>
      <c r="I9" s="134" t="n"/>
      <c r="J9" s="134" t="n"/>
      <c r="K9" s="134" t="n"/>
      <c r="L9" s="134" t="n"/>
      <c r="M9" s="134" t="n"/>
      <c r="N9" s="134" t="n"/>
      <c r="O9" s="134" t="n"/>
      <c r="P9" s="134" t="n"/>
      <c r="Q9" s="134" t="n"/>
      <c r="R9" s="484" t="n"/>
    </row>
    <row r="10">
      <c r="A10" s="134" t="n"/>
      <c r="B10" s="124" t="inlineStr">
        <is>
          <t>Suggested Cdamp</t>
        </is>
      </c>
      <c r="C10" s="124">
        <f>CHOOSE(INFILTER_TYPE,"",CHOOSE(OSC,"DNP",'Standard Value Calculator'!S25),'Standard Value Calculator'!S28)</f>
        <v/>
      </c>
      <c r="D10" s="162" t="inlineStr">
        <is>
          <t>µF</t>
        </is>
      </c>
      <c r="E10" s="134" t="n"/>
      <c r="F10" s="607" t="inlineStr">
        <is>
          <t>Chosen Cdamp</t>
        </is>
      </c>
      <c r="G10" s="128" t="n">
        <v>0.033</v>
      </c>
      <c r="H10" s="162" t="inlineStr">
        <is>
          <t>µF</t>
        </is>
      </c>
      <c r="I10" s="134" t="n"/>
      <c r="J10" s="134" t="n"/>
      <c r="K10" s="134" t="n"/>
      <c r="L10" s="134" t="n"/>
      <c r="M10" s="134" t="n"/>
      <c r="N10" s="134" t="n"/>
      <c r="O10" s="134" t="n"/>
      <c r="P10" s="134" t="n"/>
      <c r="Q10" s="134" t="n"/>
      <c r="R10" s="484" t="n"/>
    </row>
    <row r="11" ht="13.5" customHeight="1" thickBot="1">
      <c r="A11" s="657" t="n"/>
      <c r="B11" s="648" t="inlineStr">
        <is>
          <t>Suggested Rdamp</t>
        </is>
      </c>
      <c r="C11" s="554">
        <f>CHOOSE(INFILTER_TYPE,"",'Standard Value Calculator'!S26,Rdamp_PassiveStd)</f>
        <v/>
      </c>
      <c r="D11" s="260" t="inlineStr">
        <is>
          <t>Ω</t>
        </is>
      </c>
      <c r="E11" s="643" t="n"/>
      <c r="F11" s="656" t="inlineStr">
        <is>
          <t>Chosen Rdamp</t>
        </is>
      </c>
      <c r="G11" s="246" t="n">
        <v>43.2</v>
      </c>
      <c r="H11" s="260" t="inlineStr">
        <is>
          <t>Ω</t>
        </is>
      </c>
      <c r="I11" s="134" t="n"/>
      <c r="J11" s="134" t="n"/>
      <c r="K11" s="134" t="n"/>
      <c r="L11" s="134" t="n"/>
      <c r="M11" s="134" t="n"/>
      <c r="N11" s="134" t="n"/>
      <c r="O11" s="134" t="n"/>
      <c r="P11" s="134" t="n"/>
      <c r="Q11" s="134" t="n"/>
      <c r="R11" s="484" t="n"/>
    </row>
    <row r="12">
      <c r="A12" s="134" t="n"/>
      <c r="B12" s="134" t="n"/>
      <c r="C12" s="134" t="n"/>
      <c r="D12" s="134" t="n"/>
      <c r="E12" s="655" t="n"/>
      <c r="F12" s="124" t="inlineStr">
        <is>
          <t>Filter Attenuation</t>
        </is>
      </c>
      <c r="G12" s="127">
        <f>-'Variable Management'!B303</f>
        <v/>
      </c>
      <c r="H12" s="162" t="inlineStr">
        <is>
          <t>dB</t>
        </is>
      </c>
      <c r="I12" s="134" t="n"/>
      <c r="J12" s="134" t="n"/>
      <c r="K12" s="134" t="n"/>
      <c r="L12" s="134" t="n"/>
      <c r="M12" s="134" t="n"/>
      <c r="N12" s="134" t="n"/>
      <c r="O12" s="134" t="n"/>
      <c r="P12" s="134" t="n"/>
      <c r="Q12" s="134" t="n"/>
      <c r="R12" s="484" t="n"/>
    </row>
    <row r="13">
      <c r="A13" s="134" t="n"/>
      <c r="B13" s="134" t="n"/>
      <c r="C13" s="134" t="n"/>
      <c r="D13" s="134" t="n"/>
      <c r="E13" s="582" t="n"/>
      <c r="F13" s="124" t="inlineStr">
        <is>
          <t>VIN Ripple</t>
        </is>
      </c>
      <c r="G13" s="127">
        <f>VinRipple_dBuV</f>
        <v/>
      </c>
      <c r="H13" s="162" t="inlineStr">
        <is>
          <t>dB-µV</t>
        </is>
      </c>
      <c r="I13" s="134" t="n"/>
      <c r="J13" s="134" t="n"/>
      <c r="K13" s="134" t="n"/>
      <c r="L13" s="134" t="n"/>
      <c r="M13" s="134" t="n"/>
      <c r="N13" s="134" t="n"/>
      <c r="O13" s="134" t="n"/>
      <c r="P13" s="134" t="n"/>
      <c r="Q13" s="134" t="n"/>
      <c r="R13" s="484" t="n"/>
    </row>
    <row r="14" ht="13.5" customHeight="1" thickBot="1">
      <c r="A14" s="134" t="n"/>
      <c r="B14" s="134" t="n"/>
      <c r="C14" s="134" t="n"/>
      <c r="D14" s="134" t="n"/>
      <c r="E14" s="659" t="n"/>
      <c r="F14" s="648" t="inlineStr">
        <is>
          <t>Fsw Conducted EMC</t>
        </is>
      </c>
      <c r="G14" s="554">
        <f>'Variable Management'!B304</f>
        <v/>
      </c>
      <c r="H14" s="260" t="inlineStr">
        <is>
          <t>dB-µV</t>
        </is>
      </c>
      <c r="I14" s="134" t="n"/>
      <c r="J14" s="134" t="n"/>
      <c r="K14" s="134" t="n"/>
      <c r="L14" s="134" t="n"/>
      <c r="M14" s="134" t="n"/>
      <c r="N14" s="134" t="n"/>
      <c r="O14" s="134" t="n"/>
      <c r="P14" s="134" t="n"/>
      <c r="Q14" s="134" t="n"/>
      <c r="R14" s="484" t="n"/>
    </row>
    <row r="15">
      <c r="A15" s="134" t="n"/>
      <c r="B15" s="134" t="n"/>
      <c r="C15" s="134" t="n"/>
      <c r="D15" s="134" t="n"/>
      <c r="E15" s="134" t="n"/>
      <c r="F15" s="134" t="n"/>
      <c r="G15" s="134" t="n"/>
      <c r="H15" s="134" t="n"/>
      <c r="I15" s="134" t="n"/>
      <c r="J15" s="134" t="n"/>
      <c r="K15" s="134" t="n"/>
      <c r="L15" s="134" t="n"/>
      <c r="M15" s="134" t="n"/>
      <c r="N15" s="134" t="n"/>
      <c r="O15" s="134" t="n"/>
      <c r="P15" s="134" t="n"/>
      <c r="Q15" s="134" t="n"/>
      <c r="R15" s="484" t="n"/>
    </row>
    <row r="16">
      <c r="A16" s="134" t="n"/>
      <c r="B16" s="134" t="n"/>
      <c r="C16" s="134" t="n"/>
      <c r="D16" s="134" t="n"/>
      <c r="E16" s="134" t="n"/>
      <c r="F16" s="134" t="n"/>
      <c r="G16" s="134" t="n"/>
      <c r="H16" s="134" t="n"/>
      <c r="I16" s="134" t="n"/>
      <c r="J16" s="134" t="n"/>
      <c r="K16" s="134" t="n"/>
      <c r="L16" s="134" t="n"/>
      <c r="M16" s="134" t="n"/>
      <c r="N16" s="134" t="n"/>
      <c r="O16" s="134" t="n"/>
      <c r="P16" s="134" t="n"/>
      <c r="Q16" s="134" t="n"/>
      <c r="R16" s="484" t="n"/>
    </row>
    <row r="17">
      <c r="A17" s="134" t="n"/>
      <c r="B17" s="134" t="n"/>
      <c r="C17" s="134" t="n"/>
      <c r="D17" s="134" t="n"/>
      <c r="E17" s="134" t="n"/>
      <c r="F17" s="134" t="n"/>
      <c r="G17" s="134" t="n"/>
      <c r="H17" s="134" t="n"/>
      <c r="I17" s="134" t="n"/>
      <c r="J17" s="134" t="n"/>
      <c r="K17" s="134" t="n"/>
      <c r="L17" s="134" t="n"/>
      <c r="M17" s="134" t="n"/>
      <c r="N17" s="134" t="n"/>
      <c r="O17" s="134" t="n"/>
      <c r="P17" s="134" t="n"/>
      <c r="Q17" s="134" t="n"/>
      <c r="R17" s="484" t="n"/>
    </row>
    <row r="18">
      <c r="A18" s="134" t="n"/>
      <c r="B18" s="134" t="n"/>
      <c r="C18" s="134" t="n"/>
      <c r="D18" s="134" t="n"/>
      <c r="E18" s="134" t="n"/>
      <c r="F18" s="134" t="n"/>
      <c r="G18" s="134" t="n"/>
      <c r="H18" s="134" t="n"/>
      <c r="I18" s="134" t="n"/>
      <c r="J18" s="134" t="n"/>
      <c r="K18" s="134" t="n"/>
      <c r="L18" s="134" t="n"/>
      <c r="M18" s="134" t="n"/>
      <c r="N18" s="134" t="n"/>
      <c r="O18" s="134" t="n"/>
      <c r="P18" s="134" t="n"/>
      <c r="Q18" s="134" t="n"/>
      <c r="R18" s="484" t="n"/>
    </row>
    <row r="19">
      <c r="A19" s="134" t="n"/>
      <c r="B19" s="134" t="n"/>
      <c r="C19" s="134" t="n"/>
      <c r="D19" s="134" t="n"/>
      <c r="E19" s="134" t="n"/>
      <c r="F19" s="134" t="n"/>
      <c r="G19" s="134" t="n"/>
      <c r="H19" s="134" t="n"/>
      <c r="I19" s="134" t="n"/>
      <c r="J19" s="134" t="n"/>
      <c r="K19" s="134" t="n"/>
      <c r="L19" s="134" t="n"/>
      <c r="M19" s="134" t="n"/>
      <c r="N19" s="134" t="n"/>
      <c r="O19" s="134" t="n"/>
      <c r="P19" s="134" t="n"/>
      <c r="Q19" s="134" t="n"/>
      <c r="R19" s="484" t="n"/>
    </row>
    <row r="20">
      <c r="A20" s="134" t="n"/>
      <c r="B20" s="134" t="n"/>
      <c r="C20" s="134" t="n"/>
      <c r="D20" s="134" t="n"/>
      <c r="E20" s="134" t="n"/>
      <c r="F20" s="134" t="n"/>
      <c r="G20" s="134" t="n"/>
      <c r="H20" s="134" t="n"/>
      <c r="I20" s="134" t="n"/>
      <c r="J20" s="134" t="n"/>
      <c r="K20" s="134" t="n"/>
      <c r="L20" s="134" t="n"/>
      <c r="M20" s="134" t="n"/>
      <c r="N20" s="134" t="n"/>
      <c r="O20" s="134" t="n"/>
      <c r="P20" s="134" t="n"/>
      <c r="Q20" s="134" t="n"/>
      <c r="R20" s="484" t="n"/>
    </row>
    <row r="21">
      <c r="A21" s="134" t="n"/>
      <c r="B21" s="134" t="n"/>
      <c r="C21" s="134" t="n"/>
      <c r="D21" s="134" t="n"/>
      <c r="E21" s="134" t="n"/>
      <c r="F21" s="134" t="n"/>
      <c r="G21" s="134" t="n"/>
      <c r="H21" s="134" t="n"/>
      <c r="I21" s="134" t="n"/>
      <c r="J21" s="134" t="n"/>
      <c r="K21" s="134" t="n"/>
      <c r="L21" s="134" t="n"/>
      <c r="M21" s="134" t="n"/>
      <c r="N21" s="134" t="n"/>
      <c r="O21" s="134" t="n"/>
      <c r="P21" s="134" t="n"/>
      <c r="Q21" s="134" t="n"/>
      <c r="R21" s="484" t="n"/>
    </row>
    <row r="22">
      <c r="A22" s="134" t="n"/>
      <c r="B22" s="134" t="n"/>
      <c r="C22" s="134" t="n"/>
      <c r="D22" s="134" t="n"/>
      <c r="E22" s="134" t="n"/>
      <c r="F22" s="134" t="n"/>
      <c r="G22" s="134" t="n"/>
      <c r="H22" s="134" t="n"/>
      <c r="I22" s="134" t="n"/>
      <c r="J22" s="134" t="n"/>
      <c r="K22" s="134" t="n"/>
      <c r="L22" s="134" t="n"/>
      <c r="M22" s="134" t="n"/>
      <c r="N22" s="134" t="n"/>
      <c r="O22" s="134" t="n"/>
      <c r="P22" s="134" t="n"/>
      <c r="Q22" s="134" t="n"/>
      <c r="R22" s="484" t="n"/>
    </row>
    <row r="23">
      <c r="A23" s="134" t="n"/>
      <c r="B23" s="134" t="n"/>
      <c r="C23" s="134" t="n"/>
      <c r="D23" s="134" t="n"/>
      <c r="E23" s="134" t="n"/>
      <c r="F23" s="134" t="n"/>
      <c r="G23" s="134" t="n"/>
      <c r="H23" s="134" t="n"/>
      <c r="I23" s="134" t="n"/>
      <c r="J23" s="134" t="n"/>
      <c r="K23" s="134" t="n"/>
      <c r="L23" s="134" t="n"/>
      <c r="M23" s="134" t="n"/>
      <c r="N23" s="134" t="n"/>
      <c r="O23" s="134" t="n"/>
      <c r="P23" s="134" t="n"/>
      <c r="Q23" s="134" t="n"/>
      <c r="R23" s="484" t="n"/>
    </row>
    <row r="24">
      <c r="A24" s="134" t="n"/>
      <c r="B24" s="134" t="n"/>
      <c r="C24" s="134" t="n"/>
      <c r="D24" s="134" t="n"/>
      <c r="E24" s="134" t="n"/>
      <c r="F24" s="134" t="n"/>
      <c r="G24" s="134" t="n"/>
      <c r="H24" s="134" t="n"/>
      <c r="I24" s="134" t="n"/>
      <c r="J24" s="134" t="n"/>
      <c r="K24" s="134" t="n"/>
      <c r="L24" s="134" t="n"/>
      <c r="M24" s="134" t="n"/>
      <c r="N24" s="134" t="n"/>
      <c r="O24" s="134" t="n"/>
      <c r="P24" s="134" t="n"/>
      <c r="Q24" s="134" t="n"/>
      <c r="R24" s="484" t="n"/>
    </row>
    <row r="25">
      <c r="A25" s="134" t="n"/>
      <c r="B25" s="134" t="n"/>
      <c r="C25" s="134" t="n"/>
      <c r="D25" s="134" t="n"/>
      <c r="E25" s="134" t="n"/>
      <c r="F25" s="134" t="n"/>
      <c r="G25" s="134" t="n"/>
      <c r="H25" s="134" t="n"/>
      <c r="I25" s="134" t="n"/>
      <c r="J25" s="134" t="n"/>
      <c r="K25" s="134" t="n"/>
      <c r="L25" s="134" t="n"/>
      <c r="M25" s="134" t="n"/>
      <c r="N25" s="134" t="n"/>
      <c r="O25" s="134" t="n"/>
      <c r="P25" s="134" t="n"/>
      <c r="Q25" s="134" t="n"/>
      <c r="R25" s="484" t="n"/>
    </row>
    <row r="26">
      <c r="A26" s="134" t="n"/>
      <c r="B26" s="134" t="n"/>
      <c r="C26" s="134" t="n"/>
      <c r="D26" s="134" t="n"/>
      <c r="E26" s="134" t="n"/>
      <c r="F26" s="134" t="n"/>
      <c r="G26" s="134" t="n"/>
      <c r="H26" s="134" t="n"/>
      <c r="I26" s="134" t="n"/>
      <c r="J26" s="134" t="n"/>
      <c r="K26" s="134" t="n"/>
      <c r="L26" s="134" t="n"/>
      <c r="M26" s="134" t="n"/>
      <c r="N26" s="134" t="n"/>
      <c r="O26" s="134" t="n"/>
      <c r="P26" s="134" t="n"/>
      <c r="Q26" s="134" t="n"/>
      <c r="R26" s="484" t="n"/>
    </row>
    <row r="27">
      <c r="A27" s="134" t="n"/>
      <c r="B27" s="134" t="n"/>
      <c r="C27" s="134" t="n"/>
      <c r="D27" s="134" t="n"/>
      <c r="E27" s="134" t="n"/>
      <c r="F27" s="134" t="n"/>
      <c r="G27" s="134" t="n"/>
      <c r="H27" s="134" t="n"/>
      <c r="I27" s="134" t="n"/>
      <c r="J27" s="134" t="n"/>
      <c r="K27" s="134" t="n"/>
      <c r="L27" s="134" t="n"/>
      <c r="M27" s="134" t="n"/>
      <c r="N27" s="134" t="n"/>
      <c r="O27" s="134" t="n"/>
      <c r="P27" s="134" t="n"/>
      <c r="Q27" s="134" t="n"/>
      <c r="R27" s="484" t="n"/>
    </row>
    <row r="28">
      <c r="A28" s="134" t="n"/>
      <c r="B28" s="134" t="n"/>
      <c r="C28" s="134" t="n"/>
      <c r="D28" s="134" t="n"/>
      <c r="E28" s="134" t="n"/>
      <c r="F28" s="134" t="n"/>
      <c r="G28" s="134" t="n"/>
      <c r="H28" s="134" t="n"/>
      <c r="I28" s="134" t="n"/>
      <c r="J28" s="134" t="n"/>
      <c r="K28" s="134" t="n"/>
      <c r="L28" s="134" t="n"/>
      <c r="M28" s="134" t="n"/>
      <c r="N28" s="134" t="n"/>
      <c r="O28" s="134" t="n"/>
      <c r="P28" s="134" t="n"/>
      <c r="Q28" s="134" t="n"/>
      <c r="R28" s="484" t="n"/>
    </row>
    <row r="29">
      <c r="A29" s="134" t="n"/>
      <c r="B29" s="134" t="n"/>
      <c r="C29" s="134" t="n"/>
      <c r="D29" s="134" t="n"/>
      <c r="E29" s="134" t="n"/>
      <c r="F29" s="134" t="n"/>
      <c r="G29" s="134" t="n"/>
      <c r="H29" s="134" t="n"/>
      <c r="I29" s="134" t="n"/>
      <c r="J29" s="134" t="n"/>
      <c r="K29" s="134" t="n"/>
      <c r="L29" s="134" t="n"/>
      <c r="M29" s="134" t="n"/>
      <c r="N29" s="134" t="n"/>
      <c r="O29" s="134" t="n"/>
      <c r="P29" s="134" t="n"/>
      <c r="Q29" s="134" t="n"/>
      <c r="R29" s="484" t="n"/>
    </row>
    <row r="30">
      <c r="A30" s="134" t="n"/>
      <c r="B30" s="134" t="n"/>
      <c r="C30" s="134" t="n"/>
      <c r="D30" s="134" t="n"/>
      <c r="E30" s="134" t="n"/>
      <c r="F30" s="134" t="n"/>
      <c r="G30" s="134" t="n"/>
      <c r="H30" s="134" t="n"/>
      <c r="I30" s="134" t="n"/>
      <c r="J30" s="134" t="n"/>
      <c r="K30" s="134" t="n"/>
      <c r="L30" s="134" t="n"/>
      <c r="M30" s="134" t="n"/>
      <c r="N30" s="134" t="n"/>
      <c r="O30" s="134" t="n"/>
      <c r="P30" s="134" t="n"/>
      <c r="Q30" s="134" t="n"/>
      <c r="R30" s="484" t="n"/>
    </row>
    <row r="31">
      <c r="A31" s="134" t="n"/>
      <c r="B31" s="134" t="n"/>
      <c r="C31" s="134" t="n"/>
      <c r="D31" s="134" t="n"/>
      <c r="E31" s="134" t="n"/>
      <c r="F31" s="134" t="n"/>
      <c r="G31" s="134" t="n"/>
      <c r="H31" s="134" t="n"/>
      <c r="I31" s="134" t="n"/>
      <c r="J31" s="134" t="n"/>
      <c r="K31" s="134" t="n"/>
      <c r="L31" s="134" t="n"/>
      <c r="M31" s="134" t="n"/>
      <c r="N31" s="134" t="n"/>
      <c r="O31" s="134" t="n"/>
      <c r="P31" s="134" t="n"/>
      <c r="Q31" s="134" t="n"/>
      <c r="R31" s="484" t="n"/>
    </row>
    <row r="32">
      <c r="A32" s="134" t="n"/>
      <c r="B32" s="134" t="n"/>
      <c r="C32" s="134" t="n"/>
      <c r="D32" s="134" t="n"/>
      <c r="E32" s="134" t="n"/>
      <c r="F32" s="134" t="n"/>
      <c r="G32" s="134" t="n"/>
      <c r="H32" s="134" t="n"/>
      <c r="I32" s="134" t="n"/>
      <c r="J32" s="134" t="n"/>
      <c r="K32" s="134" t="n"/>
      <c r="L32" s="134" t="n"/>
      <c r="M32" s="134" t="n"/>
      <c r="N32" s="134" t="n"/>
      <c r="O32" s="134" t="n"/>
      <c r="P32" s="134" t="n"/>
      <c r="Q32" s="134" t="n"/>
      <c r="R32" s="484" t="n"/>
    </row>
    <row r="33">
      <c r="A33" s="134" t="n"/>
      <c r="B33" s="134" t="n"/>
      <c r="C33" s="134" t="n"/>
      <c r="D33" s="134" t="n"/>
      <c r="E33" s="134" t="n"/>
      <c r="F33" s="134" t="n"/>
      <c r="G33" s="134" t="n"/>
      <c r="H33" s="134" t="n"/>
      <c r="I33" s="134" t="n"/>
      <c r="J33" s="134" t="n"/>
      <c r="K33" s="134" t="n"/>
      <c r="L33" s="134" t="n"/>
      <c r="M33" s="134" t="n"/>
      <c r="N33" s="134" t="n"/>
      <c r="O33" s="134" t="n"/>
      <c r="P33" s="134" t="n"/>
      <c r="Q33" s="134" t="n"/>
      <c r="R33" s="484" t="n"/>
    </row>
    <row r="34">
      <c r="A34" s="134" t="n"/>
      <c r="B34" s="134" t="n"/>
      <c r="C34" s="134" t="n"/>
      <c r="D34" s="134" t="n"/>
      <c r="E34" s="134" t="n"/>
      <c r="F34" s="134" t="n"/>
      <c r="G34" s="134" t="n"/>
      <c r="H34" s="134" t="n"/>
      <c r="I34" s="134" t="n"/>
      <c r="J34" s="134" t="n"/>
      <c r="K34" s="134" t="n"/>
      <c r="L34" s="134" t="n"/>
      <c r="M34" s="134" t="n"/>
      <c r="N34" s="134" t="n"/>
      <c r="O34" s="134" t="n"/>
      <c r="P34" s="134" t="n"/>
      <c r="Q34" s="134" t="n"/>
      <c r="R34" s="484" t="n"/>
    </row>
    <row r="35">
      <c r="A35" s="134" t="n"/>
      <c r="B35" s="134" t="n"/>
      <c r="C35" s="134" t="n"/>
      <c r="D35" s="134" t="n"/>
      <c r="E35" s="134" t="n"/>
      <c r="F35" s="134" t="n"/>
      <c r="G35" s="134" t="n"/>
      <c r="H35" s="134" t="n"/>
      <c r="I35" s="134" t="n"/>
      <c r="J35" s="134" t="n"/>
      <c r="K35" s="134" t="n"/>
      <c r="L35" s="134" t="n"/>
      <c r="M35" s="134" t="n"/>
      <c r="N35" s="134" t="n"/>
      <c r="O35" s="134" t="n"/>
      <c r="P35" s="134" t="n"/>
      <c r="Q35" s="134" t="n"/>
      <c r="R35" s="484" t="n"/>
    </row>
    <row r="36">
      <c r="A36" s="134" t="n"/>
      <c r="B36" s="134" t="n"/>
      <c r="C36" s="134" t="n"/>
      <c r="D36" s="134" t="n"/>
      <c r="E36" s="134" t="n"/>
      <c r="F36" s="134" t="n"/>
      <c r="G36" s="134" t="n"/>
      <c r="H36" s="134" t="n"/>
      <c r="I36" s="134" t="n"/>
      <c r="J36" s="134" t="n"/>
      <c r="K36" s="134" t="n"/>
      <c r="L36" s="134" t="n"/>
      <c r="M36" s="134" t="n"/>
      <c r="N36" s="134" t="n"/>
      <c r="O36" s="134" t="n"/>
      <c r="P36" s="134" t="n"/>
      <c r="Q36" s="134" t="n"/>
      <c r="R36" s="484" t="n"/>
    </row>
    <row r="37">
      <c r="A37" s="134" t="n"/>
      <c r="B37" s="134" t="n"/>
      <c r="C37" s="134" t="n"/>
      <c r="D37" s="134" t="n"/>
      <c r="E37" s="134" t="n"/>
      <c r="F37" s="134" t="n"/>
      <c r="G37" s="134" t="n"/>
      <c r="H37" s="134" t="n"/>
      <c r="I37" s="134" t="n"/>
      <c r="J37" s="134" t="n"/>
      <c r="K37" s="134" t="n"/>
      <c r="L37" s="134" t="n"/>
      <c r="M37" s="134" t="n"/>
      <c r="N37" s="134" t="n"/>
      <c r="O37" s="134" t="n"/>
      <c r="P37" s="134" t="n"/>
      <c r="Q37" s="134" t="n"/>
      <c r="R37" s="484" t="n"/>
    </row>
    <row r="38">
      <c r="A38" s="134" t="n"/>
      <c r="B38" s="134" t="n"/>
      <c r="C38" s="134" t="n"/>
      <c r="D38" s="134" t="n"/>
      <c r="E38" s="134" t="n"/>
      <c r="F38" s="134" t="n"/>
      <c r="G38" s="134" t="n"/>
      <c r="H38" s="134" t="n"/>
      <c r="I38" s="134" t="n"/>
      <c r="J38" s="134" t="n"/>
      <c r="K38" s="134" t="n"/>
      <c r="L38" s="134" t="n"/>
      <c r="M38" s="134" t="n"/>
      <c r="N38" s="134" t="n"/>
      <c r="O38" s="134" t="n"/>
      <c r="P38" s="134" t="n"/>
      <c r="Q38" s="134" t="n"/>
      <c r="R38" s="484" t="n"/>
    </row>
    <row r="39">
      <c r="A39" s="134" t="n"/>
      <c r="B39" s="134" t="n"/>
      <c r="C39" s="134" t="n"/>
      <c r="D39" s="134" t="n"/>
      <c r="E39" s="134" t="n"/>
      <c r="F39" s="134" t="n"/>
      <c r="G39" s="134" t="n"/>
      <c r="H39" s="134" t="n"/>
      <c r="I39" s="134" t="n"/>
      <c r="J39" s="134" t="n"/>
      <c r="K39" s="134" t="n"/>
      <c r="L39" s="134" t="n"/>
      <c r="M39" s="134" t="n"/>
      <c r="N39" s="134" t="n"/>
      <c r="O39" s="134" t="n"/>
      <c r="P39" s="134" t="n"/>
      <c r="Q39" s="134" t="n"/>
      <c r="R39" s="484" t="n"/>
    </row>
    <row r="40">
      <c r="A40" s="134" t="n"/>
      <c r="B40" s="134" t="n"/>
      <c r="C40" s="134" t="n"/>
      <c r="D40" s="134" t="n"/>
      <c r="E40" s="134" t="n"/>
      <c r="F40" s="134" t="n"/>
      <c r="G40" s="134" t="n"/>
      <c r="H40" s="134" t="n"/>
      <c r="I40" s="134" t="n"/>
      <c r="J40" s="134" t="n"/>
      <c r="K40" s="134" t="n"/>
      <c r="L40" s="134" t="n"/>
      <c r="M40" s="134" t="n"/>
      <c r="N40" s="134" t="n"/>
      <c r="O40" s="134" t="n"/>
      <c r="P40" s="134" t="n"/>
      <c r="Q40" s="134" t="n"/>
      <c r="R40" s="484" t="n"/>
    </row>
    <row r="41">
      <c r="A41" s="134" t="n"/>
      <c r="B41" s="134" t="n"/>
      <c r="C41" s="134" t="n"/>
      <c r="D41" s="134" t="n"/>
      <c r="E41" s="134" t="n"/>
      <c r="F41" s="134" t="n"/>
      <c r="G41" s="134" t="n"/>
      <c r="H41" s="134" t="n"/>
      <c r="I41" s="134" t="n"/>
      <c r="J41" s="134" t="n"/>
      <c r="K41" s="134" t="n"/>
      <c r="L41" s="134" t="n"/>
      <c r="M41" s="134" t="n"/>
      <c r="N41" s="134" t="n"/>
      <c r="O41" s="134" t="n"/>
      <c r="P41" s="134" t="n"/>
      <c r="Q41" s="134" t="n"/>
      <c r="R41" s="484" t="n"/>
    </row>
    <row r="42">
      <c r="A42" s="134" t="n"/>
      <c r="B42" s="134" t="n"/>
      <c r="C42" s="134" t="n"/>
      <c r="D42" s="134" t="n"/>
      <c r="E42" s="134" t="n"/>
      <c r="F42" s="134" t="n"/>
      <c r="G42" s="134" t="n"/>
      <c r="H42" s="134" t="n"/>
      <c r="I42" s="134" t="n"/>
      <c r="J42" s="134" t="n"/>
      <c r="K42" s="134" t="n"/>
      <c r="L42" s="134" t="n"/>
      <c r="M42" s="134" t="n"/>
      <c r="N42" s="134" t="n"/>
      <c r="O42" s="134" t="n"/>
      <c r="P42" s="134" t="n"/>
      <c r="Q42" s="134" t="n"/>
      <c r="R42" s="484" t="n"/>
    </row>
    <row r="43">
      <c r="A43" s="134" t="n"/>
      <c r="B43" s="134" t="n"/>
      <c r="C43" s="134" t="n"/>
      <c r="D43" s="134" t="n"/>
      <c r="E43" s="134" t="n"/>
      <c r="F43" s="134" t="n"/>
      <c r="G43" s="134" t="n"/>
      <c r="H43" s="134" t="n"/>
      <c r="I43" s="134" t="n"/>
      <c r="J43" s="134" t="n"/>
      <c r="K43" s="134" t="n"/>
      <c r="L43" s="134" t="n"/>
      <c r="M43" s="134" t="n"/>
      <c r="N43" s="134" t="n"/>
      <c r="O43" s="134" t="n"/>
      <c r="P43" s="134" t="n"/>
      <c r="Q43" s="134" t="n"/>
      <c r="R43" s="484" t="n"/>
    </row>
    <row r="44">
      <c r="A44" s="134" t="n"/>
      <c r="B44" s="134" t="n"/>
      <c r="C44" s="134" t="n"/>
      <c r="D44" s="134" t="n"/>
      <c r="E44" s="134" t="n"/>
      <c r="F44" s="134" t="n"/>
      <c r="G44" s="134" t="n"/>
      <c r="H44" s="134" t="n"/>
      <c r="I44" s="134" t="n"/>
      <c r="J44" s="134" t="n"/>
      <c r="K44" s="134" t="n"/>
      <c r="L44" s="134" t="n"/>
      <c r="M44" s="134" t="n"/>
      <c r="N44" s="134" t="n"/>
      <c r="O44" s="134" t="n"/>
      <c r="P44" s="134" t="n"/>
      <c r="Q44" s="134" t="n"/>
      <c r="R44" s="484" t="n"/>
    </row>
    <row r="45">
      <c r="A45" s="134" t="n"/>
      <c r="B45" s="134" t="n"/>
      <c r="C45" s="134" t="n"/>
      <c r="D45" s="134" t="n"/>
      <c r="E45" s="134" t="n"/>
      <c r="F45" s="134" t="n"/>
      <c r="G45" s="134" t="n"/>
      <c r="H45" s="134" t="n"/>
      <c r="I45" s="134" t="n"/>
      <c r="J45" s="134" t="n"/>
      <c r="K45" s="134" t="n"/>
      <c r="L45" s="134" t="n"/>
      <c r="M45" s="134" t="n"/>
      <c r="N45" s="134" t="n"/>
      <c r="O45" s="134" t="n"/>
      <c r="P45" s="134" t="n"/>
      <c r="Q45" s="134" t="n"/>
      <c r="R45" s="484" t="n"/>
    </row>
    <row r="46">
      <c r="A46" s="134" t="n"/>
      <c r="B46" s="134" t="n"/>
      <c r="C46" s="134" t="n"/>
      <c r="D46" s="134" t="n"/>
      <c r="E46" s="134" t="n"/>
      <c r="F46" s="134" t="n"/>
      <c r="G46" s="134" t="n"/>
      <c r="H46" s="134" t="n"/>
      <c r="I46" s="134" t="n"/>
      <c r="J46" s="134" t="n"/>
      <c r="K46" s="134" t="n"/>
      <c r="L46" s="134" t="n"/>
      <c r="M46" s="134" t="n"/>
      <c r="N46" s="134" t="n"/>
      <c r="O46" s="134" t="n"/>
      <c r="P46" s="134" t="n"/>
      <c r="Q46" s="134" t="n"/>
      <c r="R46" s="484" t="n"/>
    </row>
    <row r="47">
      <c r="A47" s="134" t="n"/>
      <c r="B47" s="134" t="n"/>
      <c r="C47" s="134" t="n"/>
      <c r="D47" s="134" t="n"/>
      <c r="E47" s="134" t="n"/>
      <c r="F47" s="134" t="n"/>
      <c r="G47" s="134" t="n"/>
      <c r="H47" s="134" t="n"/>
      <c r="I47" s="134" t="n"/>
      <c r="J47" s="134" t="n"/>
      <c r="K47" s="134" t="n"/>
      <c r="L47" s="134" t="n"/>
      <c r="M47" s="134" t="n"/>
      <c r="N47" s="134" t="n"/>
      <c r="O47" s="134" t="n"/>
      <c r="P47" s="134" t="n"/>
      <c r="Q47" s="134" t="n"/>
      <c r="R47" s="484" t="n"/>
    </row>
    <row r="48">
      <c r="A48" s="134" t="n"/>
      <c r="B48" s="134" t="n"/>
      <c r="C48" s="134" t="n"/>
      <c r="D48" s="134" t="n"/>
      <c r="E48" s="134" t="n"/>
      <c r="F48" s="134" t="n"/>
      <c r="G48" s="134" t="n"/>
      <c r="H48" s="134" t="n"/>
      <c r="I48" s="134" t="n"/>
      <c r="J48" s="134" t="n"/>
      <c r="K48" s="134" t="n"/>
      <c r="L48" s="134" t="n"/>
      <c r="M48" s="134" t="n"/>
      <c r="N48" s="134" t="n"/>
      <c r="O48" s="134" t="n"/>
      <c r="P48" s="134" t="n"/>
      <c r="Q48" s="134" t="n"/>
      <c r="R48" s="484" t="n"/>
    </row>
    <row r="49">
      <c r="A49" s="134" t="n"/>
      <c r="B49" s="134" t="n"/>
      <c r="C49" s="134" t="n"/>
      <c r="D49" s="134" t="n"/>
      <c r="E49" s="134" t="n"/>
      <c r="F49" s="134" t="n"/>
      <c r="G49" s="134" t="n"/>
      <c r="H49" s="134" t="n"/>
      <c r="I49" s="134" t="n"/>
      <c r="J49" s="134" t="n"/>
      <c r="K49" s="134" t="n"/>
      <c r="L49" s="134" t="n"/>
      <c r="M49" s="134" t="n"/>
      <c r="N49" s="134" t="n"/>
      <c r="O49" s="134" t="n"/>
      <c r="P49" s="134" t="n"/>
      <c r="Q49" s="134" t="n"/>
      <c r="R49" s="484" t="n"/>
    </row>
    <row r="50">
      <c r="A50" s="134" t="n"/>
      <c r="B50" s="134" t="n"/>
      <c r="C50" s="134" t="n"/>
      <c r="D50" s="134" t="n"/>
      <c r="E50" s="134" t="n"/>
      <c r="F50" s="134" t="n"/>
      <c r="G50" s="134" t="n"/>
      <c r="H50" s="134" t="n"/>
      <c r="I50" s="134" t="n"/>
      <c r="J50" s="134" t="n"/>
      <c r="K50" s="134" t="n"/>
      <c r="L50" s="134" t="n"/>
      <c r="M50" s="134" t="n"/>
      <c r="N50" s="134" t="n"/>
      <c r="O50" s="134" t="n"/>
      <c r="P50" s="134" t="n"/>
      <c r="Q50" s="134" t="n"/>
      <c r="R50" s="484" t="n"/>
    </row>
    <row r="51">
      <c r="A51" s="134" t="n"/>
      <c r="B51" s="134" t="n"/>
      <c r="C51" s="134" t="n"/>
      <c r="D51" s="134" t="n"/>
      <c r="E51" s="134" t="n"/>
      <c r="F51" s="134" t="n"/>
      <c r="G51" s="134" t="n"/>
      <c r="H51" s="134" t="n"/>
      <c r="I51" s="134" t="n"/>
      <c r="J51" s="134" t="n"/>
      <c r="K51" s="134" t="n"/>
      <c r="L51" s="134" t="n"/>
      <c r="M51" s="134" t="n"/>
      <c r="N51" s="134" t="n"/>
      <c r="O51" s="134" t="n"/>
      <c r="P51" s="134" t="n"/>
      <c r="Q51" s="134" t="n"/>
      <c r="R51" s="484" t="n"/>
    </row>
    <row r="52">
      <c r="A52" s="134" t="n"/>
      <c r="B52" s="134" t="n"/>
      <c r="C52" s="134" t="n"/>
      <c r="D52" s="134" t="n"/>
      <c r="E52" s="134" t="n"/>
      <c r="F52" s="134" t="n"/>
      <c r="G52" s="134" t="n"/>
      <c r="H52" s="134" t="n"/>
      <c r="I52" s="134" t="n"/>
      <c r="J52" s="134" t="n"/>
      <c r="K52" s="134" t="n"/>
      <c r="L52" s="134" t="n"/>
      <c r="M52" s="134" t="n"/>
      <c r="N52" s="134" t="n"/>
      <c r="O52" s="134" t="n"/>
      <c r="P52" s="134" t="n"/>
      <c r="Q52" s="134" t="n"/>
      <c r="R52" s="484" t="n"/>
    </row>
    <row r="53">
      <c r="A53" s="134" t="n"/>
      <c r="B53" s="134" t="n"/>
      <c r="C53" s="134" t="n"/>
      <c r="D53" s="134" t="n"/>
      <c r="E53" s="134" t="n"/>
      <c r="F53" s="134" t="n"/>
      <c r="G53" s="134" t="n"/>
      <c r="H53" s="134" t="n"/>
      <c r="I53" s="134" t="n"/>
      <c r="J53" s="134" t="n"/>
      <c r="K53" s="134" t="n"/>
      <c r="L53" s="134" t="n"/>
      <c r="M53" s="134" t="n"/>
      <c r="N53" s="134" t="n"/>
      <c r="O53" s="134" t="n"/>
      <c r="P53" s="134" t="n"/>
      <c r="Q53" s="134" t="n"/>
      <c r="R53" s="484" t="n"/>
    </row>
    <row r="54">
      <c r="A54" s="134" t="n"/>
      <c r="B54" s="134" t="n"/>
      <c r="C54" s="134" t="n"/>
      <c r="D54" s="134" t="n"/>
      <c r="E54" s="134" t="n"/>
      <c r="F54" s="134" t="n"/>
      <c r="G54" s="134" t="n"/>
      <c r="H54" s="134" t="n"/>
      <c r="I54" s="134" t="n"/>
      <c r="J54" s="134" t="n"/>
      <c r="K54" s="134" t="n"/>
      <c r="L54" s="134" t="n"/>
      <c r="M54" s="134" t="n"/>
      <c r="N54" s="134" t="n"/>
      <c r="O54" s="134" t="n"/>
      <c r="P54" s="134" t="n"/>
      <c r="Q54" s="134" t="n"/>
      <c r="R54" s="484" t="n"/>
    </row>
    <row r="55">
      <c r="A55" s="134" t="n"/>
      <c r="B55" s="134" t="n"/>
      <c r="C55" s="134" t="n"/>
      <c r="D55" s="134" t="n"/>
      <c r="E55" s="134" t="n"/>
      <c r="F55" s="134" t="n"/>
      <c r="G55" s="134" t="n"/>
      <c r="H55" s="134" t="n"/>
      <c r="I55" s="134" t="n"/>
      <c r="J55" s="134" t="n"/>
      <c r="K55" s="134" t="n"/>
      <c r="L55" s="134" t="n"/>
      <c r="M55" s="134" t="n"/>
      <c r="N55" s="134" t="n"/>
      <c r="O55" s="134" t="n"/>
      <c r="P55" s="134" t="n"/>
      <c r="Q55" s="134" t="n"/>
      <c r="R55" s="484" t="n"/>
    </row>
    <row r="56">
      <c r="A56" s="134" t="n"/>
      <c r="B56" s="134" t="n"/>
      <c r="C56" s="134" t="n"/>
      <c r="D56" s="134" t="n"/>
      <c r="E56" s="134" t="n"/>
      <c r="F56" s="134" t="n"/>
      <c r="G56" s="134" t="n"/>
      <c r="H56" s="134" t="n"/>
      <c r="I56" s="134" t="n"/>
      <c r="J56" s="134" t="n"/>
      <c r="K56" s="134" t="n"/>
      <c r="L56" s="134" t="n"/>
      <c r="M56" s="134" t="n"/>
      <c r="N56" s="134" t="n"/>
      <c r="O56" s="134" t="n"/>
      <c r="P56" s="134" t="n"/>
      <c r="Q56" s="134" t="n"/>
      <c r="R56" s="484" t="n"/>
    </row>
    <row r="57">
      <c r="A57" s="134" t="n"/>
      <c r="B57" s="134" t="n"/>
      <c r="C57" s="134" t="n"/>
      <c r="D57" s="134" t="n"/>
      <c r="E57" s="134" t="n"/>
      <c r="F57" s="134" t="n"/>
      <c r="G57" s="134" t="n"/>
      <c r="H57" s="134" t="n"/>
      <c r="I57" s="134" t="n"/>
      <c r="J57" s="134" t="n"/>
      <c r="K57" s="134" t="n"/>
      <c r="L57" s="134" t="n"/>
      <c r="M57" s="134" t="n"/>
      <c r="N57" s="134" t="n"/>
      <c r="O57" s="134" t="n"/>
      <c r="P57" s="134" t="n"/>
      <c r="Q57" s="134" t="n"/>
      <c r="R57" s="484" t="n"/>
    </row>
    <row r="58">
      <c r="A58" s="134" t="n"/>
      <c r="B58" s="134" t="n"/>
      <c r="C58" s="134" t="n"/>
      <c r="D58" s="134" t="n"/>
      <c r="E58" s="134" t="n"/>
      <c r="F58" s="134" t="n"/>
      <c r="G58" s="134" t="n"/>
      <c r="H58" s="134" t="n"/>
      <c r="I58" s="134" t="n"/>
      <c r="J58" s="134" t="n"/>
      <c r="K58" s="134" t="n"/>
      <c r="L58" s="134" t="n"/>
      <c r="M58" s="134" t="n"/>
      <c r="N58" s="134" t="n"/>
      <c r="O58" s="134" t="n"/>
      <c r="P58" s="134" t="n"/>
      <c r="Q58" s="134" t="n"/>
      <c r="R58" s="484" t="n"/>
    </row>
    <row r="59">
      <c r="A59" s="134" t="n"/>
      <c r="B59" s="134" t="n"/>
      <c r="C59" s="134" t="n"/>
      <c r="D59" s="134" t="n"/>
      <c r="E59" s="134" t="n"/>
      <c r="F59" s="134" t="n"/>
      <c r="G59" s="134" t="n"/>
      <c r="H59" s="134" t="n"/>
      <c r="I59" s="134" t="n"/>
      <c r="J59" s="134" t="n"/>
      <c r="K59" s="134" t="n"/>
      <c r="L59" s="134" t="n"/>
      <c r="M59" s="134" t="n"/>
      <c r="N59" s="134" t="n"/>
      <c r="O59" s="134" t="n"/>
      <c r="P59" s="134" t="n"/>
      <c r="Q59" s="134" t="n"/>
      <c r="R59" s="484" t="n"/>
    </row>
    <row r="60">
      <c r="A60" s="134" t="n"/>
      <c r="B60" s="134" t="n"/>
      <c r="C60" s="134" t="n"/>
      <c r="D60" s="134" t="n"/>
      <c r="E60" s="134" t="n"/>
      <c r="F60" s="134" t="n"/>
      <c r="G60" s="134" t="n"/>
      <c r="H60" s="134" t="n"/>
      <c r="I60" s="134" t="n"/>
      <c r="J60" s="134" t="n"/>
      <c r="K60" s="134" t="n"/>
      <c r="L60" s="134" t="n"/>
      <c r="M60" s="134" t="n"/>
      <c r="N60" s="134" t="n"/>
      <c r="O60" s="134" t="n"/>
      <c r="P60" s="134" t="n"/>
      <c r="Q60" s="134" t="n"/>
      <c r="R60" s="906" t="n"/>
    </row>
    <row r="61">
      <c r="A61" s="134" t="n"/>
      <c r="B61" s="134" t="n"/>
      <c r="C61" s="134" t="n"/>
      <c r="D61" s="134" t="n"/>
      <c r="E61" s="134" t="n"/>
      <c r="F61" s="134" t="n"/>
      <c r="G61" s="134" t="n"/>
      <c r="H61" s="134" t="n"/>
      <c r="I61" s="134" t="n"/>
      <c r="J61" s="134" t="n"/>
      <c r="K61" s="134" t="n"/>
      <c r="L61" s="134" t="n"/>
      <c r="M61" s="134" t="n"/>
      <c r="N61" s="134" t="n"/>
      <c r="O61" s="134" t="n"/>
      <c r="P61" s="134" t="n"/>
      <c r="Q61" s="134" t="n"/>
      <c r="R61" s="906" t="n"/>
    </row>
    <row r="62">
      <c r="A62" s="134" t="n"/>
      <c r="B62" s="134" t="n"/>
      <c r="C62" s="134" t="n"/>
      <c r="D62" s="134" t="n"/>
      <c r="E62" s="134" t="n"/>
      <c r="F62" s="134" t="n"/>
      <c r="G62" s="134" t="n"/>
      <c r="H62" s="134" t="n"/>
      <c r="I62" s="134" t="n"/>
      <c r="J62" s="134" t="n"/>
      <c r="K62" s="134" t="n"/>
      <c r="L62" s="134" t="n"/>
      <c r="M62" s="134" t="n"/>
      <c r="N62" s="134" t="n"/>
      <c r="O62" s="134" t="n"/>
      <c r="P62" s="134" t="n"/>
      <c r="Q62" s="134" t="n"/>
      <c r="R62" s="906" t="n"/>
    </row>
    <row r="63">
      <c r="A63" s="134" t="n"/>
      <c r="B63" s="134" t="n"/>
      <c r="C63" s="134" t="n"/>
      <c r="D63" s="134" t="n"/>
      <c r="E63" s="134" t="n"/>
      <c r="F63" s="134" t="n"/>
      <c r="G63" s="134" t="n"/>
      <c r="H63" s="134" t="n"/>
      <c r="I63" s="134" t="n"/>
      <c r="J63" s="134" t="n"/>
      <c r="K63" s="134" t="n"/>
      <c r="L63" s="134" t="n"/>
      <c r="M63" s="134" t="n"/>
      <c r="N63" s="134" t="n"/>
      <c r="O63" s="134" t="n"/>
      <c r="P63" s="134" t="n"/>
      <c r="Q63" s="134" t="n"/>
      <c r="R63" s="906" t="n"/>
    </row>
    <row r="64">
      <c r="A64" s="134" t="n"/>
      <c r="B64" s="134" t="n"/>
      <c r="C64" s="134" t="n"/>
      <c r="D64" s="134" t="n"/>
      <c r="E64" s="134" t="n"/>
      <c r="F64" s="134" t="n"/>
      <c r="G64" s="134" t="n"/>
      <c r="H64" s="134" t="n"/>
      <c r="I64" s="134" t="n"/>
      <c r="J64" s="134" t="n"/>
      <c r="K64" s="134" t="n"/>
      <c r="L64" s="134" t="n"/>
      <c r="M64" s="134" t="n"/>
      <c r="N64" s="134" t="n"/>
      <c r="O64" s="134" t="n"/>
      <c r="P64" s="134" t="n"/>
      <c r="Q64" s="134" t="n"/>
      <c r="R64" s="906" t="n"/>
    </row>
    <row r="65">
      <c r="A65" s="134" t="n"/>
      <c r="B65" s="134" t="n"/>
      <c r="C65" s="134" t="n"/>
      <c r="D65" s="134" t="n"/>
      <c r="E65" s="134" t="n"/>
      <c r="F65" s="134" t="n"/>
      <c r="G65" s="134" t="n"/>
      <c r="H65" s="134" t="n"/>
      <c r="I65" s="134" t="n"/>
      <c r="J65" s="134" t="n"/>
      <c r="K65" s="134" t="n"/>
      <c r="L65" s="134" t="n"/>
      <c r="M65" s="134" t="n"/>
      <c r="N65" s="134" t="n"/>
      <c r="O65" s="134" t="n"/>
      <c r="P65" s="134" t="n"/>
      <c r="Q65" s="134" t="n"/>
      <c r="R65" s="906" t="n"/>
    </row>
    <row r="66">
      <c r="A66" s="134" t="n"/>
      <c r="B66" s="134" t="n"/>
      <c r="C66" s="134" t="n"/>
      <c r="D66" s="134" t="n"/>
      <c r="E66" s="134" t="n"/>
      <c r="F66" s="134" t="n"/>
      <c r="G66" s="134" t="n"/>
      <c r="H66" s="134" t="n"/>
      <c r="I66" s="134" t="n"/>
      <c r="J66" s="134" t="n"/>
      <c r="K66" s="134" t="n"/>
      <c r="L66" s="134" t="n"/>
      <c r="M66" s="134" t="n"/>
      <c r="N66" s="134" t="n"/>
      <c r="O66" s="134" t="n"/>
      <c r="P66" s="134" t="n"/>
      <c r="Q66" s="134" t="n"/>
      <c r="R66" s="906" t="n"/>
    </row>
    <row r="67">
      <c r="A67" s="134" t="n"/>
      <c r="B67" s="134" t="n"/>
      <c r="C67" s="134" t="n"/>
      <c r="D67" s="134" t="n"/>
      <c r="E67" s="134" t="n"/>
      <c r="F67" s="134" t="n"/>
      <c r="G67" s="134" t="n"/>
      <c r="H67" s="134" t="n"/>
      <c r="I67" s="134" t="n"/>
      <c r="J67" s="134" t="n"/>
      <c r="K67" s="134" t="n"/>
      <c r="L67" s="134" t="n"/>
      <c r="M67" s="134" t="n"/>
      <c r="N67" s="134" t="n"/>
      <c r="O67" s="134" t="n"/>
      <c r="P67" s="134" t="n"/>
      <c r="Q67" s="134" t="n"/>
      <c r="R67" s="906" t="n"/>
    </row>
    <row r="68">
      <c r="A68" s="134" t="n"/>
      <c r="B68" s="134" t="n"/>
      <c r="C68" s="134" t="n"/>
      <c r="D68" s="134" t="n"/>
      <c r="E68" s="134" t="n"/>
      <c r="F68" s="134" t="n"/>
      <c r="G68" s="134" t="n"/>
      <c r="H68" s="134" t="n"/>
      <c r="I68" s="134" t="n"/>
      <c r="J68" s="134" t="n"/>
      <c r="K68" s="134" t="n"/>
      <c r="L68" s="134" t="n"/>
      <c r="M68" s="134" t="n"/>
      <c r="N68" s="134" t="n"/>
      <c r="O68" s="134" t="n"/>
      <c r="P68" s="134" t="n"/>
      <c r="Q68" s="134" t="n"/>
      <c r="R68" s="906" t="n"/>
    </row>
    <row r="69">
      <c r="A69" s="134" t="n"/>
      <c r="B69" s="134" t="n"/>
      <c r="C69" s="134" t="n"/>
      <c r="D69" s="134" t="n"/>
      <c r="E69" s="134" t="n"/>
      <c r="F69" s="134" t="n"/>
      <c r="G69" s="134" t="n"/>
      <c r="H69" s="134" t="n"/>
      <c r="I69" s="134" t="n"/>
      <c r="J69" s="134" t="n"/>
      <c r="K69" s="134" t="n"/>
      <c r="L69" s="134" t="n"/>
      <c r="M69" s="134" t="n"/>
      <c r="N69" s="134" t="n"/>
      <c r="O69" s="134" t="n"/>
      <c r="P69" s="134" t="n"/>
      <c r="Q69" s="134" t="n"/>
      <c r="R69" s="912" t="n"/>
    </row>
    <row r="70">
      <c r="A70" s="134" t="n"/>
      <c r="B70" s="134" t="n"/>
      <c r="C70" s="134" t="n"/>
      <c r="D70" s="134" t="n"/>
      <c r="E70" s="134" t="n"/>
      <c r="F70" s="134" t="n"/>
      <c r="G70" s="134" t="n"/>
      <c r="H70" s="134" t="n"/>
      <c r="I70" s="134" t="n"/>
      <c r="J70" s="134" t="n"/>
      <c r="K70" s="134" t="n"/>
      <c r="L70" s="134" t="n"/>
      <c r="M70" s="134" t="n"/>
      <c r="N70" s="134" t="n"/>
      <c r="O70" s="134" t="n"/>
      <c r="P70" s="134" t="n"/>
      <c r="Q70" s="134" t="n"/>
      <c r="R70" s="906" t="n"/>
    </row>
    <row r="71">
      <c r="A71" s="134" t="n"/>
      <c r="B71" s="134" t="n"/>
      <c r="C71" s="134" t="n"/>
      <c r="D71" s="134" t="n"/>
      <c r="E71" s="134" t="n"/>
      <c r="F71" s="134" t="n"/>
      <c r="G71" s="134" t="n"/>
      <c r="H71" s="134" t="n"/>
      <c r="I71" s="134" t="n"/>
      <c r="J71" s="134" t="n"/>
      <c r="K71" s="134" t="n"/>
      <c r="L71" s="134" t="n"/>
      <c r="M71" s="134" t="n"/>
      <c r="N71" s="134" t="n"/>
      <c r="O71" s="134" t="n"/>
      <c r="P71" s="134" t="n"/>
      <c r="Q71" s="134" t="n"/>
      <c r="R71" s="906" t="n"/>
    </row>
    <row r="72">
      <c r="A72" s="134" t="n"/>
      <c r="B72" s="134" t="n"/>
      <c r="C72" s="134" t="n"/>
      <c r="D72" s="134" t="n"/>
      <c r="E72" s="134" t="n"/>
      <c r="F72" s="134" t="n"/>
      <c r="G72" s="134" t="n"/>
      <c r="H72" s="134" t="n"/>
      <c r="I72" s="134" t="n"/>
      <c r="J72" s="134" t="n"/>
      <c r="K72" s="134" t="n"/>
      <c r="L72" s="134" t="n"/>
      <c r="M72" s="134" t="n"/>
      <c r="N72" s="134" t="n"/>
      <c r="O72" s="134" t="n"/>
      <c r="P72" s="134" t="n"/>
      <c r="Q72" s="134" t="n"/>
      <c r="R72" s="906" t="n"/>
    </row>
    <row r="73">
      <c r="A73" s="134" t="n"/>
      <c r="B73" s="134" t="n"/>
      <c r="C73" s="134" t="n"/>
      <c r="D73" s="134" t="n"/>
      <c r="E73" s="134" t="n"/>
      <c r="F73" s="134" t="n"/>
      <c r="G73" s="134" t="n"/>
      <c r="H73" s="134" t="n"/>
      <c r="I73" s="134" t="n"/>
      <c r="J73" s="134" t="n"/>
      <c r="K73" s="134" t="n"/>
      <c r="L73" s="134" t="n"/>
      <c r="M73" s="134" t="n"/>
      <c r="N73" s="134" t="n"/>
      <c r="O73" s="134" t="n"/>
      <c r="P73" s="134" t="n"/>
      <c r="Q73" s="134" t="n"/>
      <c r="R73" s="906" t="n"/>
    </row>
    <row r="74">
      <c r="A74" s="134" t="n"/>
      <c r="B74" s="134" t="n"/>
      <c r="C74" s="134" t="n"/>
      <c r="D74" s="134" t="n"/>
      <c r="E74" s="134" t="n"/>
      <c r="F74" s="134" t="n"/>
      <c r="G74" s="134" t="n"/>
      <c r="H74" s="134" t="n"/>
      <c r="I74" s="134" t="n"/>
      <c r="J74" s="134" t="n"/>
      <c r="K74" s="134" t="n"/>
      <c r="L74" s="134" t="n"/>
      <c r="M74" s="134" t="n"/>
      <c r="N74" s="134" t="n"/>
      <c r="O74" s="134" t="n"/>
      <c r="P74" s="134" t="n"/>
      <c r="Q74" s="134" t="n"/>
      <c r="R74" s="906" t="n"/>
    </row>
    <row r="75" ht="15.75" customHeight="1">
      <c r="A75" s="134" t="n"/>
      <c r="B75" s="134" t="n"/>
      <c r="C75" s="134" t="n"/>
      <c r="D75" s="134" t="n"/>
      <c r="E75" s="134" t="n"/>
      <c r="F75" s="134" t="n"/>
      <c r="G75" s="134" t="n"/>
      <c r="H75" s="134" t="n"/>
      <c r="I75" s="134" t="n"/>
      <c r="J75" s="134" t="n"/>
      <c r="K75" s="134" t="n"/>
      <c r="L75" s="134" t="n"/>
      <c r="M75" s="134" t="n"/>
      <c r="N75" s="134" t="n"/>
      <c r="O75" s="134" t="n"/>
      <c r="P75" s="134" t="n"/>
      <c r="Q75" s="134" t="n"/>
      <c r="R75" s="920" t="n"/>
    </row>
    <row r="76">
      <c r="A76" s="134" t="n"/>
      <c r="B76" s="134" t="n"/>
      <c r="C76" s="134" t="n"/>
      <c r="D76" s="134" t="n"/>
      <c r="E76" s="134" t="n"/>
      <c r="F76" s="134" t="n"/>
      <c r="G76" s="134" t="n"/>
      <c r="H76" s="134" t="n"/>
      <c r="I76" s="134" t="n"/>
      <c r="J76" s="134" t="n"/>
      <c r="K76" s="134" t="n"/>
      <c r="L76" s="134" t="n"/>
      <c r="M76" s="134" t="n"/>
      <c r="N76" s="134" t="n"/>
      <c r="O76" s="134" t="n"/>
      <c r="P76" s="134" t="n"/>
      <c r="Q76" s="134" t="n"/>
      <c r="R76" s="906" t="n"/>
    </row>
    <row r="77">
      <c r="A77" s="134" t="n"/>
      <c r="B77" s="134" t="n"/>
      <c r="C77" s="134" t="n"/>
      <c r="D77" s="134" t="n"/>
      <c r="E77" s="134" t="n"/>
      <c r="F77" s="134" t="n"/>
      <c r="G77" s="134" t="n"/>
      <c r="H77" s="134" t="n"/>
      <c r="I77" s="134" t="n"/>
      <c r="J77" s="134" t="n"/>
      <c r="K77" s="134" t="n"/>
      <c r="L77" s="134" t="n"/>
      <c r="M77" s="134" t="n"/>
      <c r="N77" s="134" t="n"/>
      <c r="O77" s="134" t="n"/>
      <c r="P77" s="134" t="n"/>
      <c r="Q77" s="134" t="n"/>
      <c r="R77" s="906" t="n"/>
    </row>
    <row r="78">
      <c r="A78" s="134" t="n"/>
      <c r="B78" s="134" t="n"/>
      <c r="C78" s="134" t="n"/>
      <c r="D78" s="134" t="n"/>
      <c r="E78" s="134" t="n"/>
      <c r="F78" s="134" t="n"/>
      <c r="G78" s="134" t="n"/>
      <c r="H78" s="134" t="n"/>
      <c r="I78" s="134" t="n"/>
      <c r="J78" s="134" t="n"/>
      <c r="K78" s="134" t="n"/>
      <c r="L78" s="134" t="n"/>
      <c r="M78" s="134" t="n"/>
      <c r="N78" s="134" t="n"/>
      <c r="O78" s="134" t="n"/>
      <c r="P78" s="134" t="n"/>
      <c r="Q78" s="134" t="n"/>
      <c r="R78" s="906" t="n"/>
    </row>
    <row r="79">
      <c r="A79" s="134" t="n"/>
      <c r="B79" s="134" t="n"/>
      <c r="C79" s="134" t="n"/>
      <c r="D79" s="134" t="n"/>
      <c r="E79" s="134" t="n"/>
      <c r="F79" s="134" t="n"/>
      <c r="G79" s="134" t="n"/>
      <c r="H79" s="134" t="n"/>
      <c r="I79" s="134" t="n"/>
      <c r="J79" s="134" t="n"/>
      <c r="K79" s="134" t="n"/>
      <c r="L79" s="134" t="n"/>
      <c r="M79" s="134" t="n"/>
      <c r="N79" s="134" t="n"/>
      <c r="O79" s="134" t="n"/>
      <c r="P79" s="134" t="n"/>
      <c r="Q79" s="134" t="n"/>
      <c r="R79" s="906" t="n"/>
    </row>
    <row r="80">
      <c r="A80" s="134" t="n"/>
      <c r="B80" s="134" t="n"/>
      <c r="C80" s="134" t="n"/>
      <c r="D80" s="134" t="n"/>
      <c r="E80" s="134" t="n"/>
      <c r="F80" s="134" t="n"/>
      <c r="G80" s="134" t="n"/>
      <c r="H80" s="134" t="n"/>
      <c r="I80" s="134" t="n"/>
      <c r="J80" s="134" t="n"/>
      <c r="K80" s="134" t="n"/>
      <c r="L80" s="134" t="n"/>
      <c r="M80" s="134" t="n"/>
      <c r="N80" s="134" t="n"/>
      <c r="O80" s="134" t="n"/>
      <c r="P80" s="134" t="n"/>
      <c r="Q80" s="134" t="n"/>
      <c r="R80" s="906" t="n"/>
    </row>
    <row r="81">
      <c r="R81" s="906" t="n"/>
    </row>
    <row r="82">
      <c r="R82" s="906" t="n"/>
    </row>
    <row r="83">
      <c r="R83" s="906" t="n"/>
    </row>
    <row r="84">
      <c r="R84" s="906" t="n"/>
    </row>
    <row r="85">
      <c r="R85" s="906" t="n"/>
    </row>
    <row r="86">
      <c r="R86" s="906" t="n"/>
    </row>
    <row r="87">
      <c r="R87" s="906" t="n"/>
    </row>
    <row r="88">
      <c r="R88" s="906" t="n"/>
    </row>
    <row r="89">
      <c r="R89" s="906" t="n"/>
    </row>
    <row r="90">
      <c r="R90" s="906" t="n"/>
    </row>
    <row r="91">
      <c r="R91" s="906" t="n"/>
    </row>
    <row r="92">
      <c r="R92" s="906" t="n"/>
    </row>
    <row r="93">
      <c r="R93" s="906" t="n"/>
    </row>
    <row r="94">
      <c r="R94" s="906" t="n"/>
    </row>
    <row r="95">
      <c r="R95" s="906" t="n"/>
    </row>
    <row r="96">
      <c r="R96" s="906" t="n"/>
    </row>
    <row r="97">
      <c r="R97" s="906" t="n"/>
    </row>
    <row r="98">
      <c r="R98" s="906" t="n"/>
    </row>
    <row r="99">
      <c r="R99" s="906" t="n"/>
    </row>
    <row r="100">
      <c r="R100" s="906" t="n"/>
    </row>
    <row r="101">
      <c r="R101" s="906" t="n"/>
    </row>
    <row r="102">
      <c r="R102" s="906" t="n"/>
    </row>
    <row r="103">
      <c r="R103" s="906" t="n"/>
    </row>
    <row r="104">
      <c r="R104" s="906" t="n"/>
    </row>
    <row r="105">
      <c r="R105" s="906" t="n"/>
    </row>
    <row r="106">
      <c r="R106" s="906" t="n"/>
    </row>
    <row r="107">
      <c r="R107" s="907" t="n"/>
    </row>
    <row r="108">
      <c r="R108" s="907" t="n"/>
    </row>
    <row r="109">
      <c r="R109" s="907" t="n"/>
    </row>
    <row r="110">
      <c r="R110" s="907" t="n"/>
    </row>
    <row r="111">
      <c r="R111" s="907" t="n"/>
    </row>
    <row r="112">
      <c r="R112" s="907" t="n"/>
    </row>
    <row r="113">
      <c r="R113" s="907" t="n"/>
    </row>
    <row r="114">
      <c r="R114" s="907" t="n"/>
    </row>
    <row r="115">
      <c r="R115" s="907" t="n"/>
    </row>
    <row r="116">
      <c r="R116" s="907" t="n"/>
    </row>
    <row r="117">
      <c r="R117" s="907" t="n"/>
    </row>
    <row r="118">
      <c r="R118" s="907" t="n"/>
    </row>
    <row r="119">
      <c r="R119" s="907" t="n"/>
    </row>
    <row r="120">
      <c r="R120" s="907" t="n"/>
    </row>
    <row r="121">
      <c r="R121" s="907" t="n"/>
    </row>
    <row r="122">
      <c r="R122" s="907" t="n"/>
    </row>
    <row r="123">
      <c r="R123" s="907" t="n"/>
    </row>
    <row r="124">
      <c r="R124" s="907" t="n"/>
    </row>
    <row r="125">
      <c r="R125" s="907" t="n"/>
    </row>
    <row r="126">
      <c r="R126" s="907" t="n"/>
    </row>
    <row r="127">
      <c r="R127" s="907" t="n"/>
    </row>
    <row r="128">
      <c r="R128" s="907" t="n"/>
    </row>
    <row r="129">
      <c r="R129" s="907" t="n"/>
    </row>
    <row r="130">
      <c r="R130" s="907" t="n"/>
    </row>
    <row r="131">
      <c r="R131" s="907" t="n"/>
    </row>
    <row r="132">
      <c r="R132" s="907" t="n"/>
    </row>
    <row r="133">
      <c r="R133" s="907" t="n"/>
    </row>
    <row r="134">
      <c r="R134" s="907" t="n"/>
    </row>
    <row r="135">
      <c r="R135" s="907" t="n"/>
    </row>
    <row r="136">
      <c r="R136" s="907" t="n"/>
    </row>
    <row r="137">
      <c r="R137" s="907" t="n"/>
    </row>
    <row r="138">
      <c r="R138" s="907" t="n"/>
    </row>
    <row r="139">
      <c r="R139" s="907" t="n"/>
    </row>
    <row r="140">
      <c r="R140" s="907" t="n"/>
    </row>
    <row r="141">
      <c r="R141" s="907" t="n"/>
    </row>
    <row r="142">
      <c r="R142" s="907" t="n"/>
    </row>
    <row r="143">
      <c r="R143" s="907" t="n"/>
    </row>
    <row r="144">
      <c r="R144" s="907" t="n"/>
    </row>
    <row r="145">
      <c r="R145" s="907" t="n"/>
    </row>
    <row r="146">
      <c r="R146" s="907" t="n"/>
    </row>
    <row r="147">
      <c r="R147" s="907" t="n"/>
    </row>
    <row r="148">
      <c r="R148" s="907" t="n"/>
    </row>
    <row r="149">
      <c r="R149" s="907" t="n"/>
    </row>
    <row r="150">
      <c r="R150" s="907" t="n"/>
    </row>
    <row r="151">
      <c r="R151" s="907" t="n"/>
    </row>
    <row r="152">
      <c r="R152" s="907" t="n"/>
    </row>
    <row r="153">
      <c r="R153" s="907" t="n"/>
    </row>
    <row r="154">
      <c r="R154" s="907" t="n"/>
    </row>
    <row r="155">
      <c r="R155" s="907" t="n"/>
    </row>
    <row r="156">
      <c r="R156" s="907" t="n"/>
    </row>
    <row r="157">
      <c r="R157" s="907" t="n"/>
    </row>
    <row r="158">
      <c r="R158" s="907" t="n"/>
    </row>
    <row r="159">
      <c r="R159" s="907" t="n"/>
    </row>
    <row r="160">
      <c r="R160" s="907" t="n"/>
    </row>
    <row r="161">
      <c r="R161" s="907" t="n"/>
    </row>
    <row r="162">
      <c r="R162" s="907" t="n"/>
    </row>
    <row r="163">
      <c r="R163" s="907" t="n"/>
    </row>
    <row r="164">
      <c r="R164" s="907" t="n"/>
    </row>
    <row r="165">
      <c r="R165" s="907" t="n"/>
    </row>
    <row r="166">
      <c r="R166" s="907" t="n"/>
    </row>
    <row r="167">
      <c r="R167" s="907" t="n"/>
    </row>
    <row r="168">
      <c r="R168" s="907" t="n"/>
    </row>
    <row r="169">
      <c r="R169" s="907" t="n"/>
    </row>
    <row r="170">
      <c r="R170" s="907" t="n"/>
    </row>
    <row r="171">
      <c r="R171" s="907" t="n"/>
    </row>
    <row r="172">
      <c r="R172" s="907" t="n"/>
    </row>
    <row r="173">
      <c r="R173" s="907" t="n"/>
    </row>
    <row r="174">
      <c r="R174" s="907" t="n"/>
    </row>
    <row r="175">
      <c r="R175" s="907" t="n"/>
    </row>
    <row r="176">
      <c r="R176" s="907" t="n"/>
    </row>
    <row r="177">
      <c r="R177" s="907" t="n"/>
    </row>
    <row r="178">
      <c r="R178" s="907" t="n"/>
    </row>
    <row r="179">
      <c r="R179" s="907" t="n"/>
    </row>
    <row r="180">
      <c r="R180" s="907" t="n"/>
    </row>
    <row r="181">
      <c r="R181" s="907" t="n"/>
    </row>
    <row r="182">
      <c r="R182" s="907" t="n"/>
    </row>
    <row r="183">
      <c r="R183" s="907" t="n"/>
    </row>
    <row r="184">
      <c r="R184" s="907" t="n"/>
    </row>
    <row r="185">
      <c r="R185" s="907" t="n"/>
    </row>
    <row r="186">
      <c r="R186" s="907" t="n"/>
    </row>
    <row r="187">
      <c r="R187" s="907" t="n"/>
    </row>
    <row r="188">
      <c r="R188" s="907" t="n"/>
    </row>
    <row r="189">
      <c r="R189" s="907" t="n"/>
    </row>
    <row r="190">
      <c r="R190" s="907" t="n"/>
    </row>
    <row r="191">
      <c r="R191" s="907" t="n"/>
    </row>
    <row r="192">
      <c r="R192" s="907" t="n"/>
    </row>
    <row r="193">
      <c r="R193" s="907" t="n"/>
    </row>
    <row r="194">
      <c r="R194" s="907" t="n"/>
    </row>
    <row r="195">
      <c r="R195" s="907" t="n"/>
    </row>
    <row r="196">
      <c r="R196" s="907" t="n"/>
    </row>
    <row r="197">
      <c r="R197" s="907" t="n"/>
    </row>
    <row r="198">
      <c r="R198" s="907" t="n"/>
    </row>
    <row r="199">
      <c r="R199" s="907" t="n"/>
    </row>
    <row r="200">
      <c r="R200" s="907" t="n"/>
    </row>
    <row r="201">
      <c r="R201" s="907" t="n"/>
    </row>
    <row r="202">
      <c r="R202" s="907" t="n"/>
    </row>
    <row r="203">
      <c r="R203" s="907" t="n"/>
    </row>
    <row r="204">
      <c r="R204" s="907" t="n"/>
    </row>
    <row r="205">
      <c r="R205" s="907" t="n"/>
    </row>
    <row r="206">
      <c r="R206" s="907" t="n"/>
    </row>
    <row r="207">
      <c r="R207" s="907" t="n"/>
    </row>
    <row r="208">
      <c r="R208" s="907" t="n"/>
    </row>
    <row r="209">
      <c r="R209" s="907" t="n"/>
    </row>
    <row r="210">
      <c r="R210" s="907" t="n"/>
    </row>
    <row r="211">
      <c r="R211" s="907" t="n"/>
    </row>
    <row r="212">
      <c r="R212" s="907" t="n"/>
    </row>
    <row r="213">
      <c r="R213" s="907" t="n"/>
    </row>
    <row r="214">
      <c r="R214" s="907" t="n"/>
    </row>
    <row r="215">
      <c r="R215" s="907" t="n"/>
    </row>
    <row r="216">
      <c r="R216" s="907" t="n"/>
    </row>
    <row r="217">
      <c r="R217" s="907" t="n"/>
    </row>
    <row r="218">
      <c r="R218" s="907" t="n"/>
    </row>
    <row r="219">
      <c r="R219" s="907" t="n"/>
    </row>
    <row r="220">
      <c r="R220" s="907" t="n"/>
    </row>
    <row r="221">
      <c r="R221" s="907" t="n"/>
    </row>
    <row r="222">
      <c r="R222" s="907" t="n"/>
    </row>
    <row r="223">
      <c r="R223" s="907" t="n"/>
    </row>
    <row r="224">
      <c r="R224" s="907" t="n"/>
    </row>
    <row r="225">
      <c r="R225" s="907" t="n"/>
    </row>
    <row r="226">
      <c r="R226" s="907" t="n"/>
    </row>
    <row r="227">
      <c r="R227" s="907" t="n"/>
    </row>
    <row r="228">
      <c r="R228" s="907" t="n"/>
    </row>
    <row r="229">
      <c r="R229" s="907" t="n"/>
    </row>
    <row r="230">
      <c r="R230" s="907" t="n"/>
    </row>
    <row r="231">
      <c r="R231" s="907" t="n"/>
    </row>
    <row r="232">
      <c r="R232" s="907" t="n"/>
    </row>
    <row r="233">
      <c r="R233" s="907" t="n"/>
    </row>
    <row r="234">
      <c r="R234" s="907" t="n"/>
    </row>
    <row r="235">
      <c r="R235" s="907" t="n"/>
    </row>
    <row r="236">
      <c r="R236" s="907" t="n"/>
    </row>
    <row r="237">
      <c r="R237" s="907" t="n"/>
    </row>
    <row r="238">
      <c r="R238" s="907" t="n"/>
    </row>
    <row r="239">
      <c r="R239" s="907" t="n"/>
    </row>
    <row r="240">
      <c r="R240" s="907" t="n"/>
    </row>
    <row r="241">
      <c r="R241" s="907" t="n"/>
    </row>
    <row r="242">
      <c r="R242" s="907" t="n"/>
    </row>
    <row r="243">
      <c r="R243" s="907" t="n"/>
    </row>
    <row r="244">
      <c r="R244" s="907" t="n"/>
    </row>
    <row r="245">
      <c r="R245" s="907" t="n"/>
    </row>
    <row r="246">
      <c r="R246" s="907" t="n"/>
    </row>
    <row r="247">
      <c r="R247" s="907" t="n"/>
    </row>
    <row r="248">
      <c r="R248" s="907" t="n"/>
    </row>
    <row r="249">
      <c r="R249" s="907" t="n"/>
    </row>
    <row r="250">
      <c r="R250" s="907" t="n"/>
    </row>
    <row r="251">
      <c r="R251" s="907" t="n"/>
    </row>
    <row r="252">
      <c r="R252" s="907" t="n"/>
    </row>
    <row r="253">
      <c r="R253" s="907" t="n"/>
    </row>
    <row r="254">
      <c r="R254" s="907" t="n"/>
    </row>
    <row r="255">
      <c r="R255" s="907" t="n"/>
    </row>
    <row r="256">
      <c r="R256" s="907" t="n"/>
    </row>
    <row r="257">
      <c r="R257" s="907" t="n"/>
    </row>
    <row r="258">
      <c r="R258" s="907" t="n"/>
    </row>
    <row r="259">
      <c r="R259" s="907" t="n"/>
    </row>
    <row r="260">
      <c r="R260" s="907" t="n"/>
    </row>
    <row r="261">
      <c r="R261" s="907" t="n"/>
    </row>
    <row r="262">
      <c r="R262" s="907" t="n"/>
    </row>
    <row r="263">
      <c r="R263" s="907" t="n"/>
    </row>
    <row r="264">
      <c r="R264" s="907" t="n"/>
    </row>
    <row r="265">
      <c r="R265" s="907" t="n"/>
    </row>
    <row r="266">
      <c r="R266" s="907" t="n"/>
    </row>
    <row r="267">
      <c r="R267" s="907" t="n"/>
    </row>
    <row r="268">
      <c r="R268" s="907" t="n"/>
    </row>
    <row r="269">
      <c r="R269" s="907" t="n"/>
    </row>
    <row r="270">
      <c r="R270" s="907" t="n"/>
    </row>
    <row r="271">
      <c r="R271" s="907" t="n"/>
    </row>
    <row r="272">
      <c r="R272" s="907" t="n"/>
    </row>
    <row r="273">
      <c r="R273" s="907" t="n"/>
    </row>
    <row r="274">
      <c r="R274" s="907" t="n"/>
    </row>
    <row r="275">
      <c r="R275" s="907" t="n"/>
    </row>
    <row r="276">
      <c r="R276" s="907" t="n"/>
    </row>
    <row r="277">
      <c r="R277" s="907" t="n"/>
    </row>
    <row r="278">
      <c r="R278" s="907" t="n"/>
    </row>
    <row r="279">
      <c r="R279" s="907" t="n"/>
    </row>
    <row r="280">
      <c r="R280" s="907" t="n"/>
    </row>
    <row r="281">
      <c r="R281" s="907" t="n"/>
    </row>
    <row r="282">
      <c r="R282" s="907" t="n"/>
    </row>
    <row r="283">
      <c r="R283" s="907" t="n"/>
    </row>
    <row r="284">
      <c r="R284" s="907" t="n"/>
    </row>
    <row r="285">
      <c r="R285" s="907" t="n"/>
    </row>
    <row r="286">
      <c r="R286" s="907" t="n"/>
    </row>
    <row r="287">
      <c r="R287" s="907" t="n"/>
    </row>
    <row r="288">
      <c r="R288" s="907" t="n"/>
    </row>
    <row r="289">
      <c r="R289" s="907" t="n"/>
    </row>
    <row r="290">
      <c r="R290" s="907" t="n"/>
    </row>
    <row r="291">
      <c r="R291" s="907" t="n"/>
    </row>
    <row r="292">
      <c r="R292" s="907" t="n"/>
    </row>
    <row r="293">
      <c r="R293" s="907" t="n"/>
    </row>
    <row r="294">
      <c r="R294" s="907" t="n"/>
    </row>
    <row r="295">
      <c r="R295" s="907" t="n"/>
    </row>
    <row r="296">
      <c r="R296" s="907" t="n"/>
    </row>
    <row r="297">
      <c r="R297" s="907" t="n"/>
    </row>
    <row r="298">
      <c r="R298" s="907" t="n"/>
    </row>
    <row r="299">
      <c r="R299" s="907" t="n"/>
    </row>
    <row r="300">
      <c r="R300" s="907" t="n"/>
    </row>
    <row r="301">
      <c r="R301" s="907" t="n"/>
    </row>
    <row r="302">
      <c r="R302" s="907" t="n"/>
    </row>
    <row r="303">
      <c r="R303" s="907" t="n"/>
    </row>
    <row r="304">
      <c r="R304" s="907" t="n"/>
    </row>
    <row r="305">
      <c r="R305" s="907" t="n"/>
    </row>
    <row r="306">
      <c r="R306" s="907" t="n"/>
    </row>
    <row r="307">
      <c r="R307" s="907" t="n"/>
    </row>
    <row r="308">
      <c r="R308" s="907" t="n"/>
    </row>
    <row r="309">
      <c r="R309" s="907" t="n"/>
    </row>
    <row r="310">
      <c r="R310" s="907" t="n"/>
    </row>
    <row r="311">
      <c r="R311" s="907" t="n"/>
    </row>
    <row r="312">
      <c r="R312" s="907" t="n"/>
    </row>
    <row r="313">
      <c r="R313" s="907" t="n"/>
    </row>
    <row r="314">
      <c r="R314" s="907" t="n"/>
    </row>
    <row r="315">
      <c r="R315" s="907" t="n"/>
    </row>
    <row r="316">
      <c r="R316" s="907" t="n"/>
    </row>
    <row r="317">
      <c r="R317" s="907" t="n"/>
    </row>
    <row r="318">
      <c r="R318" s="907" t="n"/>
    </row>
    <row r="319">
      <c r="R319" s="907" t="n"/>
    </row>
    <row r="320">
      <c r="R320" s="907" t="n"/>
    </row>
    <row r="321">
      <c r="R321" s="907" t="n"/>
    </row>
    <row r="322">
      <c r="R322" s="907" t="n"/>
    </row>
    <row r="323">
      <c r="R323" s="907" t="n"/>
    </row>
    <row r="324">
      <c r="R324" s="907" t="n"/>
    </row>
    <row r="325">
      <c r="R325" s="907" t="n"/>
    </row>
    <row r="326">
      <c r="R326" s="907" t="n"/>
    </row>
    <row r="327">
      <c r="R327" s="907" t="n"/>
    </row>
    <row r="328">
      <c r="R328" s="907" t="n"/>
    </row>
    <row r="329">
      <c r="R329" s="907" t="n"/>
    </row>
    <row r="330">
      <c r="R330" s="907" t="n"/>
    </row>
    <row r="331">
      <c r="R331" s="907" t="n"/>
    </row>
    <row r="332">
      <c r="R332" s="907" t="n"/>
    </row>
    <row r="333">
      <c r="R333" s="907" t="n"/>
    </row>
    <row r="334">
      <c r="R334" s="907" t="n"/>
    </row>
    <row r="335">
      <c r="R335" s="907" t="n"/>
    </row>
    <row r="336">
      <c r="R336" s="907" t="n"/>
    </row>
    <row r="337">
      <c r="R337" s="907" t="n"/>
    </row>
    <row r="338">
      <c r="R338" s="907" t="n"/>
    </row>
    <row r="339">
      <c r="R339" s="907" t="n"/>
    </row>
    <row r="340">
      <c r="R340" s="907" t="n"/>
    </row>
    <row r="341">
      <c r="R341" s="907" t="n"/>
    </row>
    <row r="342">
      <c r="R342" s="907" t="n"/>
    </row>
    <row r="343">
      <c r="R343" s="907" t="n"/>
    </row>
    <row r="344">
      <c r="R344" s="907" t="n"/>
    </row>
    <row r="345">
      <c r="R345" s="907" t="n"/>
    </row>
    <row r="346">
      <c r="R346" s="907" t="n"/>
    </row>
    <row r="347">
      <c r="R347" s="907" t="n"/>
    </row>
    <row r="348">
      <c r="R348" s="907" t="n"/>
    </row>
    <row r="349">
      <c r="R349" s="907" t="n"/>
    </row>
    <row r="350">
      <c r="R350" s="907" t="n"/>
    </row>
    <row r="351">
      <c r="R351" s="907" t="n"/>
    </row>
    <row r="352">
      <c r="R352" s="907" t="n"/>
    </row>
    <row r="353">
      <c r="R353" s="907" t="n"/>
    </row>
    <row r="354">
      <c r="R354" s="907" t="n"/>
    </row>
    <row r="355">
      <c r="R355" s="907" t="n"/>
    </row>
    <row r="356">
      <c r="R356" s="907" t="n"/>
    </row>
    <row r="357">
      <c r="R357" s="907" t="n"/>
    </row>
    <row r="358">
      <c r="R358" s="907" t="n"/>
    </row>
    <row r="359">
      <c r="R359" s="907" t="n"/>
    </row>
    <row r="360">
      <c r="R360" s="907" t="n"/>
    </row>
    <row r="361">
      <c r="R361" s="907" t="n"/>
    </row>
    <row r="362">
      <c r="R362" s="907" t="n"/>
    </row>
    <row r="363">
      <c r="R363" s="907" t="n"/>
    </row>
    <row r="364">
      <c r="R364" s="907" t="n"/>
    </row>
    <row r="365">
      <c r="R365" s="907" t="n"/>
    </row>
    <row r="366">
      <c r="R366" s="907" t="n"/>
    </row>
    <row r="367">
      <c r="R367" s="907" t="n"/>
    </row>
    <row r="368">
      <c r="R368" s="907" t="n"/>
    </row>
    <row r="369">
      <c r="R369" s="907" t="n"/>
    </row>
    <row r="370">
      <c r="R370" s="907" t="n"/>
    </row>
    <row r="371">
      <c r="R371" s="907" t="n"/>
    </row>
    <row r="372">
      <c r="R372" s="907" t="n"/>
    </row>
    <row r="373">
      <c r="R373" s="907" t="n"/>
    </row>
    <row r="374">
      <c r="R374" s="907" t="n"/>
    </row>
    <row r="375">
      <c r="R375" s="907" t="n"/>
    </row>
    <row r="376">
      <c r="R376" s="907" t="n"/>
    </row>
    <row r="377">
      <c r="R377" s="907" t="n"/>
    </row>
    <row r="378">
      <c r="R378" s="907" t="n"/>
    </row>
    <row r="379">
      <c r="R379" s="907" t="n"/>
    </row>
    <row r="380">
      <c r="R380" s="907" t="n"/>
    </row>
    <row r="381">
      <c r="R381" s="907" t="n"/>
    </row>
    <row r="382">
      <c r="R382" s="907" t="n"/>
    </row>
    <row r="383">
      <c r="R383" s="907" t="n"/>
    </row>
    <row r="384">
      <c r="R384" s="907" t="n"/>
    </row>
    <row r="385">
      <c r="R385" s="907" t="n"/>
    </row>
    <row r="386">
      <c r="R386" s="907" t="n"/>
    </row>
    <row r="387">
      <c r="R387" s="907" t="n"/>
    </row>
    <row r="388">
      <c r="R388" s="907" t="n"/>
    </row>
    <row r="389">
      <c r="R389" s="907" t="n"/>
    </row>
    <row r="390">
      <c r="R390" s="907" t="n"/>
    </row>
    <row r="391">
      <c r="R391" s="907" t="n"/>
    </row>
    <row r="392">
      <c r="R392" s="907" t="n"/>
    </row>
    <row r="393">
      <c r="R393" s="907" t="n"/>
    </row>
    <row r="394">
      <c r="R394" s="907" t="n"/>
    </row>
    <row r="395">
      <c r="R395" s="907" t="n"/>
    </row>
    <row r="396">
      <c r="R396" s="907" t="n"/>
    </row>
    <row r="397">
      <c r="R397" s="907" t="n"/>
    </row>
    <row r="398">
      <c r="R398" s="907" t="n"/>
    </row>
    <row r="399">
      <c r="R399" s="907" t="n"/>
    </row>
    <row r="400">
      <c r="R400" s="907" t="n"/>
    </row>
    <row r="401">
      <c r="R401" s="907" t="n"/>
    </row>
    <row r="402">
      <c r="R402" s="907" t="n"/>
    </row>
    <row r="403">
      <c r="R403" s="907" t="n"/>
    </row>
    <row r="404">
      <c r="R404" s="907" t="n"/>
    </row>
    <row r="405">
      <c r="R405" s="907" t="n"/>
    </row>
    <row r="406">
      <c r="R406" s="907" t="n"/>
    </row>
    <row r="407">
      <c r="R407" s="907" t="n"/>
    </row>
    <row r="408">
      <c r="R408" s="907" t="n"/>
    </row>
    <row r="409">
      <c r="R409" s="907" t="n"/>
    </row>
    <row r="410">
      <c r="R410" s="907" t="n"/>
    </row>
    <row r="411">
      <c r="R411" s="907" t="n"/>
    </row>
    <row r="412">
      <c r="R412" s="907" t="n"/>
    </row>
    <row r="413">
      <c r="R413" s="907" t="n"/>
    </row>
    <row r="414">
      <c r="R414" s="907" t="n"/>
    </row>
    <row r="415">
      <c r="R415" s="907" t="n"/>
    </row>
    <row r="416">
      <c r="R416" s="907" t="n"/>
    </row>
    <row r="417">
      <c r="R417" s="907" t="n"/>
    </row>
    <row r="418">
      <c r="R418" s="907" t="n"/>
    </row>
    <row r="419">
      <c r="R419" s="907" t="n"/>
    </row>
    <row r="420">
      <c r="R420" s="907" t="n"/>
    </row>
    <row r="421">
      <c r="R421" s="907" t="n"/>
    </row>
    <row r="422">
      <c r="R422" s="907" t="n"/>
    </row>
    <row r="423">
      <c r="R423" s="907" t="n"/>
    </row>
    <row r="424">
      <c r="R424" s="907" t="n"/>
    </row>
    <row r="425">
      <c r="R425" s="907" t="n"/>
    </row>
    <row r="426">
      <c r="R426" s="907" t="n"/>
    </row>
    <row r="427">
      <c r="R427" s="907" t="n"/>
    </row>
    <row r="428">
      <c r="R428" s="907" t="n"/>
    </row>
    <row r="429">
      <c r="R429" s="907" t="n"/>
    </row>
    <row r="430">
      <c r="R430" s="907" t="n"/>
    </row>
    <row r="431">
      <c r="R431" s="907" t="n"/>
    </row>
    <row r="432">
      <c r="R432" s="907" t="n"/>
    </row>
    <row r="433">
      <c r="R433" s="907" t="n"/>
    </row>
    <row r="434">
      <c r="R434" s="907" t="n"/>
    </row>
    <row r="435">
      <c r="R435" s="907" t="n"/>
    </row>
    <row r="436">
      <c r="R436" s="907" t="n"/>
    </row>
    <row r="437">
      <c r="R437" s="907" t="n"/>
    </row>
    <row r="438">
      <c r="R438" s="907" t="n"/>
    </row>
    <row r="439">
      <c r="R439" s="907" t="n"/>
    </row>
    <row r="440">
      <c r="R440" s="907" t="n"/>
    </row>
    <row r="441">
      <c r="R441" s="907" t="n"/>
    </row>
    <row r="442">
      <c r="R442" s="907" t="n"/>
    </row>
    <row r="443">
      <c r="R443" s="907" t="n"/>
    </row>
    <row r="444">
      <c r="R444" s="907" t="n"/>
    </row>
    <row r="445">
      <c r="R445" s="907" t="n"/>
    </row>
    <row r="446">
      <c r="R446" s="907" t="n"/>
    </row>
    <row r="447">
      <c r="R447" s="907" t="n"/>
    </row>
    <row r="448">
      <c r="R448" s="907" t="n"/>
    </row>
    <row r="449">
      <c r="R449" s="907" t="n"/>
    </row>
    <row r="450">
      <c r="R450" s="907" t="n"/>
    </row>
    <row r="451">
      <c r="R451" s="907" t="n"/>
    </row>
    <row r="452">
      <c r="R452" s="907" t="n"/>
    </row>
  </sheetData>
  <mergeCells count="2">
    <mergeCell ref="O3:P3"/>
    <mergeCell ref="A1:Q1"/>
  </mergeCells>
  <conditionalFormatting sqref="B8:D11 F12:H14">
    <cfRule type="expression" priority="6" dxfId="1" stopIfTrue="1">
      <formula>INFILTER_TYPE=1</formula>
    </cfRule>
  </conditionalFormatting>
  <conditionalFormatting sqref="A5:Q7 A8:A11 A12:E14 A15:Q80 E9:F11 I8:Q14">
    <cfRule type="expression" priority="5" dxfId="2">
      <formula>MODE=2</formula>
    </cfRule>
  </conditionalFormatting>
  <conditionalFormatting sqref="G8:G11">
    <cfRule type="expression" priority="4" dxfId="1" stopIfTrue="1">
      <formula>INFILTER_TYPE=1</formula>
    </cfRule>
  </conditionalFormatting>
  <conditionalFormatting sqref="F8">
    <cfRule type="expression" priority="3" dxfId="1" stopIfTrue="1">
      <formula>INFILTER_TYPE=1</formula>
    </cfRule>
  </conditionalFormatting>
  <conditionalFormatting sqref="E8">
    <cfRule type="expression" priority="2" dxfId="2">
      <formula>MODE=2</formula>
    </cfRule>
  </conditionalFormatting>
  <conditionalFormatting sqref="H8:H11">
    <cfRule type="expression" priority="1" dxfId="1" stopIfTrue="1">
      <formula>INFILTER_TYPE=1</formula>
    </cfRule>
  </conditionalFormatting>
  <hyperlinks>
    <hyperlink xmlns:r="http://schemas.openxmlformats.org/officeDocument/2006/relationships" ref="O2" r:id="rId1"/>
    <hyperlink xmlns:r="http://schemas.openxmlformats.org/officeDocument/2006/relationships" ref="C3" r:id="rId2"/>
  </hyperlinks>
  <pageMargins left="0.7" right="0.7" top="0.75" bottom="0.75" header="0.3" footer="0.3"/>
  <pageSetup orientation="portrait"/>
  <legacyDrawing xmlns:r="http://schemas.openxmlformats.org/officeDocument/2006/relationships" r:id="anysvml"/>
</worksheet>
</file>

<file path=xl/worksheets/sheet4.xml><?xml version="1.0" encoding="utf-8"?>
<worksheet xmlns="http://schemas.openxmlformats.org/spreadsheetml/2006/main">
  <sheetPr codeName="Sheet3">
    <tabColor rgb="FFFF0000"/>
    <outlinePr summaryBelow="1" summaryRight="1"/>
    <pageSetUpPr/>
  </sheetPr>
  <dimension ref="A1:M61"/>
  <sheetViews>
    <sheetView topLeftCell="A36" zoomScaleNormal="100" workbookViewId="0">
      <selection activeCell="A37" sqref="A37"/>
    </sheetView>
  </sheetViews>
  <sheetFormatPr baseColWidth="8" defaultRowHeight="12.75"/>
  <cols>
    <col width="9.5703125" customWidth="1" style="211" min="1" max="1"/>
    <col width="20.28515625" customWidth="1" style="211" min="2" max="2"/>
    <col width="16.140625" customWidth="1" style="211" min="3" max="3"/>
    <col width="20.140625" customWidth="1" style="211" min="4" max="4"/>
    <col width="17.28515625" customWidth="1" style="211" min="5" max="5"/>
    <col width="20.5703125" bestFit="1" customWidth="1" style="211" min="6" max="6"/>
    <col width="9.7109375" customWidth="1" style="211" min="7" max="7"/>
    <col width="16.140625" customWidth="1" style="211" min="8" max="8"/>
    <col width="17" customWidth="1" style="211" min="9" max="9"/>
    <col width="14.42578125" customWidth="1" style="211" min="10" max="10"/>
    <col width="26.42578125" customWidth="1" style="211" min="11" max="11"/>
    <col width="9.140625" customWidth="1" style="211" min="12" max="12"/>
    <col width="9.140625" customWidth="1" style="212" min="13" max="13"/>
    <col width="9.140625" customWidth="1" style="211" min="14" max="256"/>
    <col width="8.7109375" bestFit="1" customWidth="1" style="211" min="257" max="257"/>
    <col width="13.28515625" customWidth="1" style="211" min="258" max="258"/>
    <col width="16.140625" bestFit="1" customWidth="1" style="211" min="259" max="259"/>
    <col width="23.5703125" customWidth="1" style="211" min="260" max="260"/>
    <col width="17.28515625" customWidth="1" style="211" min="261" max="261"/>
    <col width="20.5703125" bestFit="1" customWidth="1" style="211" min="262" max="262"/>
    <col width="17.140625" customWidth="1" style="211" min="263" max="263"/>
    <col width="21.7109375" bestFit="1" customWidth="1" style="211" min="264" max="264"/>
    <col width="17.140625" bestFit="1" customWidth="1" style="211" min="265" max="265"/>
    <col width="18.140625" bestFit="1" customWidth="1" style="211" min="266" max="266"/>
    <col width="26.42578125" customWidth="1" style="211" min="267" max="267"/>
    <col width="9.140625" customWidth="1" style="211" min="268" max="512"/>
    <col width="8.7109375" bestFit="1" customWidth="1" style="211" min="513" max="513"/>
    <col width="13.28515625" customWidth="1" style="211" min="514" max="514"/>
    <col width="16.140625" bestFit="1" customWidth="1" style="211" min="515" max="515"/>
    <col width="23.5703125" customWidth="1" style="211" min="516" max="516"/>
    <col width="17.28515625" customWidth="1" style="211" min="517" max="517"/>
    <col width="20.5703125" bestFit="1" customWidth="1" style="211" min="518" max="518"/>
    <col width="17.140625" customWidth="1" style="211" min="519" max="519"/>
    <col width="21.7109375" bestFit="1" customWidth="1" style="211" min="520" max="520"/>
    <col width="17.140625" bestFit="1" customWidth="1" style="211" min="521" max="521"/>
    <col width="18.140625" bestFit="1" customWidth="1" style="211" min="522" max="522"/>
    <col width="26.42578125" customWidth="1" style="211" min="523" max="523"/>
    <col width="9.140625" customWidth="1" style="211" min="524" max="768"/>
    <col width="8.7109375" bestFit="1" customWidth="1" style="211" min="769" max="769"/>
    <col width="13.28515625" customWidth="1" style="211" min="770" max="770"/>
    <col width="16.140625" bestFit="1" customWidth="1" style="211" min="771" max="771"/>
    <col width="23.5703125" customWidth="1" style="211" min="772" max="772"/>
    <col width="17.28515625" customWidth="1" style="211" min="773" max="773"/>
    <col width="20.5703125" bestFit="1" customWidth="1" style="211" min="774" max="774"/>
    <col width="17.140625" customWidth="1" style="211" min="775" max="775"/>
    <col width="21.7109375" bestFit="1" customWidth="1" style="211" min="776" max="776"/>
    <col width="17.140625" bestFit="1" customWidth="1" style="211" min="777" max="777"/>
    <col width="18.140625" bestFit="1" customWidth="1" style="211" min="778" max="778"/>
    <col width="26.42578125" customWidth="1" style="211" min="779" max="779"/>
    <col width="9.140625" customWidth="1" style="211" min="780" max="1024"/>
    <col width="8.7109375" bestFit="1" customWidth="1" style="211" min="1025" max="1025"/>
    <col width="13.28515625" customWidth="1" style="211" min="1026" max="1026"/>
    <col width="16.140625" bestFit="1" customWidth="1" style="211" min="1027" max="1027"/>
    <col width="23.5703125" customWidth="1" style="211" min="1028" max="1028"/>
    <col width="17.28515625" customWidth="1" style="211" min="1029" max="1029"/>
    <col width="20.5703125" bestFit="1" customWidth="1" style="211" min="1030" max="1030"/>
    <col width="17.140625" customWidth="1" style="211" min="1031" max="1031"/>
    <col width="21.7109375" bestFit="1" customWidth="1" style="211" min="1032" max="1032"/>
    <col width="17.140625" bestFit="1" customWidth="1" style="211" min="1033" max="1033"/>
    <col width="18.140625" bestFit="1" customWidth="1" style="211" min="1034" max="1034"/>
    <col width="26.42578125" customWidth="1" style="211" min="1035" max="1035"/>
    <col width="9.140625" customWidth="1" style="211" min="1036" max="1280"/>
    <col width="8.7109375" bestFit="1" customWidth="1" style="211" min="1281" max="1281"/>
    <col width="13.28515625" customWidth="1" style="211" min="1282" max="1282"/>
    <col width="16.140625" bestFit="1" customWidth="1" style="211" min="1283" max="1283"/>
    <col width="23.5703125" customWidth="1" style="211" min="1284" max="1284"/>
    <col width="17.28515625" customWidth="1" style="211" min="1285" max="1285"/>
    <col width="20.5703125" bestFit="1" customWidth="1" style="211" min="1286" max="1286"/>
    <col width="17.140625" customWidth="1" style="211" min="1287" max="1287"/>
    <col width="21.7109375" bestFit="1" customWidth="1" style="211" min="1288" max="1288"/>
    <col width="17.140625" bestFit="1" customWidth="1" style="211" min="1289" max="1289"/>
    <col width="18.140625" bestFit="1" customWidth="1" style="211" min="1290" max="1290"/>
    <col width="26.42578125" customWidth="1" style="211" min="1291" max="1291"/>
    <col width="9.140625" customWidth="1" style="211" min="1292" max="1536"/>
    <col width="8.7109375" bestFit="1" customWidth="1" style="211" min="1537" max="1537"/>
    <col width="13.28515625" customWidth="1" style="211" min="1538" max="1538"/>
    <col width="16.140625" bestFit="1" customWidth="1" style="211" min="1539" max="1539"/>
    <col width="23.5703125" customWidth="1" style="211" min="1540" max="1540"/>
    <col width="17.28515625" customWidth="1" style="211" min="1541" max="1541"/>
    <col width="20.5703125" bestFit="1" customWidth="1" style="211" min="1542" max="1542"/>
    <col width="17.140625" customWidth="1" style="211" min="1543" max="1543"/>
    <col width="21.7109375" bestFit="1" customWidth="1" style="211" min="1544" max="1544"/>
    <col width="17.140625" bestFit="1" customWidth="1" style="211" min="1545" max="1545"/>
    <col width="18.140625" bestFit="1" customWidth="1" style="211" min="1546" max="1546"/>
    <col width="26.42578125" customWidth="1" style="211" min="1547" max="1547"/>
    <col width="9.140625" customWidth="1" style="211" min="1548" max="1792"/>
    <col width="8.7109375" bestFit="1" customWidth="1" style="211" min="1793" max="1793"/>
    <col width="13.28515625" customWidth="1" style="211" min="1794" max="1794"/>
    <col width="16.140625" bestFit="1" customWidth="1" style="211" min="1795" max="1795"/>
    <col width="23.5703125" customWidth="1" style="211" min="1796" max="1796"/>
    <col width="17.28515625" customWidth="1" style="211" min="1797" max="1797"/>
    <col width="20.5703125" bestFit="1" customWidth="1" style="211" min="1798" max="1798"/>
    <col width="17.140625" customWidth="1" style="211" min="1799" max="1799"/>
    <col width="21.7109375" bestFit="1" customWidth="1" style="211" min="1800" max="1800"/>
    <col width="17.140625" bestFit="1" customWidth="1" style="211" min="1801" max="1801"/>
    <col width="18.140625" bestFit="1" customWidth="1" style="211" min="1802" max="1802"/>
    <col width="26.42578125" customWidth="1" style="211" min="1803" max="1803"/>
    <col width="9.140625" customWidth="1" style="211" min="1804" max="2048"/>
    <col width="8.7109375" bestFit="1" customWidth="1" style="211" min="2049" max="2049"/>
    <col width="13.28515625" customWidth="1" style="211" min="2050" max="2050"/>
    <col width="16.140625" bestFit="1" customWidth="1" style="211" min="2051" max="2051"/>
    <col width="23.5703125" customWidth="1" style="211" min="2052" max="2052"/>
    <col width="17.28515625" customWidth="1" style="211" min="2053" max="2053"/>
    <col width="20.5703125" bestFit="1" customWidth="1" style="211" min="2054" max="2054"/>
    <col width="17.140625" customWidth="1" style="211" min="2055" max="2055"/>
    <col width="21.7109375" bestFit="1" customWidth="1" style="211" min="2056" max="2056"/>
    <col width="17.140625" bestFit="1" customWidth="1" style="211" min="2057" max="2057"/>
    <col width="18.140625" bestFit="1" customWidth="1" style="211" min="2058" max="2058"/>
    <col width="26.42578125" customWidth="1" style="211" min="2059" max="2059"/>
    <col width="9.140625" customWidth="1" style="211" min="2060" max="2304"/>
    <col width="8.7109375" bestFit="1" customWidth="1" style="211" min="2305" max="2305"/>
    <col width="13.28515625" customWidth="1" style="211" min="2306" max="2306"/>
    <col width="16.140625" bestFit="1" customWidth="1" style="211" min="2307" max="2307"/>
    <col width="23.5703125" customWidth="1" style="211" min="2308" max="2308"/>
    <col width="17.28515625" customWidth="1" style="211" min="2309" max="2309"/>
    <col width="20.5703125" bestFit="1" customWidth="1" style="211" min="2310" max="2310"/>
    <col width="17.140625" customWidth="1" style="211" min="2311" max="2311"/>
    <col width="21.7109375" bestFit="1" customWidth="1" style="211" min="2312" max="2312"/>
    <col width="17.140625" bestFit="1" customWidth="1" style="211" min="2313" max="2313"/>
    <col width="18.140625" bestFit="1" customWidth="1" style="211" min="2314" max="2314"/>
    <col width="26.42578125" customWidth="1" style="211" min="2315" max="2315"/>
    <col width="9.140625" customWidth="1" style="211" min="2316" max="2560"/>
    <col width="8.7109375" bestFit="1" customWidth="1" style="211" min="2561" max="2561"/>
    <col width="13.28515625" customWidth="1" style="211" min="2562" max="2562"/>
    <col width="16.140625" bestFit="1" customWidth="1" style="211" min="2563" max="2563"/>
    <col width="23.5703125" customWidth="1" style="211" min="2564" max="2564"/>
    <col width="17.28515625" customWidth="1" style="211" min="2565" max="2565"/>
    <col width="20.5703125" bestFit="1" customWidth="1" style="211" min="2566" max="2566"/>
    <col width="17.140625" customWidth="1" style="211" min="2567" max="2567"/>
    <col width="21.7109375" bestFit="1" customWidth="1" style="211" min="2568" max="2568"/>
    <col width="17.140625" bestFit="1" customWidth="1" style="211" min="2569" max="2569"/>
    <col width="18.140625" bestFit="1" customWidth="1" style="211" min="2570" max="2570"/>
    <col width="26.42578125" customWidth="1" style="211" min="2571" max="2571"/>
    <col width="9.140625" customWidth="1" style="211" min="2572" max="2816"/>
    <col width="8.7109375" bestFit="1" customWidth="1" style="211" min="2817" max="2817"/>
    <col width="13.28515625" customWidth="1" style="211" min="2818" max="2818"/>
    <col width="16.140625" bestFit="1" customWidth="1" style="211" min="2819" max="2819"/>
    <col width="23.5703125" customWidth="1" style="211" min="2820" max="2820"/>
    <col width="17.28515625" customWidth="1" style="211" min="2821" max="2821"/>
    <col width="20.5703125" bestFit="1" customWidth="1" style="211" min="2822" max="2822"/>
    <col width="17.140625" customWidth="1" style="211" min="2823" max="2823"/>
    <col width="21.7109375" bestFit="1" customWidth="1" style="211" min="2824" max="2824"/>
    <col width="17.140625" bestFit="1" customWidth="1" style="211" min="2825" max="2825"/>
    <col width="18.140625" bestFit="1" customWidth="1" style="211" min="2826" max="2826"/>
    <col width="26.42578125" customWidth="1" style="211" min="2827" max="2827"/>
    <col width="9.140625" customWidth="1" style="211" min="2828" max="3072"/>
    <col width="8.7109375" bestFit="1" customWidth="1" style="211" min="3073" max="3073"/>
    <col width="13.28515625" customWidth="1" style="211" min="3074" max="3074"/>
    <col width="16.140625" bestFit="1" customWidth="1" style="211" min="3075" max="3075"/>
    <col width="23.5703125" customWidth="1" style="211" min="3076" max="3076"/>
    <col width="17.28515625" customWidth="1" style="211" min="3077" max="3077"/>
    <col width="20.5703125" bestFit="1" customWidth="1" style="211" min="3078" max="3078"/>
    <col width="17.140625" customWidth="1" style="211" min="3079" max="3079"/>
    <col width="21.7109375" bestFit="1" customWidth="1" style="211" min="3080" max="3080"/>
    <col width="17.140625" bestFit="1" customWidth="1" style="211" min="3081" max="3081"/>
    <col width="18.140625" bestFit="1" customWidth="1" style="211" min="3082" max="3082"/>
    <col width="26.42578125" customWidth="1" style="211" min="3083" max="3083"/>
    <col width="9.140625" customWidth="1" style="211" min="3084" max="3328"/>
    <col width="8.7109375" bestFit="1" customWidth="1" style="211" min="3329" max="3329"/>
    <col width="13.28515625" customWidth="1" style="211" min="3330" max="3330"/>
    <col width="16.140625" bestFit="1" customWidth="1" style="211" min="3331" max="3331"/>
    <col width="23.5703125" customWidth="1" style="211" min="3332" max="3332"/>
    <col width="17.28515625" customWidth="1" style="211" min="3333" max="3333"/>
    <col width="20.5703125" bestFit="1" customWidth="1" style="211" min="3334" max="3334"/>
    <col width="17.140625" customWidth="1" style="211" min="3335" max="3335"/>
    <col width="21.7109375" bestFit="1" customWidth="1" style="211" min="3336" max="3336"/>
    <col width="17.140625" bestFit="1" customWidth="1" style="211" min="3337" max="3337"/>
    <col width="18.140625" bestFit="1" customWidth="1" style="211" min="3338" max="3338"/>
    <col width="26.42578125" customWidth="1" style="211" min="3339" max="3339"/>
    <col width="9.140625" customWidth="1" style="211" min="3340" max="3584"/>
    <col width="8.7109375" bestFit="1" customWidth="1" style="211" min="3585" max="3585"/>
    <col width="13.28515625" customWidth="1" style="211" min="3586" max="3586"/>
    <col width="16.140625" bestFit="1" customWidth="1" style="211" min="3587" max="3587"/>
    <col width="23.5703125" customWidth="1" style="211" min="3588" max="3588"/>
    <col width="17.28515625" customWidth="1" style="211" min="3589" max="3589"/>
    <col width="20.5703125" bestFit="1" customWidth="1" style="211" min="3590" max="3590"/>
    <col width="17.140625" customWidth="1" style="211" min="3591" max="3591"/>
    <col width="21.7109375" bestFit="1" customWidth="1" style="211" min="3592" max="3592"/>
    <col width="17.140625" bestFit="1" customWidth="1" style="211" min="3593" max="3593"/>
    <col width="18.140625" bestFit="1" customWidth="1" style="211" min="3594" max="3594"/>
    <col width="26.42578125" customWidth="1" style="211" min="3595" max="3595"/>
    <col width="9.140625" customWidth="1" style="211" min="3596" max="3840"/>
    <col width="8.7109375" bestFit="1" customWidth="1" style="211" min="3841" max="3841"/>
    <col width="13.28515625" customWidth="1" style="211" min="3842" max="3842"/>
    <col width="16.140625" bestFit="1" customWidth="1" style="211" min="3843" max="3843"/>
    <col width="23.5703125" customWidth="1" style="211" min="3844" max="3844"/>
    <col width="17.28515625" customWidth="1" style="211" min="3845" max="3845"/>
    <col width="20.5703125" bestFit="1" customWidth="1" style="211" min="3846" max="3846"/>
    <col width="17.140625" customWidth="1" style="211" min="3847" max="3847"/>
    <col width="21.7109375" bestFit="1" customWidth="1" style="211" min="3848" max="3848"/>
    <col width="17.140625" bestFit="1" customWidth="1" style="211" min="3849" max="3849"/>
    <col width="18.140625" bestFit="1" customWidth="1" style="211" min="3850" max="3850"/>
    <col width="26.42578125" customWidth="1" style="211" min="3851" max="3851"/>
    <col width="9.140625" customWidth="1" style="211" min="3852" max="4096"/>
    <col width="8.7109375" bestFit="1" customWidth="1" style="211" min="4097" max="4097"/>
    <col width="13.28515625" customWidth="1" style="211" min="4098" max="4098"/>
    <col width="16.140625" bestFit="1" customWidth="1" style="211" min="4099" max="4099"/>
    <col width="23.5703125" customWidth="1" style="211" min="4100" max="4100"/>
    <col width="17.28515625" customWidth="1" style="211" min="4101" max="4101"/>
    <col width="20.5703125" bestFit="1" customWidth="1" style="211" min="4102" max="4102"/>
    <col width="17.140625" customWidth="1" style="211" min="4103" max="4103"/>
    <col width="21.7109375" bestFit="1" customWidth="1" style="211" min="4104" max="4104"/>
    <col width="17.140625" bestFit="1" customWidth="1" style="211" min="4105" max="4105"/>
    <col width="18.140625" bestFit="1" customWidth="1" style="211" min="4106" max="4106"/>
    <col width="26.42578125" customWidth="1" style="211" min="4107" max="4107"/>
    <col width="9.140625" customWidth="1" style="211" min="4108" max="4352"/>
    <col width="8.7109375" bestFit="1" customWidth="1" style="211" min="4353" max="4353"/>
    <col width="13.28515625" customWidth="1" style="211" min="4354" max="4354"/>
    <col width="16.140625" bestFit="1" customWidth="1" style="211" min="4355" max="4355"/>
    <col width="23.5703125" customWidth="1" style="211" min="4356" max="4356"/>
    <col width="17.28515625" customWidth="1" style="211" min="4357" max="4357"/>
    <col width="20.5703125" bestFit="1" customWidth="1" style="211" min="4358" max="4358"/>
    <col width="17.140625" customWidth="1" style="211" min="4359" max="4359"/>
    <col width="21.7109375" bestFit="1" customWidth="1" style="211" min="4360" max="4360"/>
    <col width="17.140625" bestFit="1" customWidth="1" style="211" min="4361" max="4361"/>
    <col width="18.140625" bestFit="1" customWidth="1" style="211" min="4362" max="4362"/>
    <col width="26.42578125" customWidth="1" style="211" min="4363" max="4363"/>
    <col width="9.140625" customWidth="1" style="211" min="4364" max="4608"/>
    <col width="8.7109375" bestFit="1" customWidth="1" style="211" min="4609" max="4609"/>
    <col width="13.28515625" customWidth="1" style="211" min="4610" max="4610"/>
    <col width="16.140625" bestFit="1" customWidth="1" style="211" min="4611" max="4611"/>
    <col width="23.5703125" customWidth="1" style="211" min="4612" max="4612"/>
    <col width="17.28515625" customWidth="1" style="211" min="4613" max="4613"/>
    <col width="20.5703125" bestFit="1" customWidth="1" style="211" min="4614" max="4614"/>
    <col width="17.140625" customWidth="1" style="211" min="4615" max="4615"/>
    <col width="21.7109375" bestFit="1" customWidth="1" style="211" min="4616" max="4616"/>
    <col width="17.140625" bestFit="1" customWidth="1" style="211" min="4617" max="4617"/>
    <col width="18.140625" bestFit="1" customWidth="1" style="211" min="4618" max="4618"/>
    <col width="26.42578125" customWidth="1" style="211" min="4619" max="4619"/>
    <col width="9.140625" customWidth="1" style="211" min="4620" max="4864"/>
    <col width="8.7109375" bestFit="1" customWidth="1" style="211" min="4865" max="4865"/>
    <col width="13.28515625" customWidth="1" style="211" min="4866" max="4866"/>
    <col width="16.140625" bestFit="1" customWidth="1" style="211" min="4867" max="4867"/>
    <col width="23.5703125" customWidth="1" style="211" min="4868" max="4868"/>
    <col width="17.28515625" customWidth="1" style="211" min="4869" max="4869"/>
    <col width="20.5703125" bestFit="1" customWidth="1" style="211" min="4870" max="4870"/>
    <col width="17.140625" customWidth="1" style="211" min="4871" max="4871"/>
    <col width="21.7109375" bestFit="1" customWidth="1" style="211" min="4872" max="4872"/>
    <col width="17.140625" bestFit="1" customWidth="1" style="211" min="4873" max="4873"/>
    <col width="18.140625" bestFit="1" customWidth="1" style="211" min="4874" max="4874"/>
    <col width="26.42578125" customWidth="1" style="211" min="4875" max="4875"/>
    <col width="9.140625" customWidth="1" style="211" min="4876" max="5120"/>
    <col width="8.7109375" bestFit="1" customWidth="1" style="211" min="5121" max="5121"/>
    <col width="13.28515625" customWidth="1" style="211" min="5122" max="5122"/>
    <col width="16.140625" bestFit="1" customWidth="1" style="211" min="5123" max="5123"/>
    <col width="23.5703125" customWidth="1" style="211" min="5124" max="5124"/>
    <col width="17.28515625" customWidth="1" style="211" min="5125" max="5125"/>
    <col width="20.5703125" bestFit="1" customWidth="1" style="211" min="5126" max="5126"/>
    <col width="17.140625" customWidth="1" style="211" min="5127" max="5127"/>
    <col width="21.7109375" bestFit="1" customWidth="1" style="211" min="5128" max="5128"/>
    <col width="17.140625" bestFit="1" customWidth="1" style="211" min="5129" max="5129"/>
    <col width="18.140625" bestFit="1" customWidth="1" style="211" min="5130" max="5130"/>
    <col width="26.42578125" customWidth="1" style="211" min="5131" max="5131"/>
    <col width="9.140625" customWidth="1" style="211" min="5132" max="5376"/>
    <col width="8.7109375" bestFit="1" customWidth="1" style="211" min="5377" max="5377"/>
    <col width="13.28515625" customWidth="1" style="211" min="5378" max="5378"/>
    <col width="16.140625" bestFit="1" customWidth="1" style="211" min="5379" max="5379"/>
    <col width="23.5703125" customWidth="1" style="211" min="5380" max="5380"/>
    <col width="17.28515625" customWidth="1" style="211" min="5381" max="5381"/>
    <col width="20.5703125" bestFit="1" customWidth="1" style="211" min="5382" max="5382"/>
    <col width="17.140625" customWidth="1" style="211" min="5383" max="5383"/>
    <col width="21.7109375" bestFit="1" customWidth="1" style="211" min="5384" max="5384"/>
    <col width="17.140625" bestFit="1" customWidth="1" style="211" min="5385" max="5385"/>
    <col width="18.140625" bestFit="1" customWidth="1" style="211" min="5386" max="5386"/>
    <col width="26.42578125" customWidth="1" style="211" min="5387" max="5387"/>
    <col width="9.140625" customWidth="1" style="211" min="5388" max="5632"/>
    <col width="8.7109375" bestFit="1" customWidth="1" style="211" min="5633" max="5633"/>
    <col width="13.28515625" customWidth="1" style="211" min="5634" max="5634"/>
    <col width="16.140625" bestFit="1" customWidth="1" style="211" min="5635" max="5635"/>
    <col width="23.5703125" customWidth="1" style="211" min="5636" max="5636"/>
    <col width="17.28515625" customWidth="1" style="211" min="5637" max="5637"/>
    <col width="20.5703125" bestFit="1" customWidth="1" style="211" min="5638" max="5638"/>
    <col width="17.140625" customWidth="1" style="211" min="5639" max="5639"/>
    <col width="21.7109375" bestFit="1" customWidth="1" style="211" min="5640" max="5640"/>
    <col width="17.140625" bestFit="1" customWidth="1" style="211" min="5641" max="5641"/>
    <col width="18.140625" bestFit="1" customWidth="1" style="211" min="5642" max="5642"/>
    <col width="26.42578125" customWidth="1" style="211" min="5643" max="5643"/>
    <col width="9.140625" customWidth="1" style="211" min="5644" max="5888"/>
    <col width="8.7109375" bestFit="1" customWidth="1" style="211" min="5889" max="5889"/>
    <col width="13.28515625" customWidth="1" style="211" min="5890" max="5890"/>
    <col width="16.140625" bestFit="1" customWidth="1" style="211" min="5891" max="5891"/>
    <col width="23.5703125" customWidth="1" style="211" min="5892" max="5892"/>
    <col width="17.28515625" customWidth="1" style="211" min="5893" max="5893"/>
    <col width="20.5703125" bestFit="1" customWidth="1" style="211" min="5894" max="5894"/>
    <col width="17.140625" customWidth="1" style="211" min="5895" max="5895"/>
    <col width="21.7109375" bestFit="1" customWidth="1" style="211" min="5896" max="5896"/>
    <col width="17.140625" bestFit="1" customWidth="1" style="211" min="5897" max="5897"/>
    <col width="18.140625" bestFit="1" customWidth="1" style="211" min="5898" max="5898"/>
    <col width="26.42578125" customWidth="1" style="211" min="5899" max="5899"/>
    <col width="9.140625" customWidth="1" style="211" min="5900" max="6144"/>
    <col width="8.7109375" bestFit="1" customWidth="1" style="211" min="6145" max="6145"/>
    <col width="13.28515625" customWidth="1" style="211" min="6146" max="6146"/>
    <col width="16.140625" bestFit="1" customWidth="1" style="211" min="6147" max="6147"/>
    <col width="23.5703125" customWidth="1" style="211" min="6148" max="6148"/>
    <col width="17.28515625" customWidth="1" style="211" min="6149" max="6149"/>
    <col width="20.5703125" bestFit="1" customWidth="1" style="211" min="6150" max="6150"/>
    <col width="17.140625" customWidth="1" style="211" min="6151" max="6151"/>
    <col width="21.7109375" bestFit="1" customWidth="1" style="211" min="6152" max="6152"/>
    <col width="17.140625" bestFit="1" customWidth="1" style="211" min="6153" max="6153"/>
    <col width="18.140625" bestFit="1" customWidth="1" style="211" min="6154" max="6154"/>
    <col width="26.42578125" customWidth="1" style="211" min="6155" max="6155"/>
    <col width="9.140625" customWidth="1" style="211" min="6156" max="6400"/>
    <col width="8.7109375" bestFit="1" customWidth="1" style="211" min="6401" max="6401"/>
    <col width="13.28515625" customWidth="1" style="211" min="6402" max="6402"/>
    <col width="16.140625" bestFit="1" customWidth="1" style="211" min="6403" max="6403"/>
    <col width="23.5703125" customWidth="1" style="211" min="6404" max="6404"/>
    <col width="17.28515625" customWidth="1" style="211" min="6405" max="6405"/>
    <col width="20.5703125" bestFit="1" customWidth="1" style="211" min="6406" max="6406"/>
    <col width="17.140625" customWidth="1" style="211" min="6407" max="6407"/>
    <col width="21.7109375" bestFit="1" customWidth="1" style="211" min="6408" max="6408"/>
    <col width="17.140625" bestFit="1" customWidth="1" style="211" min="6409" max="6409"/>
    <col width="18.140625" bestFit="1" customWidth="1" style="211" min="6410" max="6410"/>
    <col width="26.42578125" customWidth="1" style="211" min="6411" max="6411"/>
    <col width="9.140625" customWidth="1" style="211" min="6412" max="6656"/>
    <col width="8.7109375" bestFit="1" customWidth="1" style="211" min="6657" max="6657"/>
    <col width="13.28515625" customWidth="1" style="211" min="6658" max="6658"/>
    <col width="16.140625" bestFit="1" customWidth="1" style="211" min="6659" max="6659"/>
    <col width="23.5703125" customWidth="1" style="211" min="6660" max="6660"/>
    <col width="17.28515625" customWidth="1" style="211" min="6661" max="6661"/>
    <col width="20.5703125" bestFit="1" customWidth="1" style="211" min="6662" max="6662"/>
    <col width="17.140625" customWidth="1" style="211" min="6663" max="6663"/>
    <col width="21.7109375" bestFit="1" customWidth="1" style="211" min="6664" max="6664"/>
    <col width="17.140625" bestFit="1" customWidth="1" style="211" min="6665" max="6665"/>
    <col width="18.140625" bestFit="1" customWidth="1" style="211" min="6666" max="6666"/>
    <col width="26.42578125" customWidth="1" style="211" min="6667" max="6667"/>
    <col width="9.140625" customWidth="1" style="211" min="6668" max="6912"/>
    <col width="8.7109375" bestFit="1" customWidth="1" style="211" min="6913" max="6913"/>
    <col width="13.28515625" customWidth="1" style="211" min="6914" max="6914"/>
    <col width="16.140625" bestFit="1" customWidth="1" style="211" min="6915" max="6915"/>
    <col width="23.5703125" customWidth="1" style="211" min="6916" max="6916"/>
    <col width="17.28515625" customWidth="1" style="211" min="6917" max="6917"/>
    <col width="20.5703125" bestFit="1" customWidth="1" style="211" min="6918" max="6918"/>
    <col width="17.140625" customWidth="1" style="211" min="6919" max="6919"/>
    <col width="21.7109375" bestFit="1" customWidth="1" style="211" min="6920" max="6920"/>
    <col width="17.140625" bestFit="1" customWidth="1" style="211" min="6921" max="6921"/>
    <col width="18.140625" bestFit="1" customWidth="1" style="211" min="6922" max="6922"/>
    <col width="26.42578125" customWidth="1" style="211" min="6923" max="6923"/>
    <col width="9.140625" customWidth="1" style="211" min="6924" max="7168"/>
    <col width="8.7109375" bestFit="1" customWidth="1" style="211" min="7169" max="7169"/>
    <col width="13.28515625" customWidth="1" style="211" min="7170" max="7170"/>
    <col width="16.140625" bestFit="1" customWidth="1" style="211" min="7171" max="7171"/>
    <col width="23.5703125" customWidth="1" style="211" min="7172" max="7172"/>
    <col width="17.28515625" customWidth="1" style="211" min="7173" max="7173"/>
    <col width="20.5703125" bestFit="1" customWidth="1" style="211" min="7174" max="7174"/>
    <col width="17.140625" customWidth="1" style="211" min="7175" max="7175"/>
    <col width="21.7109375" bestFit="1" customWidth="1" style="211" min="7176" max="7176"/>
    <col width="17.140625" bestFit="1" customWidth="1" style="211" min="7177" max="7177"/>
    <col width="18.140625" bestFit="1" customWidth="1" style="211" min="7178" max="7178"/>
    <col width="26.42578125" customWidth="1" style="211" min="7179" max="7179"/>
    <col width="9.140625" customWidth="1" style="211" min="7180" max="7424"/>
    <col width="8.7109375" bestFit="1" customWidth="1" style="211" min="7425" max="7425"/>
    <col width="13.28515625" customWidth="1" style="211" min="7426" max="7426"/>
    <col width="16.140625" bestFit="1" customWidth="1" style="211" min="7427" max="7427"/>
    <col width="23.5703125" customWidth="1" style="211" min="7428" max="7428"/>
    <col width="17.28515625" customWidth="1" style="211" min="7429" max="7429"/>
    <col width="20.5703125" bestFit="1" customWidth="1" style="211" min="7430" max="7430"/>
    <col width="17.140625" customWidth="1" style="211" min="7431" max="7431"/>
    <col width="21.7109375" bestFit="1" customWidth="1" style="211" min="7432" max="7432"/>
    <col width="17.140625" bestFit="1" customWidth="1" style="211" min="7433" max="7433"/>
    <col width="18.140625" bestFit="1" customWidth="1" style="211" min="7434" max="7434"/>
    <col width="26.42578125" customWidth="1" style="211" min="7435" max="7435"/>
    <col width="9.140625" customWidth="1" style="211" min="7436" max="7680"/>
    <col width="8.7109375" bestFit="1" customWidth="1" style="211" min="7681" max="7681"/>
    <col width="13.28515625" customWidth="1" style="211" min="7682" max="7682"/>
    <col width="16.140625" bestFit="1" customWidth="1" style="211" min="7683" max="7683"/>
    <col width="23.5703125" customWidth="1" style="211" min="7684" max="7684"/>
    <col width="17.28515625" customWidth="1" style="211" min="7685" max="7685"/>
    <col width="20.5703125" bestFit="1" customWidth="1" style="211" min="7686" max="7686"/>
    <col width="17.140625" customWidth="1" style="211" min="7687" max="7687"/>
    <col width="21.7109375" bestFit="1" customWidth="1" style="211" min="7688" max="7688"/>
    <col width="17.140625" bestFit="1" customWidth="1" style="211" min="7689" max="7689"/>
    <col width="18.140625" bestFit="1" customWidth="1" style="211" min="7690" max="7690"/>
    <col width="26.42578125" customWidth="1" style="211" min="7691" max="7691"/>
    <col width="9.140625" customWidth="1" style="211" min="7692" max="7936"/>
    <col width="8.7109375" bestFit="1" customWidth="1" style="211" min="7937" max="7937"/>
    <col width="13.28515625" customWidth="1" style="211" min="7938" max="7938"/>
    <col width="16.140625" bestFit="1" customWidth="1" style="211" min="7939" max="7939"/>
    <col width="23.5703125" customWidth="1" style="211" min="7940" max="7940"/>
    <col width="17.28515625" customWidth="1" style="211" min="7941" max="7941"/>
    <col width="20.5703125" bestFit="1" customWidth="1" style="211" min="7942" max="7942"/>
    <col width="17.140625" customWidth="1" style="211" min="7943" max="7943"/>
    <col width="21.7109375" bestFit="1" customWidth="1" style="211" min="7944" max="7944"/>
    <col width="17.140625" bestFit="1" customWidth="1" style="211" min="7945" max="7945"/>
    <col width="18.140625" bestFit="1" customWidth="1" style="211" min="7946" max="7946"/>
    <col width="26.42578125" customWidth="1" style="211" min="7947" max="7947"/>
    <col width="9.140625" customWidth="1" style="211" min="7948" max="8192"/>
    <col width="8.7109375" bestFit="1" customWidth="1" style="211" min="8193" max="8193"/>
    <col width="13.28515625" customWidth="1" style="211" min="8194" max="8194"/>
    <col width="16.140625" bestFit="1" customWidth="1" style="211" min="8195" max="8195"/>
    <col width="23.5703125" customWidth="1" style="211" min="8196" max="8196"/>
    <col width="17.28515625" customWidth="1" style="211" min="8197" max="8197"/>
    <col width="20.5703125" bestFit="1" customWidth="1" style="211" min="8198" max="8198"/>
    <col width="17.140625" customWidth="1" style="211" min="8199" max="8199"/>
    <col width="21.7109375" bestFit="1" customWidth="1" style="211" min="8200" max="8200"/>
    <col width="17.140625" bestFit="1" customWidth="1" style="211" min="8201" max="8201"/>
    <col width="18.140625" bestFit="1" customWidth="1" style="211" min="8202" max="8202"/>
    <col width="26.42578125" customWidth="1" style="211" min="8203" max="8203"/>
    <col width="9.140625" customWidth="1" style="211" min="8204" max="8448"/>
    <col width="8.7109375" bestFit="1" customWidth="1" style="211" min="8449" max="8449"/>
    <col width="13.28515625" customWidth="1" style="211" min="8450" max="8450"/>
    <col width="16.140625" bestFit="1" customWidth="1" style="211" min="8451" max="8451"/>
    <col width="23.5703125" customWidth="1" style="211" min="8452" max="8452"/>
    <col width="17.28515625" customWidth="1" style="211" min="8453" max="8453"/>
    <col width="20.5703125" bestFit="1" customWidth="1" style="211" min="8454" max="8454"/>
    <col width="17.140625" customWidth="1" style="211" min="8455" max="8455"/>
    <col width="21.7109375" bestFit="1" customWidth="1" style="211" min="8456" max="8456"/>
    <col width="17.140625" bestFit="1" customWidth="1" style="211" min="8457" max="8457"/>
    <col width="18.140625" bestFit="1" customWidth="1" style="211" min="8458" max="8458"/>
    <col width="26.42578125" customWidth="1" style="211" min="8459" max="8459"/>
    <col width="9.140625" customWidth="1" style="211" min="8460" max="8704"/>
    <col width="8.7109375" bestFit="1" customWidth="1" style="211" min="8705" max="8705"/>
    <col width="13.28515625" customWidth="1" style="211" min="8706" max="8706"/>
    <col width="16.140625" bestFit="1" customWidth="1" style="211" min="8707" max="8707"/>
    <col width="23.5703125" customWidth="1" style="211" min="8708" max="8708"/>
    <col width="17.28515625" customWidth="1" style="211" min="8709" max="8709"/>
    <col width="20.5703125" bestFit="1" customWidth="1" style="211" min="8710" max="8710"/>
    <col width="17.140625" customWidth="1" style="211" min="8711" max="8711"/>
    <col width="21.7109375" bestFit="1" customWidth="1" style="211" min="8712" max="8712"/>
    <col width="17.140625" bestFit="1" customWidth="1" style="211" min="8713" max="8713"/>
    <col width="18.140625" bestFit="1" customWidth="1" style="211" min="8714" max="8714"/>
    <col width="26.42578125" customWidth="1" style="211" min="8715" max="8715"/>
    <col width="9.140625" customWidth="1" style="211" min="8716" max="8960"/>
    <col width="8.7109375" bestFit="1" customWidth="1" style="211" min="8961" max="8961"/>
    <col width="13.28515625" customWidth="1" style="211" min="8962" max="8962"/>
    <col width="16.140625" bestFit="1" customWidth="1" style="211" min="8963" max="8963"/>
    <col width="23.5703125" customWidth="1" style="211" min="8964" max="8964"/>
    <col width="17.28515625" customWidth="1" style="211" min="8965" max="8965"/>
    <col width="20.5703125" bestFit="1" customWidth="1" style="211" min="8966" max="8966"/>
    <col width="17.140625" customWidth="1" style="211" min="8967" max="8967"/>
    <col width="21.7109375" bestFit="1" customWidth="1" style="211" min="8968" max="8968"/>
    <col width="17.140625" bestFit="1" customWidth="1" style="211" min="8969" max="8969"/>
    <col width="18.140625" bestFit="1" customWidth="1" style="211" min="8970" max="8970"/>
    <col width="26.42578125" customWidth="1" style="211" min="8971" max="8971"/>
    <col width="9.140625" customWidth="1" style="211" min="8972" max="9216"/>
    <col width="8.7109375" bestFit="1" customWidth="1" style="211" min="9217" max="9217"/>
    <col width="13.28515625" customWidth="1" style="211" min="9218" max="9218"/>
    <col width="16.140625" bestFit="1" customWidth="1" style="211" min="9219" max="9219"/>
    <col width="23.5703125" customWidth="1" style="211" min="9220" max="9220"/>
    <col width="17.28515625" customWidth="1" style="211" min="9221" max="9221"/>
    <col width="20.5703125" bestFit="1" customWidth="1" style="211" min="9222" max="9222"/>
    <col width="17.140625" customWidth="1" style="211" min="9223" max="9223"/>
    <col width="21.7109375" bestFit="1" customWidth="1" style="211" min="9224" max="9224"/>
    <col width="17.140625" bestFit="1" customWidth="1" style="211" min="9225" max="9225"/>
    <col width="18.140625" bestFit="1" customWidth="1" style="211" min="9226" max="9226"/>
    <col width="26.42578125" customWidth="1" style="211" min="9227" max="9227"/>
    <col width="9.140625" customWidth="1" style="211" min="9228" max="9472"/>
    <col width="8.7109375" bestFit="1" customWidth="1" style="211" min="9473" max="9473"/>
    <col width="13.28515625" customWidth="1" style="211" min="9474" max="9474"/>
    <col width="16.140625" bestFit="1" customWidth="1" style="211" min="9475" max="9475"/>
    <col width="23.5703125" customWidth="1" style="211" min="9476" max="9476"/>
    <col width="17.28515625" customWidth="1" style="211" min="9477" max="9477"/>
    <col width="20.5703125" bestFit="1" customWidth="1" style="211" min="9478" max="9478"/>
    <col width="17.140625" customWidth="1" style="211" min="9479" max="9479"/>
    <col width="21.7109375" bestFit="1" customWidth="1" style="211" min="9480" max="9480"/>
    <col width="17.140625" bestFit="1" customWidth="1" style="211" min="9481" max="9481"/>
    <col width="18.140625" bestFit="1" customWidth="1" style="211" min="9482" max="9482"/>
    <col width="26.42578125" customWidth="1" style="211" min="9483" max="9483"/>
    <col width="9.140625" customWidth="1" style="211" min="9484" max="9728"/>
    <col width="8.7109375" bestFit="1" customWidth="1" style="211" min="9729" max="9729"/>
    <col width="13.28515625" customWidth="1" style="211" min="9730" max="9730"/>
    <col width="16.140625" bestFit="1" customWidth="1" style="211" min="9731" max="9731"/>
    <col width="23.5703125" customWidth="1" style="211" min="9732" max="9732"/>
    <col width="17.28515625" customWidth="1" style="211" min="9733" max="9733"/>
    <col width="20.5703125" bestFit="1" customWidth="1" style="211" min="9734" max="9734"/>
    <col width="17.140625" customWidth="1" style="211" min="9735" max="9735"/>
    <col width="21.7109375" bestFit="1" customWidth="1" style="211" min="9736" max="9736"/>
    <col width="17.140625" bestFit="1" customWidth="1" style="211" min="9737" max="9737"/>
    <col width="18.140625" bestFit="1" customWidth="1" style="211" min="9738" max="9738"/>
    <col width="26.42578125" customWidth="1" style="211" min="9739" max="9739"/>
    <col width="9.140625" customWidth="1" style="211" min="9740" max="9984"/>
    <col width="8.7109375" bestFit="1" customWidth="1" style="211" min="9985" max="9985"/>
    <col width="13.28515625" customWidth="1" style="211" min="9986" max="9986"/>
    <col width="16.140625" bestFit="1" customWidth="1" style="211" min="9987" max="9987"/>
    <col width="23.5703125" customWidth="1" style="211" min="9988" max="9988"/>
    <col width="17.28515625" customWidth="1" style="211" min="9989" max="9989"/>
    <col width="20.5703125" bestFit="1" customWidth="1" style="211" min="9990" max="9990"/>
    <col width="17.140625" customWidth="1" style="211" min="9991" max="9991"/>
    <col width="21.7109375" bestFit="1" customWidth="1" style="211" min="9992" max="9992"/>
    <col width="17.140625" bestFit="1" customWidth="1" style="211" min="9993" max="9993"/>
    <col width="18.140625" bestFit="1" customWidth="1" style="211" min="9994" max="9994"/>
    <col width="26.42578125" customWidth="1" style="211" min="9995" max="9995"/>
    <col width="9.140625" customWidth="1" style="211" min="9996" max="10240"/>
    <col width="8.7109375" bestFit="1" customWidth="1" style="211" min="10241" max="10241"/>
    <col width="13.28515625" customWidth="1" style="211" min="10242" max="10242"/>
    <col width="16.140625" bestFit="1" customWidth="1" style="211" min="10243" max="10243"/>
    <col width="23.5703125" customWidth="1" style="211" min="10244" max="10244"/>
    <col width="17.28515625" customWidth="1" style="211" min="10245" max="10245"/>
    <col width="20.5703125" bestFit="1" customWidth="1" style="211" min="10246" max="10246"/>
    <col width="17.140625" customWidth="1" style="211" min="10247" max="10247"/>
    <col width="21.7109375" bestFit="1" customWidth="1" style="211" min="10248" max="10248"/>
    <col width="17.140625" bestFit="1" customWidth="1" style="211" min="10249" max="10249"/>
    <col width="18.140625" bestFit="1" customWidth="1" style="211" min="10250" max="10250"/>
    <col width="26.42578125" customWidth="1" style="211" min="10251" max="10251"/>
    <col width="9.140625" customWidth="1" style="211" min="10252" max="10496"/>
    <col width="8.7109375" bestFit="1" customWidth="1" style="211" min="10497" max="10497"/>
    <col width="13.28515625" customWidth="1" style="211" min="10498" max="10498"/>
    <col width="16.140625" bestFit="1" customWidth="1" style="211" min="10499" max="10499"/>
    <col width="23.5703125" customWidth="1" style="211" min="10500" max="10500"/>
    <col width="17.28515625" customWidth="1" style="211" min="10501" max="10501"/>
    <col width="20.5703125" bestFit="1" customWidth="1" style="211" min="10502" max="10502"/>
    <col width="17.140625" customWidth="1" style="211" min="10503" max="10503"/>
    <col width="21.7109375" bestFit="1" customWidth="1" style="211" min="10504" max="10504"/>
    <col width="17.140625" bestFit="1" customWidth="1" style="211" min="10505" max="10505"/>
    <col width="18.140625" bestFit="1" customWidth="1" style="211" min="10506" max="10506"/>
    <col width="26.42578125" customWidth="1" style="211" min="10507" max="10507"/>
    <col width="9.140625" customWidth="1" style="211" min="10508" max="10752"/>
    <col width="8.7109375" bestFit="1" customWidth="1" style="211" min="10753" max="10753"/>
    <col width="13.28515625" customWidth="1" style="211" min="10754" max="10754"/>
    <col width="16.140625" bestFit="1" customWidth="1" style="211" min="10755" max="10755"/>
    <col width="23.5703125" customWidth="1" style="211" min="10756" max="10756"/>
    <col width="17.28515625" customWidth="1" style="211" min="10757" max="10757"/>
    <col width="20.5703125" bestFit="1" customWidth="1" style="211" min="10758" max="10758"/>
    <col width="17.140625" customWidth="1" style="211" min="10759" max="10759"/>
    <col width="21.7109375" bestFit="1" customWidth="1" style="211" min="10760" max="10760"/>
    <col width="17.140625" bestFit="1" customWidth="1" style="211" min="10761" max="10761"/>
    <col width="18.140625" bestFit="1" customWidth="1" style="211" min="10762" max="10762"/>
    <col width="26.42578125" customWidth="1" style="211" min="10763" max="10763"/>
    <col width="9.140625" customWidth="1" style="211" min="10764" max="11008"/>
    <col width="8.7109375" bestFit="1" customWidth="1" style="211" min="11009" max="11009"/>
    <col width="13.28515625" customWidth="1" style="211" min="11010" max="11010"/>
    <col width="16.140625" bestFit="1" customWidth="1" style="211" min="11011" max="11011"/>
    <col width="23.5703125" customWidth="1" style="211" min="11012" max="11012"/>
    <col width="17.28515625" customWidth="1" style="211" min="11013" max="11013"/>
    <col width="20.5703125" bestFit="1" customWidth="1" style="211" min="11014" max="11014"/>
    <col width="17.140625" customWidth="1" style="211" min="11015" max="11015"/>
    <col width="21.7109375" bestFit="1" customWidth="1" style="211" min="11016" max="11016"/>
    <col width="17.140625" bestFit="1" customWidth="1" style="211" min="11017" max="11017"/>
    <col width="18.140625" bestFit="1" customWidth="1" style="211" min="11018" max="11018"/>
    <col width="26.42578125" customWidth="1" style="211" min="11019" max="11019"/>
    <col width="9.140625" customWidth="1" style="211" min="11020" max="11264"/>
    <col width="8.7109375" bestFit="1" customWidth="1" style="211" min="11265" max="11265"/>
    <col width="13.28515625" customWidth="1" style="211" min="11266" max="11266"/>
    <col width="16.140625" bestFit="1" customWidth="1" style="211" min="11267" max="11267"/>
    <col width="23.5703125" customWidth="1" style="211" min="11268" max="11268"/>
    <col width="17.28515625" customWidth="1" style="211" min="11269" max="11269"/>
    <col width="20.5703125" bestFit="1" customWidth="1" style="211" min="11270" max="11270"/>
    <col width="17.140625" customWidth="1" style="211" min="11271" max="11271"/>
    <col width="21.7109375" bestFit="1" customWidth="1" style="211" min="11272" max="11272"/>
    <col width="17.140625" bestFit="1" customWidth="1" style="211" min="11273" max="11273"/>
    <col width="18.140625" bestFit="1" customWidth="1" style="211" min="11274" max="11274"/>
    <col width="26.42578125" customWidth="1" style="211" min="11275" max="11275"/>
    <col width="9.140625" customWidth="1" style="211" min="11276" max="11520"/>
    <col width="8.7109375" bestFit="1" customWidth="1" style="211" min="11521" max="11521"/>
    <col width="13.28515625" customWidth="1" style="211" min="11522" max="11522"/>
    <col width="16.140625" bestFit="1" customWidth="1" style="211" min="11523" max="11523"/>
    <col width="23.5703125" customWidth="1" style="211" min="11524" max="11524"/>
    <col width="17.28515625" customWidth="1" style="211" min="11525" max="11525"/>
    <col width="20.5703125" bestFit="1" customWidth="1" style="211" min="11526" max="11526"/>
    <col width="17.140625" customWidth="1" style="211" min="11527" max="11527"/>
    <col width="21.7109375" bestFit="1" customWidth="1" style="211" min="11528" max="11528"/>
    <col width="17.140625" bestFit="1" customWidth="1" style="211" min="11529" max="11529"/>
    <col width="18.140625" bestFit="1" customWidth="1" style="211" min="11530" max="11530"/>
    <col width="26.42578125" customWidth="1" style="211" min="11531" max="11531"/>
    <col width="9.140625" customWidth="1" style="211" min="11532" max="11776"/>
    <col width="8.7109375" bestFit="1" customWidth="1" style="211" min="11777" max="11777"/>
    <col width="13.28515625" customWidth="1" style="211" min="11778" max="11778"/>
    <col width="16.140625" bestFit="1" customWidth="1" style="211" min="11779" max="11779"/>
    <col width="23.5703125" customWidth="1" style="211" min="11780" max="11780"/>
    <col width="17.28515625" customWidth="1" style="211" min="11781" max="11781"/>
    <col width="20.5703125" bestFit="1" customWidth="1" style="211" min="11782" max="11782"/>
    <col width="17.140625" customWidth="1" style="211" min="11783" max="11783"/>
    <col width="21.7109375" bestFit="1" customWidth="1" style="211" min="11784" max="11784"/>
    <col width="17.140625" bestFit="1" customWidth="1" style="211" min="11785" max="11785"/>
    <col width="18.140625" bestFit="1" customWidth="1" style="211" min="11786" max="11786"/>
    <col width="26.42578125" customWidth="1" style="211" min="11787" max="11787"/>
    <col width="9.140625" customWidth="1" style="211" min="11788" max="12032"/>
    <col width="8.7109375" bestFit="1" customWidth="1" style="211" min="12033" max="12033"/>
    <col width="13.28515625" customWidth="1" style="211" min="12034" max="12034"/>
    <col width="16.140625" bestFit="1" customWidth="1" style="211" min="12035" max="12035"/>
    <col width="23.5703125" customWidth="1" style="211" min="12036" max="12036"/>
    <col width="17.28515625" customWidth="1" style="211" min="12037" max="12037"/>
    <col width="20.5703125" bestFit="1" customWidth="1" style="211" min="12038" max="12038"/>
    <col width="17.140625" customWidth="1" style="211" min="12039" max="12039"/>
    <col width="21.7109375" bestFit="1" customWidth="1" style="211" min="12040" max="12040"/>
    <col width="17.140625" bestFit="1" customWidth="1" style="211" min="12041" max="12041"/>
    <col width="18.140625" bestFit="1" customWidth="1" style="211" min="12042" max="12042"/>
    <col width="26.42578125" customWidth="1" style="211" min="12043" max="12043"/>
    <col width="9.140625" customWidth="1" style="211" min="12044" max="12288"/>
    <col width="8.7109375" bestFit="1" customWidth="1" style="211" min="12289" max="12289"/>
    <col width="13.28515625" customWidth="1" style="211" min="12290" max="12290"/>
    <col width="16.140625" bestFit="1" customWidth="1" style="211" min="12291" max="12291"/>
    <col width="23.5703125" customWidth="1" style="211" min="12292" max="12292"/>
    <col width="17.28515625" customWidth="1" style="211" min="12293" max="12293"/>
    <col width="20.5703125" bestFit="1" customWidth="1" style="211" min="12294" max="12294"/>
    <col width="17.140625" customWidth="1" style="211" min="12295" max="12295"/>
    <col width="21.7109375" bestFit="1" customWidth="1" style="211" min="12296" max="12296"/>
    <col width="17.140625" bestFit="1" customWidth="1" style="211" min="12297" max="12297"/>
    <col width="18.140625" bestFit="1" customWidth="1" style="211" min="12298" max="12298"/>
    <col width="26.42578125" customWidth="1" style="211" min="12299" max="12299"/>
    <col width="9.140625" customWidth="1" style="211" min="12300" max="12544"/>
    <col width="8.7109375" bestFit="1" customWidth="1" style="211" min="12545" max="12545"/>
    <col width="13.28515625" customWidth="1" style="211" min="12546" max="12546"/>
    <col width="16.140625" bestFit="1" customWidth="1" style="211" min="12547" max="12547"/>
    <col width="23.5703125" customWidth="1" style="211" min="12548" max="12548"/>
    <col width="17.28515625" customWidth="1" style="211" min="12549" max="12549"/>
    <col width="20.5703125" bestFit="1" customWidth="1" style="211" min="12550" max="12550"/>
    <col width="17.140625" customWidth="1" style="211" min="12551" max="12551"/>
    <col width="21.7109375" bestFit="1" customWidth="1" style="211" min="12552" max="12552"/>
    <col width="17.140625" bestFit="1" customWidth="1" style="211" min="12553" max="12553"/>
    <col width="18.140625" bestFit="1" customWidth="1" style="211" min="12554" max="12554"/>
    <col width="26.42578125" customWidth="1" style="211" min="12555" max="12555"/>
    <col width="9.140625" customWidth="1" style="211" min="12556" max="12800"/>
    <col width="8.7109375" bestFit="1" customWidth="1" style="211" min="12801" max="12801"/>
    <col width="13.28515625" customWidth="1" style="211" min="12802" max="12802"/>
    <col width="16.140625" bestFit="1" customWidth="1" style="211" min="12803" max="12803"/>
    <col width="23.5703125" customWidth="1" style="211" min="12804" max="12804"/>
    <col width="17.28515625" customWidth="1" style="211" min="12805" max="12805"/>
    <col width="20.5703125" bestFit="1" customWidth="1" style="211" min="12806" max="12806"/>
    <col width="17.140625" customWidth="1" style="211" min="12807" max="12807"/>
    <col width="21.7109375" bestFit="1" customWidth="1" style="211" min="12808" max="12808"/>
    <col width="17.140625" bestFit="1" customWidth="1" style="211" min="12809" max="12809"/>
    <col width="18.140625" bestFit="1" customWidth="1" style="211" min="12810" max="12810"/>
    <col width="26.42578125" customWidth="1" style="211" min="12811" max="12811"/>
    <col width="9.140625" customWidth="1" style="211" min="12812" max="13056"/>
    <col width="8.7109375" bestFit="1" customWidth="1" style="211" min="13057" max="13057"/>
    <col width="13.28515625" customWidth="1" style="211" min="13058" max="13058"/>
    <col width="16.140625" bestFit="1" customWidth="1" style="211" min="13059" max="13059"/>
    <col width="23.5703125" customWidth="1" style="211" min="13060" max="13060"/>
    <col width="17.28515625" customWidth="1" style="211" min="13061" max="13061"/>
    <col width="20.5703125" bestFit="1" customWidth="1" style="211" min="13062" max="13062"/>
    <col width="17.140625" customWidth="1" style="211" min="13063" max="13063"/>
    <col width="21.7109375" bestFit="1" customWidth="1" style="211" min="13064" max="13064"/>
    <col width="17.140625" bestFit="1" customWidth="1" style="211" min="13065" max="13065"/>
    <col width="18.140625" bestFit="1" customWidth="1" style="211" min="13066" max="13066"/>
    <col width="26.42578125" customWidth="1" style="211" min="13067" max="13067"/>
    <col width="9.140625" customWidth="1" style="211" min="13068" max="13312"/>
    <col width="8.7109375" bestFit="1" customWidth="1" style="211" min="13313" max="13313"/>
    <col width="13.28515625" customWidth="1" style="211" min="13314" max="13314"/>
    <col width="16.140625" bestFit="1" customWidth="1" style="211" min="13315" max="13315"/>
    <col width="23.5703125" customWidth="1" style="211" min="13316" max="13316"/>
    <col width="17.28515625" customWidth="1" style="211" min="13317" max="13317"/>
    <col width="20.5703125" bestFit="1" customWidth="1" style="211" min="13318" max="13318"/>
    <col width="17.140625" customWidth="1" style="211" min="13319" max="13319"/>
    <col width="21.7109375" bestFit="1" customWidth="1" style="211" min="13320" max="13320"/>
    <col width="17.140625" bestFit="1" customWidth="1" style="211" min="13321" max="13321"/>
    <col width="18.140625" bestFit="1" customWidth="1" style="211" min="13322" max="13322"/>
    <col width="26.42578125" customWidth="1" style="211" min="13323" max="13323"/>
    <col width="9.140625" customWidth="1" style="211" min="13324" max="13568"/>
    <col width="8.7109375" bestFit="1" customWidth="1" style="211" min="13569" max="13569"/>
    <col width="13.28515625" customWidth="1" style="211" min="13570" max="13570"/>
    <col width="16.140625" bestFit="1" customWidth="1" style="211" min="13571" max="13571"/>
    <col width="23.5703125" customWidth="1" style="211" min="13572" max="13572"/>
    <col width="17.28515625" customWidth="1" style="211" min="13573" max="13573"/>
    <col width="20.5703125" bestFit="1" customWidth="1" style="211" min="13574" max="13574"/>
    <col width="17.140625" customWidth="1" style="211" min="13575" max="13575"/>
    <col width="21.7109375" bestFit="1" customWidth="1" style="211" min="13576" max="13576"/>
    <col width="17.140625" bestFit="1" customWidth="1" style="211" min="13577" max="13577"/>
    <col width="18.140625" bestFit="1" customWidth="1" style="211" min="13578" max="13578"/>
    <col width="26.42578125" customWidth="1" style="211" min="13579" max="13579"/>
    <col width="9.140625" customWidth="1" style="211" min="13580" max="13824"/>
    <col width="8.7109375" bestFit="1" customWidth="1" style="211" min="13825" max="13825"/>
    <col width="13.28515625" customWidth="1" style="211" min="13826" max="13826"/>
    <col width="16.140625" bestFit="1" customWidth="1" style="211" min="13827" max="13827"/>
    <col width="23.5703125" customWidth="1" style="211" min="13828" max="13828"/>
    <col width="17.28515625" customWidth="1" style="211" min="13829" max="13829"/>
    <col width="20.5703125" bestFit="1" customWidth="1" style="211" min="13830" max="13830"/>
    <col width="17.140625" customWidth="1" style="211" min="13831" max="13831"/>
    <col width="21.7109375" bestFit="1" customWidth="1" style="211" min="13832" max="13832"/>
    <col width="17.140625" bestFit="1" customWidth="1" style="211" min="13833" max="13833"/>
    <col width="18.140625" bestFit="1" customWidth="1" style="211" min="13834" max="13834"/>
    <col width="26.42578125" customWidth="1" style="211" min="13835" max="13835"/>
    <col width="9.140625" customWidth="1" style="211" min="13836" max="14080"/>
    <col width="8.7109375" bestFit="1" customWidth="1" style="211" min="14081" max="14081"/>
    <col width="13.28515625" customWidth="1" style="211" min="14082" max="14082"/>
    <col width="16.140625" bestFit="1" customWidth="1" style="211" min="14083" max="14083"/>
    <col width="23.5703125" customWidth="1" style="211" min="14084" max="14084"/>
    <col width="17.28515625" customWidth="1" style="211" min="14085" max="14085"/>
    <col width="20.5703125" bestFit="1" customWidth="1" style="211" min="14086" max="14086"/>
    <col width="17.140625" customWidth="1" style="211" min="14087" max="14087"/>
    <col width="21.7109375" bestFit="1" customWidth="1" style="211" min="14088" max="14088"/>
    <col width="17.140625" bestFit="1" customWidth="1" style="211" min="14089" max="14089"/>
    <col width="18.140625" bestFit="1" customWidth="1" style="211" min="14090" max="14090"/>
    <col width="26.42578125" customWidth="1" style="211" min="14091" max="14091"/>
    <col width="9.140625" customWidth="1" style="211" min="14092" max="14336"/>
    <col width="8.7109375" bestFit="1" customWidth="1" style="211" min="14337" max="14337"/>
    <col width="13.28515625" customWidth="1" style="211" min="14338" max="14338"/>
    <col width="16.140625" bestFit="1" customWidth="1" style="211" min="14339" max="14339"/>
    <col width="23.5703125" customWidth="1" style="211" min="14340" max="14340"/>
    <col width="17.28515625" customWidth="1" style="211" min="14341" max="14341"/>
    <col width="20.5703125" bestFit="1" customWidth="1" style="211" min="14342" max="14342"/>
    <col width="17.140625" customWidth="1" style="211" min="14343" max="14343"/>
    <col width="21.7109375" bestFit="1" customWidth="1" style="211" min="14344" max="14344"/>
    <col width="17.140625" bestFit="1" customWidth="1" style="211" min="14345" max="14345"/>
    <col width="18.140625" bestFit="1" customWidth="1" style="211" min="14346" max="14346"/>
    <col width="26.42578125" customWidth="1" style="211" min="14347" max="14347"/>
    <col width="9.140625" customWidth="1" style="211" min="14348" max="14592"/>
    <col width="8.7109375" bestFit="1" customWidth="1" style="211" min="14593" max="14593"/>
    <col width="13.28515625" customWidth="1" style="211" min="14594" max="14594"/>
    <col width="16.140625" bestFit="1" customWidth="1" style="211" min="14595" max="14595"/>
    <col width="23.5703125" customWidth="1" style="211" min="14596" max="14596"/>
    <col width="17.28515625" customWidth="1" style="211" min="14597" max="14597"/>
    <col width="20.5703125" bestFit="1" customWidth="1" style="211" min="14598" max="14598"/>
    <col width="17.140625" customWidth="1" style="211" min="14599" max="14599"/>
    <col width="21.7109375" bestFit="1" customWidth="1" style="211" min="14600" max="14600"/>
    <col width="17.140625" bestFit="1" customWidth="1" style="211" min="14601" max="14601"/>
    <col width="18.140625" bestFit="1" customWidth="1" style="211" min="14602" max="14602"/>
    <col width="26.42578125" customWidth="1" style="211" min="14603" max="14603"/>
    <col width="9.140625" customWidth="1" style="211" min="14604" max="14848"/>
    <col width="8.7109375" bestFit="1" customWidth="1" style="211" min="14849" max="14849"/>
    <col width="13.28515625" customWidth="1" style="211" min="14850" max="14850"/>
    <col width="16.140625" bestFit="1" customWidth="1" style="211" min="14851" max="14851"/>
    <col width="23.5703125" customWidth="1" style="211" min="14852" max="14852"/>
    <col width="17.28515625" customWidth="1" style="211" min="14853" max="14853"/>
    <col width="20.5703125" bestFit="1" customWidth="1" style="211" min="14854" max="14854"/>
    <col width="17.140625" customWidth="1" style="211" min="14855" max="14855"/>
    <col width="21.7109375" bestFit="1" customWidth="1" style="211" min="14856" max="14856"/>
    <col width="17.140625" bestFit="1" customWidth="1" style="211" min="14857" max="14857"/>
    <col width="18.140625" bestFit="1" customWidth="1" style="211" min="14858" max="14858"/>
    <col width="26.42578125" customWidth="1" style="211" min="14859" max="14859"/>
    <col width="9.140625" customWidth="1" style="211" min="14860" max="15104"/>
    <col width="8.7109375" bestFit="1" customWidth="1" style="211" min="15105" max="15105"/>
    <col width="13.28515625" customWidth="1" style="211" min="15106" max="15106"/>
    <col width="16.140625" bestFit="1" customWidth="1" style="211" min="15107" max="15107"/>
    <col width="23.5703125" customWidth="1" style="211" min="15108" max="15108"/>
    <col width="17.28515625" customWidth="1" style="211" min="15109" max="15109"/>
    <col width="20.5703125" bestFit="1" customWidth="1" style="211" min="15110" max="15110"/>
    <col width="17.140625" customWidth="1" style="211" min="15111" max="15111"/>
    <col width="21.7109375" bestFit="1" customWidth="1" style="211" min="15112" max="15112"/>
    <col width="17.140625" bestFit="1" customWidth="1" style="211" min="15113" max="15113"/>
    <col width="18.140625" bestFit="1" customWidth="1" style="211" min="15114" max="15114"/>
    <col width="26.42578125" customWidth="1" style="211" min="15115" max="15115"/>
    <col width="9.140625" customWidth="1" style="211" min="15116" max="15360"/>
    <col width="8.7109375" bestFit="1" customWidth="1" style="211" min="15361" max="15361"/>
    <col width="13.28515625" customWidth="1" style="211" min="15362" max="15362"/>
    <col width="16.140625" bestFit="1" customWidth="1" style="211" min="15363" max="15363"/>
    <col width="23.5703125" customWidth="1" style="211" min="15364" max="15364"/>
    <col width="17.28515625" customWidth="1" style="211" min="15365" max="15365"/>
    <col width="20.5703125" bestFit="1" customWidth="1" style="211" min="15366" max="15366"/>
    <col width="17.140625" customWidth="1" style="211" min="15367" max="15367"/>
    <col width="21.7109375" bestFit="1" customWidth="1" style="211" min="15368" max="15368"/>
    <col width="17.140625" bestFit="1" customWidth="1" style="211" min="15369" max="15369"/>
    <col width="18.140625" bestFit="1" customWidth="1" style="211" min="15370" max="15370"/>
    <col width="26.42578125" customWidth="1" style="211" min="15371" max="15371"/>
    <col width="9.140625" customWidth="1" style="211" min="15372" max="15616"/>
    <col width="8.7109375" bestFit="1" customWidth="1" style="211" min="15617" max="15617"/>
    <col width="13.28515625" customWidth="1" style="211" min="15618" max="15618"/>
    <col width="16.140625" bestFit="1" customWidth="1" style="211" min="15619" max="15619"/>
    <col width="23.5703125" customWidth="1" style="211" min="15620" max="15620"/>
    <col width="17.28515625" customWidth="1" style="211" min="15621" max="15621"/>
    <col width="20.5703125" bestFit="1" customWidth="1" style="211" min="15622" max="15622"/>
    <col width="17.140625" customWidth="1" style="211" min="15623" max="15623"/>
    <col width="21.7109375" bestFit="1" customWidth="1" style="211" min="15624" max="15624"/>
    <col width="17.140625" bestFit="1" customWidth="1" style="211" min="15625" max="15625"/>
    <col width="18.140625" bestFit="1" customWidth="1" style="211" min="15626" max="15626"/>
    <col width="26.42578125" customWidth="1" style="211" min="15627" max="15627"/>
    <col width="9.140625" customWidth="1" style="211" min="15628" max="15872"/>
    <col width="8.7109375" bestFit="1" customWidth="1" style="211" min="15873" max="15873"/>
    <col width="13.28515625" customWidth="1" style="211" min="15874" max="15874"/>
    <col width="16.140625" bestFit="1" customWidth="1" style="211" min="15875" max="15875"/>
    <col width="23.5703125" customWidth="1" style="211" min="15876" max="15876"/>
    <col width="17.28515625" customWidth="1" style="211" min="15877" max="15877"/>
    <col width="20.5703125" bestFit="1" customWidth="1" style="211" min="15878" max="15878"/>
    <col width="17.140625" customWidth="1" style="211" min="15879" max="15879"/>
    <col width="21.7109375" bestFit="1" customWidth="1" style="211" min="15880" max="15880"/>
    <col width="17.140625" bestFit="1" customWidth="1" style="211" min="15881" max="15881"/>
    <col width="18.140625" bestFit="1" customWidth="1" style="211" min="15882" max="15882"/>
    <col width="26.42578125" customWidth="1" style="211" min="15883" max="15883"/>
    <col width="9.140625" customWidth="1" style="211" min="15884" max="16128"/>
    <col width="8.7109375" bestFit="1" customWidth="1" style="211" min="16129" max="16129"/>
    <col width="13.28515625" customWidth="1" style="211" min="16130" max="16130"/>
    <col width="16.140625" bestFit="1" customWidth="1" style="211" min="16131" max="16131"/>
    <col width="23.5703125" customWidth="1" style="211" min="16132" max="16132"/>
    <col width="17.28515625" customWidth="1" style="211" min="16133" max="16133"/>
    <col width="20.5703125" bestFit="1" customWidth="1" style="211" min="16134" max="16134"/>
    <col width="17.140625" customWidth="1" style="211" min="16135" max="16135"/>
    <col width="21.7109375" bestFit="1" customWidth="1" style="211" min="16136" max="16136"/>
    <col width="17.140625" bestFit="1" customWidth="1" style="211" min="16137" max="16137"/>
    <col width="18.140625" bestFit="1" customWidth="1" style="211" min="16138" max="16138"/>
    <col width="26.42578125" customWidth="1" style="211" min="16139" max="16139"/>
    <col width="9.140625" customWidth="1" style="211" min="16140" max="16384"/>
  </cols>
  <sheetData>
    <row r="1" customFormat="1" s="244">
      <c r="M1" s="245" t="n"/>
    </row>
    <row r="2" customFormat="1" s="244">
      <c r="M2" s="245" t="n"/>
    </row>
    <row r="3" customFormat="1" s="244">
      <c r="M3" s="245" t="n"/>
    </row>
    <row r="4" customFormat="1" s="244">
      <c r="M4" s="245" t="n"/>
    </row>
    <row r="5" customFormat="1" s="244">
      <c r="M5" s="245" t="n"/>
    </row>
    <row r="6" customFormat="1" s="244">
      <c r="M6" s="245" t="n"/>
    </row>
    <row r="7" customFormat="1" s="244">
      <c r="M7" s="245" t="n"/>
    </row>
    <row r="8" customFormat="1" s="244">
      <c r="M8" s="245" t="n"/>
    </row>
    <row r="9" customFormat="1" s="244">
      <c r="M9" s="245" t="n"/>
    </row>
    <row r="10" customFormat="1" s="244">
      <c r="M10" s="245" t="n"/>
    </row>
    <row r="11" customFormat="1" s="244">
      <c r="M11" s="245" t="n"/>
    </row>
    <row r="12" customFormat="1" s="244">
      <c r="M12" s="245" t="n"/>
    </row>
    <row r="13" customFormat="1" s="244">
      <c r="M13" s="245" t="n"/>
    </row>
    <row r="14" customFormat="1" s="244">
      <c r="M14" s="245" t="n"/>
    </row>
    <row r="15" customFormat="1" s="244">
      <c r="M15" s="245" t="n"/>
    </row>
    <row r="16" customFormat="1" s="244">
      <c r="M16" s="245" t="n"/>
    </row>
    <row r="17" customFormat="1" s="244">
      <c r="M17" s="245" t="n"/>
    </row>
    <row r="18" customFormat="1" s="244">
      <c r="M18" s="245" t="n"/>
    </row>
    <row r="19" customFormat="1" s="244">
      <c r="M19" s="245" t="n"/>
    </row>
    <row r="20" customFormat="1" s="244">
      <c r="M20" s="245" t="n"/>
    </row>
    <row r="21" customFormat="1" s="244">
      <c r="M21" s="245" t="n"/>
    </row>
    <row r="22" customFormat="1" s="244">
      <c r="M22" s="245" t="n"/>
    </row>
    <row r="23" customFormat="1" s="244">
      <c r="M23" s="245" t="n"/>
    </row>
    <row r="24" customFormat="1" s="244">
      <c r="M24" s="245" t="n"/>
    </row>
    <row r="25" customFormat="1" s="244">
      <c r="M25" s="245" t="n"/>
    </row>
    <row r="26" customFormat="1" s="244">
      <c r="M26" s="245" t="n"/>
    </row>
    <row r="27" customFormat="1" s="244">
      <c r="M27" s="245" t="n"/>
    </row>
    <row r="28" customFormat="1" s="244">
      <c r="M28" s="245" t="n"/>
    </row>
    <row r="29" customFormat="1" s="244">
      <c r="M29" s="245" t="n"/>
    </row>
    <row r="30" customFormat="1" s="244">
      <c r="M30" s="245" t="n"/>
    </row>
    <row r="31" customFormat="1" s="244">
      <c r="M31" s="245" t="n"/>
    </row>
    <row r="32" customFormat="1" s="244">
      <c r="M32" s="245" t="n"/>
    </row>
    <row r="33" ht="15.75" customFormat="1" customHeight="1" s="244">
      <c r="I33" s="270">
        <f>IF(OR(SCH_MODE=3, SCH_MODE=4),"** Tie VCCX to GND if not used **", "")</f>
        <v/>
      </c>
    </row>
    <row r="34" ht="15.75" customFormat="1" customHeight="1" s="244">
      <c r="A34" s="244" t="inlineStr">
        <is>
          <t xml:space="preserve">   ** Tie PFM to VDDA for PFM, AGND for FPWM **</t>
        </is>
      </c>
    </row>
    <row r="35" ht="15.75" customFormat="1" customHeight="1" s="244">
      <c r="A35" s="244" t="inlineStr">
        <is>
          <t xml:space="preserve">   ** Tie VCCX to GND if not used **</t>
        </is>
      </c>
    </row>
    <row r="36" ht="24.75" customFormat="1" customHeight="1" s="244">
      <c r="A36" s="249">
        <f>"Vin = "&amp;VIN_min&amp;"V to "&amp;VIN_max&amp;"V, Vout = "&amp; Vout &amp;"V, Iout = " &amp;Iout &amp; "A, Fsw = " &amp; Fsw/1000 &amp;"kHz, Current Limit = "&amp;ROUNDUP(Ilimit_DC,0)&amp;"A"</f>
        <v/>
      </c>
    </row>
    <row r="37" ht="24.75" customHeight="1" thickBot="1">
      <c r="A37" s="213" t="inlineStr">
        <is>
          <t>High-Efficiency Synchronous Buck Regulator BOM</t>
        </is>
      </c>
    </row>
    <row r="38" ht="18" customHeight="1">
      <c r="A38" s="473" t="inlineStr">
        <is>
          <t>Count</t>
        </is>
      </c>
      <c r="B38" s="474" t="inlineStr">
        <is>
          <t>Ref Des</t>
        </is>
      </c>
      <c r="C38" s="474" t="inlineStr">
        <is>
          <t>Value</t>
        </is>
      </c>
      <c r="D38" s="935" t="inlineStr">
        <is>
          <t>Description</t>
        </is>
      </c>
      <c r="E38" s="936" t="n"/>
      <c r="F38" s="936" t="n"/>
      <c r="G38" s="937" t="n"/>
      <c r="H38" s="475" t="inlineStr">
        <is>
          <t>Size</t>
        </is>
      </c>
      <c r="I38" s="475" t="inlineStr">
        <is>
          <t>Part Number</t>
        </is>
      </c>
      <c r="J38" s="475" t="inlineStr">
        <is>
          <t>MFR</t>
        </is>
      </c>
      <c r="L38" s="212" t="n"/>
      <c r="M38" s="211" t="n"/>
    </row>
    <row r="39" ht="15.75" customFormat="1" customHeight="1" s="218">
      <c r="A39" s="215" t="n">
        <v>1</v>
      </c>
      <c r="B39" s="216" t="inlineStr">
        <is>
          <t>CBOOT</t>
        </is>
      </c>
      <c r="C39" s="938" t="n">
        <v>0.1</v>
      </c>
      <c r="D39" s="939">
        <f>C39</f>
        <v/>
      </c>
      <c r="E39" s="940" t="n"/>
      <c r="F39" s="940" t="n"/>
      <c r="G39" s="231" t="n"/>
      <c r="H39" s="232" t="inlineStr">
        <is>
          <t>0603</t>
        </is>
      </c>
      <c r="I39" s="217" t="inlineStr">
        <is>
          <t>Std</t>
        </is>
      </c>
      <c r="J39" s="217" t="inlineStr">
        <is>
          <t>Std</t>
        </is>
      </c>
      <c r="L39" s="219" t="n"/>
    </row>
    <row r="40" ht="15.75" customFormat="1" customHeight="1" s="218">
      <c r="A40" s="214" t="n">
        <v>1</v>
      </c>
      <c r="B40" s="233" t="inlineStr">
        <is>
          <t>CCOMP</t>
        </is>
      </c>
      <c r="C40" s="941">
        <f>'Design Regulator'!D72</f>
        <v/>
      </c>
      <c r="D40" s="942">
        <f>C40</f>
        <v/>
      </c>
      <c r="E40" s="940" t="n"/>
      <c r="F40" s="940" t="n"/>
      <c r="G40" s="235" t="n"/>
      <c r="H40" s="236" t="inlineStr">
        <is>
          <t>0603</t>
        </is>
      </c>
      <c r="I40" s="237" t="inlineStr">
        <is>
          <t>Std</t>
        </is>
      </c>
      <c r="J40" s="237" t="inlineStr">
        <is>
          <t>Std</t>
        </is>
      </c>
      <c r="L40" s="219" t="n"/>
    </row>
    <row r="41" ht="15.75" customFormat="1" customHeight="1" s="218">
      <c r="A41" s="214" t="n">
        <v>1</v>
      </c>
      <c r="B41" s="233" t="inlineStr">
        <is>
          <t>CHF</t>
        </is>
      </c>
      <c r="C41" s="943">
        <f>'Design Regulator'!D73</f>
        <v/>
      </c>
      <c r="D41" s="944">
        <f>C41</f>
        <v/>
      </c>
      <c r="E41" s="940" t="n"/>
      <c r="F41" s="940" t="n"/>
      <c r="G41" s="235" t="n"/>
      <c r="H41" s="236" t="inlineStr">
        <is>
          <t>0603</t>
        </is>
      </c>
      <c r="I41" s="237" t="inlineStr">
        <is>
          <t>Std</t>
        </is>
      </c>
      <c r="J41" s="237" t="inlineStr">
        <is>
          <t>Std</t>
        </is>
      </c>
      <c r="L41" s="219" t="n"/>
    </row>
    <row r="42" ht="15.75" customFormat="1" customHeight="1" s="218">
      <c r="A42" s="214">
        <f>ROUNDUP('Design Regulator'!E44/10,0)</f>
        <v/>
      </c>
      <c r="B42" s="233" t="inlineStr">
        <is>
          <t>CIN</t>
        </is>
      </c>
      <c r="C42" s="945" t="n">
        <v>10</v>
      </c>
      <c r="D42" s="946">
        <f>C42</f>
        <v/>
      </c>
      <c r="E42" s="940" t="n"/>
      <c r="F42" s="940" t="n"/>
      <c r="G42" s="235" t="n"/>
      <c r="H42" s="236" t="n">
        <v>1210</v>
      </c>
      <c r="I42" s="237" t="inlineStr">
        <is>
          <t>Std</t>
        </is>
      </c>
      <c r="J42" s="237" t="inlineStr">
        <is>
          <t>Std</t>
        </is>
      </c>
      <c r="L42" s="219" t="n"/>
    </row>
    <row r="43" ht="15.75" customFormat="1" customHeight="1" s="218">
      <c r="A43" s="214">
        <f>ROUNDUP('Design Regulator'!E35/47,0)</f>
        <v/>
      </c>
      <c r="B43" s="233" t="inlineStr">
        <is>
          <t>COUT</t>
        </is>
      </c>
      <c r="C43" s="945" t="n">
        <v>47</v>
      </c>
      <c r="D43" s="947">
        <f>C43</f>
        <v/>
      </c>
      <c r="E43" s="940" t="n"/>
      <c r="F43" s="940" t="n"/>
      <c r="G43" s="235" t="n"/>
      <c r="H43" s="236" t="n">
        <v>1210</v>
      </c>
      <c r="I43" s="237" t="inlineStr">
        <is>
          <t>Std</t>
        </is>
      </c>
      <c r="J43" s="237" t="inlineStr">
        <is>
          <t>Std</t>
        </is>
      </c>
      <c r="L43" s="219" t="n"/>
    </row>
    <row r="44" ht="15.75" customFormat="1" customHeight="1" s="218">
      <c r="A44" s="225" t="n">
        <v>2</v>
      </c>
      <c r="B44" s="226" t="inlineStr">
        <is>
          <t>CVCC, CVCCX</t>
        </is>
      </c>
      <c r="C44" s="948" t="n">
        <v>2.2</v>
      </c>
      <c r="D44" s="949">
        <f>C44</f>
        <v/>
      </c>
      <c r="E44" s="940" t="n"/>
      <c r="F44" s="940" t="n"/>
      <c r="G44" s="238" t="n"/>
      <c r="H44" s="228" t="inlineStr">
        <is>
          <t>0603</t>
        </is>
      </c>
      <c r="I44" s="229" t="inlineStr">
        <is>
          <t>Std</t>
        </is>
      </c>
      <c r="J44" s="229" t="inlineStr">
        <is>
          <t>Std</t>
        </is>
      </c>
      <c r="L44" s="219" t="n"/>
    </row>
    <row r="45" ht="15.75" customFormat="1" customHeight="1" s="218">
      <c r="A45" s="225" t="n">
        <v>1</v>
      </c>
      <c r="B45" s="226" t="inlineStr">
        <is>
          <t>CVDDA</t>
        </is>
      </c>
      <c r="C45" s="948" t="n">
        <v>0.47</v>
      </c>
      <c r="D45" s="949">
        <f>C45</f>
        <v/>
      </c>
      <c r="E45" s="940" t="n"/>
      <c r="F45" s="940" t="n"/>
      <c r="G45" s="238" t="n"/>
      <c r="H45" s="228" t="inlineStr">
        <is>
          <t>0603</t>
        </is>
      </c>
      <c r="I45" s="229" t="inlineStr">
        <is>
          <t>Std</t>
        </is>
      </c>
      <c r="J45" s="229" t="inlineStr">
        <is>
          <t>Std</t>
        </is>
      </c>
      <c r="L45" s="219" t="n"/>
    </row>
    <row r="46" ht="15.75" customFormat="1" customHeight="1" s="218">
      <c r="A46" s="214" t="n">
        <v>1</v>
      </c>
      <c r="B46" s="233" t="inlineStr">
        <is>
          <t>LO</t>
        </is>
      </c>
      <c r="C46" s="950">
        <f>'Design Regulator'!E27</f>
        <v/>
      </c>
      <c r="D46" s="951">
        <f>"Inductor, "&amp;Lf*1000000&amp;"µH, "&amp;Rdcr*1000&amp;"mΩ, &gt;"&amp;ROUNDUP(Ilimit_DC*1.1,0)&amp;"A"</f>
        <v/>
      </c>
      <c r="E46" s="940" t="n"/>
      <c r="F46" s="940" t="n"/>
      <c r="G46" s="952" t="n"/>
      <c r="H46" s="237" t="inlineStr">
        <is>
          <t>-</t>
        </is>
      </c>
      <c r="I46" s="237" t="inlineStr">
        <is>
          <t>-</t>
        </is>
      </c>
      <c r="J46" s="237" t="inlineStr">
        <is>
          <t>Various</t>
        </is>
      </c>
      <c r="L46" s="219" t="n"/>
    </row>
    <row r="47" ht="15.75" customFormat="1" customHeight="1" s="218">
      <c r="A47" s="225" t="n">
        <v>2</v>
      </c>
      <c r="B47" s="226" t="inlineStr">
        <is>
          <t>Q1, Q2</t>
        </is>
      </c>
      <c r="C47" s="242" t="inlineStr">
        <is>
          <t>See description</t>
        </is>
      </c>
      <c r="D47" s="953">
        <f>'Design Regulator'!E82</f>
        <v/>
      </c>
      <c r="E47" s="940" t="n"/>
      <c r="F47" s="940" t="n"/>
      <c r="G47" s="952" t="n"/>
      <c r="H47" s="229" t="inlineStr">
        <is>
          <t>Std</t>
        </is>
      </c>
      <c r="I47" s="229">
        <f>'Design Regulator'!E80</f>
        <v/>
      </c>
      <c r="J47" s="229" t="inlineStr">
        <is>
          <t>-</t>
        </is>
      </c>
      <c r="L47" s="219" t="n"/>
    </row>
    <row r="48" ht="15.75" customFormat="1" customHeight="1" s="218">
      <c r="A48" s="220" t="n">
        <v>1</v>
      </c>
      <c r="B48" s="221" t="inlineStr">
        <is>
          <t>RCOMP</t>
        </is>
      </c>
      <c r="C48" s="954">
        <f>'Design Regulator'!D71</f>
        <v/>
      </c>
      <c r="D48" s="955">
        <f>C48</f>
        <v/>
      </c>
      <c r="E48" s="940" t="n"/>
      <c r="F48" s="940" t="n"/>
      <c r="G48" s="952" t="n"/>
      <c r="H48" s="223" t="inlineStr">
        <is>
          <t>0603</t>
        </is>
      </c>
      <c r="I48" s="224" t="inlineStr">
        <is>
          <t>Std</t>
        </is>
      </c>
      <c r="J48" s="224" t="inlineStr">
        <is>
          <t>Std</t>
        </is>
      </c>
      <c r="L48" s="219" t="n"/>
    </row>
    <row r="49" ht="15.75" customFormat="1" customHeight="1" s="218">
      <c r="A49" s="220" t="n">
        <v>1</v>
      </c>
      <c r="B49" s="221" t="inlineStr">
        <is>
          <t>RS</t>
        </is>
      </c>
      <c r="C49" s="956">
        <f>Rs*1000</f>
        <v/>
      </c>
      <c r="D49" s="957">
        <f>C49</f>
        <v/>
      </c>
      <c r="E49" s="940" t="n"/>
      <c r="F49" s="940" t="n"/>
      <c r="G49" s="952" t="n"/>
      <c r="H49" s="223" t="inlineStr">
        <is>
          <t>0508</t>
        </is>
      </c>
      <c r="I49" s="224" t="inlineStr">
        <is>
          <t>Std</t>
        </is>
      </c>
      <c r="J49" s="224" t="inlineStr">
        <is>
          <t>Std</t>
        </is>
      </c>
      <c r="L49" s="219" t="n"/>
    </row>
    <row r="50" ht="15.75" customFormat="1" customHeight="1" s="218">
      <c r="A50" s="220" t="n">
        <v>1</v>
      </c>
      <c r="B50" s="221" t="inlineStr">
        <is>
          <t>RT</t>
        </is>
      </c>
      <c r="C50" s="954">
        <f>'Design Regulator'!E12</f>
        <v/>
      </c>
      <c r="D50" s="955">
        <f>C50</f>
        <v/>
      </c>
      <c r="E50" s="940" t="n"/>
      <c r="F50" s="940" t="n"/>
      <c r="G50" s="952" t="n"/>
      <c r="H50" s="223" t="inlineStr">
        <is>
          <t>0603</t>
        </is>
      </c>
      <c r="I50" s="224" t="inlineStr">
        <is>
          <t>Std</t>
        </is>
      </c>
      <c r="J50" s="224" t="inlineStr">
        <is>
          <t>Std</t>
        </is>
      </c>
      <c r="L50" s="219" t="n"/>
    </row>
    <row r="51" ht="15.75" customFormat="1" customHeight="1" s="218">
      <c r="A51" s="220" t="n">
        <v>1</v>
      </c>
      <c r="B51" s="221" t="inlineStr">
        <is>
          <t>RFB1</t>
        </is>
      </c>
      <c r="C51" s="954">
        <f>'Design Regulator'!E65</f>
        <v/>
      </c>
      <c r="D51" s="955">
        <f>C51</f>
        <v/>
      </c>
      <c r="E51" s="940" t="n"/>
      <c r="F51" s="940" t="n"/>
      <c r="G51" s="952" t="n"/>
      <c r="H51" s="223" t="inlineStr">
        <is>
          <t>0603</t>
        </is>
      </c>
      <c r="I51" s="224" t="inlineStr">
        <is>
          <t>Std</t>
        </is>
      </c>
      <c r="J51" s="224" t="inlineStr">
        <is>
          <t>Std</t>
        </is>
      </c>
      <c r="L51" s="219" t="n"/>
    </row>
    <row r="52" ht="15.75" customFormat="1" customHeight="1" s="218">
      <c r="A52" s="220" t="n">
        <v>1</v>
      </c>
      <c r="B52" s="221" t="inlineStr">
        <is>
          <t>RFB2</t>
        </is>
      </c>
      <c r="C52" s="954">
        <f>'Design Regulator'!E66</f>
        <v/>
      </c>
      <c r="D52" s="955">
        <f>C52</f>
        <v/>
      </c>
      <c r="E52" s="940" t="n"/>
      <c r="F52" s="940" t="n"/>
      <c r="G52" s="952" t="n"/>
      <c r="H52" s="223" t="inlineStr">
        <is>
          <t>0603</t>
        </is>
      </c>
      <c r="I52" s="224" t="inlineStr">
        <is>
          <t>Std</t>
        </is>
      </c>
      <c r="J52" s="224" t="inlineStr">
        <is>
          <t>Std</t>
        </is>
      </c>
      <c r="L52" s="219" t="n"/>
    </row>
    <row r="53" ht="15.75" customFormat="1" customHeight="1" s="218">
      <c r="A53" s="225" t="n">
        <v>1</v>
      </c>
      <c r="B53" s="226" t="inlineStr">
        <is>
          <t>RPG</t>
        </is>
      </c>
      <c r="C53" s="958" t="n">
        <v>100</v>
      </c>
      <c r="D53" s="959">
        <f>C53</f>
        <v/>
      </c>
      <c r="E53" s="940" t="n"/>
      <c r="F53" s="940" t="n"/>
      <c r="G53" s="952" t="n"/>
      <c r="H53" s="228" t="inlineStr">
        <is>
          <t>0603</t>
        </is>
      </c>
      <c r="I53" s="229" t="inlineStr">
        <is>
          <t>Std</t>
        </is>
      </c>
      <c r="J53" s="229" t="inlineStr">
        <is>
          <t>Std</t>
        </is>
      </c>
      <c r="L53" s="219" t="n"/>
    </row>
    <row r="54" ht="15.75" customFormat="1" customHeight="1" s="424">
      <c r="A54" s="225" t="n">
        <v>1</v>
      </c>
      <c r="B54" s="226" t="inlineStr">
        <is>
          <t>RCS</t>
        </is>
      </c>
      <c r="C54" s="242" t="n">
        <v>100</v>
      </c>
      <c r="D54" s="960">
        <f>C54</f>
        <v/>
      </c>
      <c r="E54" s="940" t="n"/>
      <c r="F54" s="940" t="n"/>
      <c r="G54" s="952" t="n"/>
      <c r="H54" s="228" t="inlineStr">
        <is>
          <t>0603</t>
        </is>
      </c>
      <c r="I54" s="229" t="inlineStr">
        <is>
          <t>Std</t>
        </is>
      </c>
      <c r="J54" s="229" t="inlineStr">
        <is>
          <t>Std</t>
        </is>
      </c>
      <c r="L54" s="425" t="n"/>
    </row>
    <row r="55" ht="15.75" customFormat="1" customHeight="1" s="218">
      <c r="A55" s="225" t="n">
        <v>1</v>
      </c>
      <c r="B55" s="226" t="inlineStr">
        <is>
          <t>RVIN</t>
        </is>
      </c>
      <c r="C55" s="242" t="n">
        <v>2.2</v>
      </c>
      <c r="D55" s="960">
        <f>C55</f>
        <v/>
      </c>
      <c r="E55" s="940" t="n"/>
      <c r="F55" s="940" t="n"/>
      <c r="G55" s="952" t="n"/>
      <c r="H55" s="228" t="inlineStr">
        <is>
          <t>0603</t>
        </is>
      </c>
      <c r="I55" s="229" t="inlineStr">
        <is>
          <t>Std</t>
        </is>
      </c>
      <c r="J55" s="229" t="inlineStr">
        <is>
          <t>Std</t>
        </is>
      </c>
      <c r="L55" s="219" t="n"/>
    </row>
    <row r="56" ht="14.25" customFormat="1" customHeight="1" s="218">
      <c r="A56" s="961" t="n">
        <v>1</v>
      </c>
      <c r="B56" s="962" t="inlineStr">
        <is>
          <t>U1</t>
        </is>
      </c>
      <c r="C56" s="963">
        <f>'Variable Management'!P29</f>
        <v/>
      </c>
      <c r="D56" s="217">
        <f>CHOOSE(VARIANT, "IC, LM5148, Synchronous Buck PWM Controller, 3.5V–80V Input", "IC, LM5148-Q1, Synchronous Buck PWM Controller, 3.5V–80V Input", "IC, LM25148, Synchronous Buck PWM Controller, 3.5V–42V Input",  "IC, LM25148-Q1, Synchronous Buck PWM Controller, 3.5V–42V Input")</f>
        <v/>
      </c>
      <c r="E56" s="964" t="n"/>
      <c r="F56" s="964" t="n"/>
      <c r="G56" s="965" t="n"/>
      <c r="H56" s="966" t="inlineStr">
        <is>
          <t>VQFN-24</t>
        </is>
      </c>
      <c r="I56" s="963">
        <f>CHOOSE(VARIANT, "LM5148RGYR", "LM5148QRGYRQ1", "LM25148RGYR", "LM25148QRGYRQ1")</f>
        <v/>
      </c>
      <c r="J56" s="967" t="inlineStr">
        <is>
          <t>TI</t>
        </is>
      </c>
      <c r="L56" s="219" t="n"/>
    </row>
    <row r="57">
      <c r="A57" s="968" t="n"/>
      <c r="B57" s="969" t="n"/>
      <c r="C57" s="969" t="n"/>
      <c r="D57" s="970" t="n"/>
      <c r="E57" s="971" t="n"/>
      <c r="F57" s="971" t="n"/>
      <c r="G57" s="972" t="n"/>
      <c r="H57" s="969" t="n"/>
      <c r="I57" s="969" t="n"/>
      <c r="J57" s="969" t="n"/>
    </row>
    <row r="59">
      <c r="A59" s="251" t="inlineStr">
        <is>
          <t>NOTES:</t>
        </is>
      </c>
    </row>
    <row r="60" ht="17.1" customHeight="1">
      <c r="A60" s="211" t="inlineStr">
        <is>
          <t>** Inductor saturation current should be higher than the peak inductor current at the OCP setpoint for all input voltages and operating temperatures **</t>
        </is>
      </c>
    </row>
    <row r="61" ht="17.1" customHeight="1">
      <c r="A61" s="211" t="inlineStr">
        <is>
          <t>** Effective input and output capacitances should be appropriately derated for applied voltage and temperature, particularly with ceramics **</t>
        </is>
      </c>
    </row>
  </sheetData>
  <sheetProtection selectLockedCells="1" selectUnlockedCells="1" algorithmName="SHA-512" sheet="1" objects="1" insertRows="1" insertHyperlinks="1" autoFilter="1" scenarios="1" formatColumns="1" deleteColumns="1" insertColumns="1" pivotTables="1" deleteRows="1" formatCells="1" saltValue="KXDqQqxHUhvDm5V30XJqdw==" formatRows="1" sort="1" spinCount="100000" hashValue="BzucQA+KWiQvL07lfQEK93VBOPFTS/R1HaMt60aHxK8pazY0cozuTZIJLoeWzg3Ri1oWcB3r8QJ+z+htLdVPEw=="/>
  <mergeCells count="25">
    <mergeCell ref="D41:F41"/>
    <mergeCell ref="H56:H57"/>
    <mergeCell ref="D55:G55"/>
    <mergeCell ref="D51:G51"/>
    <mergeCell ref="D38:G38"/>
    <mergeCell ref="D43:F43"/>
    <mergeCell ref="D54:G54"/>
    <mergeCell ref="I56:I57"/>
    <mergeCell ref="A56:A57"/>
    <mergeCell ref="D50:G50"/>
    <mergeCell ref="C56:C57"/>
    <mergeCell ref="D56:G57"/>
    <mergeCell ref="D39:F39"/>
    <mergeCell ref="D46:G46"/>
    <mergeCell ref="D42:F42"/>
    <mergeCell ref="J56:J57"/>
    <mergeCell ref="D52:G52"/>
    <mergeCell ref="D44:F44"/>
    <mergeCell ref="D49:G49"/>
    <mergeCell ref="D48:G48"/>
    <mergeCell ref="D53:G53"/>
    <mergeCell ref="D47:G47"/>
    <mergeCell ref="D40:F40"/>
    <mergeCell ref="B56:B57"/>
    <mergeCell ref="D45:F45"/>
  </mergeCells>
  <printOptions horizontalCentered="1"/>
  <pageMargins left="0.23" right="0.23" top="0.7" bottom="0.61" header="0.3" footer="0.5"/>
  <pageSetup orientation="landscape" scale="46" fitToHeight="2"/>
</worksheet>
</file>

<file path=xl/worksheets/sheet5.xml><?xml version="1.0" encoding="utf-8"?>
<worksheet xmlns="http://schemas.openxmlformats.org/spreadsheetml/2006/main">
  <sheetPr codeName="Sheet5">
    <tabColor rgb="FF0000FF"/>
    <outlinePr summaryBelow="1" summaryRight="1"/>
    <pageSetUpPr fitToPage="1"/>
  </sheetPr>
  <dimension ref="A1:W6"/>
  <sheetViews>
    <sheetView topLeftCell="A4" zoomScale="85" zoomScaleNormal="85" zoomScaleSheetLayoutView="80" workbookViewId="0">
      <selection activeCell="K6" sqref="K6"/>
    </sheetView>
  </sheetViews>
  <sheetFormatPr baseColWidth="8" defaultColWidth="9.140625" defaultRowHeight="12.75"/>
  <cols>
    <col width="9.140625" customWidth="1" style="120" min="1" max="13"/>
    <col width="11.7109375" customWidth="1" style="120" min="14" max="14"/>
    <col width="9.140625" customWidth="1" style="120" min="15" max="16"/>
    <col width="15.7109375" customWidth="1" style="120" min="17" max="17"/>
    <col width="9.140625" customWidth="1" style="120" min="18" max="16384"/>
  </cols>
  <sheetData>
    <row r="1" ht="47.25" customFormat="1" customHeight="1" s="112">
      <c r="A1" s="847" t="inlineStr">
        <is>
          <t xml:space="preserve"> LM25149-Q1 Quickstart Design Tool</t>
        </is>
      </c>
    </row>
    <row r="6" ht="20.25" customHeight="1">
      <c r="B6" s="121" t="inlineStr">
        <is>
          <t>LM25149-Q1EVM-2100 PCB Layout</t>
        </is>
      </c>
      <c r="M6" s="121" t="n"/>
      <c r="W6" s="121" t="n"/>
    </row>
  </sheetData>
  <sheetProtection selectLockedCells="1" selectUnlockedCells="0" algorithmName="SHA-512" sheet="1" objects="1" insertRows="1" insertHyperlinks="1" autoFilter="1" scenarios="1" formatColumns="1" deleteColumns="1" insertColumns="1" pivotTables="1" deleteRows="1" formatCells="1" saltValue="LWRDTVNykMeRmU5ul2MsEg==" formatRows="1" sort="1" spinCount="100000" hashValue="T57Nb+KuWMbHaKZuvLh7d5qoN4vNFcMfwIUMI8R8liSMGVOrdmehOPAlNkCUQ/8uwEodfY+QreP6v/GrEyJ3MA=="/>
  <mergeCells count="1">
    <mergeCell ref="A1:Q1"/>
  </mergeCells>
  <pageMargins left="0.19" right="0.2" top="0.75" bottom="0.75" header="0.3" footer="0.3"/>
  <pageSetup orientation="portrait" scale="30"/>
</worksheet>
</file>

<file path=xl/worksheets/sheet6.xml><?xml version="1.0" encoding="utf-8"?>
<worksheet xmlns="http://schemas.openxmlformats.org/spreadsheetml/2006/main">
  <sheetPr codeName="Sheet2">
    <outlinePr summaryBelow="1" summaryRight="1"/>
    <pageSetUpPr/>
  </sheetPr>
  <dimension ref="A1:AA452"/>
  <sheetViews>
    <sheetView zoomScale="115" zoomScaleNormal="115" workbookViewId="0">
      <pane ySplit="5" topLeftCell="A54" activePane="bottomLeft" state="frozenSplit"/>
      <selection pane="bottomLeft" activeCell="B68" sqref="B68"/>
    </sheetView>
  </sheetViews>
  <sheetFormatPr baseColWidth="8" defaultRowHeight="12.75"/>
  <cols>
    <col width="34.140625" customWidth="1" min="1" max="1"/>
    <col width="12" customWidth="1" min="2" max="2"/>
    <col width="12.140625" customWidth="1" style="2" min="3" max="3"/>
    <col width="16.7109375" customWidth="1" min="4" max="4"/>
    <col width="11.5703125" customWidth="1" min="5" max="5"/>
    <col width="12.42578125" bestFit="1" customWidth="1" min="6" max="6"/>
    <col width="17.42578125" customWidth="1" min="7" max="7"/>
    <col width="34.7109375" customWidth="1" min="8" max="8"/>
    <col width="11.7109375" customWidth="1" min="9" max="9"/>
    <col width="12.42578125" bestFit="1" customWidth="1" min="10" max="10"/>
    <col width="15.140625" customWidth="1" min="11" max="11"/>
    <col width="13.28515625" customWidth="1" min="12" max="12"/>
    <col width="8.7109375" customWidth="1" min="14" max="14"/>
    <col width="11.140625" customWidth="1" min="15" max="15"/>
    <col width="12.7109375" customWidth="1" min="16" max="16"/>
    <col width="13.28515625" customWidth="1" min="23" max="23"/>
    <col width="12.42578125" customWidth="1" min="25" max="25"/>
  </cols>
  <sheetData>
    <row r="1" ht="30.75" customHeight="1">
      <c r="A1" s="850" t="inlineStr">
        <is>
          <t>EXCEL Variables Names/Calculations</t>
        </is>
      </c>
    </row>
    <row r="2" ht="12" customHeight="1">
      <c r="A2" s="849" t="n"/>
      <c r="B2" s="849" t="inlineStr">
        <is>
          <t>Input from user =</t>
        </is>
      </c>
      <c r="C2" s="50" t="n"/>
      <c r="E2" s="849" t="n"/>
      <c r="F2" s="849" t="n"/>
      <c r="G2" s="849" t="n"/>
      <c r="H2" s="849" t="n"/>
      <c r="I2" s="849" t="n"/>
    </row>
    <row r="3" ht="11.25" customHeight="1">
      <c r="A3" s="849" t="n"/>
      <c r="B3" s="849" t="inlineStr">
        <is>
          <t>Output =</t>
        </is>
      </c>
      <c r="C3" s="51" t="n"/>
      <c r="E3" s="849" t="n"/>
      <c r="F3" s="849" t="n"/>
      <c r="G3" s="849" t="n"/>
      <c r="H3" s="849" t="n"/>
      <c r="I3" s="849" t="n"/>
    </row>
    <row r="4" ht="11.25" customHeight="1">
      <c r="A4" s="849" t="n"/>
      <c r="B4" s="849" t="inlineStr">
        <is>
          <t>Constant</t>
        </is>
      </c>
      <c r="C4" s="52" t="n"/>
      <c r="E4" s="849" t="n"/>
      <c r="F4" s="849" t="n"/>
      <c r="G4" s="849" t="n"/>
      <c r="H4" s="849" t="n"/>
      <c r="I4" s="849" t="n"/>
    </row>
    <row r="5">
      <c r="A5" s="2" t="inlineStr">
        <is>
          <t>Variable Name</t>
        </is>
      </c>
      <c r="B5" s="2" t="inlineStr">
        <is>
          <t>Value</t>
        </is>
      </c>
      <c r="C5" s="2" t="inlineStr">
        <is>
          <t>STD Units</t>
        </is>
      </c>
      <c r="E5" s="849" t="inlineStr">
        <is>
          <t>Notes</t>
        </is>
      </c>
      <c r="I5" s="2" t="inlineStr">
        <is>
          <t>Iteration</t>
        </is>
      </c>
    </row>
    <row r="6" ht="16.5" customHeight="1" thickBot="1">
      <c r="A6" s="509" t="inlineStr">
        <is>
          <t>Step 1: Operational Specs</t>
        </is>
      </c>
      <c r="B6" s="2" t="n"/>
      <c r="D6" s="2" t="n"/>
      <c r="E6" s="849" t="n"/>
      <c r="F6" s="849" t="n"/>
      <c r="G6" s="849" t="n"/>
      <c r="H6" s="849" t="n"/>
      <c r="I6" s="2" t="n"/>
    </row>
    <row r="7">
      <c r="A7" s="208" t="inlineStr">
        <is>
          <t>VIN_min</t>
        </is>
      </c>
      <c r="B7" s="12">
        <f>'Design Regulator'!E6</f>
        <v/>
      </c>
      <c r="C7" s="63" t="inlineStr">
        <is>
          <t>V</t>
        </is>
      </c>
      <c r="D7" s="116" t="inlineStr">
        <is>
          <t>Minimum input voltage</t>
        </is>
      </c>
      <c r="E7" s="63" t="n"/>
      <c r="F7" s="63" t="n"/>
      <c r="G7" s="63" t="n"/>
      <c r="H7" s="63" t="n"/>
      <c r="I7" s="64" t="n">
        <v>1</v>
      </c>
    </row>
    <row r="8">
      <c r="A8" s="209" t="inlineStr">
        <is>
          <t>VIN_nom</t>
        </is>
      </c>
      <c r="B8" s="29">
        <f>'Design Regulator'!E7</f>
        <v/>
      </c>
      <c r="C8" t="inlineStr">
        <is>
          <t>V</t>
        </is>
      </c>
      <c r="D8" t="inlineStr">
        <is>
          <t>Nominal input voltage</t>
        </is>
      </c>
      <c r="I8" s="57" t="n"/>
      <c r="K8" s="285">
        <f>CHOOSE(SCH_MODE, "Efficiency vs. IOUT (Ch1)", "Efficiency vs. IOUT - 2 Ph", "Efficiency vs. IOUT - 3 Ph", "Efficiency vs. IOUT - 4 Ph")</f>
        <v/>
      </c>
      <c r="L8" s="115" t="n">
        <v>1</v>
      </c>
      <c r="N8" s="285" t="inlineStr">
        <is>
          <t>DRSS Enabled</t>
        </is>
      </c>
      <c r="O8" s="115" t="n">
        <v>1</v>
      </c>
      <c r="T8" s="285" t="inlineStr">
        <is>
          <t>Dual  Outputs</t>
        </is>
      </c>
      <c r="U8" s="115" t="n">
        <v>1</v>
      </c>
      <c r="W8" s="285" t="inlineStr">
        <is>
          <t>FPWM</t>
        </is>
      </c>
      <c r="X8" s="115" t="n">
        <v>1</v>
      </c>
      <c r="Z8" s="285">
        <f>CHOOSE(SCH_MODE, "Bode Plot (Ch1)", "Bode Plot - 2 Ph", "Bode Plot - 3 Ph", "Bode Plot - 4 Ph")</f>
        <v/>
      </c>
      <c r="AA8" s="115" t="n">
        <v>1</v>
      </c>
    </row>
    <row r="9">
      <c r="A9" s="209" t="inlineStr">
        <is>
          <t>VIN_max</t>
        </is>
      </c>
      <c r="B9" s="29">
        <f>'Design Regulator'!E8</f>
        <v/>
      </c>
      <c r="C9" t="inlineStr">
        <is>
          <t>V</t>
        </is>
      </c>
      <c r="D9" s="113" t="inlineStr">
        <is>
          <t>Maximum input voltage</t>
        </is>
      </c>
      <c r="I9" s="57" t="n"/>
      <c r="K9" s="285">
        <f>IF(MODE=1, "Efficiency vs. IOUT (Ch2)", "N/A - Do Not Use")</f>
        <v/>
      </c>
      <c r="L9" s="115" t="n">
        <v>2</v>
      </c>
      <c r="N9" s="285" t="inlineStr">
        <is>
          <t>DRSS Disabled</t>
        </is>
      </c>
      <c r="O9" s="115" t="n">
        <v>2</v>
      </c>
      <c r="T9" s="285" t="inlineStr">
        <is>
          <t>Single Output – 2  Phases</t>
        </is>
      </c>
      <c r="U9" s="115" t="n">
        <v>2</v>
      </c>
      <c r="W9" s="285" t="inlineStr">
        <is>
          <t>PFM</t>
        </is>
      </c>
      <c r="X9" s="115" t="n">
        <v>2</v>
      </c>
      <c r="Z9" s="285">
        <f>IF(MODE=1, "AEF Gain", "N/A - Do Not Use")</f>
        <v/>
      </c>
      <c r="AA9" s="115" t="n">
        <v>2</v>
      </c>
    </row>
    <row r="10">
      <c r="A10" s="209" t="n"/>
      <c r="B10" s="4" t="n"/>
      <c r="D10" s="113" t="n"/>
      <c r="I10" s="57" t="n"/>
      <c r="K10" s="519" t="inlineStr">
        <is>
          <t>PLOT_TYPE</t>
        </is>
      </c>
      <c r="L10" s="520" t="n">
        <v>1</v>
      </c>
      <c r="N10" s="519" t="inlineStr">
        <is>
          <t>DRSS Yes/No</t>
        </is>
      </c>
      <c r="O10" s="520" t="n">
        <v>1</v>
      </c>
      <c r="P10" s="113" t="inlineStr">
        <is>
          <t>1 = Yes, 2 = No</t>
        </is>
      </c>
      <c r="T10" s="285" t="inlineStr">
        <is>
          <t>Single Output – 3  Phases</t>
        </is>
      </c>
      <c r="U10" s="115" t="n">
        <v>3</v>
      </c>
      <c r="W10" s="519" t="inlineStr">
        <is>
          <t>FPWM/PFM</t>
        </is>
      </c>
      <c r="X10" s="520" t="n">
        <v>1</v>
      </c>
      <c r="Z10" s="519" t="inlineStr">
        <is>
          <t>BODE_PLOT_TYPE</t>
        </is>
      </c>
      <c r="AA10" s="520" t="n">
        <v>1</v>
      </c>
    </row>
    <row r="11">
      <c r="A11" s="56" t="inlineStr">
        <is>
          <t>Vout</t>
        </is>
      </c>
      <c r="B11" s="29">
        <f>'Design Regulator'!E9</f>
        <v/>
      </c>
      <c r="C11" t="inlineStr">
        <is>
          <t>V</t>
        </is>
      </c>
      <c r="D11" s="113" t="inlineStr">
        <is>
          <t>Output voltage - channel 1</t>
        </is>
      </c>
      <c r="I11" s="57" t="n"/>
      <c r="T11" s="285" t="inlineStr">
        <is>
          <t>Single Output – 4  Phases</t>
        </is>
      </c>
      <c r="U11" s="115" t="n">
        <v>4</v>
      </c>
      <c r="V11" s="113" t="n"/>
    </row>
    <row r="12">
      <c r="A12" s="56" t="inlineStr">
        <is>
          <t>Iout</t>
        </is>
      </c>
      <c r="B12" s="29">
        <f>'Design Regulator'!E10</f>
        <v/>
      </c>
      <c r="C12" t="inlineStr">
        <is>
          <t>A</t>
        </is>
      </c>
      <c r="D12" s="113" t="inlineStr">
        <is>
          <t>Output current - channel 1</t>
        </is>
      </c>
      <c r="I12" s="57" t="n">
        <v>1</v>
      </c>
      <c r="T12" s="519" t="inlineStr">
        <is>
          <t>Single/Dual Yes/No</t>
        </is>
      </c>
      <c r="U12" s="520" t="n">
        <v>1</v>
      </c>
      <c r="V12" s="113" t="n"/>
    </row>
    <row r="13">
      <c r="A13" s="209" t="n"/>
      <c r="D13" s="113" t="n"/>
      <c r="I13" s="57" t="n">
        <v>1</v>
      </c>
      <c r="K13" s="285" t="inlineStr">
        <is>
          <t>Adjustable</t>
        </is>
      </c>
      <c r="L13" s="115" t="n">
        <v>1</v>
      </c>
      <c r="N13" s="285" t="inlineStr">
        <is>
          <t>3.3V</t>
        </is>
      </c>
      <c r="O13" s="115" t="n">
        <v>1</v>
      </c>
      <c r="T13" s="561" t="inlineStr">
        <is>
          <t>MODE (Single/Dual), DUAL = 1, SINGLE = 2</t>
        </is>
      </c>
      <c r="U13" s="559">
        <f>IF(U12=1, 1, 2)</f>
        <v/>
      </c>
      <c r="V13" s="113" t="n"/>
      <c r="W13" s="285" t="inlineStr">
        <is>
          <t>VCCX Connected</t>
        </is>
      </c>
      <c r="X13" s="115" t="n">
        <v>1</v>
      </c>
    </row>
    <row r="14">
      <c r="A14" s="209" t="inlineStr">
        <is>
          <t>Rout</t>
        </is>
      </c>
      <c r="B14" s="973">
        <f>Vout/Iout</f>
        <v/>
      </c>
      <c r="C14" s="210" t="inlineStr">
        <is>
          <t>W</t>
        </is>
      </c>
      <c r="D14" s="113" t="inlineStr">
        <is>
          <t>Load resistance - Channel 1</t>
        </is>
      </c>
      <c r="I14" s="57" t="n"/>
      <c r="K14" s="285" t="inlineStr">
        <is>
          <t>5V</t>
        </is>
      </c>
      <c r="L14" s="115" t="n">
        <v>2</v>
      </c>
      <c r="N14" s="285" t="inlineStr">
        <is>
          <t>5V</t>
        </is>
      </c>
      <c r="O14" s="115" t="n">
        <v>2</v>
      </c>
      <c r="T14" s="287" t="inlineStr">
        <is>
          <t>SINGLE OUTPUT (1 = YES)</t>
        </is>
      </c>
      <c r="U14" s="562">
        <f>IF(U12=1, 2, 1)</f>
        <v/>
      </c>
      <c r="W14" s="285" t="inlineStr">
        <is>
          <t>No External VCC</t>
        </is>
      </c>
      <c r="X14" s="115" t="n">
        <v>2</v>
      </c>
    </row>
    <row r="15">
      <c r="A15" s="209" t="n"/>
      <c r="B15" s="973" t="n"/>
      <c r="C15" s="210" t="n"/>
      <c r="D15" s="113" t="n"/>
      <c r="I15" s="57" t="n"/>
      <c r="K15" s="285" t="inlineStr">
        <is>
          <t>3.3V</t>
        </is>
      </c>
      <c r="L15" s="115" t="n">
        <v>3</v>
      </c>
      <c r="N15" s="285" t="inlineStr">
        <is>
          <t>Adjustable</t>
        </is>
      </c>
      <c r="O15" s="115" t="n">
        <v>3</v>
      </c>
      <c r="T15" s="287" t="inlineStr">
        <is>
          <t>Number of Phases</t>
        </is>
      </c>
      <c r="U15" s="290">
        <f>SCH_MODE</f>
        <v/>
      </c>
      <c r="W15" s="519" t="inlineStr">
        <is>
          <t>Ext_VCC</t>
        </is>
      </c>
      <c r="X15" s="520" t="n">
        <v>1</v>
      </c>
    </row>
    <row r="16">
      <c r="A16" s="209" t="inlineStr">
        <is>
          <t>Pout</t>
        </is>
      </c>
      <c r="B16" s="284">
        <f>Vout*Iout</f>
        <v/>
      </c>
      <c r="C16" t="inlineStr">
        <is>
          <t>W</t>
        </is>
      </c>
      <c r="D16" s="113" t="inlineStr">
        <is>
          <t>Output power</t>
        </is>
      </c>
      <c r="I16" s="57" t="n"/>
      <c r="K16" s="285" t="inlineStr">
        <is>
          <t>12V</t>
        </is>
      </c>
      <c r="L16" s="115" t="n">
        <v>4</v>
      </c>
      <c r="N16" s="519" t="inlineStr">
        <is>
          <t>Output Setting</t>
        </is>
      </c>
      <c r="O16" s="520">
        <f>IF(Vout2=3.3, 1, IF(Vout2=5, 2, 3))</f>
        <v/>
      </c>
    </row>
    <row r="17">
      <c r="A17" s="209" t="n"/>
      <c r="D17" s="113" t="n"/>
      <c r="I17" s="57" t="n"/>
      <c r="K17" s="519" t="inlineStr">
        <is>
          <t>Output Voltage Setting</t>
        </is>
      </c>
      <c r="L17" s="520">
        <f>IF(Vout=3.3, 3, IF(Vout=5, 2,  IF(Vout=12,4,1)))</f>
        <v/>
      </c>
    </row>
    <row r="18">
      <c r="A18" s="209" t="inlineStr">
        <is>
          <t>Efficiency</t>
        </is>
      </c>
      <c r="B18" s="395" t="n">
        <v>0.9</v>
      </c>
      <c r="D18" s="113" t="inlineStr">
        <is>
          <t>Estimate of efficiency</t>
        </is>
      </c>
      <c r="I18" s="57" t="n"/>
      <c r="Y18" s="2" t="n"/>
    </row>
    <row r="19">
      <c r="A19" s="209" t="inlineStr">
        <is>
          <t>Pin</t>
        </is>
      </c>
      <c r="B19" s="974">
        <f>Pout/Efficiency</f>
        <v/>
      </c>
      <c r="C19" t="inlineStr">
        <is>
          <t>W</t>
        </is>
      </c>
      <c r="D19" s="113" t="inlineStr">
        <is>
          <t>Calculate input power assuming finite efficiency</t>
        </is>
      </c>
      <c r="I19" s="57" t="n"/>
      <c r="W19" s="285" t="n"/>
      <c r="Y19" s="2" t="n"/>
      <c r="Z19" s="44" t="inlineStr">
        <is>
          <t>Internal Compensation</t>
        </is>
      </c>
      <c r="AA19" s="115" t="n">
        <v>1</v>
      </c>
    </row>
    <row r="20">
      <c r="A20" s="209" t="n"/>
      <c r="D20" s="113" t="n"/>
      <c r="I20" s="57" t="n"/>
      <c r="W20" s="285" t="n"/>
      <c r="Z20" s="44" t="inlineStr">
        <is>
          <t>External Compensation</t>
        </is>
      </c>
      <c r="AA20" s="115" t="n">
        <v>2</v>
      </c>
    </row>
    <row r="21">
      <c r="A21" s="209" t="inlineStr">
        <is>
          <t>Iin_Vinmin</t>
        </is>
      </c>
      <c r="B21" s="296">
        <f>Pin/VIN_min</f>
        <v/>
      </c>
      <c r="C21" t="inlineStr">
        <is>
          <t>A</t>
        </is>
      </c>
      <c r="D21" s="113" t="n"/>
      <c r="I21" s="57" t="n"/>
      <c r="L21">
        <f>Vout</f>
        <v/>
      </c>
      <c r="W21" s="519" t="n"/>
      <c r="X21" s="350" t="n"/>
      <c r="Z21" s="519" t="inlineStr">
        <is>
          <t>COMP_TYPE</t>
        </is>
      </c>
      <c r="AA21" s="520" t="n">
        <v>2</v>
      </c>
    </row>
    <row r="22">
      <c r="A22" s="209" t="inlineStr">
        <is>
          <t>Iin_Vinnom</t>
        </is>
      </c>
      <c r="B22" s="296">
        <f>Pin/VIN_nom</f>
        <v/>
      </c>
      <c r="C22" t="inlineStr">
        <is>
          <t>A</t>
        </is>
      </c>
      <c r="D22" s="113" t="inlineStr">
        <is>
          <t>Input currents at min, nom, max Vin</t>
        </is>
      </c>
      <c r="H22">
        <f>AND(OSC=1, OR(Fsw/1000&gt;2530, Fsw/1000&lt;1800))</f>
        <v/>
      </c>
      <c r="I22" s="57" t="n"/>
    </row>
    <row r="23">
      <c r="A23" s="209" t="inlineStr">
        <is>
          <t>Iin_Vinmax</t>
        </is>
      </c>
      <c r="B23" s="296">
        <f>Pin/VIN_max</f>
        <v/>
      </c>
      <c r="C23" t="inlineStr">
        <is>
          <t>A</t>
        </is>
      </c>
      <c r="D23" s="113" t="n"/>
      <c r="H23">
        <f>AND(OSC=2, OR(Fsw/1000&gt;500, Fsw/1000&lt;300))</f>
        <v/>
      </c>
      <c r="I23" s="57" t="n"/>
    </row>
    <row r="24">
      <c r="A24" s="209" t="n"/>
      <c r="D24" s="113" t="n"/>
      <c r="H24">
        <f>OR(H22,H23)</f>
        <v/>
      </c>
      <c r="I24" s="57" t="n"/>
    </row>
    <row r="25">
      <c r="A25" s="585" t="inlineStr">
        <is>
          <t>OSC setting</t>
        </is>
      </c>
      <c r="B25" s="299">
        <f>CHOOSE(OSC, 2200, 440)</f>
        <v/>
      </c>
      <c r="C25" s="113" t="inlineStr">
        <is>
          <t>kHz</t>
        </is>
      </c>
      <c r="I25" s="57" t="n"/>
      <c r="K25" s="285" t="inlineStr">
        <is>
          <t>SetVout_IntComp_nAEF</t>
        </is>
      </c>
      <c r="L25" s="115" t="n">
        <v>1</v>
      </c>
      <c r="P25" s="285" t="inlineStr">
        <is>
          <t>LM5148</t>
        </is>
      </c>
      <c r="Q25" s="290" t="n">
        <v>1</v>
      </c>
      <c r="W25" s="285" t="inlineStr">
        <is>
          <t>No Input Filter</t>
        </is>
      </c>
      <c r="X25" t="n">
        <v>1</v>
      </c>
      <c r="Z25" s="285" t="inlineStr">
        <is>
          <t>UVLO Divider</t>
        </is>
      </c>
      <c r="AA25" s="115" t="n">
        <v>1</v>
      </c>
    </row>
    <row r="26">
      <c r="A26" s="58" t="inlineStr">
        <is>
          <t>Fsw</t>
        </is>
      </c>
      <c r="B26" s="252">
        <f>'Design Regulator'!E11*1000</f>
        <v/>
      </c>
      <c r="C26" s="113" t="inlineStr">
        <is>
          <t>Hz</t>
        </is>
      </c>
      <c r="D26" s="113" t="inlineStr">
        <is>
          <t>Nominal switching frequency - determines RT resistor (SYNCIN must be 80-120% of this)</t>
        </is>
      </c>
      <c r="I26" s="57" t="n"/>
      <c r="K26" s="285" t="inlineStr">
        <is>
          <t>SetVout_IntComp_AEF</t>
        </is>
      </c>
      <c r="L26" s="115" t="n">
        <v>2</v>
      </c>
      <c r="P26" s="285" t="inlineStr">
        <is>
          <t>LM5148-Q1</t>
        </is>
      </c>
      <c r="Q26" s="290" t="n">
        <v>2</v>
      </c>
      <c r="W26" s="285" t="inlineStr">
        <is>
          <t>AEF Input Filter</t>
        </is>
      </c>
      <c r="X26" t="n">
        <v>2</v>
      </c>
      <c r="Z26" s="285" t="inlineStr">
        <is>
          <t>No UVLO Divider</t>
        </is>
      </c>
      <c r="AA26" s="115" t="n">
        <v>2</v>
      </c>
    </row>
    <row r="27">
      <c r="A27" s="113" t="inlineStr">
        <is>
          <t>RT resistor to AGND</t>
        </is>
      </c>
      <c r="B27" s="975">
        <f>((1000000000/Fsw)-53)/45+0.1</f>
        <v/>
      </c>
      <c r="C27" s="45" t="inlineStr">
        <is>
          <t>kΩ</t>
        </is>
      </c>
      <c r="D27" s="113" t="n"/>
      <c r="I27" s="57" t="n"/>
      <c r="K27" s="285" t="inlineStr">
        <is>
          <t>SetVout_ExtComp_nAEF</t>
        </is>
      </c>
      <c r="L27" s="115" t="n">
        <v>3</v>
      </c>
      <c r="O27" s="285" t="n"/>
      <c r="P27" s="285" t="inlineStr">
        <is>
          <t>LM25148</t>
        </is>
      </c>
      <c r="Q27" s="290" t="n">
        <v>3</v>
      </c>
      <c r="W27" s="285" t="inlineStr">
        <is>
          <t>Passive LC Filter</t>
        </is>
      </c>
      <c r="X27" t="n">
        <v>3</v>
      </c>
      <c r="Z27" s="519" t="inlineStr">
        <is>
          <t>UVLO_TYPE</t>
        </is>
      </c>
      <c r="AA27" s="115" t="n">
        <v>1</v>
      </c>
    </row>
    <row r="28">
      <c r="A28" s="113" t="n"/>
      <c r="B28" s="976" t="n"/>
      <c r="C28" s="45" t="inlineStr">
        <is>
          <t>kΩ</t>
        </is>
      </c>
      <c r="D28" s="113" t="n"/>
      <c r="F28" s="113" t="n"/>
      <c r="I28" s="57" t="n">
        <v>1</v>
      </c>
      <c r="K28" s="285" t="inlineStr">
        <is>
          <t>SetVout_ExtComp_AEF</t>
        </is>
      </c>
      <c r="L28" s="115" t="n">
        <v>4</v>
      </c>
      <c r="O28" s="285" t="n"/>
      <c r="P28" s="285" t="inlineStr">
        <is>
          <t>LM25148-Q1</t>
        </is>
      </c>
      <c r="Q28" s="290" t="n">
        <v>4</v>
      </c>
      <c r="W28" s="519" t="inlineStr">
        <is>
          <t>INFILTER_TYPE</t>
        </is>
      </c>
      <c r="X28" t="n">
        <v>1</v>
      </c>
    </row>
    <row r="29">
      <c r="A29" s="209" t="inlineStr">
        <is>
          <t>Tsw</t>
        </is>
      </c>
      <c r="B29" s="512">
        <f>1/Fsw</f>
        <v/>
      </c>
      <c r="C29" s="113" t="inlineStr">
        <is>
          <t>sec</t>
        </is>
      </c>
      <c r="D29" s="113" t="inlineStr">
        <is>
          <t>Switching period</t>
        </is>
      </c>
      <c r="I29" s="57" t="n"/>
      <c r="K29" s="285" t="inlineStr">
        <is>
          <t>AdjVout_IntComp_nAEF</t>
        </is>
      </c>
      <c r="L29" s="115" t="n">
        <v>5</v>
      </c>
      <c r="O29" s="520" t="inlineStr">
        <is>
          <t>VARIANT</t>
        </is>
      </c>
      <c r="P29" s="287">
        <f>CHOOSE(VARIANT, "LM5148", "LM5148-Q1", "LM25148", "LM25148-Q1")</f>
        <v/>
      </c>
      <c r="Q29" s="520" t="n">
        <v>1</v>
      </c>
    </row>
    <row r="30">
      <c r="A30" s="58" t="inlineStr">
        <is>
          <t>Vref</t>
        </is>
      </c>
      <c r="B30" s="59" t="n">
        <v>0.8</v>
      </c>
      <c r="C30" t="inlineStr">
        <is>
          <t>V</t>
        </is>
      </c>
      <c r="D30" s="113" t="inlineStr">
        <is>
          <t>Reference voltage</t>
        </is>
      </c>
      <c r="I30" s="57" t="n"/>
      <c r="K30" s="285" t="inlineStr">
        <is>
          <t>AdjVout_IntComp_AEF</t>
        </is>
      </c>
      <c r="L30" s="115" t="n">
        <v>6</v>
      </c>
      <c r="O30" s="520" t="inlineStr">
        <is>
          <t>VIN-MAX</t>
        </is>
      </c>
      <c r="P30" s="287">
        <f>CHOOSE(VARIANT, 80, 80, 42, 42)</f>
        <v/>
      </c>
      <c r="Q30" t="inlineStr">
        <is>
          <t>V</t>
        </is>
      </c>
    </row>
    <row r="31" ht="13.5" customHeight="1" thickBot="1">
      <c r="A31" s="626" t="inlineStr">
        <is>
          <t>Rt</t>
        </is>
      </c>
      <c r="B31" s="977">
        <f>'Standard Value Calculator'!S12/1000</f>
        <v/>
      </c>
      <c r="C31" s="45" t="inlineStr">
        <is>
          <t>kΩ</t>
        </is>
      </c>
      <c r="D31" s="627" t="inlineStr">
        <is>
          <t>Frequency set resistor</t>
        </is>
      </c>
      <c r="E31" s="371" t="n"/>
      <c r="F31" s="628">
        <f>IF(OR((Fsw=440000),(Fsw=2200000)),"N/A",Rfadj/1000)</f>
        <v/>
      </c>
      <c r="G31" s="371" t="n"/>
      <c r="H31" s="371" t="n"/>
      <c r="I31" s="546" t="n"/>
      <c r="K31" s="285" t="inlineStr">
        <is>
          <t>AdjVout_ExtComp_nAEF</t>
        </is>
      </c>
      <c r="L31" s="115" t="n">
        <v>7</v>
      </c>
      <c r="O31" s="113" t="inlineStr">
        <is>
          <t>VOUT-MAX</t>
        </is>
      </c>
      <c r="P31" s="285">
        <f>CHOOSE(VARIANT, 60, 60, 36, 36)</f>
        <v/>
      </c>
      <c r="Q31" s="113" t="inlineStr">
        <is>
          <t>V</t>
        </is>
      </c>
    </row>
    <row r="32">
      <c r="K32" s="285" t="inlineStr">
        <is>
          <t>AdjVout_ExtComp_AEF</t>
        </is>
      </c>
      <c r="L32" s="115" t="n">
        <v>8</v>
      </c>
      <c r="O32" s="285" t="n"/>
      <c r="P32" s="115" t="n"/>
    </row>
    <row r="33" ht="16.5" customHeight="1" thickBot="1">
      <c r="A33" s="509" t="inlineStr">
        <is>
          <t>Step 2: Buck Inductor</t>
        </is>
      </c>
      <c r="B33" s="2" t="inlineStr">
        <is>
          <t>Channel 1</t>
        </is>
      </c>
      <c r="D33" s="2" t="n"/>
      <c r="K33" s="519" t="inlineStr">
        <is>
          <t>Schematic setting</t>
        </is>
      </c>
      <c r="L33" s="520">
        <f>(IF(OR(Vout=3.3,Vout=5,Vout=12),CHOOSE(COMP_TYPE,IF(INFILTER_TYPE=1,1,2),IF(INFILTER_TYPE=1,3,4)),CHOOSE(COMP_TYPE,IF(INFILTER_TYPE=1,5,6),IF(INFILTER_TYPE=1,7,8))))</f>
        <v/>
      </c>
      <c r="O33" s="285" t="n"/>
      <c r="P33" s="115" t="n"/>
    </row>
    <row r="34">
      <c r="A34" s="208" t="inlineStr">
        <is>
          <t>Don1</t>
        </is>
      </c>
      <c r="B34" s="280">
        <f>Vout/VIN_nom</f>
        <v/>
      </c>
      <c r="C34" s="978" t="n"/>
      <c r="D34" s="283" t="n"/>
      <c r="E34" s="283" t="n"/>
      <c r="F34" s="116" t="inlineStr">
        <is>
          <t>Ideal Duty Cycle at VIN(nom)</t>
        </is>
      </c>
      <c r="G34" s="63" t="n"/>
      <c r="H34" s="63" t="n"/>
      <c r="I34" s="64" t="n"/>
      <c r="O34" s="285" t="n"/>
      <c r="P34" s="115" t="n"/>
    </row>
    <row r="35">
      <c r="A35" s="209" t="inlineStr">
        <is>
          <t>Doff1</t>
        </is>
      </c>
      <c r="B35" s="281">
        <f>1-34:34</f>
        <v/>
      </c>
      <c r="F35" s="113" t="inlineStr">
        <is>
          <t>Ideal 1- Duty Cycle at VIN(nom)</t>
        </is>
      </c>
      <c r="I35" s="57" t="n"/>
      <c r="O35" s="285" t="n"/>
      <c r="P35" s="115" t="n"/>
    </row>
    <row r="36">
      <c r="A36" s="113" t="n"/>
      <c r="E36" s="113" t="n"/>
      <c r="I36" s="57" t="n"/>
    </row>
    <row r="37">
      <c r="A37" s="209" t="inlineStr">
        <is>
          <t>D_Vinmin</t>
        </is>
      </c>
      <c r="B37" s="979">
        <f>Vout/VIN_min</f>
        <v/>
      </c>
      <c r="D37" s="980" t="n"/>
      <c r="E37" s="113" t="n"/>
      <c r="I37" s="57" t="n"/>
    </row>
    <row r="38">
      <c r="A38" s="209" t="inlineStr">
        <is>
          <t>D_Vinnom</t>
        </is>
      </c>
      <c r="B38" s="979">
        <f>Vout/VIN_nom</f>
        <v/>
      </c>
      <c r="D38" s="980" t="n"/>
      <c r="I38" s="57" t="n"/>
    </row>
    <row r="39">
      <c r="A39" s="209" t="inlineStr">
        <is>
          <t>D_Vinmax</t>
        </is>
      </c>
      <c r="B39" s="979">
        <f>Vout/VIN_max</f>
        <v/>
      </c>
      <c r="D39" s="980" t="n"/>
      <c r="E39" s="113" t="n"/>
      <c r="I39" s="57" t="n"/>
    </row>
    <row r="40">
      <c r="A40" s="113" t="n"/>
      <c r="B40" s="980" t="n"/>
      <c r="C40" s="113" t="n"/>
      <c r="E40" s="113" t="n"/>
      <c r="I40" s="57" t="n"/>
    </row>
    <row r="41">
      <c r="A41" s="113" t="inlineStr">
        <is>
          <t>L_Vinnom</t>
        </is>
      </c>
      <c r="B41" s="282">
        <f>(VIN_nom-Vout)*D1_Vinnom/(Fsw*(Iout/Number_of_Phases)*0.3)</f>
        <v/>
      </c>
      <c r="C41" t="inlineStr">
        <is>
          <t>H</t>
        </is>
      </c>
      <c r="D41" s="46" t="n"/>
      <c r="F41" s="113" t="inlineStr">
        <is>
          <t>Calculated inductance for 35% ripple at VIN(nom)</t>
        </is>
      </c>
      <c r="I41" s="57" t="n"/>
    </row>
    <row r="42">
      <c r="A42" s="113" t="inlineStr">
        <is>
          <t>L_slopecomp</t>
        </is>
      </c>
      <c r="B42" s="282">
        <f>1000*Vout*Rs/22.72/Fsw</f>
        <v/>
      </c>
      <c r="C42" t="inlineStr">
        <is>
          <t>H</t>
        </is>
      </c>
      <c r="D42" s="46" t="n"/>
      <c r="F42" s="113" t="inlineStr">
        <is>
          <t>Calculated inductance based on one times inductor downslope</t>
        </is>
      </c>
      <c r="I42" s="57" t="n"/>
    </row>
    <row r="43">
      <c r="A43" s="113" t="n"/>
      <c r="C43" s="113" t="n"/>
      <c r="E43" s="113" t="n"/>
      <c r="I43" s="57" t="n"/>
    </row>
    <row r="44">
      <c r="A44" s="209" t="inlineStr">
        <is>
          <t>Lopt</t>
        </is>
      </c>
      <c r="B44" s="282">
        <f>B42</f>
        <v/>
      </c>
      <c r="C44" t="inlineStr">
        <is>
          <t>H</t>
        </is>
      </c>
      <c r="D44" s="30" t="n"/>
      <c r="E44" s="113" t="n"/>
      <c r="F44" s="113" t="inlineStr">
        <is>
          <t>Slope comp</t>
        </is>
      </c>
      <c r="I44" s="57" t="n"/>
    </row>
    <row r="45">
      <c r="A45" s="209" t="n"/>
      <c r="E45" s="113" t="n"/>
      <c r="I45" s="57" t="n"/>
    </row>
    <row r="46">
      <c r="A46" s="209" t="inlineStr">
        <is>
          <t>Lo</t>
        </is>
      </c>
      <c r="B46" s="72">
        <f>'Design Regulator'!E27/1000000</f>
        <v/>
      </c>
      <c r="C46" t="inlineStr">
        <is>
          <t>H</t>
        </is>
      </c>
      <c r="D46" s="30" t="n"/>
      <c r="F46" s="113" t="inlineStr">
        <is>
          <t>Chosen inductance</t>
        </is>
      </c>
      <c r="I46" s="57" t="n"/>
    </row>
    <row r="47">
      <c r="A47" s="209" t="inlineStr">
        <is>
          <t>Rdcr</t>
        </is>
      </c>
      <c r="B47" s="29">
        <f>'Design Regulator'!E28/1000</f>
        <v/>
      </c>
      <c r="C47" s="210" t="inlineStr">
        <is>
          <t>W</t>
        </is>
      </c>
      <c r="E47" s="210" t="n"/>
      <c r="F47" s="113" t="inlineStr">
        <is>
          <t>Chosen inductor DCR</t>
        </is>
      </c>
      <c r="I47" s="57" t="n"/>
    </row>
    <row r="48">
      <c r="A48" s="209" t="n"/>
      <c r="B48" s="113" t="n"/>
      <c r="C48" s="113" t="n"/>
      <c r="D48" s="113" t="n"/>
      <c r="E48" s="113" t="n"/>
      <c r="I48" s="57" t="n"/>
    </row>
    <row r="49">
      <c r="A49" s="209" t="inlineStr">
        <is>
          <t>Don2</t>
        </is>
      </c>
      <c r="B49" s="979">
        <f>(Vout+Iout*(Rdcr+Rs))/(Vin+Iout*Rs)</f>
        <v/>
      </c>
      <c r="I49" s="57" t="n"/>
    </row>
    <row r="50">
      <c r="A50" s="209" t="inlineStr">
        <is>
          <t>Doff2</t>
        </is>
      </c>
      <c r="B50" s="979">
        <f>1-_Don2</f>
        <v/>
      </c>
      <c r="I50" s="57" t="n"/>
    </row>
    <row r="51">
      <c r="A51" s="209" t="n"/>
      <c r="I51" s="57" t="n"/>
    </row>
    <row r="52">
      <c r="A52" s="209" t="inlineStr">
        <is>
          <t>D_Vinmin_2</t>
        </is>
      </c>
      <c r="B52" s="979">
        <f>CHOOSE(MODE, (Vout+Iout*(Rdcr+Rs))/(VIN_min+Iout*Rs), (Vout+Iout/Number_of_Phases*(Rdcr+Rs))/(VIN_min+Iout/Number_of_Phases*Rs))</f>
        <v/>
      </c>
      <c r="D52" s="980" t="n"/>
      <c r="F52" s="113" t="inlineStr">
        <is>
          <t>Duty cycles adjusted for DCR/shunt voltage drops</t>
        </is>
      </c>
      <c r="I52" s="57" t="n"/>
    </row>
    <row r="53" ht="15.75" customHeight="1">
      <c r="A53" s="209" t="inlineStr">
        <is>
          <t>D_Vinnom_2</t>
        </is>
      </c>
      <c r="B53" s="979">
        <f>CHOOSE(MODE, (Vout+Iout*(Rdcr+Rs))/(VIN_nom+Iout*Rs), (Vout+Iout/Number_of_Phases*(Rdcr+Rs))/(VIN_nom+Iout/Number_of_Phases*Rs))</f>
        <v/>
      </c>
      <c r="D53" s="980" t="n"/>
      <c r="F53" s="366" t="inlineStr">
        <is>
          <t>need to include RDS(on) later</t>
        </is>
      </c>
      <c r="I53" s="57" t="n"/>
    </row>
    <row r="54">
      <c r="A54" s="209" t="inlineStr">
        <is>
          <t>D_Vinmax_2</t>
        </is>
      </c>
      <c r="B54" s="979">
        <f>CHOOSE(MODE, (Vout+Iout*(Rdcr+Rs))/(VIN_max+Iout*Rs), (Vout+Iout/Number_of_Phases*(Rdcr+Rs))/(VIN_max+Iout/Number_of_Phases*Rs))</f>
        <v/>
      </c>
      <c r="D54" s="980" t="n"/>
      <c r="I54" s="57" t="n"/>
    </row>
    <row r="55">
      <c r="A55" s="209" t="n"/>
      <c r="I55" s="57" t="n"/>
    </row>
    <row r="56">
      <c r="A56" s="209" t="inlineStr">
        <is>
          <t>Iripple_Vinmin</t>
        </is>
      </c>
      <c r="B56" s="505">
        <f>(VIN_min-Vout)*D1_Vinmin_2/(Fsw*Lf)</f>
        <v/>
      </c>
      <c r="C56" s="113" t="inlineStr">
        <is>
          <t>A</t>
        </is>
      </c>
      <c r="D56" s="547" t="n"/>
      <c r="E56" s="113" t="n"/>
      <c r="G56" s="30" t="n"/>
      <c r="I56" s="57" t="n"/>
    </row>
    <row r="57">
      <c r="A57" s="209" t="inlineStr">
        <is>
          <t>Iripple_Vinnom</t>
        </is>
      </c>
      <c r="B57" s="505">
        <f>(VIN_nom-Vout)*D1_Vinnom_2/(Fsw*Lf)</f>
        <v/>
      </c>
      <c r="C57" s="113" t="inlineStr">
        <is>
          <t>A</t>
        </is>
      </c>
      <c r="D57" s="547" t="n"/>
      <c r="E57" s="113" t="n"/>
      <c r="I57" s="57" t="n"/>
    </row>
    <row r="58">
      <c r="A58" s="209" t="inlineStr">
        <is>
          <t>Iripple_Vinmax</t>
        </is>
      </c>
      <c r="B58" s="505">
        <f>(VIN_max-Vout)*D1_Vinmax_2/(Fsw*Lf)</f>
        <v/>
      </c>
      <c r="C58" s="113" t="inlineStr">
        <is>
          <t>A</t>
        </is>
      </c>
      <c r="D58" s="547" t="n"/>
      <c r="E58" s="113" t="n"/>
      <c r="I58" s="57" t="n"/>
    </row>
    <row r="59">
      <c r="A59" s="209" t="n"/>
      <c r="B59" s="547" t="n"/>
      <c r="D59" s="981" t="n"/>
      <c r="E59" s="113" t="n"/>
      <c r="I59" s="57" t="n"/>
    </row>
    <row r="60">
      <c r="A60" s="209" t="inlineStr">
        <is>
          <t>Ishunt_rms_Vinmin</t>
        </is>
      </c>
      <c r="B60" s="549">
        <f>SQRT((Iout/Number_of_Phases)^2+(Iripple_Vinmin^2)/12)</f>
        <v/>
      </c>
      <c r="C60" s="113" t="inlineStr">
        <is>
          <t>A</t>
        </is>
      </c>
      <c r="D60" s="4" t="n"/>
      <c r="E60" s="113" t="n"/>
      <c r="F60" s="982" t="n"/>
      <c r="I60" s="57" t="n"/>
    </row>
    <row r="61">
      <c r="A61" s="209" t="inlineStr">
        <is>
          <t>Ishunt_rms_Vinnom</t>
        </is>
      </c>
      <c r="B61" s="549">
        <f>SQRT((Iout/Number_of_Phases)^2+(Iripple_Vinnom^2)/12)</f>
        <v/>
      </c>
      <c r="C61" s="113" t="inlineStr">
        <is>
          <t>A</t>
        </is>
      </c>
      <c r="D61" s="4" t="n"/>
      <c r="E61" s="113" t="n"/>
      <c r="F61" s="982" t="n"/>
      <c r="I61" s="57" t="n"/>
    </row>
    <row r="62">
      <c r="A62" s="209" t="inlineStr">
        <is>
          <t>Ishunt_rms_Vinmax</t>
        </is>
      </c>
      <c r="B62" s="549">
        <f>SQRT((Iout/Number_of_Phases)^2+(Iripple_Vinmax^2)/12)</f>
        <v/>
      </c>
      <c r="C62" s="113" t="inlineStr">
        <is>
          <t>A</t>
        </is>
      </c>
      <c r="D62" s="4" t="n"/>
      <c r="E62" s="113" t="n"/>
      <c r="F62" s="982" t="n"/>
      <c r="I62" s="57" t="n"/>
    </row>
    <row r="63">
      <c r="A63" s="209" t="inlineStr">
        <is>
          <t>Max shunt power loss at full load</t>
        </is>
      </c>
      <c r="B63" s="983">
        <f>B61^2*Rs</f>
        <v/>
      </c>
      <c r="C63" s="113" t="inlineStr">
        <is>
          <t>W</t>
        </is>
      </c>
      <c r="D63" s="984" t="n"/>
      <c r="E63" s="113" t="n"/>
      <c r="F63" s="984" t="inlineStr">
        <is>
          <t>Note this is power loss at full load - not loss near OCP!</t>
        </is>
      </c>
      <c r="I63" s="57" t="n"/>
    </row>
    <row r="64">
      <c r="A64" s="209" t="n"/>
      <c r="B64" s="113" t="n"/>
      <c r="C64" s="113" t="n"/>
      <c r="D64" s="113" t="n"/>
      <c r="I64" s="57" t="n"/>
    </row>
    <row r="65">
      <c r="A65" s="209" t="inlineStr">
        <is>
          <t>Max inductor ripple current</t>
        </is>
      </c>
      <c r="B65" s="985">
        <f>MAX(B56:B58)</f>
        <v/>
      </c>
      <c r="C65" s="984" t="inlineStr">
        <is>
          <t>A</t>
        </is>
      </c>
      <c r="D65" s="981" t="n"/>
      <c r="E65" s="113" t="n"/>
      <c r="F65" s="113" t="inlineStr">
        <is>
          <t>Ripple current at Vin(max)</t>
        </is>
      </c>
      <c r="I65" s="57" t="n"/>
    </row>
    <row r="66">
      <c r="A66" s="209" t="n"/>
      <c r="B66" s="113" t="n"/>
      <c r="C66" s="113" t="n"/>
      <c r="D66" s="113" t="n"/>
      <c r="F66" s="113" t="n"/>
      <c r="G66" s="285" t="n"/>
      <c r="I66" s="57" t="n"/>
    </row>
    <row r="67">
      <c r="B67" s="986">
        <f>B56/(Iout/Number_of_Phases)</f>
        <v/>
      </c>
      <c r="C67" s="987" t="n"/>
      <c r="D67" s="987" t="n"/>
      <c r="F67" s="4" t="n"/>
      <c r="G67" s="397" t="n"/>
      <c r="I67" s="57" t="n"/>
    </row>
    <row r="68">
      <c r="A68" s="209" t="inlineStr">
        <is>
          <t>% ripple current</t>
        </is>
      </c>
      <c r="B68" s="986">
        <f>B57/(Iout/Number_of_Phases)</f>
        <v/>
      </c>
      <c r="D68" s="987" t="n"/>
      <c r="F68" s="4" t="n"/>
      <c r="G68" s="397" t="n"/>
      <c r="I68" s="57" t="n"/>
    </row>
    <row r="69">
      <c r="A69" s="209" t="n"/>
      <c r="B69" s="986">
        <f>B58/(Iout/Number_of_Phases)</f>
        <v/>
      </c>
      <c r="D69" s="987" t="n"/>
      <c r="F69" s="4" t="n"/>
      <c r="G69" s="397" t="n"/>
      <c r="I69" s="57" t="n"/>
    </row>
    <row r="70">
      <c r="A70" s="209" t="n"/>
      <c r="I70" s="57" t="n"/>
    </row>
    <row r="71">
      <c r="A71" s="113" t="inlineStr">
        <is>
          <t>Inductor copper temerature</t>
        </is>
      </c>
      <c r="B71" s="395" t="n">
        <v>100</v>
      </c>
      <c r="C71" s="113" t="inlineStr">
        <is>
          <t>°C</t>
        </is>
      </c>
      <c r="D71" s="113" t="n"/>
      <c r="E71" s="113" t="n"/>
      <c r="I71" s="57" t="n"/>
    </row>
    <row r="72">
      <c r="A72" s="209" t="inlineStr">
        <is>
          <t>DCR at hot</t>
        </is>
      </c>
      <c r="B72" s="988">
        <f>Rdcr*(1+0.0039*(B71-25))</f>
        <v/>
      </c>
      <c r="C72" s="210" t="inlineStr">
        <is>
          <t>W</t>
        </is>
      </c>
      <c r="D72" s="989" t="n"/>
      <c r="E72" s="210" t="n"/>
      <c r="I72" s="57" t="n"/>
    </row>
    <row r="73" ht="13.5" customHeight="1" thickBot="1">
      <c r="A73" s="303" t="inlineStr">
        <is>
          <t>Core loss</t>
        </is>
      </c>
      <c r="B73" s="289">
        <f>'Design Regulator'!E30</f>
        <v/>
      </c>
      <c r="C73" s="117" t="inlineStr">
        <is>
          <t>W</t>
        </is>
      </c>
      <c r="D73" s="61" t="n"/>
      <c r="E73" s="61" t="n"/>
      <c r="F73" s="61" t="n"/>
      <c r="G73" s="61" t="n"/>
      <c r="H73" s="61" t="n"/>
      <c r="I73" s="62" t="n"/>
    </row>
    <row r="74">
      <c r="A74" s="2" t="n"/>
      <c r="B74" s="1" t="n"/>
      <c r="C74" s="1" t="n"/>
    </row>
    <row r="75" ht="16.5" customHeight="1" thickBot="1">
      <c r="A75" s="509" t="inlineStr">
        <is>
          <t>Step 3: Sense Resistors, Slope Comp, Current Limit</t>
        </is>
      </c>
      <c r="B75" s="1" t="n"/>
      <c r="C75" s="1" t="n"/>
    </row>
    <row r="76">
      <c r="A76" s="90" t="n"/>
      <c r="B76" s="63" t="n"/>
      <c r="C76" s="63" t="n"/>
      <c r="D76" s="63" t="n"/>
      <c r="E76" s="63" t="n"/>
      <c r="F76" s="63" t="n"/>
      <c r="G76" s="63" t="n"/>
      <c r="H76" s="63" t="n"/>
      <c r="I76" s="64" t="n"/>
    </row>
    <row r="77">
      <c r="A77" s="209" t="inlineStr">
        <is>
          <t>Ilimit_DC</t>
        </is>
      </c>
      <c r="B77" s="29">
        <f>'Design Regulator'!E16</f>
        <v/>
      </c>
      <c r="C77" t="inlineStr">
        <is>
          <t>A</t>
        </is>
      </c>
      <c r="E77" s="113" t="n"/>
      <c r="F77" s="113" t="inlineStr">
        <is>
          <t>Chosen OCP level - based on output current</t>
        </is>
      </c>
      <c r="I77" s="57" t="n"/>
      <c r="K77" s="113" t="n"/>
      <c r="N77" s="113" t="n"/>
    </row>
    <row r="78">
      <c r="A78" s="209" t="n"/>
      <c r="I78" s="57" t="n"/>
      <c r="K78" s="113" t="n"/>
      <c r="L78" s="113" t="n"/>
    </row>
    <row r="79">
      <c r="A79" s="209" t="inlineStr">
        <is>
          <t>Ilimit_inductor_Vinmin</t>
        </is>
      </c>
      <c r="B79" s="296">
        <f>CHOOSE(MODE, Ilimit_DC+Iripple_Vinmin/2, Ilimit_DC/Number_of_Phases+Iripple_Vinmin/2)</f>
        <v/>
      </c>
      <c r="C79" t="inlineStr">
        <is>
          <t>A</t>
        </is>
      </c>
      <c r="D79" s="4" t="n"/>
      <c r="E79" s="113" t="n"/>
      <c r="F79" s="113" t="inlineStr">
        <is>
          <t>Peak inductor current at current limit inception</t>
        </is>
      </c>
      <c r="I79" s="57" t="n"/>
      <c r="K79" s="4" t="n"/>
      <c r="L79" s="4" t="n"/>
      <c r="N79" s="989" t="n"/>
      <c r="P79" s="989" t="n"/>
    </row>
    <row r="80">
      <c r="A80" s="209" t="inlineStr">
        <is>
          <t>Ilimit_inductor_Vinnom</t>
        </is>
      </c>
      <c r="B80" s="296">
        <f>CHOOSE(MODE, Ilimit_DC+Iripple_Vinnom/2, Ilimit_DC/Number_of_Phases+Iripple_Vinnom/2)</f>
        <v/>
      </c>
      <c r="C80" t="inlineStr">
        <is>
          <t>A</t>
        </is>
      </c>
      <c r="D80" s="4" t="n"/>
      <c r="E80" s="113" t="n"/>
      <c r="I80" s="57" t="n"/>
      <c r="K80" s="4" t="n"/>
      <c r="L80" s="4" t="n"/>
      <c r="N80" s="989" t="n"/>
      <c r="P80" s="989" t="n"/>
    </row>
    <row r="81">
      <c r="A81" s="209" t="inlineStr">
        <is>
          <t>Ilimit_inductor_Vinmax</t>
        </is>
      </c>
      <c r="B81" s="296">
        <f>CHOOSE(MODE, Ilimit_DC+Iripple_Vinmax/2, Ilimit_DC/Number_of_Phases+Iripple_Vinmax/2)</f>
        <v/>
      </c>
      <c r="C81" t="inlineStr">
        <is>
          <t>A</t>
        </is>
      </c>
      <c r="D81" s="4" t="n"/>
      <c r="E81" s="113" t="n"/>
      <c r="I81" s="57" t="n"/>
      <c r="K81" s="4" t="n"/>
      <c r="L81" s="4" t="n"/>
      <c r="N81" s="989" t="n"/>
      <c r="P81" s="989" t="n"/>
    </row>
    <row r="82">
      <c r="A82" s="209" t="n"/>
      <c r="B82" s="4" t="n"/>
      <c r="C82" s="113" t="n"/>
      <c r="D82" s="113" t="n"/>
      <c r="I82" s="57" t="n"/>
    </row>
    <row r="83">
      <c r="I83" s="57" t="n"/>
    </row>
    <row r="84">
      <c r="A84" s="209" t="inlineStr">
        <is>
          <t>CS threshold_min</t>
        </is>
      </c>
      <c r="B84" s="990" t="n">
        <v>0.052</v>
      </c>
      <c r="C84" s="113" t="inlineStr">
        <is>
          <t>V</t>
        </is>
      </c>
      <c r="E84" s="113" t="n"/>
      <c r="I84" s="57" t="n"/>
    </row>
    <row r="85">
      <c r="A85" s="209" t="inlineStr">
        <is>
          <t>CS threshold</t>
        </is>
      </c>
      <c r="B85" s="990" t="n">
        <v>0.06</v>
      </c>
      <c r="C85" s="113" t="inlineStr">
        <is>
          <t>V</t>
        </is>
      </c>
      <c r="E85" s="113" t="n"/>
      <c r="F85" s="2" t="n"/>
      <c r="I85" s="57" t="n"/>
    </row>
    <row r="86">
      <c r="A86" s="209" t="inlineStr">
        <is>
          <t>CS threshold_max</t>
        </is>
      </c>
      <c r="B86" s="990" t="n">
        <v>0.068</v>
      </c>
      <c r="C86" s="113" t="inlineStr">
        <is>
          <t>V</t>
        </is>
      </c>
      <c r="E86" s="113" t="n"/>
      <c r="I86" s="57" t="n"/>
    </row>
    <row r="87">
      <c r="A87" s="209" t="n"/>
      <c r="B87" s="982" t="n"/>
      <c r="C87" s="113" t="n"/>
      <c r="E87" s="113" t="n"/>
      <c r="I87" s="57" t="n"/>
    </row>
    <row r="88">
      <c r="A88" s="209" t="inlineStr">
        <is>
          <t>Shunt required to get OCP at VIN(min)</t>
        </is>
      </c>
      <c r="B88" s="991">
        <f>Buck_CS_threshold/B79</f>
        <v/>
      </c>
      <c r="C88" s="210" t="inlineStr">
        <is>
          <t>W</t>
        </is>
      </c>
      <c r="D88" s="989" t="n"/>
      <c r="E88" s="210" t="n"/>
      <c r="I88" s="57" t="n"/>
    </row>
    <row r="89">
      <c r="A89" s="209" t="inlineStr">
        <is>
          <t>Shunt required to get OCP at VIN(nom)</t>
        </is>
      </c>
      <c r="B89" s="991">
        <f>Buck_CS_threshold/B80</f>
        <v/>
      </c>
      <c r="C89" s="210" t="inlineStr">
        <is>
          <t>W</t>
        </is>
      </c>
      <c r="D89" s="989" t="n"/>
      <c r="E89" s="210" t="n"/>
      <c r="I89" s="57" t="n"/>
    </row>
    <row r="90">
      <c r="A90" s="209" t="inlineStr">
        <is>
          <t>Shunt required to get OCP at VIN(max)</t>
        </is>
      </c>
      <c r="B90" s="991">
        <f>Buck_CS_threshold/B81</f>
        <v/>
      </c>
      <c r="C90" s="210" t="inlineStr">
        <is>
          <t>W</t>
        </is>
      </c>
      <c r="D90" s="989" t="n"/>
      <c r="E90" s="210" t="n"/>
      <c r="I90" s="57" t="n"/>
    </row>
    <row r="91">
      <c r="A91" s="209" t="n"/>
      <c r="B91" s="30" t="n"/>
      <c r="C91" s="210" t="n"/>
      <c r="E91" s="210" t="n"/>
      <c r="I91" s="57" t="n"/>
    </row>
    <row r="92">
      <c r="A92" s="209" t="inlineStr">
        <is>
          <t>Rs_ideal</t>
        </is>
      </c>
      <c r="B92" s="992">
        <f>B89</f>
        <v/>
      </c>
      <c r="C92" s="210" t="inlineStr">
        <is>
          <t>W</t>
        </is>
      </c>
      <c r="D92" s="989" t="n"/>
      <c r="E92" s="210" t="n"/>
      <c r="F92" s="113" t="inlineStr">
        <is>
          <t>Ideal Rs for the required OCP -- based on 73mV CL threshold</t>
        </is>
      </c>
      <c r="I92" s="57" t="n"/>
    </row>
    <row r="93">
      <c r="A93" s="209" t="inlineStr">
        <is>
          <t>Rs</t>
        </is>
      </c>
      <c r="B93" s="993">
        <f>'Design Regulator'!E18/1000</f>
        <v/>
      </c>
      <c r="C93" s="210" t="inlineStr">
        <is>
          <t>W</t>
        </is>
      </c>
      <c r="D93" s="982" t="n"/>
      <c r="E93" s="210" t="n"/>
      <c r="F93" s="113" t="inlineStr">
        <is>
          <t>Selected (starndard value) current limit sense resistor</t>
        </is>
      </c>
      <c r="I93" s="57" t="n"/>
      <c r="K93" s="113" t="n"/>
      <c r="L93" s="113" t="n"/>
    </row>
    <row r="94">
      <c r="A94" s="209" t="n"/>
      <c r="B94" s="994" t="n"/>
      <c r="C94" s="210" t="n"/>
      <c r="E94" s="210" t="n"/>
      <c r="I94" s="57" t="n"/>
      <c r="K94" s="113" t="n"/>
      <c r="L94" s="113" t="n"/>
    </row>
    <row r="95">
      <c r="A95" s="209" t="inlineStr">
        <is>
          <t>Current limit - peak</t>
        </is>
      </c>
      <c r="B95" s="296">
        <f>Buck_CS_threshold/Rs</f>
        <v/>
      </c>
      <c r="C95" s="113" t="inlineStr">
        <is>
          <t>A</t>
        </is>
      </c>
      <c r="D95" s="4" t="n"/>
      <c r="E95" s="113" t="n"/>
      <c r="F95" s="113" t="inlineStr">
        <is>
          <t>Peak inductor current limit = min sat current</t>
        </is>
      </c>
      <c r="I95" s="57" t="n"/>
    </row>
    <row r="96">
      <c r="A96" s="209" t="n"/>
      <c r="E96" s="2" t="n"/>
      <c r="I96" s="57" t="n"/>
    </row>
    <row r="97" ht="15.75" customHeight="1">
      <c r="A97" s="209" t="inlineStr">
        <is>
          <t>Iout_OCP_Vinmin</t>
        </is>
      </c>
      <c r="B97" s="974">
        <f>Number_of_Phases*(Buck_CS_threshold/Rs-Iripple_Vinmin/2)</f>
        <v/>
      </c>
      <c r="C97" t="inlineStr">
        <is>
          <t>A</t>
        </is>
      </c>
      <c r="D97" s="975" t="n"/>
      <c r="F97" s="113" t="inlineStr">
        <is>
          <t>Current limit setpoints (i.e. IOUT) after standard components are selected</t>
        </is>
      </c>
      <c r="I97" s="57" t="n"/>
    </row>
    <row r="98">
      <c r="A98" s="209" t="inlineStr">
        <is>
          <t>Iout_OCP_Vinnom</t>
        </is>
      </c>
      <c r="B98" s="974">
        <f>Number_of_Phases*(Buck_CS_threshold/Rs-Iripple_Vinnom/2)</f>
        <v/>
      </c>
      <c r="C98" t="inlineStr">
        <is>
          <t>A</t>
        </is>
      </c>
      <c r="D98" s="975" t="n"/>
      <c r="I98" s="57" t="n"/>
    </row>
    <row r="99">
      <c r="A99" s="209" t="inlineStr">
        <is>
          <t>Iout_OCP_Vinmax</t>
        </is>
      </c>
      <c r="B99" s="974">
        <f>Number_of_Phases*(Buck_CS_threshold/Rs-Iripple_Vinmax/2)</f>
        <v/>
      </c>
      <c r="C99" t="inlineStr">
        <is>
          <t>A</t>
        </is>
      </c>
      <c r="D99" s="975" t="n"/>
      <c r="I99" s="57" t="n"/>
    </row>
    <row r="100">
      <c r="A100" s="209" t="n"/>
      <c r="B100" s="975" t="n"/>
      <c r="D100" s="975" t="n"/>
      <c r="I100" s="57" t="n"/>
    </row>
    <row r="101">
      <c r="A101" s="209" t="inlineStr">
        <is>
          <t>Irms_OCP_Vinmin</t>
        </is>
      </c>
      <c r="B101" s="973">
        <f>SQRT((Iout_OCP_Vinmin/Number_of_Phases)^2+(Iripple_Vinmin^2)/12)</f>
        <v/>
      </c>
      <c r="C101" t="inlineStr">
        <is>
          <t>A</t>
        </is>
      </c>
      <c r="D101" s="982" t="n"/>
      <c r="I101" s="57" t="n"/>
    </row>
    <row r="102">
      <c r="A102" s="209" t="inlineStr">
        <is>
          <t>Irms_OCP_Vinnom</t>
        </is>
      </c>
      <c r="B102" s="973">
        <f>SQRT((Iout_OCP_Vinnom/Number_of_Phases)^2+(Iripple_Vinnom^2)/12)</f>
        <v/>
      </c>
      <c r="C102" t="inlineStr">
        <is>
          <t>A</t>
        </is>
      </c>
      <c r="D102" s="982" t="n"/>
      <c r="I102" s="57" t="n"/>
    </row>
    <row r="103">
      <c r="A103" s="209" t="inlineStr">
        <is>
          <t>Irms_OCP_Vinmax</t>
        </is>
      </c>
      <c r="B103" s="973">
        <f>SQRT((Iout_OCP_Vinmax/Number_of_Phases)^2+(Iripple_Vinmax^2)/12)</f>
        <v/>
      </c>
      <c r="C103" t="inlineStr">
        <is>
          <t>A</t>
        </is>
      </c>
      <c r="D103" s="982" t="n"/>
      <c r="I103" s="57" t="n"/>
    </row>
    <row r="104">
      <c r="A104" s="209" t="n"/>
      <c r="B104" s="975" t="n"/>
      <c r="D104" s="975" t="n"/>
      <c r="I104" s="57" t="n"/>
    </row>
    <row r="105">
      <c r="A105" s="209" t="inlineStr">
        <is>
          <t>Pshunt_Vinmin</t>
        </is>
      </c>
      <c r="B105" s="973">
        <f>B101^2*Rs</f>
        <v/>
      </c>
      <c r="C105" s="113" t="inlineStr">
        <is>
          <t>W</t>
        </is>
      </c>
      <c r="D105" s="982" t="n"/>
      <c r="E105" s="113" t="n"/>
      <c r="F105" s="113" t="inlineStr">
        <is>
          <t>Max power dissipations in shunt</t>
        </is>
      </c>
      <c r="I105" s="57" t="n"/>
    </row>
    <row r="106">
      <c r="A106" s="209" t="inlineStr">
        <is>
          <t>Pshunt_Vinnom</t>
        </is>
      </c>
      <c r="B106" s="973">
        <f>B102^2*Rs</f>
        <v/>
      </c>
      <c r="C106" t="inlineStr">
        <is>
          <t>W</t>
        </is>
      </c>
      <c r="D106" s="982" t="n"/>
      <c r="I106" s="57" t="n"/>
    </row>
    <row r="107">
      <c r="A107" s="209" t="inlineStr">
        <is>
          <t>Pshunt_Vinmax</t>
        </is>
      </c>
      <c r="B107" s="973">
        <f>B103^2*Rs</f>
        <v/>
      </c>
      <c r="C107" t="inlineStr">
        <is>
          <t>W</t>
        </is>
      </c>
      <c r="D107" s="982" t="n"/>
      <c r="I107" s="57" t="n"/>
    </row>
    <row r="108" ht="13.5" customHeight="1" thickBot="1">
      <c r="A108" s="60" t="n"/>
      <c r="B108" s="61" t="n"/>
      <c r="C108" s="61" t="n"/>
      <c r="D108" s="61" t="n"/>
      <c r="E108" s="117" t="n"/>
      <c r="F108" s="61" t="n"/>
      <c r="G108" s="61" t="n"/>
      <c r="H108" s="61" t="n"/>
      <c r="I108" s="62" t="n"/>
    </row>
    <row r="110" ht="16.5" customHeight="1" thickBot="1">
      <c r="A110" s="518" t="inlineStr">
        <is>
          <t>Step 4: Output Capacitor</t>
        </is>
      </c>
      <c r="D110" s="2" t="n"/>
    </row>
    <row r="111">
      <c r="A111" s="208" t="inlineStr">
        <is>
          <t>Icoutrms_VINmin</t>
        </is>
      </c>
      <c r="B111" s="995">
        <f>Iripple_Vinmin/SQRT(12)</f>
        <v/>
      </c>
      <c r="C111" s="302" t="inlineStr">
        <is>
          <t>A</t>
        </is>
      </c>
      <c r="D111" s="996" t="n"/>
      <c r="E111" s="302" t="n"/>
      <c r="F111" s="116" t="inlineStr">
        <is>
          <t>Output Cap RMS current</t>
        </is>
      </c>
      <c r="G111" s="63" t="n"/>
      <c r="H111" s="63" t="n"/>
      <c r="I111" s="64" t="n"/>
      <c r="L111" s="4" t="n"/>
    </row>
    <row r="112">
      <c r="A112" s="209" t="inlineStr">
        <is>
          <t>Icoutrms_VINnom</t>
        </is>
      </c>
      <c r="B112" s="973">
        <f>Iripple_Vinnom/SQRT(12)</f>
        <v/>
      </c>
      <c r="C112" s="113" t="inlineStr">
        <is>
          <t>A</t>
        </is>
      </c>
      <c r="D112" s="982" t="n"/>
      <c r="E112" s="113" t="n"/>
      <c r="F112" s="113" t="n"/>
      <c r="I112" s="57" t="n"/>
      <c r="L112" s="4" t="n"/>
    </row>
    <row r="113">
      <c r="A113" s="209" t="inlineStr">
        <is>
          <t>Icoutrms_VINmax</t>
        </is>
      </c>
      <c r="B113" s="973">
        <f>Iripple_Vinmax/SQRT(12)</f>
        <v/>
      </c>
      <c r="C113" s="113" t="inlineStr">
        <is>
          <t>A</t>
        </is>
      </c>
      <c r="D113" s="982" t="n"/>
      <c r="E113" s="113" t="n"/>
      <c r="F113" s="113" t="n"/>
      <c r="I113" s="57" t="n"/>
      <c r="L113" s="4" t="n"/>
    </row>
    <row r="114">
      <c r="A114" s="209" t="inlineStr">
        <is>
          <t>Max Cout rms current</t>
        </is>
      </c>
      <c r="B114" s="973">
        <f>MAX(B111:B113)</f>
        <v/>
      </c>
      <c r="C114" s="113" t="inlineStr">
        <is>
          <t>A</t>
        </is>
      </c>
      <c r="D114" s="982" t="n"/>
      <c r="E114" s="113" t="n"/>
      <c r="F114" s="113" t="n"/>
      <c r="I114" s="57" t="n"/>
      <c r="L114" s="4" t="n"/>
    </row>
    <row r="115">
      <c r="A115" s="209" t="n"/>
      <c r="B115" s="975" t="n"/>
      <c r="C115" s="113" t="n"/>
      <c r="F115" s="113" t="n"/>
      <c r="I115" s="57" t="n"/>
      <c r="L115" s="4" t="n"/>
    </row>
    <row r="116">
      <c r="A116" s="209" t="inlineStr">
        <is>
          <t>Vripple1</t>
        </is>
      </c>
      <c r="B116" s="400">
        <f>'Design Regulator'!E33/1000</f>
        <v/>
      </c>
      <c r="C116" t="inlineStr">
        <is>
          <t>V</t>
        </is>
      </c>
      <c r="F116" s="113" t="inlineStr">
        <is>
          <t>Output voltage ripple spec(pk-pk)</t>
        </is>
      </c>
      <c r="I116" s="57" t="n"/>
    </row>
    <row r="117">
      <c r="A117" s="209" t="n"/>
      <c r="B117" s="113" t="n"/>
      <c r="F117" s="113" t="n"/>
      <c r="I117" s="57" t="n"/>
    </row>
    <row r="118">
      <c r="A118" s="209" t="inlineStr">
        <is>
          <t>Output Ripple Spec (pk-pk)</t>
        </is>
      </c>
      <c r="B118" s="399">
        <f>Vo1_ripple*1000</f>
        <v/>
      </c>
      <c r="C118" s="113" t="inlineStr">
        <is>
          <t>mV</t>
        </is>
      </c>
      <c r="D118" s="299" t="n"/>
      <c r="E118" s="113" t="n"/>
      <c r="F118" s="113" t="inlineStr">
        <is>
          <t>Vout ripple spec at Vin(nom)</t>
        </is>
      </c>
      <c r="I118" s="57" t="n"/>
      <c r="L118" s="4" t="n"/>
    </row>
    <row r="119">
      <c r="A119" s="56" t="n"/>
      <c r="B119" s="113" t="n"/>
      <c r="F119" s="113" t="n"/>
      <c r="I119" s="57" t="n"/>
    </row>
    <row r="120">
      <c r="A120" s="66" t="inlineStr">
        <is>
          <t>Coutmin</t>
        </is>
      </c>
      <c r="B120" s="997">
        <f>Iripple_Vinnom/(Fsw*8*Vo1_ripple)</f>
        <v/>
      </c>
      <c r="C120" t="inlineStr">
        <is>
          <t>F</t>
        </is>
      </c>
      <c r="D120" s="998" t="n"/>
      <c r="F120" s="113" t="inlineStr">
        <is>
          <t>Minimum output capacitnace</t>
        </is>
      </c>
      <c r="H120">
        <f>Vo2_ripple</f>
        <v/>
      </c>
      <c r="I120" s="57" t="n">
        <v>1</v>
      </c>
      <c r="K120" s="1" t="n"/>
    </row>
    <row r="121">
      <c r="A121" s="209" t="inlineStr">
        <is>
          <t>Reported Coutmin</t>
        </is>
      </c>
      <c r="B121" s="464">
        <f>IF(Cout_min*1000000&lt;2, 2.2,Cout_min*1000000)</f>
        <v/>
      </c>
      <c r="C121" s="42" t="inlineStr">
        <is>
          <t>uF</t>
        </is>
      </c>
      <c r="D121" s="619" t="n"/>
      <c r="E121" s="42" t="n"/>
      <c r="I121" s="57" t="n"/>
      <c r="K121" s="1" t="n"/>
    </row>
    <row r="122">
      <c r="A122" s="209" t="inlineStr">
        <is>
          <t>Cout</t>
        </is>
      </c>
      <c r="B122" s="999">
        <f>'Design Regulator'!E35/1000000</f>
        <v/>
      </c>
      <c r="C122" t="inlineStr">
        <is>
          <t>F</t>
        </is>
      </c>
      <c r="D122" s="1000" t="n"/>
      <c r="F122" s="113" t="inlineStr">
        <is>
          <t>Chosen output capacitance</t>
        </is>
      </c>
      <c r="I122" s="57" t="n">
        <v>1</v>
      </c>
    </row>
    <row r="123">
      <c r="A123" s="66" t="inlineStr">
        <is>
          <t>Resrmax</t>
        </is>
      </c>
      <c r="B123" s="1001">
        <f>SQRT((Vo1_ripple/Iripple_Vinnom)^2-(1/(Fsw*Cout*8))^2)</f>
        <v/>
      </c>
      <c r="C123" s="210" t="inlineStr">
        <is>
          <t>W</t>
        </is>
      </c>
      <c r="D123" s="1002" t="n"/>
      <c r="E123" s="210" t="n"/>
      <c r="F123" s="113" t="inlineStr">
        <is>
          <t>Max ESR before ripple exceeds Vripple1</t>
        </is>
      </c>
      <c r="I123" s="57" t="n">
        <v>1</v>
      </c>
    </row>
    <row r="124">
      <c r="A124" s="2" t="n"/>
      <c r="B124" s="998" t="n"/>
      <c r="C124" s="210" t="n"/>
      <c r="D124" s="998" t="n"/>
      <c r="E124" s="210" t="n"/>
      <c r="F124" s="113" t="n"/>
      <c r="I124" s="57" t="n"/>
    </row>
    <row r="125">
      <c r="A125" s="462" t="inlineStr">
        <is>
          <t>Reported Cout ESR max</t>
        </is>
      </c>
      <c r="B125" s="463">
        <f>IF(OR(CoutEsrMax&gt;0.3, CoutEsrMax&lt;0, (ISERROR(CoutEsrMax))), "N/A", CoutEsrMax*1000)</f>
        <v/>
      </c>
      <c r="C125" s="45" t="inlineStr">
        <is>
          <t>mΩ</t>
        </is>
      </c>
      <c r="D125" s="622" t="n"/>
      <c r="E125" s="45" t="n"/>
      <c r="F125" s="113" t="n"/>
      <c r="I125" s="57" t="n"/>
    </row>
    <row r="126">
      <c r="A126" s="209" t="inlineStr">
        <is>
          <t>CoutEsr</t>
        </is>
      </c>
      <c r="B126" s="400">
        <f>'Design Regulator'!E37/1000</f>
        <v/>
      </c>
      <c r="C126" s="210" t="inlineStr">
        <is>
          <t>W</t>
        </is>
      </c>
      <c r="D126" s="113" t="n"/>
      <c r="E126" s="210" t="n"/>
      <c r="F126" s="113" t="inlineStr">
        <is>
          <t>Chosen ESR</t>
        </is>
      </c>
      <c r="I126" s="57" t="n">
        <v>1</v>
      </c>
      <c r="K126">
        <f>ISERROR(CoutEsrMax)</f>
        <v/>
      </c>
      <c r="L126">
        <f>ISERROR(B125)</f>
        <v/>
      </c>
    </row>
    <row r="127" ht="13.5" customHeight="1" thickBot="1">
      <c r="A127" s="368" t="inlineStr">
        <is>
          <t>Vripple</t>
        </is>
      </c>
      <c r="B127" s="1003">
        <f>Iripple_Vinnom*SQRT(Cout_ESR^2+(1/(8*Fsw*Cout))^2)</f>
        <v/>
      </c>
      <c r="C127" s="104" t="inlineStr">
        <is>
          <t>Vp-p</t>
        </is>
      </c>
      <c r="D127" s="1004" t="n"/>
      <c r="E127" s="104" t="n"/>
      <c r="F127" s="61" t="n"/>
      <c r="G127" s="61" t="n"/>
      <c r="H127" s="61" t="n"/>
      <c r="I127" s="62" t="n"/>
      <c r="L127">
        <f>OR(CoutEsrMax&gt;0.3,CoutEsrMax&lt;0)</f>
        <v/>
      </c>
    </row>
    <row r="128">
      <c r="K128">
        <f>OR(TRUE, FALSE, TRUE)</f>
        <v/>
      </c>
    </row>
    <row r="129" ht="16.5" customHeight="1" thickBot="1">
      <c r="A129" s="518" t="inlineStr">
        <is>
          <t>Step 5: Input Capacitor</t>
        </is>
      </c>
    </row>
    <row r="130" ht="15.75" customHeight="1">
      <c r="A130" s="94" t="n"/>
      <c r="B130" s="95" t="n"/>
      <c r="C130" s="304" t="n"/>
      <c r="D130" s="95" t="n"/>
      <c r="E130" s="95" t="n"/>
      <c r="F130" s="95" t="n"/>
      <c r="G130" s="95" t="n"/>
      <c r="H130" s="95" t="n"/>
      <c r="I130" s="96" t="n"/>
      <c r="K130" s="2" t="inlineStr">
        <is>
          <t>Two channels operating at full load</t>
        </is>
      </c>
    </row>
    <row r="131">
      <c r="A131" s="209" t="inlineStr">
        <is>
          <t>Icinrms_VINmin</t>
        </is>
      </c>
      <c r="B131" s="111">
        <f>SQRT(D1_Vinmin_2*(Iout^2*(1-D1_Vinmin_2)+Iripple_Vinmin^2/12))</f>
        <v/>
      </c>
      <c r="C131" s="92" t="inlineStr">
        <is>
          <t>A</t>
        </is>
      </c>
      <c r="D131" s="508">
        <f>D1_Vinmax</f>
        <v/>
      </c>
      <c r="E131" s="92" t="n"/>
      <c r="F131" s="2" t="inlineStr">
        <is>
          <t>Calculate input cap rms current with one output unloaded</t>
        </is>
      </c>
      <c r="G131" s="982" t="n"/>
      <c r="H131" s="115" t="n"/>
      <c r="I131" s="98" t="n"/>
      <c r="K131" s="595">
        <f>SQRT(Iout^2*D1_Vinmin*(1-D1_Vinmin)+Iout2^2*D2_Vinmin*(1-D2_Vinmin)-2*Iout*Iout2*D1_Vinmin*D2_Vinmin)</f>
        <v/>
      </c>
      <c r="L131" s="92" t="inlineStr">
        <is>
          <t>A</t>
        </is>
      </c>
      <c r="M131" s="296">
        <f>SQRT(Iout^2*D1_Vinmin*(1-D1_Vinmin)+Iout2^2*D2_Vinmin*(1-D2_Vinmin)-2*Iout*Iout2*(0.5-D2_Vinmin*(1-D1_Vinmin)))</f>
        <v/>
      </c>
      <c r="N131" t="inlineStr">
        <is>
          <t>A</t>
        </is>
      </c>
    </row>
    <row r="132">
      <c r="A132" s="209" t="inlineStr">
        <is>
          <t>Icinrms_VINnom</t>
        </is>
      </c>
      <c r="B132" s="111">
        <f>SQRT(D1_Vinnom_2*(Iout^2*(1-D1_Vinnom_2)+Iripple_Vinnom^2/12))</f>
        <v/>
      </c>
      <c r="C132" s="92" t="inlineStr">
        <is>
          <t>A</t>
        </is>
      </c>
      <c r="D132" s="508">
        <f>D1_Vinmin</f>
        <v/>
      </c>
      <c r="E132" s="92" t="n"/>
      <c r="G132" s="982" t="n"/>
      <c r="I132" s="98" t="n"/>
      <c r="K132" s="296">
        <f>SQRT(Iout^2*D1_Vinnom*(1-D1_Vinnom)+Iout2^2*D2_Vinnom*(1-D2_Vinnom)-2*Iout*Iout2*D1_Vinnom*D2_Vinnom)</f>
        <v/>
      </c>
      <c r="L132" s="92" t="inlineStr">
        <is>
          <t>A</t>
        </is>
      </c>
    </row>
    <row r="133">
      <c r="A133" s="209" t="inlineStr">
        <is>
          <t>Icinrms_VINmax</t>
        </is>
      </c>
      <c r="B133" s="111">
        <f>SQRT(D1_Vinmax_2*(Iout^2*(1-D1_Vinmax_2)+Iripple_Vinmax^2/12))</f>
        <v/>
      </c>
      <c r="C133" s="92" t="inlineStr">
        <is>
          <t>A</t>
        </is>
      </c>
      <c r="D133" s="508" t="n"/>
      <c r="E133" s="92" t="n"/>
      <c r="G133" s="982" t="n"/>
      <c r="I133" s="98" t="n"/>
      <c r="K133" s="296">
        <f>SQRT(Iout^2*D1_Vinmax*(1-D1_Vinmax)+Iout2^2*D2_Vinmax*(1-D2_Vinmax)-2*Iout*Iout2*D1_Vinmax*D2_Vinmax)</f>
        <v/>
      </c>
      <c r="L133" s="92" t="inlineStr">
        <is>
          <t>A</t>
        </is>
      </c>
    </row>
    <row r="134">
      <c r="A134" s="113" t="inlineStr">
        <is>
          <t>Icinrms - multiphase</t>
        </is>
      </c>
      <c r="B134" s="296">
        <f>Iout*SQRT((D1_Vinmin-F136/Number_of_Phases)*((F136+1)/Number_of_Phases-D1_Vinmin))</f>
        <v/>
      </c>
      <c r="C134" t="inlineStr">
        <is>
          <t>A</t>
        </is>
      </c>
      <c r="I134" s="98" t="n"/>
      <c r="K134" s="596">
        <f>MAX(K131:K133)</f>
        <v/>
      </c>
      <c r="L134" s="42" t="inlineStr">
        <is>
          <t>A</t>
        </is>
      </c>
    </row>
    <row r="135">
      <c r="A135" s="209" t="inlineStr">
        <is>
          <t>Max Cin rms current</t>
        </is>
      </c>
      <c r="B135" s="111">
        <f>MAX(B131:B133)</f>
        <v/>
      </c>
      <c r="C135" s="42" t="inlineStr">
        <is>
          <t>A</t>
        </is>
      </c>
      <c r="D135" s="2" t="n"/>
      <c r="F135">
        <f>Number_of_Phases*D1_Vinnom</f>
        <v/>
      </c>
      <c r="G135" t="inlineStr">
        <is>
          <t>N*D</t>
        </is>
      </c>
      <c r="I135" s="98" t="n"/>
      <c r="K135" s="596" t="n"/>
      <c r="L135" s="42" t="n"/>
      <c r="P135" s="4" t="n"/>
    </row>
    <row r="136">
      <c r="D136" s="2" t="n"/>
      <c r="F136">
        <f>FLOOR(Number_of_Phases*D1_Vinnom,1)</f>
        <v/>
      </c>
      <c r="G136" t="inlineStr">
        <is>
          <t>floor(N*D)</t>
        </is>
      </c>
      <c r="I136" s="98" t="n"/>
      <c r="K136" s="596" t="n"/>
      <c r="L136" s="42" t="n"/>
      <c r="P136" s="4" t="n"/>
    </row>
    <row r="137">
      <c r="A137" s="113" t="inlineStr">
        <is>
          <t>Icinrms - multiphase - max</t>
        </is>
      </c>
      <c r="B137">
        <f>Iout/2/Number_of_Phases</f>
        <v/>
      </c>
      <c r="C137" s="113" t="inlineStr">
        <is>
          <t>A</t>
        </is>
      </c>
      <c r="I137" s="98" t="n"/>
      <c r="K137" s="596" t="n"/>
      <c r="L137" s="42" t="n"/>
      <c r="P137" s="4" t="n"/>
    </row>
    <row r="138">
      <c r="A138" s="113" t="inlineStr">
        <is>
          <t>Final result</t>
        </is>
      </c>
      <c r="B138" s="598">
        <f>IF(D1_Vinmin&lt;0.5, B135, B137)</f>
        <v/>
      </c>
      <c r="C138" s="42" t="inlineStr">
        <is>
          <t>A</t>
        </is>
      </c>
      <c r="D138" s="2" t="inlineStr">
        <is>
          <t>…report this</t>
        </is>
      </c>
      <c r="I138" s="98" t="n"/>
      <c r="K138" s="596" t="n"/>
      <c r="L138" s="42" t="n"/>
      <c r="P138" s="4" t="n"/>
    </row>
    <row r="139">
      <c r="A139" s="113" t="n"/>
      <c r="B139" s="1005" t="n"/>
      <c r="C139" s="42" t="n"/>
      <c r="D139" s="2" t="n"/>
      <c r="I139" s="98" t="n"/>
      <c r="K139" s="596" t="n"/>
      <c r="L139" s="42" t="n"/>
      <c r="P139" s="4" t="n"/>
    </row>
    <row r="140">
      <c r="A140" s="97" t="inlineStr">
        <is>
          <t>Vinripple1</t>
        </is>
      </c>
      <c r="B140" s="305">
        <f>'Design Regulator'!E42/1000</f>
        <v/>
      </c>
      <c r="C140" t="inlineStr">
        <is>
          <t>Vp-p</t>
        </is>
      </c>
      <c r="F140" s="113" t="inlineStr">
        <is>
          <t>Input voltage ripple spec (pk-pk)</t>
        </is>
      </c>
      <c r="I140" s="98" t="n"/>
    </row>
    <row r="141">
      <c r="F141" s="113" t="n"/>
      <c r="I141" s="98" t="n"/>
    </row>
    <row r="142">
      <c r="A142" s="462" t="inlineStr">
        <is>
          <t>Cinmin_Vinmin</t>
        </is>
      </c>
      <c r="B142" s="515">
        <f>Iout/Number_of_Phases*D1_Vinmin*(1-D1_Vinmin)/(Vinripple1*Fsw)</f>
        <v/>
      </c>
      <c r="C142" s="42" t="inlineStr">
        <is>
          <t>F</t>
        </is>
      </c>
      <c r="G142" s="982" t="n"/>
      <c r="I142" s="98" t="n"/>
    </row>
    <row r="143">
      <c r="A143" s="462" t="inlineStr">
        <is>
          <t>Cinmin_Vinnom</t>
        </is>
      </c>
      <c r="B143" s="515">
        <f>Iout/Number_of_Phases*D1_Vinnom*(1-D1_Vinnom)/(Vinripple1*Fsw)</f>
        <v/>
      </c>
      <c r="C143" s="42" t="inlineStr">
        <is>
          <t>F</t>
        </is>
      </c>
      <c r="G143" s="982" t="n"/>
      <c r="I143" s="98" t="n"/>
    </row>
    <row r="144">
      <c r="A144" s="462" t="inlineStr">
        <is>
          <t>Cinmin_Vinmax</t>
        </is>
      </c>
      <c r="B144" s="515">
        <f>Iout/Number_of_Phases*D1_Vinmax*(1-D1_Vinmax)/(Vinripple1*Fsw)</f>
        <v/>
      </c>
      <c r="C144" s="92" t="inlineStr">
        <is>
          <t>F</t>
        </is>
      </c>
      <c r="F144" s="113" t="inlineStr">
        <is>
          <t>Calculate cap at Vinmax and 50% duty cycle (Vin = 2*Vout)</t>
        </is>
      </c>
      <c r="I144" s="98" t="n"/>
      <c r="K144" s="1006" t="n"/>
    </row>
    <row r="145">
      <c r="F145" s="113" t="n"/>
      <c r="I145" s="98" t="n"/>
      <c r="K145" s="1006" t="n"/>
    </row>
    <row r="146">
      <c r="A146" s="462" t="inlineStr">
        <is>
          <t>Cinmin_50%D</t>
        </is>
      </c>
      <c r="B146" s="516">
        <f>Iout*0.5*(1-0.5)/(Vinripple1*Fsw)</f>
        <v/>
      </c>
      <c r="C146" s="42" t="inlineStr">
        <is>
          <t>F</t>
        </is>
      </c>
      <c r="F146" s="113" t="inlineStr">
        <is>
          <t>Buck 50% typically worst case</t>
        </is>
      </c>
      <c r="G146" s="30" t="n"/>
      <c r="I146" s="98" t="n"/>
      <c r="K146" s="1006" t="n"/>
    </row>
    <row r="147">
      <c r="A147" s="462" t="inlineStr">
        <is>
          <t>Cinmin</t>
        </is>
      </c>
      <c r="B147" s="30">
        <f>IF(VIN_min&gt;2*Vout, B142,B146)</f>
        <v/>
      </c>
      <c r="C147" s="42" t="inlineStr">
        <is>
          <t>F</t>
        </is>
      </c>
      <c r="D147">
        <f>(VIN_min+VIN_max)/2</f>
        <v/>
      </c>
      <c r="G147" s="30" t="n"/>
      <c r="I147" s="98" t="n"/>
      <c r="K147" s="1006" t="n"/>
    </row>
    <row r="148">
      <c r="A148" s="462" t="inlineStr">
        <is>
          <t>Reported Cinmin</t>
        </is>
      </c>
      <c r="B148" s="1007">
        <f>IF(Cinmin*1000000&lt;2.2, 2.2,Cinmin*1000000)</f>
        <v/>
      </c>
      <c r="C148" s="42" t="inlineStr">
        <is>
          <t>uF</t>
        </is>
      </c>
      <c r="D148">
        <f>2*Vout</f>
        <v/>
      </c>
      <c r="F148" s="113" t="inlineStr">
        <is>
          <t>…report this</t>
        </is>
      </c>
      <c r="I148" s="98" t="n"/>
    </row>
    <row r="149">
      <c r="A149" s="462" t="n"/>
      <c r="B149" s="42" t="n"/>
      <c r="C149" s="42" t="n"/>
      <c r="F149" s="113" t="n"/>
      <c r="I149" s="98" t="n"/>
    </row>
    <row r="150">
      <c r="A150" s="99" t="inlineStr">
        <is>
          <t>Cin</t>
        </is>
      </c>
      <c r="B150" s="1008">
        <f>'Design Regulator'!E44/1000000</f>
        <v/>
      </c>
      <c r="C150" s="92" t="inlineStr">
        <is>
          <t>F</t>
        </is>
      </c>
      <c r="F150" t="inlineStr">
        <is>
          <t>Input capacitance</t>
        </is>
      </c>
      <c r="I150" s="98" t="n"/>
    </row>
    <row r="151">
      <c r="A151" s="462" t="inlineStr">
        <is>
          <t>CinEsrMax_Vinmin</t>
        </is>
      </c>
      <c r="B151" s="991">
        <f>-(Iout/Number_of_Phases*D1_Vinmin*(1-D1_Vinmin)/(Cin*Fsw)-Vinripple1)/(Iout/Number_of_Phases+Iripple_Vinmin/2)</f>
        <v/>
      </c>
      <c r="C151" s="210" t="inlineStr">
        <is>
          <t>W</t>
        </is>
      </c>
      <c r="I151" s="98" t="n"/>
    </row>
    <row r="152">
      <c r="A152" s="462" t="inlineStr">
        <is>
          <t>CinEsrMax_Vinmax</t>
        </is>
      </c>
      <c r="B152" s="991">
        <f>-(Iout/Number_of_Phases*D1_Vinmax*(1-D1_Vinmax)/(Cin*Fsw)-Vinripple1)/(Iout/Number_of_Phases+Iripple_Vinmax/2)</f>
        <v/>
      </c>
      <c r="C152" s="210" t="inlineStr">
        <is>
          <t>W</t>
        </is>
      </c>
      <c r="I152" s="98" t="n"/>
    </row>
    <row r="153">
      <c r="A153" s="462" t="inlineStr">
        <is>
          <t>CinEsrMax_50%D</t>
        </is>
      </c>
      <c r="B153" s="991">
        <f>-(Iout/Number_of_Phases*0.5*(1-0.5)/(Cin*Fsw)-Vinripple1)/(Iout/Number_of_Phases+Iripple_Vinmax/2)</f>
        <v/>
      </c>
      <c r="C153" s="210" t="inlineStr">
        <is>
          <t>W</t>
        </is>
      </c>
      <c r="F153" s="113" t="inlineStr">
        <is>
          <t>Calculate ESR at Vinmax and 50% duty cycle (Vin = 2*Vout)</t>
        </is>
      </c>
      <c r="I153" s="98" t="n"/>
    </row>
    <row r="154">
      <c r="A154" s="462" t="inlineStr">
        <is>
          <t>CinEsrMax</t>
        </is>
      </c>
      <c r="B154" s="991">
        <f>IF(VIN_min&gt;2*Vout, B151,B153)</f>
        <v/>
      </c>
      <c r="C154" s="210" t="inlineStr">
        <is>
          <t>W</t>
        </is>
      </c>
      <c r="I154" s="98" t="n"/>
    </row>
    <row r="155">
      <c r="A155" s="462" t="inlineStr">
        <is>
          <t>Reported Cin ESR max</t>
        </is>
      </c>
      <c r="B155" s="1009">
        <f>IF(OR(CinEsrMax&gt;0.3, CinEsrMax&lt;0), "N/A",CinEsrMax*1000)</f>
        <v/>
      </c>
      <c r="C155" s="45" t="inlineStr">
        <is>
          <t>mΩ</t>
        </is>
      </c>
      <c r="F155" t="inlineStr">
        <is>
          <t>…report this</t>
        </is>
      </c>
      <c r="I155" s="98" t="n"/>
    </row>
    <row r="156">
      <c r="A156" s="99" t="inlineStr">
        <is>
          <t>RCinEsr</t>
        </is>
      </c>
      <c r="B156" s="93">
        <f>'Design Regulator'!E46/1000</f>
        <v/>
      </c>
      <c r="C156" s="210" t="inlineStr">
        <is>
          <t>W</t>
        </is>
      </c>
      <c r="F156" s="113" t="inlineStr">
        <is>
          <t>Input capacitance series resistance (ESR)</t>
        </is>
      </c>
      <c r="I156" s="98" t="n"/>
    </row>
    <row r="157">
      <c r="F157" s="113" t="n"/>
      <c r="I157" s="98" t="n"/>
      <c r="K157" s="989" t="n"/>
    </row>
    <row r="158">
      <c r="A158" s="462" t="inlineStr">
        <is>
          <t>Vinripple2_Vinmin</t>
        </is>
      </c>
      <c r="B158" s="1010">
        <f>Iout/Number_of_Phases*D1_Vinmin_2*(1-D1_Vinmin_2)/(Cin*Fsw)+(Iout/Number_of_Phases +Iripple_Vinmin/2)*RCinEsr</f>
        <v/>
      </c>
      <c r="C158" s="92" t="inlineStr">
        <is>
          <t>Vp-p</t>
        </is>
      </c>
      <c r="F158" s="113" t="n"/>
      <c r="I158" s="98" t="n"/>
      <c r="K158" s="989" t="n"/>
    </row>
    <row r="159">
      <c r="A159" s="462" t="inlineStr">
        <is>
          <t>Vinripple2_Vinnom</t>
        </is>
      </c>
      <c r="B159" s="1010">
        <f>Iout/Number_of_Phases*D1_Vinnom_2*(1-D1_Vinnom_2)/(Cin*Fsw)+(Iout/Number_of_Phases +Iripple_Vinnom/2)*RCinEsr</f>
        <v/>
      </c>
      <c r="C159" s="92" t="inlineStr">
        <is>
          <t>Vp-p</t>
        </is>
      </c>
      <c r="I159" s="98" t="n"/>
    </row>
    <row r="160">
      <c r="A160" s="462" t="inlineStr">
        <is>
          <t>Vinripple2_Vinmax</t>
        </is>
      </c>
      <c r="B160" s="1010">
        <f>Iout/Number_of_Phases*D1_Vinmax_2*(1-D1_Vinmax_2)/(Cin*Fsw)+(Iout/Number_of_Phases +Iripple_Vinmax/2)*RCinEsr</f>
        <v/>
      </c>
      <c r="C160" s="92" t="inlineStr">
        <is>
          <t>Vp-p</t>
        </is>
      </c>
      <c r="I160" s="98" t="n"/>
    </row>
    <row r="161">
      <c r="A161" s="462" t="inlineStr">
        <is>
          <t>Vinripple2_50%D</t>
        </is>
      </c>
      <c r="B161" s="1010">
        <f>Iout/Number_of_Phases*0.5*(1-0.5)/(Cin*Fsw)+(Iout/Number_of_Phases +Iripple_Vinmax/2)*RCinEsr</f>
        <v/>
      </c>
      <c r="C161" s="92" t="inlineStr">
        <is>
          <t>Vp-p</t>
        </is>
      </c>
      <c r="F161" s="113" t="inlineStr">
        <is>
          <t>Calculate ripple at Vinmax and 50% duty cycle (Vin = 2*Vout)</t>
        </is>
      </c>
      <c r="I161" s="98" t="n"/>
    </row>
    <row r="162">
      <c r="A162" s="462" t="inlineStr">
        <is>
          <t>Vinripple2</t>
        </is>
      </c>
      <c r="B162" s="1010">
        <f>IF(D1_Vinmin&lt;0.5, B158,B161)</f>
        <v/>
      </c>
      <c r="C162" s="92" t="inlineStr">
        <is>
          <t>Vp-p</t>
        </is>
      </c>
      <c r="F162" s="113" t="inlineStr">
        <is>
          <t>…report highest of these</t>
        </is>
      </c>
      <c r="I162" s="98" t="n"/>
    </row>
    <row r="163">
      <c r="A163" s="99" t="n"/>
      <c r="B163" s="1011" t="n"/>
      <c r="C163" s="92" t="n"/>
      <c r="I163" s="98" t="n"/>
    </row>
    <row r="164" ht="13.5" customHeight="1" thickBot="1">
      <c r="A164" s="100" t="n"/>
      <c r="B164" s="1012">
        <f>Iout*D1_Vinmin_2*(1-D1_Vinmin_2)/(Cin*Fsw)</f>
        <v/>
      </c>
      <c r="C164" s="306" t="inlineStr">
        <is>
          <t>Vp-p</t>
        </is>
      </c>
      <c r="D164" s="101" t="n"/>
      <c r="E164" s="102" t="n"/>
      <c r="F164" s="102" t="n"/>
      <c r="G164" s="102" t="n"/>
      <c r="H164" s="102" t="n"/>
      <c r="I164" s="103" t="n"/>
    </row>
    <row r="166" ht="16.5" customHeight="1" thickBot="1">
      <c r="A166" s="509" t="inlineStr">
        <is>
          <t>Step 6a: Soft Start</t>
        </is>
      </c>
    </row>
    <row r="167">
      <c r="A167" s="89" t="inlineStr">
        <is>
          <t>Tss</t>
        </is>
      </c>
      <c r="B167" s="12">
        <f>'Design Regulator'!E51/1000</f>
        <v/>
      </c>
      <c r="C167" s="63" t="inlineStr">
        <is>
          <t>s</t>
        </is>
      </c>
      <c r="D167" s="116" t="inlineStr">
        <is>
          <t>Soft-start time</t>
        </is>
      </c>
      <c r="E167" s="63" t="n"/>
      <c r="F167" s="63" t="n"/>
      <c r="G167" s="63" t="n"/>
      <c r="H167" s="63" t="n"/>
      <c r="I167" s="64" t="n"/>
    </row>
    <row r="168">
      <c r="A168" s="56" t="inlineStr">
        <is>
          <t>Iss</t>
        </is>
      </c>
      <c r="B168" s="68">
        <f>Cout*Vout/Tss</f>
        <v/>
      </c>
      <c r="C168" t="inlineStr">
        <is>
          <t>A</t>
        </is>
      </c>
      <c r="D168" s="113" t="inlineStr">
        <is>
          <t>Load cap current during soft start</t>
        </is>
      </c>
      <c r="I168" s="57" t="n"/>
    </row>
    <row r="169">
      <c r="A169" s="56" t="inlineStr">
        <is>
          <t>Css</t>
        </is>
      </c>
      <c r="B169" s="1013">
        <f>0.000022*Tss/1.2</f>
        <v/>
      </c>
      <c r="C169" t="inlineStr">
        <is>
          <t>F</t>
        </is>
      </c>
      <c r="I169" s="57" t="n"/>
    </row>
    <row r="170" ht="13.5" customHeight="1" thickBot="1">
      <c r="A170" s="60" t="inlineStr">
        <is>
          <t>Css_u</t>
        </is>
      </c>
      <c r="B170" s="1014">
        <f>'Standard Value Calculator'!B4</f>
        <v/>
      </c>
      <c r="C170" s="61" t="inlineStr">
        <is>
          <t>F</t>
        </is>
      </c>
      <c r="D170" s="61" t="n"/>
      <c r="E170" s="61" t="n"/>
      <c r="F170" s="61" t="n"/>
      <c r="G170" s="61" t="n"/>
      <c r="H170" s="61" t="n"/>
      <c r="I170" s="62" t="n"/>
    </row>
    <row r="172" ht="16.5" customHeight="1" thickBot="1">
      <c r="A172" s="509" t="inlineStr">
        <is>
          <t>Step 6b: Other Components - Dither, Hiccup, DEMB, MODE</t>
        </is>
      </c>
    </row>
    <row r="173" ht="12.75" customHeight="1">
      <c r="A173" s="208" t="inlineStr">
        <is>
          <t>Tres</t>
        </is>
      </c>
      <c r="B173" s="1015">
        <f>'Design Regulator'!E54/1000</f>
        <v/>
      </c>
      <c r="C173" s="63" t="inlineStr">
        <is>
          <t>s</t>
        </is>
      </c>
      <c r="D173" s="116" t="inlineStr">
        <is>
          <t>Hiccup time</t>
        </is>
      </c>
      <c r="E173" s="63" t="n"/>
      <c r="F173" s="63" t="n"/>
      <c r="G173" s="63" t="n"/>
      <c r="H173" s="63" t="n"/>
      <c r="I173" s="64" t="n"/>
    </row>
    <row r="174" ht="12.75" customHeight="1">
      <c r="A174" s="209" t="inlineStr">
        <is>
          <t>Cres</t>
        </is>
      </c>
      <c r="B174" s="1013">
        <f>0.00002*Tres/1.2</f>
        <v/>
      </c>
      <c r="C174" t="inlineStr">
        <is>
          <t>F</t>
        </is>
      </c>
      <c r="I174" s="57" t="n"/>
    </row>
    <row r="175" ht="12.75" customHeight="1">
      <c r="A175" s="209" t="inlineStr">
        <is>
          <t>Cres_u</t>
        </is>
      </c>
      <c r="B175" s="1016">
        <f>'Standard Value Calculator'!G4</f>
        <v/>
      </c>
      <c r="C175" t="inlineStr">
        <is>
          <t>F</t>
        </is>
      </c>
      <c r="F175" s="45" t="n"/>
      <c r="G175" s="44" t="n"/>
      <c r="H175" s="44" t="n"/>
      <c r="I175" s="57" t="n"/>
    </row>
    <row r="176" ht="12.75" customHeight="1">
      <c r="B176" s="44" t="n"/>
      <c r="I176" s="57" t="n"/>
    </row>
    <row r="177" ht="12.75" customHeight="1">
      <c r="A177" s="209" t="inlineStr">
        <is>
          <t>RPG1/2</t>
        </is>
      </c>
      <c r="B177" s="44" t="n">
        <v>100</v>
      </c>
      <c r="C177" s="45" t="inlineStr">
        <is>
          <t>kΩ</t>
        </is>
      </c>
      <c r="I177" s="57" t="n"/>
    </row>
    <row r="178" ht="12.75" customHeight="1">
      <c r="A178" s="209" t="inlineStr">
        <is>
          <t>RFB1/2</t>
        </is>
      </c>
      <c r="B178" s="44" t="n"/>
      <c r="C178" s="210" t="inlineStr">
        <is>
          <t>W</t>
        </is>
      </c>
      <c r="E178" s="113" t="inlineStr">
        <is>
          <t xml:space="preserve">Tie to VDDA or AGND for 3.3V/5V output, respectively. </t>
        </is>
      </c>
      <c r="I178" s="57" t="n"/>
    </row>
    <row r="179" ht="12.75" customHeight="1">
      <c r="A179" s="538" t="inlineStr">
        <is>
          <t>R_MODE</t>
        </is>
      </c>
      <c r="B179" s="44" t="n"/>
      <c r="C179" s="210" t="inlineStr">
        <is>
          <t>W</t>
        </is>
      </c>
      <c r="D179" s="366" t="n"/>
      <c r="E179" s="113" t="inlineStr">
        <is>
          <t xml:space="preserve">Tie to VDDA or AGND for Single/Dual operation, respectively. </t>
        </is>
      </c>
      <c r="I179" s="57" t="n"/>
    </row>
    <row r="180" ht="12.75" customHeight="1">
      <c r="A180" s="538" t="inlineStr">
        <is>
          <t>R_DEMB</t>
        </is>
      </c>
      <c r="B180" s="44" t="n"/>
      <c r="C180" s="210" t="inlineStr">
        <is>
          <t>W</t>
        </is>
      </c>
      <c r="D180" s="366" t="n"/>
      <c r="E180" s="113" t="inlineStr">
        <is>
          <t xml:space="preserve">Tie to VDDA or AGND for FPWM/DEM, respectively. </t>
        </is>
      </c>
      <c r="I180" s="57" t="n"/>
    </row>
    <row r="181" ht="12.75" customHeight="1">
      <c r="A181" s="696" t="n"/>
      <c r="B181" s="44" t="n"/>
      <c r="C181" s="210" t="n"/>
      <c r="D181" s="366" t="n"/>
      <c r="E181" s="113" t="n"/>
      <c r="I181" s="57" t="n"/>
    </row>
    <row r="182" ht="12.75" customHeight="1">
      <c r="A182" s="696" t="inlineStr">
        <is>
          <t>Enable Hysteresis Current</t>
        </is>
      </c>
      <c r="B182" s="697" t="n">
        <v>1e-05</v>
      </c>
      <c r="C182" s="210" t="inlineStr">
        <is>
          <t>A</t>
        </is>
      </c>
      <c r="D182" s="366" t="n"/>
      <c r="E182" s="113" t="inlineStr">
        <is>
          <t>10 µA Hysteresis Current</t>
        </is>
      </c>
      <c r="I182" s="57" t="n"/>
    </row>
    <row r="183">
      <c r="A183" s="696" t="inlineStr">
        <is>
          <t>Turn ON Voltage</t>
        </is>
      </c>
      <c r="B183" s="698">
        <f>'Design Regulator'!E53</f>
        <v/>
      </c>
      <c r="C183" s="210" t="n"/>
      <c r="D183" s="366" t="n"/>
      <c r="E183" s="113" t="n"/>
      <c r="I183" s="57" t="n"/>
    </row>
    <row r="184" ht="12.75" customHeight="1">
      <c r="A184" s="696" t="inlineStr">
        <is>
          <t>Hysteresis Voltage</t>
        </is>
      </c>
      <c r="B184" s="698">
        <f>'Design Regulator'!E53-'Design Regulator'!E54</f>
        <v/>
      </c>
      <c r="C184" s="210" t="n"/>
      <c r="D184" s="366" t="n"/>
      <c r="E184" s="113" t="n"/>
      <c r="I184" s="57" t="n"/>
    </row>
    <row r="185" ht="12.75" customHeight="1">
      <c r="A185" s="696" t="n"/>
      <c r="B185" s="44" t="n"/>
      <c r="C185" s="210" t="n"/>
      <c r="D185" s="366" t="n"/>
      <c r="E185" s="113" t="n"/>
      <c r="I185" s="57" t="n"/>
    </row>
    <row r="186" ht="12.75" customHeight="1">
      <c r="A186" s="696" t="inlineStr">
        <is>
          <t>Upper FB resistor</t>
        </is>
      </c>
      <c r="B186" s="596">
        <f>B184/B182</f>
        <v/>
      </c>
      <c r="C186" s="210" t="inlineStr">
        <is>
          <t>W</t>
        </is>
      </c>
      <c r="D186" s="366" t="n"/>
      <c r="E186" s="113" t="n"/>
      <c r="I186" s="57" t="n"/>
    </row>
    <row r="187" ht="12.75" customHeight="1">
      <c r="A187" s="696" t="inlineStr">
        <is>
          <t>Lower FB resister</t>
        </is>
      </c>
      <c r="B187" s="44">
        <f>B186/(B183-1)</f>
        <v/>
      </c>
      <c r="C187" s="210" t="inlineStr">
        <is>
          <t>W</t>
        </is>
      </c>
      <c r="D187" s="366" t="n"/>
      <c r="E187" s="113" t="n"/>
      <c r="I187" s="57" t="n"/>
    </row>
    <row r="188" ht="12.75" customHeight="1">
      <c r="A188" s="696" t="inlineStr">
        <is>
          <t>Standard upper FB resistor</t>
        </is>
      </c>
      <c r="B188" s="44">
        <f>'Standard Value Calculator'!S40</f>
        <v/>
      </c>
      <c r="C188" s="45" t="inlineStr">
        <is>
          <t>kΩ</t>
        </is>
      </c>
      <c r="D188" s="366" t="n"/>
      <c r="E188" s="113" t="n"/>
      <c r="I188" s="57" t="n"/>
    </row>
    <row r="189" ht="12.75" customHeight="1">
      <c r="A189" s="696" t="inlineStr">
        <is>
          <t>Standard lower FB resistor</t>
        </is>
      </c>
      <c r="B189" s="44">
        <f>'Standard Value Calculator'!S41</f>
        <v/>
      </c>
      <c r="C189" s="45" t="inlineStr">
        <is>
          <t>kΩ</t>
        </is>
      </c>
      <c r="D189" s="366" t="n"/>
      <c r="E189" s="113" t="n"/>
      <c r="I189" s="57" t="n"/>
    </row>
    <row r="190" ht="12.75" customHeight="1">
      <c r="A190" s="209" t="n"/>
      <c r="B190" s="44" t="n"/>
      <c r="C190" s="210" t="n"/>
      <c r="I190" s="57" t="n"/>
    </row>
    <row r="191" ht="12.75" customHeight="1">
      <c r="A191" s="209" t="inlineStr">
        <is>
          <t>Dither Modulation Frequency</t>
        </is>
      </c>
      <c r="B191" s="379">
        <f>'Design Regulator'!E57*1000</f>
        <v/>
      </c>
      <c r="C191" s="113" t="inlineStr">
        <is>
          <t>Hz</t>
        </is>
      </c>
      <c r="I191" s="57" t="n"/>
    </row>
    <row r="192" ht="12.75" customHeight="1">
      <c r="A192" s="209" t="inlineStr">
        <is>
          <t>Cdither_calculated</t>
        </is>
      </c>
      <c r="B192" s="378">
        <f>10*10^-6/Fdither/0.12</f>
        <v/>
      </c>
      <c r="C192" s="113" t="inlineStr">
        <is>
          <t>F</t>
        </is>
      </c>
      <c r="I192" s="57" t="n"/>
    </row>
    <row r="193" ht="12.75" customHeight="1">
      <c r="A193" s="209" t="inlineStr">
        <is>
          <t>Cdither_stdvalue</t>
        </is>
      </c>
      <c r="B193" s="378">
        <f>'Standard Value Calculator'!S21</f>
        <v/>
      </c>
      <c r="C193" s="113" t="inlineStr">
        <is>
          <t>F</t>
        </is>
      </c>
      <c r="I193" s="57" t="n"/>
    </row>
    <row r="194" ht="12.75" customHeight="1" thickBot="1">
      <c r="A194" s="60" t="n"/>
      <c r="B194" s="70" t="n"/>
      <c r="C194" s="286" t="n"/>
      <c r="D194" s="61" t="n"/>
      <c r="E194" s="61" t="n"/>
      <c r="F194" s="61" t="n"/>
      <c r="G194" s="61" t="n"/>
      <c r="H194" s="61" t="n"/>
      <c r="I194" s="62" t="n"/>
    </row>
    <row r="195">
      <c r="B195" s="44" t="n"/>
      <c r="C195" s="287" t="n"/>
    </row>
    <row r="196" ht="16.5" customHeight="1" thickBot="1">
      <c r="A196" s="509" t="inlineStr">
        <is>
          <t>Step 7: Compensation</t>
        </is>
      </c>
    </row>
    <row r="197">
      <c r="A197" s="361" t="inlineStr">
        <is>
          <t>Pi</t>
        </is>
      </c>
      <c r="B197" s="1017" t="n">
        <v>3.14159265</v>
      </c>
      <c r="C197" s="363" t="n"/>
      <c r="D197" s="364" t="inlineStr">
        <is>
          <t>p</t>
        </is>
      </c>
      <c r="E197" s="63" t="n"/>
      <c r="F197" s="63" t="n"/>
      <c r="G197" s="63" t="n"/>
      <c r="H197" s="63" t="n"/>
      <c r="I197" s="64" t="n"/>
    </row>
    <row r="198">
      <c r="A198" s="113" t="inlineStr">
        <is>
          <t>CS Amp Gain</t>
        </is>
      </c>
      <c r="B198" s="113" t="n">
        <v>10</v>
      </c>
      <c r="C198" s="46" t="n"/>
      <c r="D198" s="210" t="n"/>
      <c r="I198" s="57" t="n"/>
    </row>
    <row r="199">
      <c r="A199" s="113" t="inlineStr">
        <is>
          <t>Ri</t>
        </is>
      </c>
      <c r="B199">
        <f>Rs*CSAmp_gain</f>
        <v/>
      </c>
      <c r="C199" s="210" t="inlineStr">
        <is>
          <t>W</t>
        </is>
      </c>
      <c r="E199" s="210" t="n"/>
      <c r="F199" s="113" t="inlineStr">
        <is>
          <t>Current Sense effective resistance = shunt resistor Rs * CS amp gain</t>
        </is>
      </c>
      <c r="I199" s="57" t="n"/>
    </row>
    <row r="200">
      <c r="A200" s="113" t="inlineStr">
        <is>
          <t>gm</t>
        </is>
      </c>
      <c r="B200" s="557">
        <f>IF(COMP_TYPE=1,0.00003,0.0012)</f>
        <v/>
      </c>
      <c r="C200" s="113" t="inlineStr">
        <is>
          <t>S</t>
        </is>
      </c>
      <c r="F200" s="113" t="inlineStr">
        <is>
          <t>Error Amp Transconductance</t>
        </is>
      </c>
      <c r="I200" s="57" t="n"/>
    </row>
    <row r="201">
      <c r="A201" s="113" t="n"/>
      <c r="B201" s="113" t="n"/>
      <c r="C201" s="113" t="n"/>
      <c r="F201" s="113" t="n"/>
      <c r="I201" s="57" t="n"/>
    </row>
    <row r="202">
      <c r="A202" s="113" t="inlineStr">
        <is>
          <t>Se_ext</t>
        </is>
      </c>
      <c r="B202" s="539">
        <f>B206/Ri*1000</f>
        <v/>
      </c>
      <c r="C202" s="477" t="inlineStr">
        <is>
          <t>A/s</t>
        </is>
      </c>
      <c r="D202" s="539" t="n"/>
      <c r="E202" s="477" t="n"/>
      <c r="F202" s="477" t="inlineStr">
        <is>
          <t>Slope Comp Slope - referred to inductor current</t>
        </is>
      </c>
      <c r="H202" s="4" t="n"/>
      <c r="I202" s="57" t="n"/>
    </row>
    <row r="203">
      <c r="A203" s="113" t="inlineStr">
        <is>
          <t>Sn</t>
        </is>
      </c>
      <c r="B203" s="539">
        <f>(Vin-Vout)/Lf</f>
        <v/>
      </c>
      <c r="C203" s="477" t="inlineStr">
        <is>
          <t>A/s</t>
        </is>
      </c>
      <c r="D203" s="539" t="n"/>
      <c r="E203" s="477" t="n"/>
      <c r="F203" s="477" t="inlineStr">
        <is>
          <t>On-time Slope</t>
        </is>
      </c>
      <c r="H203" s="4" t="n"/>
      <c r="I203" s="57" t="n"/>
    </row>
    <row r="204">
      <c r="A204" s="113" t="inlineStr">
        <is>
          <t>Sf</t>
        </is>
      </c>
      <c r="B204" s="539">
        <f>Vout/Lf</f>
        <v/>
      </c>
      <c r="C204" s="477" t="inlineStr">
        <is>
          <t>A/s</t>
        </is>
      </c>
      <c r="D204" s="539" t="n"/>
      <c r="E204" s="477" t="n"/>
      <c r="F204" s="477" t="inlineStr">
        <is>
          <t>Off-time Slope</t>
        </is>
      </c>
      <c r="H204" s="4" t="n"/>
      <c r="I204" s="57" t="n"/>
    </row>
    <row r="205">
      <c r="A205" s="113" t="n"/>
      <c r="B205" s="365" t="n"/>
      <c r="C205" s="350" t="n"/>
      <c r="F205" s="350" t="n"/>
      <c r="I205" s="57" t="n"/>
    </row>
    <row r="206">
      <c r="A206" s="113" t="inlineStr">
        <is>
          <t>Se_int</t>
        </is>
      </c>
      <c r="B206" s="373">
        <f>Fsw*0.001*(5/22)</f>
        <v/>
      </c>
      <c r="C206" s="374" t="inlineStr">
        <is>
          <t>mV/μs</t>
        </is>
      </c>
      <c r="D206" s="373" t="n"/>
      <c r="E206" s="374" t="n"/>
      <c r="F206" s="374" t="inlineStr">
        <is>
          <t>Slope Comp Slope - referred to IC</t>
        </is>
      </c>
      <c r="I206" s="57" t="n"/>
    </row>
    <row r="207">
      <c r="A207" s="113" t="inlineStr">
        <is>
          <t>Sn_int</t>
        </is>
      </c>
      <c r="B207" s="373">
        <f>Sn*Ri/1000</f>
        <v/>
      </c>
      <c r="C207" s="374" t="inlineStr">
        <is>
          <t>mV/μs</t>
        </is>
      </c>
      <c r="D207" s="373" t="n"/>
      <c r="E207" s="374" t="n"/>
      <c r="F207" s="374" t="inlineStr">
        <is>
          <t>etc</t>
        </is>
      </c>
      <c r="I207" s="57" t="n"/>
    </row>
    <row r="208">
      <c r="A208" s="113" t="inlineStr">
        <is>
          <t>Sf_int</t>
        </is>
      </c>
      <c r="B208" s="373">
        <f>Sf*Ri/1000</f>
        <v/>
      </c>
      <c r="C208" s="374" t="inlineStr">
        <is>
          <t>mV/μs</t>
        </is>
      </c>
      <c r="D208" s="373" t="n"/>
      <c r="E208" s="374" t="n"/>
      <c r="F208" s="374" t="inlineStr">
        <is>
          <t>etc</t>
        </is>
      </c>
      <c r="I208" s="57" t="n"/>
    </row>
    <row r="209">
      <c r="A209" s="113" t="n"/>
      <c r="B209" s="373" t="n"/>
      <c r="C209" s="374" t="n"/>
      <c r="D209" s="374" t="n"/>
      <c r="I209" s="57" t="n"/>
    </row>
    <row r="210">
      <c r="A210" s="113" t="inlineStr">
        <is>
          <t>mc_buck</t>
        </is>
      </c>
      <c r="B210" s="982">
        <f>1+Se_ext/Sn</f>
        <v/>
      </c>
      <c r="D210" s="982" t="n"/>
      <c r="F210" s="113" t="inlineStr">
        <is>
          <t>mc = 1 + Se/Sn for peak current-mode buck</t>
        </is>
      </c>
      <c r="I210" s="57" t="n"/>
    </row>
    <row r="211">
      <c r="A211" s="113" t="inlineStr">
        <is>
          <t>k_buck</t>
        </is>
      </c>
      <c r="B211" s="1018">
        <f>mc_buck*(1-D1_Vinnom_2)</f>
        <v/>
      </c>
      <c r="C211" s="350" t="n"/>
      <c r="D211" s="1018" t="n"/>
      <c r="F211" s="350" t="inlineStr">
        <is>
          <t>mc*(1-d)</t>
        </is>
      </c>
      <c r="I211" s="57" t="n"/>
    </row>
    <row r="212">
      <c r="A212" s="2" t="n"/>
      <c r="B212" s="984" t="n"/>
      <c r="C212" s="350" t="n"/>
      <c r="D212" s="350" t="n"/>
      <c r="I212" s="57" t="n"/>
    </row>
    <row r="213">
      <c r="A213" s="2" t="inlineStr">
        <is>
          <t>mc</t>
        </is>
      </c>
      <c r="B213" s="1018">
        <f>1+Se_ext/Sn</f>
        <v/>
      </c>
      <c r="C213" s="350" t="n"/>
      <c r="D213" s="1018" t="n"/>
      <c r="I213" s="57" t="n"/>
    </row>
    <row r="214">
      <c r="A214" s="2" t="inlineStr">
        <is>
          <t>k</t>
        </is>
      </c>
      <c r="B214" s="1019">
        <f>mc_buck*(1-D1_Vinnom_2)</f>
        <v/>
      </c>
      <c r="C214" s="350" t="n"/>
      <c r="D214" s="1019" t="n"/>
      <c r="I214" s="57" t="n"/>
    </row>
    <row r="215">
      <c r="A215" s="113" t="inlineStr">
        <is>
          <t>Q</t>
        </is>
      </c>
      <c r="B215" s="982">
        <f>1/Pi/(k-0.5)</f>
        <v/>
      </c>
      <c r="D215" s="982" t="n"/>
      <c r="F215" s="113" t="inlineStr">
        <is>
          <t>1/(Pi*(k-0.5))</t>
        </is>
      </c>
      <c r="H215" s="113" t="inlineStr">
        <is>
          <t>Q = 2/Pi = 0.636 gives ideal one-cycle damping</t>
        </is>
      </c>
      <c r="I215" s="57" t="n"/>
    </row>
    <row r="216">
      <c r="A216" s="113" t="n"/>
      <c r="B216" s="982" t="n"/>
      <c r="D216" s="113" t="n"/>
      <c r="F216" s="113" t="n"/>
      <c r="I216" s="57" t="n"/>
    </row>
    <row r="217">
      <c r="A217" s="350" t="inlineStr">
        <is>
          <t>Error Amp (EA)</t>
        </is>
      </c>
      <c r="B217" s="982" t="n"/>
      <c r="D217" s="113" t="n"/>
      <c r="I217" s="57" t="n"/>
    </row>
    <row r="218" ht="15" customHeight="1">
      <c r="A218" s="113" t="inlineStr">
        <is>
          <t>GBW</t>
        </is>
      </c>
      <c r="B218" s="671" t="n">
        <v>6</v>
      </c>
      <c r="C218" s="113" t="inlineStr">
        <is>
          <t>MHz</t>
        </is>
      </c>
      <c r="F218" s="113" t="inlineStr">
        <is>
          <t>EA gain-bandwidth product</t>
        </is>
      </c>
      <c r="I218" s="57" t="n"/>
    </row>
    <row r="219" ht="15" customHeight="1">
      <c r="A219" s="113" t="inlineStr">
        <is>
          <t>Cbw</t>
        </is>
      </c>
      <c r="B219" s="672">
        <f>gm/(2*Pi*GBW*1000000)</f>
        <v/>
      </c>
      <c r="C219" s="113" t="inlineStr">
        <is>
          <t>F</t>
        </is>
      </c>
      <c r="F219" s="113" t="inlineStr">
        <is>
          <t>EA effective bandwidth limiting capacitance = gm/(2*Pi*GBW)</t>
        </is>
      </c>
      <c r="I219" s="57" t="n"/>
    </row>
    <row r="220" ht="15" customHeight="1">
      <c r="A220" s="113" t="inlineStr">
        <is>
          <t>RoEA</t>
        </is>
      </c>
      <c r="B220" s="1020" t="n">
        <v>64000000</v>
      </c>
      <c r="C220" s="210" t="inlineStr">
        <is>
          <t>W</t>
        </is>
      </c>
      <c r="F220" s="113" t="inlineStr">
        <is>
          <t>EA output resistance</t>
        </is>
      </c>
      <c r="I220" s="57" t="n"/>
    </row>
    <row r="221">
      <c r="A221" s="2" t="inlineStr">
        <is>
          <t>AEA</t>
        </is>
      </c>
      <c r="B221" s="299">
        <f>gm*RoEA</f>
        <v/>
      </c>
      <c r="C221" s="113" t="inlineStr">
        <is>
          <t>V/V</t>
        </is>
      </c>
      <c r="F221" s="113" t="inlineStr">
        <is>
          <t>EA DC gain = gm*RoEA</t>
        </is>
      </c>
      <c r="I221" s="57" t="n"/>
    </row>
    <row r="222">
      <c r="A222" s="2" t="inlineStr">
        <is>
          <t>Afb</t>
        </is>
      </c>
      <c r="B222" s="4">
        <f>IF(VOUT_setting=1,Vref/Vout,SQRT((1+(Fcross*zterm1)^2)/((1+Afbr-pterm4*(Fcross)^2)^2+(Fcross*pterm3)^2)))</f>
        <v/>
      </c>
      <c r="C222" s="113" t="inlineStr">
        <is>
          <t>V/V</t>
        </is>
      </c>
      <c r="D222" s="4" t="n"/>
      <c r="E222" s="113" t="n"/>
      <c r="F222" s="113" t="inlineStr">
        <is>
          <t>Feedback gain from Vout to FB</t>
        </is>
      </c>
      <c r="I222" s="57" t="n"/>
    </row>
    <row r="223">
      <c r="A223" s="2" t="inlineStr">
        <is>
          <t>Acs</t>
        </is>
      </c>
      <c r="B223" s="984">
        <f>1/Ri</f>
        <v/>
      </c>
      <c r="C223" s="113" t="n"/>
      <c r="D223" s="984" t="n"/>
      <c r="E223" s="113" t="n"/>
      <c r="F223" s="113" t="inlineStr">
        <is>
          <t>Acs = 1/Ri</t>
        </is>
      </c>
      <c r="I223" s="57" t="n"/>
    </row>
    <row r="224">
      <c r="A224" s="2" t="inlineStr">
        <is>
          <t>Am_buck</t>
        </is>
      </c>
      <c r="B224" s="4">
        <f>(Ro/Number_of_Phases)/Ri/((1+Ro/Number_of_Phases*(k-0.5)/(Fsw*Lf)))</f>
        <v/>
      </c>
      <c r="C224" s="4" t="n"/>
      <c r="D224" s="4" t="n"/>
      <c r="I224" s="57" t="n"/>
    </row>
    <row r="225">
      <c r="A225" s="2" t="inlineStr">
        <is>
          <t>Am</t>
        </is>
      </c>
      <c r="B225" s="4">
        <f>(Ro*Number_of_Phases)/Ri/((1+Ro*Number_of_Phases*(k-0.5)/(Fsw*Lf)))</f>
        <v/>
      </c>
      <c r="C225" s="4" t="n"/>
      <c r="D225" s="4" t="n"/>
      <c r="F225" s="350" t="inlineStr">
        <is>
          <t>Buck modulator gain</t>
        </is>
      </c>
      <c r="I225" s="57" t="n"/>
    </row>
    <row r="226">
      <c r="A226" s="2" t="n"/>
      <c r="B226" s="4" t="n"/>
      <c r="D226" s="350" t="n"/>
      <c r="I226" s="57" t="n"/>
    </row>
    <row r="227">
      <c r="A227" s="113" t="inlineStr">
        <is>
          <t>Scaling factor to calculate Rcomp - buck</t>
        </is>
      </c>
      <c r="B227" s="4">
        <f>2*Pi*Ri/gm</f>
        <v/>
      </c>
      <c r="F227" s="113" t="inlineStr">
        <is>
          <t>2*Pi*Ri/gm -- scaling factor to calculate Rcomp given desired buck crossover frequency</t>
        </is>
      </c>
      <c r="I227" s="57" t="n"/>
    </row>
    <row r="228">
      <c r="A228" s="350" t="inlineStr">
        <is>
          <t>DC Gain is Adc = AEA*Afb*Am</t>
        </is>
      </c>
      <c r="B228" s="4" t="n"/>
      <c r="F228" s="113" t="n"/>
      <c r="I228" s="57" t="n"/>
    </row>
    <row r="229">
      <c r="A229" s="350" t="n"/>
      <c r="B229" s="4" t="n"/>
      <c r="F229" s="113" t="n"/>
      <c r="I229" s="57" t="n"/>
    </row>
    <row r="230">
      <c r="A230" s="209" t="inlineStr">
        <is>
          <t>Ro</t>
        </is>
      </c>
      <c r="B230" s="984">
        <f>Rout</f>
        <v/>
      </c>
      <c r="C230" s="210" t="inlineStr">
        <is>
          <t>W</t>
        </is>
      </c>
      <c r="D230" s="982" t="n"/>
      <c r="E230" s="210" t="n"/>
      <c r="F230" s="113" t="inlineStr">
        <is>
          <t>Output Resistance</t>
        </is>
      </c>
      <c r="I230" s="57" t="n"/>
    </row>
    <row r="231">
      <c r="A231" s="113" t="n"/>
      <c r="B231" s="113" t="n"/>
      <c r="C231" s="210" t="n"/>
      <c r="D231" s="113" t="n"/>
      <c r="I231" s="57" t="n"/>
    </row>
    <row r="232">
      <c r="A232" s="113" t="inlineStr">
        <is>
          <t>Fp_load_buck</t>
        </is>
      </c>
      <c r="B232" s="372">
        <f>1/(2*Pi*Ro*Cout)+(k-0.5)/(2*Pi*Fsw*Lf*Cout/Number_of_Phases)</f>
        <v/>
      </c>
      <c r="C232" t="inlineStr">
        <is>
          <t>Hz</t>
        </is>
      </c>
      <c r="D232" s="359" t="n"/>
      <c r="F232" s="113" t="inlineStr">
        <is>
          <t>Buck dominant pole frequency -- note slope comp influence</t>
        </is>
      </c>
      <c r="I232" s="57" t="n"/>
    </row>
    <row r="233">
      <c r="A233" s="113" t="inlineStr">
        <is>
          <t>Fp_dominant</t>
        </is>
      </c>
      <c r="B233" s="359">
        <f>Fload_u</f>
        <v/>
      </c>
      <c r="C233" s="113" t="inlineStr">
        <is>
          <t>Hz</t>
        </is>
      </c>
      <c r="D233" s="359" t="n"/>
      <c r="E233" s="113" t="n"/>
      <c r="F233" s="365" t="n"/>
      <c r="I233" s="57" t="n"/>
    </row>
    <row r="234">
      <c r="A234" s="113" t="n"/>
      <c r="B234" s="358">
        <f>Cbw</f>
        <v/>
      </c>
      <c r="D234" s="113" t="n"/>
      <c r="E234" s="46" t="n"/>
      <c r="I234" s="57" t="n"/>
    </row>
    <row r="235">
      <c r="A235" s="113" t="inlineStr">
        <is>
          <t>Fp_EA</t>
        </is>
      </c>
      <c r="B235" s="1021">
        <f>1/(2*Pi*(RoEA+Rcea1_u)*Cc1ea_u)</f>
        <v/>
      </c>
      <c r="C235" t="inlineStr">
        <is>
          <t>Hz</t>
        </is>
      </c>
      <c r="D235" s="1022" t="n"/>
      <c r="F235" s="113" t="inlineStr">
        <is>
          <t>Error Amp LF pole -- related to amplifier ouptut resistance and comp cap</t>
        </is>
      </c>
      <c r="I235" s="57" t="n"/>
    </row>
    <row r="236">
      <c r="A236" s="113" t="inlineStr">
        <is>
          <t>Fp_HF</t>
        </is>
      </c>
      <c r="B236" s="372">
        <f>1/(2*Pi*Rcea1_u*(Cc2ea_u+Cbw))</f>
        <v/>
      </c>
      <c r="C236" t="inlineStr">
        <is>
          <t>Hz</t>
        </is>
      </c>
      <c r="D236" s="359" t="n"/>
      <c r="F236" s="113" t="inlineStr">
        <is>
          <t>Error Amp HF pole cancels zero related to Output Cap ESR</t>
        </is>
      </c>
      <c r="I236" s="57" t="n"/>
    </row>
    <row r="237">
      <c r="A237" s="209" t="inlineStr">
        <is>
          <t>Fesr</t>
        </is>
      </c>
      <c r="B237" s="372">
        <f>1/(2*Pi*Cout*Cout_ESR)</f>
        <v/>
      </c>
      <c r="C237" t="inlineStr">
        <is>
          <t>Hz</t>
        </is>
      </c>
      <c r="D237" s="359" t="n"/>
      <c r="F237" s="113" t="inlineStr">
        <is>
          <t>Cout ESR zero frequency</t>
        </is>
      </c>
      <c r="I237" s="57" t="n"/>
    </row>
    <row r="238">
      <c r="A238" s="113" t="inlineStr">
        <is>
          <t>F_mod</t>
        </is>
      </c>
      <c r="B238" s="372">
        <f>Fsw/2</f>
        <v/>
      </c>
      <c r="C238" t="inlineStr">
        <is>
          <t>Hz</t>
        </is>
      </c>
      <c r="D238" s="359" t="n"/>
      <c r="F238" s="113" t="inlineStr">
        <is>
          <t>Zero-order sample-and-hold effects of current-mode control modeled as pole at Fsw/2</t>
        </is>
      </c>
      <c r="I238" s="57" t="n"/>
    </row>
    <row r="239">
      <c r="A239" s="113" t="n"/>
      <c r="B239" s="359" t="n"/>
      <c r="D239" s="675" t="inlineStr">
        <is>
          <t>Internal Comp Crossover</t>
        </is>
      </c>
      <c r="E239" s="46" t="n"/>
      <c r="I239" s="57" t="n"/>
    </row>
    <row r="240">
      <c r="A240" s="209" t="inlineStr">
        <is>
          <t>Desired Crossover Frequency</t>
        </is>
      </c>
      <c r="B240" s="305">
        <f>CHOOSE(COMP_TYPE,Fcross_Ch2,'Design Regulator'!E63*1000)</f>
        <v/>
      </c>
      <c r="C240" s="358" t="inlineStr">
        <is>
          <t>Hz</t>
        </is>
      </c>
      <c r="D240" s="676">
        <f>Fsw/50</f>
        <v/>
      </c>
      <c r="E240" s="358" t="n"/>
      <c r="I240" s="57" t="n"/>
    </row>
    <row r="241">
      <c r="A241" s="66" t="inlineStr">
        <is>
          <t>Rcea1</t>
        </is>
      </c>
      <c r="B241" s="359">
        <f>Fcross*Cout/Number_of_Phases*2*Pi*Ri/(gm*Afb)</f>
        <v/>
      </c>
      <c r="C241" s="210" t="inlineStr">
        <is>
          <t>W</t>
        </is>
      </c>
      <c r="D241" s="359" t="n"/>
      <c r="E241" s="210" t="n"/>
      <c r="F241" s="113" t="inlineStr">
        <is>
          <t>This component will largely determine the crossover frequency</t>
        </is>
      </c>
      <c r="I241" s="57" t="n"/>
      <c r="K241" s="299">
        <f>Fcross/Fp_dominant/(gm*Afb*Am)</f>
        <v/>
      </c>
      <c r="L241" s="210" t="n"/>
    </row>
    <row r="242">
      <c r="A242" s="66" t="inlineStr">
        <is>
          <t>Cc1ea, Cc3ea</t>
        </is>
      </c>
      <c r="B242" s="358">
        <f>10/(Rcea1*Fcross*2*Pi)</f>
        <v/>
      </c>
      <c r="C242" t="inlineStr">
        <is>
          <t>F</t>
        </is>
      </c>
      <c r="D242" s="358" t="n"/>
      <c r="F242" s="113" t="inlineStr">
        <is>
          <t>This along with Rcea1 will set a zero at Fcrossover/5 to optimize phase margin</t>
        </is>
      </c>
      <c r="I242" s="57" t="n"/>
    </row>
    <row r="243">
      <c r="A243" s="66" t="inlineStr">
        <is>
          <t>Cc2ea, Cc4ea</t>
        </is>
      </c>
      <c r="B243" s="358">
        <f>MAX(1/(Rcea1*2*Pi*Fesr)-Cbw, 1/(Rcea1*2*Pi*(Fsw/2))-Cbw)</f>
        <v/>
      </c>
      <c r="C243" t="inlineStr">
        <is>
          <t>F</t>
        </is>
      </c>
      <c r="D243" s="358" t="n"/>
      <c r="F243" s="113" t="inlineStr">
        <is>
          <t>This along with Rcea1 places a pole at the output cap ESR zero</t>
        </is>
      </c>
      <c r="I243" s="57" t="n"/>
    </row>
    <row r="244">
      <c r="A244" s="65" t="n"/>
      <c r="B244" s="1" t="n"/>
      <c r="C244" s="210" t="n"/>
      <c r="I244" s="57" t="n"/>
    </row>
    <row r="245">
      <c r="A245" s="674">
        <f>CHOOSE(COMP_TYPE,"Internal Compensation","External Compensation")</f>
        <v/>
      </c>
      <c r="B245" s="1" t="n"/>
      <c r="C245" s="210" t="n"/>
      <c r="I245" s="57" t="n"/>
    </row>
    <row r="246">
      <c r="A246" s="66" t="inlineStr">
        <is>
          <t>Chosen Compensation Components from the standard value sheet</t>
        </is>
      </c>
      <c r="D246" s="676" t="inlineStr">
        <is>
          <t>Internal Values</t>
        </is>
      </c>
      <c r="I246" s="57" t="n"/>
    </row>
    <row r="247">
      <c r="A247" s="56" t="inlineStr">
        <is>
          <t>Rcea1_u</t>
        </is>
      </c>
      <c r="B247" s="69">
        <f>CHOOSE(COMP_TYPE,D247,'Design Regulator'!D71*1000)</f>
        <v/>
      </c>
      <c r="C247" s="210" t="inlineStr">
        <is>
          <t>W</t>
        </is>
      </c>
      <c r="D247" s="677" t="n">
        <v>400000</v>
      </c>
      <c r="G247">
        <f>1/(Rcea1*2*Pi*(Fsw/2))-Cbw</f>
        <v/>
      </c>
      <c r="I247" s="57" t="n"/>
    </row>
    <row r="248">
      <c r="A248" s="56" t="inlineStr">
        <is>
          <t>Cc1ea_u</t>
        </is>
      </c>
      <c r="B248" s="69">
        <f>CHOOSE(COMP_TYPE,Cc3ea_u,'Design Regulator'!D72*0.000000001)</f>
        <v/>
      </c>
      <c r="C248" t="inlineStr">
        <is>
          <t>F</t>
        </is>
      </c>
      <c r="D248" s="678">
        <f>50*0.000000000001</f>
        <v/>
      </c>
      <c r="I248" s="57" t="n"/>
    </row>
    <row r="249">
      <c r="A249" s="56" t="inlineStr">
        <is>
          <t>Cc2ea_u</t>
        </is>
      </c>
      <c r="B249" s="69">
        <f>CHOOSE(COMP_TYPE,Cc4ea_u,'Design Regulator'!D73*0.000000000001)</f>
        <v/>
      </c>
      <c r="C249" t="inlineStr">
        <is>
          <t>F</t>
        </is>
      </c>
      <c r="D249" s="678">
        <f>0.000000000001</f>
        <v/>
      </c>
      <c r="I249" s="57" t="n"/>
    </row>
    <row r="250">
      <c r="A250" s="56" t="n"/>
      <c r="B250" s="975" t="n"/>
      <c r="I250" s="57" t="n"/>
    </row>
    <row r="251">
      <c r="A251" s="66" t="inlineStr">
        <is>
          <t>Resulting Pole/Zero Locations</t>
        </is>
      </c>
      <c r="F251">
        <f>Cout</f>
        <v/>
      </c>
      <c r="G251">
        <f>Cout_ESR</f>
        <v/>
      </c>
      <c r="I251" s="57" t="n"/>
    </row>
    <row r="252">
      <c r="A252" s="66" t="inlineStr">
        <is>
          <t>Fz1</t>
        </is>
      </c>
      <c r="B252" s="360">
        <f>1/(2*Pi*Rcea1_u*Cc1ea_u)</f>
        <v/>
      </c>
      <c r="C252" t="inlineStr">
        <is>
          <t>Hz</t>
        </is>
      </c>
      <c r="D252" s="359" t="n"/>
      <c r="F252" s="113" t="inlineStr">
        <is>
          <t>This zero is set at or close to the dominant load pole</t>
        </is>
      </c>
      <c r="I252" s="57" t="n"/>
    </row>
    <row r="253">
      <c r="A253" s="66" t="inlineStr">
        <is>
          <t>Fp2</t>
        </is>
      </c>
      <c r="B253" s="360">
        <f>1/(2*Pi*Rcea1_u*(Cc1ea_u*(Cc2ea_u+Cbw)/(Cc1ea_u+Cc2ea_u+Cbw)))</f>
        <v/>
      </c>
      <c r="C253" t="inlineStr">
        <is>
          <t>Hz</t>
        </is>
      </c>
      <c r="D253" s="359" t="n"/>
      <c r="F253" t="inlineStr">
        <is>
          <t>This pole cancels the zero from the Output Cap ESR</t>
        </is>
      </c>
      <c r="I253" s="57" t="n"/>
    </row>
    <row r="254">
      <c r="D254" s="676" t="inlineStr">
        <is>
          <t>Internal Values</t>
        </is>
      </c>
      <c r="I254" s="57" t="n"/>
    </row>
    <row r="255">
      <c r="A255" s="56" t="inlineStr">
        <is>
          <t>Rfb1</t>
        </is>
      </c>
      <c r="B255" s="305">
        <f>IF(VOUT_setting=1,'Design Regulator'!E65*1000,2500000)</f>
        <v/>
      </c>
      <c r="C255" s="210" t="inlineStr">
        <is>
          <t>W</t>
        </is>
      </c>
      <c r="E255" s="210" t="n"/>
      <c r="F255" s="113" t="inlineStr">
        <is>
          <t>Upper Feedback Resistance - chosen by user</t>
        </is>
      </c>
      <c r="I255" s="57" t="n"/>
    </row>
    <row r="256">
      <c r="A256" s="66" t="inlineStr">
        <is>
          <t>Rfb2</t>
        </is>
      </c>
      <c r="B256" s="349">
        <f>IF(Vout=Vref,100000000,Vref*B255/((Vout-Vref)))</f>
        <v/>
      </c>
      <c r="C256" s="210" t="inlineStr">
        <is>
          <t>W</t>
        </is>
      </c>
      <c r="D256" s="625" t="n"/>
      <c r="E256" s="210" t="n"/>
      <c r="F256" s="113" t="inlineStr">
        <is>
          <t>Lower Feedback Resistance</t>
        </is>
      </c>
      <c r="I256" s="57" t="n"/>
    </row>
    <row r="257">
      <c r="A257" s="56" t="inlineStr">
        <is>
          <t>Rfb2_u</t>
        </is>
      </c>
      <c r="B257" s="68">
        <f>IF(Vout=Vref,"N/A",CHOOSE(VOUT_setting,'Standard Value Calculator'!S11,471000,792000,177000))</f>
        <v/>
      </c>
      <c r="C257" s="210" t="inlineStr">
        <is>
          <t>W</t>
        </is>
      </c>
      <c r="E257" s="210" t="n"/>
      <c r="F257" s="113" t="inlineStr">
        <is>
          <t>Std Value Lower Feedback Resistance</t>
        </is>
      </c>
      <c r="I257" s="57" t="n"/>
    </row>
    <row r="258">
      <c r="B258" s="685" t="n"/>
      <c r="C258" s="210" t="n"/>
      <c r="E258" s="210" t="n"/>
      <c r="F258" s="113" t="n"/>
      <c r="I258" s="57" t="n"/>
    </row>
    <row r="259">
      <c r="A259" t="inlineStr">
        <is>
          <t>Rff</t>
        </is>
      </c>
      <c r="B259" s="305" t="n">
        <v>20000</v>
      </c>
      <c r="C259" s="210" t="inlineStr">
        <is>
          <t>W</t>
        </is>
      </c>
      <c r="E259" s="210" t="n"/>
      <c r="F259" s="113" t="n"/>
      <c r="I259" s="57" t="n"/>
    </row>
    <row r="260">
      <c r="A260" t="inlineStr">
        <is>
          <t>Cff</t>
        </is>
      </c>
      <c r="B260" s="69" t="n">
        <v>3.67e-13</v>
      </c>
      <c r="C260" t="inlineStr">
        <is>
          <t>F</t>
        </is>
      </c>
      <c r="E260" s="210" t="n"/>
      <c r="F260" s="113" t="n"/>
      <c r="I260" s="57" t="n"/>
    </row>
    <row r="261">
      <c r="A261" t="inlineStr">
        <is>
          <t>Cfb</t>
        </is>
      </c>
      <c r="B261" s="69" t="n">
        <v>2.2e-12</v>
      </c>
      <c r="C261" t="inlineStr">
        <is>
          <t>F</t>
        </is>
      </c>
      <c r="E261" s="210" t="n"/>
      <c r="F261" s="113" t="n"/>
      <c r="I261" s="57" t="n"/>
    </row>
    <row r="262">
      <c r="B262" s="685" t="n"/>
      <c r="C262" s="210" t="n"/>
      <c r="E262" s="210" t="n"/>
      <c r="F262" s="113" t="n"/>
      <c r="I262" s="57" t="n"/>
    </row>
    <row r="263">
      <c r="A263" s="113" t="inlineStr">
        <is>
          <t>wff</t>
        </is>
      </c>
      <c r="B263" s="687">
        <f>1/(2*Pi*Rff*Cff)</f>
        <v/>
      </c>
      <c r="C263" s="113" t="inlineStr">
        <is>
          <t>Hz</t>
        </is>
      </c>
      <c r="E263" s="210" t="n"/>
      <c r="F263" s="113" t="n"/>
      <c r="I263" s="57" t="n"/>
    </row>
    <row r="264">
      <c r="A264" s="113" t="inlineStr">
        <is>
          <t>wfbt</t>
        </is>
      </c>
      <c r="B264" s="687">
        <f>1/(2*Pi*Rfb1_*Cfb)</f>
        <v/>
      </c>
      <c r="C264" s="113" t="inlineStr">
        <is>
          <t>Hz</t>
        </is>
      </c>
      <c r="E264" s="210" t="n"/>
      <c r="F264" s="113" t="n"/>
      <c r="I264" s="57" t="n"/>
    </row>
    <row r="265">
      <c r="A265" s="113" t="inlineStr">
        <is>
          <t>wfbb</t>
        </is>
      </c>
      <c r="B265" s="687">
        <f>1/(2*Pi*Rfb2_u*Cfb)</f>
        <v/>
      </c>
      <c r="C265" s="113" t="inlineStr">
        <is>
          <t>Hz</t>
        </is>
      </c>
      <c r="E265" s="210" t="n"/>
      <c r="F265" s="113" t="n"/>
      <c r="I265" s="57" t="n"/>
    </row>
    <row r="266">
      <c r="A266" s="113" t="inlineStr">
        <is>
          <t>w1</t>
        </is>
      </c>
      <c r="B266" s="687">
        <f>1/(2*Pi*Rff*Cfb)</f>
        <v/>
      </c>
      <c r="C266" s="113" t="inlineStr">
        <is>
          <t>Hz</t>
        </is>
      </c>
      <c r="E266" s="210" t="n"/>
      <c r="F266" s="113" t="n"/>
      <c r="I266" s="57" t="n"/>
    </row>
    <row r="267">
      <c r="A267" s="113" t="inlineStr">
        <is>
          <t>wfft</t>
        </is>
      </c>
      <c r="B267" s="687">
        <f>1/(2*Pi*Cff*Rfb1_)</f>
        <v/>
      </c>
      <c r="C267" s="113" t="inlineStr">
        <is>
          <t>Hz</t>
        </is>
      </c>
      <c r="E267" s="210" t="n"/>
      <c r="F267" s="113" t="n"/>
      <c r="I267" s="57" t="n"/>
    </row>
    <row r="268">
      <c r="A268" t="inlineStr">
        <is>
          <t>Cfb*(Rff+RFBT)/(Rff*RFBT))</t>
        </is>
      </c>
      <c r="B268" s="685">
        <f>2*Pi*Cfb*(Rff+Rfb1_)/(Rff*Rfb1_)</f>
        <v/>
      </c>
      <c r="C268" s="113" t="inlineStr">
        <is>
          <t>Hz</t>
        </is>
      </c>
      <c r="E268" s="210" t="n"/>
      <c r="F268" s="113" t="n"/>
      <c r="I268" s="57" t="n"/>
    </row>
    <row r="269">
      <c r="B269" s="685" t="n"/>
      <c r="C269" s="113" t="n"/>
      <c r="E269" s="210" t="n"/>
      <c r="F269" s="113" t="n"/>
      <c r="I269" s="57" t="n"/>
    </row>
    <row r="270">
      <c r="B270" s="685" t="n"/>
      <c r="C270" s="113" t="n"/>
      <c r="E270" s="210" t="n"/>
      <c r="F270" s="113" t="n"/>
      <c r="I270" s="57" t="n"/>
    </row>
    <row r="271" ht="13.5" customHeight="1" thickBot="1">
      <c r="A271" s="371" t="n"/>
      <c r="B271" s="686" t="n"/>
      <c r="C271" s="71" t="n"/>
      <c r="D271" s="61" t="n"/>
      <c r="E271" s="71" t="n"/>
      <c r="F271" s="61" t="n"/>
      <c r="G271" s="61" t="n"/>
      <c r="H271" s="61" t="n"/>
      <c r="I271" s="62" t="n"/>
    </row>
    <row r="272">
      <c r="A272" s="1" t="n"/>
      <c r="B272" s="46" t="n"/>
      <c r="C272" s="46" t="n"/>
      <c r="E272" s="46" t="n"/>
    </row>
    <row r="273">
      <c r="A273" s="66" t="inlineStr">
        <is>
          <t>Other Input Variables</t>
        </is>
      </c>
      <c r="B273" s="1" t="n"/>
    </row>
    <row r="274">
      <c r="A274" s="66" t="inlineStr">
        <is>
          <t>Rfets</t>
        </is>
      </c>
      <c r="B274" s="2" t="n">
        <v>0</v>
      </c>
      <c r="C274" s="210" t="inlineStr">
        <is>
          <t>W</t>
        </is>
      </c>
      <c r="D274" s="113" t="inlineStr">
        <is>
          <t>Series resistance due to FETs</t>
        </is>
      </c>
    </row>
    <row r="275">
      <c r="A275" s="66" t="inlineStr">
        <is>
          <t>Diode loss eq res</t>
        </is>
      </c>
      <c r="B275" s="1023">
        <f>0.00000002*Fsw*0.6*4/Iripple1</f>
        <v/>
      </c>
      <c r="C275" s="46" t="n"/>
      <c r="E275" s="46" t="n"/>
    </row>
    <row r="276">
      <c r="A276" s="66" t="inlineStr">
        <is>
          <t>Fet loss eq res</t>
        </is>
      </c>
      <c r="B276" s="1023">
        <f>_Don2*RdsonTop+Doff2*RdsonBot</f>
        <v/>
      </c>
      <c r="C276" s="46" t="n"/>
      <c r="E276" s="46" t="n"/>
    </row>
    <row r="277">
      <c r="A277" s="66" t="inlineStr">
        <is>
          <t>cap loss eq res</t>
        </is>
      </c>
      <c r="B277" s="1023">
        <f>B278*Vin^2*Fsw/2/(((Iripple1/SQRT(3))^2))</f>
        <v/>
      </c>
      <c r="C277" s="46" t="n"/>
      <c r="E277" s="46" t="n"/>
    </row>
    <row r="278">
      <c r="A278" s="66" t="inlineStr">
        <is>
          <t>Sw cap</t>
        </is>
      </c>
      <c r="B278" s="370" t="n">
        <v>5e-09</v>
      </c>
      <c r="C278" s="46" t="n"/>
      <c r="E278" s="46" t="n"/>
    </row>
    <row r="279">
      <c r="A279" s="2" t="n"/>
      <c r="B279" s="370" t="n"/>
      <c r="C279" s="46" t="n"/>
      <c r="E279" s="46" t="n"/>
    </row>
    <row r="280" ht="16.5" customHeight="1" thickBot="1">
      <c r="A280" s="509" t="inlineStr">
        <is>
          <t>Step 8: AEF</t>
        </is>
      </c>
    </row>
    <row r="281">
      <c r="A281" s="361" t="n"/>
      <c r="B281" s="1017" t="n"/>
      <c r="C281" s="363" t="n"/>
      <c r="D281" s="364" t="n"/>
      <c r="E281" s="63" t="n"/>
      <c r="F281" s="63" t="n"/>
      <c r="G281" s="63" t="n"/>
      <c r="H281" s="63" t="n"/>
      <c r="I281" s="64" t="n"/>
    </row>
    <row r="282">
      <c r="A282" s="113" t="inlineStr">
        <is>
          <t>VinRipple_dBuV</t>
        </is>
      </c>
      <c r="B282" s="397">
        <f>20*LOG10(Vinripple2*1000000)</f>
        <v/>
      </c>
      <c r="C282" s="1" t="inlineStr">
        <is>
          <t>dBuV</t>
        </is>
      </c>
      <c r="E282" s="46" t="n"/>
      <c r="I282" s="57" t="n"/>
    </row>
    <row r="283">
      <c r="A283" s="113" t="inlineStr">
        <is>
          <t>CISPR 25 limit</t>
        </is>
      </c>
      <c r="B283" s="359">
        <f>CHOOSE(OSC,35,50)</f>
        <v/>
      </c>
      <c r="C283" s="1" t="inlineStr">
        <is>
          <t>dBuV</t>
        </is>
      </c>
      <c r="D283" s="113" t="inlineStr">
        <is>
          <t>Chooses CISPR conducted limit 35 at 2.1MHz and 50 at 440kHz</t>
        </is>
      </c>
      <c r="E283" s="46" t="n"/>
      <c r="I283" s="57" t="n"/>
    </row>
    <row r="284">
      <c r="A284" s="113" t="inlineStr">
        <is>
          <t>Attenuation required</t>
        </is>
      </c>
      <c r="B284" s="397">
        <f>VinRipple_dBuV-B283+3</f>
        <v/>
      </c>
      <c r="C284" s="1" t="inlineStr">
        <is>
          <t>dBuV</t>
        </is>
      </c>
      <c r="D284" s="113" t="inlineStr">
        <is>
          <t>Margin of attenuation req</t>
        </is>
      </c>
      <c r="E284" s="46" t="n"/>
      <c r="I284" s="57" t="n"/>
    </row>
    <row r="285">
      <c r="A285" s="113" t="inlineStr">
        <is>
          <t>Filter Frequency Required</t>
        </is>
      </c>
      <c r="B285" s="647">
        <f>Fsw/(POWER(10,Attn_req/40))</f>
        <v/>
      </c>
      <c r="C285" s="46" t="inlineStr">
        <is>
          <t>Hz</t>
        </is>
      </c>
      <c r="D285" s="113" t="inlineStr">
        <is>
          <t>assume 40db/decade drop and set frequency based on attenuation</t>
        </is>
      </c>
      <c r="E285" s="46" t="n"/>
      <c r="I285" s="57" t="n"/>
    </row>
    <row r="286">
      <c r="A286" s="113" t="n"/>
      <c r="B286" s="370" t="n"/>
      <c r="C286" s="46" t="n"/>
      <c r="E286" s="46" t="n"/>
      <c r="I286" s="57" t="n"/>
    </row>
    <row r="287">
      <c r="A287" s="113" t="inlineStr">
        <is>
          <t>Lfilter</t>
        </is>
      </c>
      <c r="B287" s="358">
        <f>'Design Regulator'!E49</f>
        <v/>
      </c>
      <c r="C287" s="370" t="inlineStr">
        <is>
          <t>uH</t>
        </is>
      </c>
      <c r="D287" s="113" t="inlineStr">
        <is>
          <t>user input</t>
        </is>
      </c>
      <c r="E287" s="46" t="n"/>
      <c r="I287" s="57" t="n"/>
    </row>
    <row r="288">
      <c r="A288" s="113" t="n"/>
      <c r="B288" s="397" t="n"/>
      <c r="C288" s="46" t="n"/>
      <c r="E288" s="46" t="n"/>
      <c r="I288" s="57" t="n"/>
    </row>
    <row r="289">
      <c r="A289" s="113" t="inlineStr">
        <is>
          <t>Gop_AEF</t>
        </is>
      </c>
      <c r="B289" s="113">
        <f>CHOOSE(OSC,20,100)</f>
        <v/>
      </c>
      <c r="C289" s="46" t="n"/>
      <c r="E289" s="46" t="n"/>
      <c r="I289" s="57" t="n"/>
    </row>
    <row r="290">
      <c r="A290" s="113" t="inlineStr">
        <is>
          <t>n</t>
        </is>
      </c>
      <c r="B290" s="113" t="n">
        <v>3</v>
      </c>
      <c r="C290" s="46" t="n"/>
      <c r="E290" s="46" t="n"/>
      <c r="F290" s="113" t="inlineStr">
        <is>
          <t>n should be 2 or 3</t>
        </is>
      </c>
      <c r="I290" s="57" t="n"/>
    </row>
    <row r="291">
      <c r="A291" s="113" t="n"/>
      <c r="B291" s="397" t="n"/>
      <c r="C291" s="46" t="n"/>
      <c r="E291" s="46" t="n"/>
      <c r="I291" s="57" t="n"/>
    </row>
    <row r="292">
      <c r="A292" s="113" t="inlineStr">
        <is>
          <t>Passive Cf</t>
        </is>
      </c>
      <c r="B292" s="397">
        <f>1000000/(LinfilterPssv*POWER(2*Pi*Fx_infilter,2))</f>
        <v/>
      </c>
      <c r="C292" s="46" t="inlineStr">
        <is>
          <t>uF</t>
        </is>
      </c>
      <c r="D292">
        <f>'Design Input Filter'!G9*0.000001</f>
        <v/>
      </c>
      <c r="E292" s="46" t="n"/>
      <c r="I292" s="57" t="n"/>
    </row>
    <row r="293" ht="15" customHeight="1">
      <c r="A293" s="113" t="inlineStr">
        <is>
          <t>Cinj_AEF</t>
        </is>
      </c>
      <c r="B293" s="397">
        <f>1000000/(L_infilter*Gop_AEF*0.000001*POWER(2*Pi*Fx_infilter,2))</f>
        <v/>
      </c>
      <c r="C293" s="46" t="inlineStr">
        <is>
          <t>uF</t>
        </is>
      </c>
      <c r="D293" s="660">
        <f>'Design Regulator'!#REF!*0.000001</f>
        <v/>
      </c>
      <c r="E293" s="46" t="n"/>
      <c r="I293" s="57" t="n"/>
    </row>
    <row r="294">
      <c r="A294" s="113" t="n"/>
      <c r="B294" s="397" t="n"/>
      <c r="C294" s="46" t="n"/>
      <c r="E294" s="46" t="n"/>
      <c r="I294" s="57" t="n"/>
    </row>
    <row r="295">
      <c r="A295" s="113" t="inlineStr">
        <is>
          <t>Cdamp_AEF</t>
        </is>
      </c>
      <c r="B295" s="397">
        <f>CHOOSE(OSC,0,Cinj_AEF/nAEF)</f>
        <v/>
      </c>
      <c r="C295" s="46" t="inlineStr">
        <is>
          <t>uF</t>
        </is>
      </c>
      <c r="D295">
        <f>'Design Regulator'!#REF!*0.000001</f>
        <v/>
      </c>
      <c r="E295" s="46" t="n"/>
      <c r="I295" s="57" t="n"/>
    </row>
    <row r="296">
      <c r="A296" s="113" t="inlineStr">
        <is>
          <t>Rdamp_AEF</t>
        </is>
      </c>
      <c r="B296" s="397">
        <f>CHOOSE(OSC,SQRT(L_infilter*Gop_AEF/(Cinj_AEF)),1.09*SQRT(L_infilter*Gop_AEF/Cinj_AEF))</f>
        <v/>
      </c>
      <c r="C296" s="370" t="inlineStr">
        <is>
          <t>Ω</t>
        </is>
      </c>
      <c r="D296">
        <f>'Design Regulator'!#REF!</f>
        <v/>
      </c>
      <c r="E296" s="46" t="n"/>
      <c r="I296" s="57" t="n"/>
    </row>
    <row r="297">
      <c r="A297" s="113" t="inlineStr">
        <is>
          <t>Ccomp_AEF</t>
        </is>
      </c>
      <c r="B297" s="113">
        <f>CHOOSE(OSC,5,1)</f>
        <v/>
      </c>
      <c r="C297" s="370" t="inlineStr">
        <is>
          <t>nF</t>
        </is>
      </c>
      <c r="D297">
        <f>B297*0.000000001</f>
        <v/>
      </c>
      <c r="E297" s="46" t="n"/>
      <c r="F297" s="113" t="inlineStr">
        <is>
          <t>AEF Comp network &amp; sense is specifically defined at 2.2MHz at 440kHz</t>
        </is>
      </c>
      <c r="I297" s="57" t="n"/>
    </row>
    <row r="298">
      <c r="A298" s="113" t="inlineStr">
        <is>
          <t>Rcomp_AEF</t>
        </is>
      </c>
      <c r="B298" s="113">
        <f>CHOOSE(OSC,200,1000)</f>
        <v/>
      </c>
      <c r="C298" s="370" t="inlineStr">
        <is>
          <t>Ω</t>
        </is>
      </c>
      <c r="E298" s="46" t="n"/>
      <c r="I298" s="57" t="n"/>
    </row>
    <row r="299">
      <c r="A299" s="113" t="inlineStr">
        <is>
          <t>Csen_AEF</t>
        </is>
      </c>
      <c r="B299" s="113">
        <f>Gop_AEF*B297</f>
        <v/>
      </c>
      <c r="C299" s="370" t="inlineStr">
        <is>
          <t>nF</t>
        </is>
      </c>
      <c r="D299">
        <f>B299*0.000000001</f>
        <v/>
      </c>
      <c r="E299" s="46" t="n"/>
      <c r="I299" s="57" t="n"/>
    </row>
    <row r="300">
      <c r="A300" s="113" t="n"/>
      <c r="B300" s="113" t="n"/>
      <c r="C300" s="370" t="n"/>
      <c r="E300" s="46" t="n"/>
      <c r="I300" s="57" t="n"/>
    </row>
    <row r="301">
      <c r="A301" s="113" t="inlineStr">
        <is>
          <t>Rd_AEF</t>
        </is>
      </c>
      <c r="B301" s="113">
        <f>SQRT(L_infilter*0.000001/Cin)</f>
        <v/>
      </c>
      <c r="C301" s="370" t="n"/>
      <c r="D301" s="4">
        <f>'Standard Value Calculator'!S14</f>
        <v/>
      </c>
      <c r="E301" s="46" t="n"/>
      <c r="I301" s="57" t="n"/>
    </row>
    <row r="302">
      <c r="A302" s="2" t="n"/>
      <c r="B302" s="113" t="n"/>
      <c r="C302" s="46" t="n"/>
      <c r="E302" s="46" t="n"/>
      <c r="I302" s="57" t="n"/>
    </row>
    <row r="303">
      <c r="A303" s="2" t="inlineStr">
        <is>
          <t>Attenuation at Fsw</t>
        </is>
      </c>
      <c r="B303" s="113">
        <f>'Input Filter Calculations'!W97</f>
        <v/>
      </c>
      <c r="C303" s="1" t="inlineStr">
        <is>
          <t>dBuV</t>
        </is>
      </c>
      <c r="E303" s="46" t="n"/>
      <c r="I303" s="57" t="n"/>
    </row>
    <row r="304">
      <c r="A304" s="2" t="inlineStr">
        <is>
          <t>Conducted EMC at Fsw</t>
        </is>
      </c>
      <c r="B304" s="113">
        <f>VinRipple_dBuV+B303</f>
        <v/>
      </c>
      <c r="C304" s="1" t="inlineStr">
        <is>
          <t>dBuV</t>
        </is>
      </c>
      <c r="E304" s="46" t="n"/>
      <c r="I304" s="57" t="n"/>
    </row>
    <row r="305" ht="13.5" customHeight="1" thickBot="1">
      <c r="A305" s="371" t="n"/>
      <c r="B305" s="371" t="n"/>
      <c r="C305" s="71" t="n"/>
      <c r="D305" s="61" t="n"/>
      <c r="E305" s="71" t="n"/>
      <c r="F305" s="61" t="n"/>
      <c r="G305" s="61" t="n"/>
      <c r="H305" s="61" t="n"/>
      <c r="I305" s="62" t="n"/>
    </row>
    <row r="306">
      <c r="A306" s="1" t="n"/>
      <c r="B306" s="46" t="n"/>
      <c r="C306" s="46" t="n"/>
      <c r="E306" s="46" t="n"/>
    </row>
    <row r="307" ht="16.5" customHeight="1" thickBot="1">
      <c r="A307" s="91" t="inlineStr">
        <is>
          <t>Step 8: Efficiency</t>
        </is>
      </c>
    </row>
    <row r="308">
      <c r="A308" s="208" t="inlineStr">
        <is>
          <t>VAR</t>
        </is>
      </c>
      <c r="B308" s="63" t="n">
        <v>0</v>
      </c>
      <c r="C308" s="288" t="n"/>
      <c r="D308" s="63" t="n"/>
      <c r="E308" s="63" t="n"/>
      <c r="F308" s="63" t="n"/>
      <c r="G308" s="63" t="n"/>
      <c r="H308" s="63" t="n"/>
      <c r="I308" s="64" t="n"/>
    </row>
    <row r="309">
      <c r="A309" s="66" t="inlineStr">
        <is>
          <t>Design</t>
        </is>
      </c>
      <c r="I309" s="57" t="n"/>
    </row>
    <row r="310">
      <c r="A310" s="56" t="inlineStr">
        <is>
          <t>Ta</t>
        </is>
      </c>
      <c r="B310" s="29">
        <f>'Design Regulator'!E13</f>
        <v/>
      </c>
      <c r="C310" s="113" t="inlineStr">
        <is>
          <t>°C</t>
        </is>
      </c>
      <c r="D310" t="inlineStr">
        <is>
          <t>Ambient Temperature</t>
        </is>
      </c>
      <c r="I310" s="57" t="n"/>
    </row>
    <row r="311">
      <c r="A311" s="66" t="inlineStr">
        <is>
          <t>Components</t>
        </is>
      </c>
      <c r="I311" s="57" t="n"/>
    </row>
    <row r="312">
      <c r="A312" s="56" t="inlineStr">
        <is>
          <t>LTc</t>
        </is>
      </c>
      <c r="B312" s="59">
        <f>4000/1000000</f>
        <v/>
      </c>
      <c r="C312" s="113" t="inlineStr">
        <is>
          <t>%/°C</t>
        </is>
      </c>
      <c r="D312" s="113" t="inlineStr">
        <is>
          <t>Inductor DCR Temp Co</t>
        </is>
      </c>
      <c r="I312" s="57" t="n"/>
    </row>
    <row r="313" ht="15.75" customHeight="1">
      <c r="A313" s="209" t="inlineStr">
        <is>
          <t>θCA</t>
        </is>
      </c>
      <c r="B313" s="59" t="n">
        <v>20</v>
      </c>
      <c r="C313" s="113" t="inlineStr">
        <is>
          <t>°C/W</t>
        </is>
      </c>
      <c r="D313" s="113" t="inlineStr">
        <is>
          <t>Inductor Core to Ambient Thermal Resistance</t>
        </is>
      </c>
      <c r="I313" s="57" t="n"/>
    </row>
    <row r="314">
      <c r="A314" s="56" t="inlineStr">
        <is>
          <t>RCinEsr</t>
        </is>
      </c>
      <c r="B314" s="29">
        <f>RCinEsr</f>
        <v/>
      </c>
      <c r="C314" s="210" t="inlineStr">
        <is>
          <t>W</t>
        </is>
      </c>
      <c r="D314" s="113" t="inlineStr">
        <is>
          <t>Input Capacitor ESR</t>
        </is>
      </c>
      <c r="I314" s="57" t="n"/>
    </row>
    <row r="315">
      <c r="A315" s="56" t="n"/>
      <c r="B315" s="29" t="n"/>
      <c r="C315" s="210" t="n"/>
      <c r="D315" s="113" t="n"/>
      <c r="I315" s="57" t="n"/>
    </row>
    <row r="316">
      <c r="A316" s="65" t="inlineStr">
        <is>
          <t>Controller Characteristics</t>
        </is>
      </c>
      <c r="I316" s="57" t="n"/>
    </row>
    <row r="317">
      <c r="A317" s="209" t="inlineStr">
        <is>
          <t>VCC</t>
        </is>
      </c>
      <c r="B317" s="59" t="n">
        <v>5</v>
      </c>
      <c r="C317" t="inlineStr">
        <is>
          <t>V</t>
        </is>
      </c>
      <c r="D317" s="350" t="inlineStr">
        <is>
          <t>with 170mA current limit</t>
        </is>
      </c>
      <c r="I317" s="57" t="n"/>
    </row>
    <row r="318">
      <c r="A318" s="66" t="inlineStr">
        <is>
          <t>Top Driver</t>
        </is>
      </c>
      <c r="I318" s="57" t="n"/>
    </row>
    <row r="319">
      <c r="A319" s="56" t="inlineStr">
        <is>
          <t>RdsonDRT</t>
        </is>
      </c>
      <c r="B319" s="59" t="n">
        <v>1</v>
      </c>
      <c r="C319" s="210" t="inlineStr">
        <is>
          <t>W</t>
        </is>
      </c>
      <c r="D319" s="113" t="inlineStr">
        <is>
          <t>Drain-Source Resistance of Pullup High-side FET Driver</t>
        </is>
      </c>
      <c r="I319" s="57" t="n"/>
    </row>
    <row r="320">
      <c r="A320" s="56" t="inlineStr">
        <is>
          <t>RdsonDRT2</t>
        </is>
      </c>
      <c r="B320" s="59" t="n">
        <v>0.5</v>
      </c>
      <c r="C320" s="210" t="inlineStr">
        <is>
          <t>W</t>
        </is>
      </c>
      <c r="D320" s="113" t="inlineStr">
        <is>
          <t>Drain-Source Resistance of Pulldown High-side FET Driver</t>
        </is>
      </c>
      <c r="I320" s="57" t="n"/>
    </row>
    <row r="321">
      <c r="A321" s="66" t="inlineStr">
        <is>
          <t>Bottom Driver</t>
        </is>
      </c>
      <c r="I321" s="57" t="n"/>
    </row>
    <row r="322">
      <c r="A322" s="56" t="inlineStr">
        <is>
          <t>RdsonDRB</t>
        </is>
      </c>
      <c r="B322" s="105" t="n">
        <v>1</v>
      </c>
      <c r="C322" s="210" t="inlineStr">
        <is>
          <t>W</t>
        </is>
      </c>
      <c r="D322" s="113" t="inlineStr">
        <is>
          <t>Drain-Source Resistance of Pullup Low-side FET Driver</t>
        </is>
      </c>
      <c r="I322" s="57" t="n"/>
    </row>
    <row r="323">
      <c r="A323" s="56" t="inlineStr">
        <is>
          <t>RdsonDRB2</t>
        </is>
      </c>
      <c r="B323" s="59" t="n">
        <v>0.5</v>
      </c>
      <c r="C323" s="210" t="inlineStr">
        <is>
          <t>W</t>
        </is>
      </c>
      <c r="D323" s="113" t="inlineStr">
        <is>
          <t>Drain-Source Resistance of Pulldown Low-side FET Driver</t>
        </is>
      </c>
      <c r="I323" s="57" t="n"/>
    </row>
    <row r="324">
      <c r="A324" s="66" t="inlineStr">
        <is>
          <t>Deadtime</t>
        </is>
      </c>
      <c r="I324" s="57" t="n"/>
    </row>
    <row r="325">
      <c r="A325" s="56" t="inlineStr">
        <is>
          <t>Deadtime</t>
        </is>
      </c>
      <c r="B325" s="67" t="n">
        <v>1.4e-08</v>
      </c>
      <c r="C325" t="inlineStr">
        <is>
          <t>s</t>
        </is>
      </c>
      <c r="D325" t="inlineStr">
        <is>
          <t>Total Deadtime</t>
        </is>
      </c>
      <c r="G325" s="350" t="inlineStr">
        <is>
          <t>14ns for LM513-Q1</t>
        </is>
      </c>
      <c r="I325" s="57" t="n"/>
    </row>
    <row r="326">
      <c r="A326" s="66" t="inlineStr">
        <is>
          <t>IQ</t>
        </is>
      </c>
      <c r="I326" s="57" t="n"/>
    </row>
    <row r="327">
      <c r="A327" s="56" t="inlineStr">
        <is>
          <t xml:space="preserve">IQ </t>
        </is>
      </c>
      <c r="B327" s="59" t="n">
        <v>2.2e-06</v>
      </c>
      <c r="C327" t="inlineStr">
        <is>
          <t>A</t>
        </is>
      </c>
      <c r="D327" s="113" t="inlineStr">
        <is>
          <t>Quiescent Current of LM5143-Q1 Controller (One channel disabled)</t>
        </is>
      </c>
      <c r="I327" s="57" t="n"/>
    </row>
    <row r="328">
      <c r="A328" s="56" t="n"/>
      <c r="I328" s="57" t="n"/>
    </row>
    <row r="329">
      <c r="A329" s="66" t="inlineStr">
        <is>
          <t>High- &amp; low-side MOSFETs - Ch1</t>
        </is>
      </c>
      <c r="B329" s="2" t="inlineStr">
        <is>
          <t>Q1: high-side</t>
        </is>
      </c>
      <c r="D329" s="2" t="inlineStr">
        <is>
          <t>Q2: low-side</t>
        </is>
      </c>
      <c r="I329" s="57" t="n"/>
    </row>
    <row r="330">
      <c r="A330" s="209" t="inlineStr">
        <is>
          <t>Rdson</t>
        </is>
      </c>
      <c r="B330" s="29">
        <f>'Design Regulator'!E82/1000</f>
        <v/>
      </c>
      <c r="C330" s="210" t="inlineStr">
        <is>
          <t>W</t>
        </is>
      </c>
      <c r="D330" s="29">
        <f>'Design Regulator'!F82/1000</f>
        <v/>
      </c>
      <c r="E330" s="210" t="inlineStr">
        <is>
          <t>W</t>
        </is>
      </c>
      <c r="F330" s="113" t="inlineStr">
        <is>
          <t>Drain-Source Resistances of Channel 1 FETs</t>
        </is>
      </c>
      <c r="I330" s="57" t="n"/>
    </row>
    <row r="331">
      <c r="A331" s="56" t="inlineStr">
        <is>
          <t>RdsonTopTc</t>
        </is>
      </c>
      <c r="B331" s="59">
        <f>4000/1000000</f>
        <v/>
      </c>
      <c r="C331" s="113" t="inlineStr">
        <is>
          <t>%/°C</t>
        </is>
      </c>
      <c r="D331" s="395" t="n">
        <v>0.004</v>
      </c>
      <c r="E331" s="113" t="inlineStr">
        <is>
          <t>%/°C</t>
        </is>
      </c>
      <c r="F331" s="113" t="inlineStr">
        <is>
          <t>Drain-Source Resistance Temp Co</t>
        </is>
      </c>
      <c r="I331" s="57" t="n"/>
    </row>
    <row r="332">
      <c r="A332" s="209" t="inlineStr">
        <is>
          <t>Qg</t>
        </is>
      </c>
      <c r="B332" s="72">
        <f>'Design Regulator'!E83/1000000000</f>
        <v/>
      </c>
      <c r="C332" t="inlineStr">
        <is>
          <t>C</t>
        </is>
      </c>
      <c r="D332" s="72">
        <f>'Design Regulator'!F83/1000000000</f>
        <v/>
      </c>
      <c r="E332" t="inlineStr">
        <is>
          <t>C</t>
        </is>
      </c>
      <c r="F332" s="113" t="inlineStr">
        <is>
          <t>Gate Charge at VCC = 5V</t>
        </is>
      </c>
      <c r="I332" s="57" t="n"/>
    </row>
    <row r="333">
      <c r="A333" s="209" t="inlineStr">
        <is>
          <t>Qgd</t>
        </is>
      </c>
      <c r="B333" s="72">
        <f>'Design Regulator'!E84/1000000000</f>
        <v/>
      </c>
      <c r="C333" t="inlineStr">
        <is>
          <t>C</t>
        </is>
      </c>
      <c r="D333" s="72">
        <f>'Design Regulator'!F84/1000000000</f>
        <v/>
      </c>
      <c r="E333" t="inlineStr">
        <is>
          <t>C</t>
        </is>
      </c>
      <c r="F333" t="inlineStr">
        <is>
          <t>Gate to Drain Charge</t>
        </is>
      </c>
      <c r="I333" s="57" t="n"/>
    </row>
    <row r="334">
      <c r="A334" s="209" t="inlineStr">
        <is>
          <t>Qgs</t>
        </is>
      </c>
      <c r="B334" s="72">
        <f>'Design Regulator'!E85/1000000000</f>
        <v/>
      </c>
      <c r="C334" t="inlineStr">
        <is>
          <t>C</t>
        </is>
      </c>
      <c r="D334" s="72">
        <f>'Design Regulator'!F85/1000000000</f>
        <v/>
      </c>
      <c r="E334" t="inlineStr">
        <is>
          <t>C</t>
        </is>
      </c>
      <c r="F334" t="inlineStr">
        <is>
          <t>Gate to Source Charge</t>
        </is>
      </c>
      <c r="I334" s="57" t="n"/>
    </row>
    <row r="335">
      <c r="A335" s="585" t="inlineStr">
        <is>
          <t>Qoss</t>
        </is>
      </c>
      <c r="B335" s="72">
        <f>'Design Regulator'!E86/1000000000</f>
        <v/>
      </c>
      <c r="C335" t="inlineStr">
        <is>
          <t>C</t>
        </is>
      </c>
      <c r="D335" s="72">
        <f>'Design Regulator'!F86/1000000000</f>
        <v/>
      </c>
      <c r="E335" t="inlineStr">
        <is>
          <t>C</t>
        </is>
      </c>
      <c r="F335" s="113" t="inlineStr">
        <is>
          <t>Output Charge</t>
        </is>
      </c>
      <c r="I335" s="57" t="n"/>
    </row>
    <row r="336">
      <c r="A336" s="585" t="inlineStr">
        <is>
          <t>Coss</t>
        </is>
      </c>
      <c r="B336" s="72">
        <f>'Design Regulator'!E87/1000000000000</f>
        <v/>
      </c>
      <c r="C336" t="inlineStr">
        <is>
          <t>F</t>
        </is>
      </c>
      <c r="D336" s="72">
        <f>'Design Regulator'!F87/1000000000000</f>
        <v/>
      </c>
      <c r="E336" t="inlineStr">
        <is>
          <t>F</t>
        </is>
      </c>
      <c r="F336" s="113" t="inlineStr">
        <is>
          <t>Output Capacitance</t>
        </is>
      </c>
      <c r="I336" s="57" t="n"/>
    </row>
    <row r="337">
      <c r="A337" s="209" t="inlineStr">
        <is>
          <t>Rgate</t>
        </is>
      </c>
      <c r="B337" s="29">
        <f>'Design Regulator'!E88</f>
        <v/>
      </c>
      <c r="C337" s="210" t="inlineStr">
        <is>
          <t>W</t>
        </is>
      </c>
      <c r="D337" s="29">
        <f>'Design Regulator'!F88</f>
        <v/>
      </c>
      <c r="E337" s="210" t="inlineStr">
        <is>
          <t>W</t>
        </is>
      </c>
      <c r="F337" t="inlineStr">
        <is>
          <t>Gate Resistance</t>
        </is>
      </c>
      <c r="I337" s="57" t="n"/>
    </row>
    <row r="338">
      <c r="A338" s="209" t="inlineStr">
        <is>
          <t>Gfs</t>
        </is>
      </c>
      <c r="B338" s="29">
        <f>'Design Regulator'!E89</f>
        <v/>
      </c>
      <c r="C338" t="inlineStr">
        <is>
          <t>S</t>
        </is>
      </c>
      <c r="D338" s="29">
        <f>'Design Regulator'!F89</f>
        <v/>
      </c>
      <c r="E338" t="inlineStr">
        <is>
          <t>S</t>
        </is>
      </c>
      <c r="F338" s="113" t="inlineStr">
        <is>
          <t>Transconductance</t>
        </is>
      </c>
      <c r="I338" s="57" t="n"/>
    </row>
    <row r="339">
      <c r="A339" s="209" t="inlineStr">
        <is>
          <t>Vth</t>
        </is>
      </c>
      <c r="B339" s="29">
        <f>'Design Regulator'!E90</f>
        <v/>
      </c>
      <c r="C339" t="inlineStr">
        <is>
          <t>V</t>
        </is>
      </c>
      <c r="D339" s="29">
        <f>'Design Regulator'!F90</f>
        <v/>
      </c>
      <c r="E339" t="inlineStr">
        <is>
          <t>V</t>
        </is>
      </c>
      <c r="F339" s="113" t="inlineStr">
        <is>
          <t>Threshold Voltage</t>
        </is>
      </c>
      <c r="I339" s="57" t="n"/>
    </row>
    <row r="340">
      <c r="A340" s="209" t="inlineStr">
        <is>
          <t>Vsp</t>
        </is>
      </c>
      <c r="B340" s="1024">
        <f>Vth_Q1+(Iout/Number_of_Phases)/Gfs_Q1</f>
        <v/>
      </c>
      <c r="C340" t="inlineStr">
        <is>
          <t>V</t>
        </is>
      </c>
      <c r="D340" s="1024">
        <f>Vth_Q2+(Iout/Number_of_Phases)/Gfs_Q2</f>
        <v/>
      </c>
      <c r="E340" t="inlineStr">
        <is>
          <t>V</t>
        </is>
      </c>
      <c r="F340" s="113" t="inlineStr">
        <is>
          <t>Switch Point Voltage of FETs</t>
        </is>
      </c>
      <c r="I340" s="57" t="n"/>
    </row>
    <row r="341">
      <c r="A341" s="56" t="n"/>
      <c r="F341" s="113" t="n"/>
      <c r="I341" s="57" t="n"/>
    </row>
    <row r="342">
      <c r="A342" s="209" t="inlineStr">
        <is>
          <t>Vsd - Buck</t>
        </is>
      </c>
      <c r="B342" s="29">
        <f>'Design Regulator'!E91</f>
        <v/>
      </c>
      <c r="C342" t="inlineStr">
        <is>
          <t>V</t>
        </is>
      </c>
      <c r="D342" s="29">
        <f>'Design Regulator'!F91</f>
        <v/>
      </c>
      <c r="E342" t="inlineStr">
        <is>
          <t>V</t>
        </is>
      </c>
      <c r="F342" s="113" t="inlineStr">
        <is>
          <t>Diode Forward Voltage of MOSFET Body diode</t>
        </is>
      </c>
      <c r="I342" s="57" t="n"/>
    </row>
    <row r="343">
      <c r="A343" s="209" t="inlineStr">
        <is>
          <t>QrrTop</t>
        </is>
      </c>
      <c r="B343" s="72" t="n"/>
      <c r="C343" t="inlineStr">
        <is>
          <t>C</t>
        </is>
      </c>
      <c r="D343" s="72">
        <f>'Design Regulator'!F92/1000000000</f>
        <v/>
      </c>
      <c r="E343" t="inlineStr">
        <is>
          <t>C</t>
        </is>
      </c>
      <c r="F343" t="inlineStr">
        <is>
          <t>Reverse Recovery Charge of Body Diode</t>
        </is>
      </c>
      <c r="I343" s="57" t="n"/>
    </row>
    <row r="344">
      <c r="A344" s="209" t="inlineStr">
        <is>
          <t>TrrTop</t>
        </is>
      </c>
      <c r="B344" s="72" t="n">
        <v>4e-08</v>
      </c>
      <c r="C344" t="inlineStr">
        <is>
          <t>s</t>
        </is>
      </c>
      <c r="D344" s="72" t="n">
        <v>4e-08</v>
      </c>
      <c r="E344" t="inlineStr">
        <is>
          <t>s</t>
        </is>
      </c>
      <c r="F344" t="inlineStr">
        <is>
          <t>Reverse Recovery Time of Body Diode</t>
        </is>
      </c>
      <c r="I344" s="57" t="n"/>
    </row>
    <row r="345">
      <c r="A345" s="209" t="inlineStr">
        <is>
          <t>θJA-MOSFET</t>
        </is>
      </c>
      <c r="B345" s="29">
        <f>'Design Regulator'!E93</f>
        <v/>
      </c>
      <c r="C345" s="113" t="inlineStr">
        <is>
          <t>°C/W</t>
        </is>
      </c>
      <c r="D345" s="29">
        <f>'Design Regulator'!F93</f>
        <v/>
      </c>
      <c r="E345" s="113" t="inlineStr">
        <is>
          <t>°C/W</t>
        </is>
      </c>
      <c r="F345" s="113" t="inlineStr">
        <is>
          <t>Junction-to-Ambient Resistance</t>
        </is>
      </c>
      <c r="I345" s="57" t="n"/>
    </row>
    <row r="346">
      <c r="A346" s="209" t="n"/>
      <c r="B346" s="29" t="n"/>
      <c r="C346" s="113" t="n"/>
      <c r="D346" s="29" t="n"/>
      <c r="E346" s="113" t="n"/>
      <c r="I346" s="57" t="n"/>
    </row>
    <row r="347">
      <c r="A347" s="209" t="n"/>
      <c r="B347" s="113" t="n"/>
      <c r="C347" s="113" t="n"/>
      <c r="D347" s="113" t="n"/>
      <c r="E347" s="113" t="n"/>
      <c r="I347" s="57" t="n"/>
    </row>
    <row r="348">
      <c r="A348" s="209" t="n"/>
      <c r="B348" s="29" t="n"/>
      <c r="C348" s="113" t="n"/>
      <c r="D348" s="29" t="n"/>
      <c r="E348" s="113" t="n"/>
      <c r="I348" s="57" t="n"/>
    </row>
    <row r="349">
      <c r="A349" s="66" t="inlineStr">
        <is>
          <t>Anti-parallel Schottky Diode (optional)</t>
        </is>
      </c>
      <c r="B349" s="472" t="n"/>
      <c r="D349" s="472" t="n"/>
      <c r="I349" s="57" t="n"/>
    </row>
    <row r="350">
      <c r="A350" s="56" t="inlineStr">
        <is>
          <t>VfdSky</t>
        </is>
      </c>
      <c r="B350" s="29">
        <f>'Design Regulator'!F96</f>
        <v/>
      </c>
      <c r="C350" t="inlineStr">
        <is>
          <t>V</t>
        </is>
      </c>
      <c r="D350" s="29">
        <f>'Design Regulator'!#REF!</f>
        <v/>
      </c>
      <c r="E350" t="inlineStr">
        <is>
          <t>V</t>
        </is>
      </c>
      <c r="F350" t="inlineStr">
        <is>
          <t>Diode Forward Voltage</t>
        </is>
      </c>
      <c r="I350" s="57" t="n"/>
    </row>
    <row r="351">
      <c r="A351" s="56" t="inlineStr">
        <is>
          <t>QrrSky</t>
        </is>
      </c>
      <c r="B351" s="72">
        <f>'Design Regulator'!F97/1000000000</f>
        <v/>
      </c>
      <c r="C351" t="inlineStr">
        <is>
          <t>C</t>
        </is>
      </c>
      <c r="D351" s="72">
        <f>'Design Regulator'!#REF!/1000000000</f>
        <v/>
      </c>
      <c r="E351" t="inlineStr">
        <is>
          <t>C</t>
        </is>
      </c>
      <c r="F351" t="inlineStr">
        <is>
          <t>Diode Reverse Recovery Charge</t>
        </is>
      </c>
      <c r="I351" s="57" t="n"/>
    </row>
    <row r="352">
      <c r="A352" s="56" t="inlineStr">
        <is>
          <t>Ireverse</t>
        </is>
      </c>
      <c r="B352" s="29" t="n">
        <v>0</v>
      </c>
      <c r="C352" t="inlineStr">
        <is>
          <t>A</t>
        </is>
      </c>
      <c r="D352" s="29" t="n">
        <v>0</v>
      </c>
      <c r="E352" t="inlineStr">
        <is>
          <t>A</t>
        </is>
      </c>
      <c r="F352" t="inlineStr">
        <is>
          <t>Reverse Leakage Current</t>
        </is>
      </c>
      <c r="I352" s="57" t="n"/>
    </row>
    <row r="353">
      <c r="A353" s="56" t="n"/>
      <c r="I353" s="57" t="n"/>
    </row>
    <row r="354">
      <c r="A354" s="66" t="inlineStr">
        <is>
          <t>Controller</t>
        </is>
      </c>
      <c r="I354" s="57" t="n"/>
    </row>
    <row r="355">
      <c r="A355" s="209" t="inlineStr">
        <is>
          <t>θJACtrl</t>
        </is>
      </c>
      <c r="B355" s="395" t="n">
        <v>34.1</v>
      </c>
      <c r="C355" s="113" t="inlineStr">
        <is>
          <t>°C/W</t>
        </is>
      </c>
      <c r="D355" s="113" t="n"/>
      <c r="E355" s="113" t="n"/>
      <c r="F355" t="inlineStr">
        <is>
          <t>Junction-to-ambient thermal resistance of controller</t>
        </is>
      </c>
      <c r="I355" s="57" t="n"/>
    </row>
    <row r="356">
      <c r="A356" s="66" t="inlineStr">
        <is>
          <t>Outputs</t>
        </is>
      </c>
      <c r="I356" s="57" t="n"/>
    </row>
    <row r="357">
      <c r="A357" s="209" t="inlineStr">
        <is>
          <t>Top FET</t>
        </is>
      </c>
      <c r="I357" s="57" t="n"/>
    </row>
    <row r="358">
      <c r="A358" s="56" t="inlineStr">
        <is>
          <t>Tr</t>
        </is>
      </c>
      <c r="B358" s="69">
        <f>(Qgd_Q1+Qgs_Q1/2)*(RdsonDRT+Rgate1)/(VCC-Vsp_Q1)</f>
        <v/>
      </c>
      <c r="C358" t="inlineStr">
        <is>
          <t>s</t>
        </is>
      </c>
      <c r="D358" s="30" t="n"/>
      <c r="I358" s="57" t="n"/>
    </row>
    <row r="359">
      <c r="A359" s="56" t="inlineStr">
        <is>
          <t>Tf</t>
        </is>
      </c>
      <c r="B359" s="69">
        <f>(Qgd_Q1+Qgs_Q1/2)*(RdsonDRT2+Rgate1)/(Vsp_Q1)</f>
        <v/>
      </c>
      <c r="C359" t="inlineStr">
        <is>
          <t>s</t>
        </is>
      </c>
      <c r="D359" s="30" t="n"/>
      <c r="I359" s="57" t="n"/>
    </row>
    <row r="360">
      <c r="A360" s="56" t="n"/>
      <c r="I360" s="57" t="n"/>
    </row>
    <row r="361">
      <c r="A361" s="66" t="inlineStr">
        <is>
          <t>IC Power Disipation</t>
        </is>
      </c>
      <c r="B361" s="2" t="inlineStr">
        <is>
          <t>Value</t>
        </is>
      </c>
      <c r="C361" s="2" t="inlineStr">
        <is>
          <t>Units</t>
        </is>
      </c>
      <c r="I361" s="57" t="n"/>
    </row>
    <row r="362">
      <c r="A362" s="58" t="inlineStr">
        <is>
          <t>Power Dis</t>
        </is>
      </c>
      <c r="B362" s="3">
        <f>CHOOSE(Ext_VCC, (Qg_Q1+Qg_Q2)*Fsw*VCC, (Qg_Q1+Qg_Q2)*Fsw*Vin)</f>
        <v/>
      </c>
      <c r="C362" s="3" t="inlineStr">
        <is>
          <t>W</t>
        </is>
      </c>
      <c r="I362" s="57" t="n"/>
    </row>
    <row r="363">
      <c r="A363" s="58" t="inlineStr">
        <is>
          <t>Temp rise</t>
        </is>
      </c>
      <c r="B363" s="1025">
        <f>B362*ThetaJaCtrl</f>
        <v/>
      </c>
      <c r="C363" s="113" t="inlineStr">
        <is>
          <t>°C</t>
        </is>
      </c>
      <c r="I363" s="57" t="n"/>
    </row>
    <row r="364">
      <c r="A364" s="209" t="inlineStr">
        <is>
          <t>Junction temperature</t>
        </is>
      </c>
      <c r="B364" s="1025">
        <f>B363 + Ta</f>
        <v/>
      </c>
      <c r="C364" s="113" t="inlineStr">
        <is>
          <t>°C</t>
        </is>
      </c>
      <c r="I364" s="57" t="n"/>
    </row>
    <row r="365">
      <c r="A365" s="585" t="n"/>
      <c r="B365" s="1025" t="n"/>
      <c r="C365" s="113" t="n"/>
      <c r="I365" s="57" t="n"/>
    </row>
    <row r="366">
      <c r="A366" s="58" t="inlineStr">
        <is>
          <t>Current (switching)</t>
        </is>
      </c>
      <c r="B366" s="42">
        <f>(Qg_Q1+Qg_Q2)*Fsw+Iq</f>
        <v/>
      </c>
      <c r="C366" t="inlineStr">
        <is>
          <t>A</t>
        </is>
      </c>
      <c r="I366" s="57" t="n"/>
    </row>
    <row r="367">
      <c r="A367" s="58" t="inlineStr">
        <is>
          <t>Qrr Current</t>
        </is>
      </c>
      <c r="B367">
        <f>Qrr_Q2*Fsw</f>
        <v/>
      </c>
      <c r="C367" t="inlineStr">
        <is>
          <t>A</t>
        </is>
      </c>
      <c r="I367" s="57" t="n"/>
    </row>
    <row r="368">
      <c r="A368" s="58" t="inlineStr">
        <is>
          <t>Diode Current</t>
        </is>
      </c>
      <c r="B368">
        <f>C368/Vin</f>
        <v/>
      </c>
      <c r="C368">
        <f>Deadtime*Fsw*(Ipp/2)*(Vsd_Q1+Vsd_Q2)</f>
        <v/>
      </c>
      <c r="I368" s="57" t="n"/>
    </row>
    <row r="369">
      <c r="A369" s="58" t="inlineStr">
        <is>
          <t>Total Application Switching IQ</t>
        </is>
      </c>
      <c r="B369">
        <f>SUM(B366:B368)</f>
        <v/>
      </c>
      <c r="C369" t="inlineStr">
        <is>
          <t>A</t>
        </is>
      </c>
      <c r="I369" s="57" t="n"/>
    </row>
    <row r="370">
      <c r="A370" s="56" t="n"/>
      <c r="I370" s="57" t="n"/>
    </row>
    <row r="371">
      <c r="A371" s="66" t="inlineStr">
        <is>
          <t>Low-side MOSFET/Diode</t>
        </is>
      </c>
      <c r="I371" s="57" t="n"/>
    </row>
    <row r="372">
      <c r="A372" s="56" t="inlineStr">
        <is>
          <t>Part Power</t>
        </is>
      </c>
      <c r="I372" s="57" t="n"/>
    </row>
    <row r="373" ht="13.5" customHeight="1" thickBot="1">
      <c r="A373" s="60" t="inlineStr">
        <is>
          <t>Power Dis</t>
        </is>
      </c>
      <c r="B373" s="61" t="n"/>
      <c r="C373" s="289" t="n"/>
      <c r="D373" s="61" t="n"/>
      <c r="E373" s="61" t="n"/>
      <c r="F373" s="61" t="n"/>
      <c r="G373" s="61" t="n"/>
      <c r="H373" s="61" t="n"/>
      <c r="I373" s="62" t="n"/>
    </row>
    <row r="374">
      <c r="A374" s="1" t="n"/>
      <c r="B374" s="1" t="n"/>
      <c r="C374" s="1" t="n"/>
    </row>
    <row r="375" ht="21.75" customHeight="1" thickBot="1">
      <c r="A375" s="88" t="inlineStr">
        <is>
          <t>SCHEMATIC LABELS</t>
        </is>
      </c>
      <c r="D375" s="2" t="n"/>
    </row>
    <row r="376">
      <c r="A376" s="89">
        <f>"RC1 = "&amp;'Design Regulator'!D71&amp;"kΩ"</f>
        <v/>
      </c>
      <c r="B376" s="63">
        <f>'Design Regulator'!D71&amp;"kΩ"</f>
        <v/>
      </c>
      <c r="C376" s="288" t="n"/>
      <c r="D376" s="283">
        <f>'Design Regulator'!D74&amp;"kΩ"</f>
        <v/>
      </c>
      <c r="E376" s="63" t="n"/>
      <c r="F376" s="63" t="n"/>
      <c r="G376" s="63" t="n"/>
      <c r="H376" s="63" t="n"/>
      <c r="I376" s="64" t="n"/>
    </row>
    <row r="377">
      <c r="A377" s="56">
        <f>"RC2 = "&amp;'Design Regulator'!D74&amp;"kΩ"</f>
        <v/>
      </c>
      <c r="B377">
        <f>'Design Regulator'!D74&amp;"kΩ"</f>
        <v/>
      </c>
      <c r="I377" s="57" t="n"/>
    </row>
    <row r="378">
      <c r="A378" s="56" t="n"/>
      <c r="I378" s="57" t="n"/>
    </row>
    <row r="379">
      <c r="A379" s="56">
        <f>"Lo = "&amp;'Design Regulator'!E27&amp;"µH"</f>
        <v/>
      </c>
      <c r="B379">
        <f>'Design Regulator'!E27&amp;"µH"</f>
        <v/>
      </c>
      <c r="D379">
        <f>IF(MODE = 1, 'Design Regulator'!I27&amp;"µH", 'Design Regulator'!E27&amp;"µH")</f>
        <v/>
      </c>
      <c r="I379" s="57" t="n"/>
    </row>
    <row r="380">
      <c r="A380" s="56">
        <f>"Rdcr = "&amp;Rdcr*1000&amp;"mΩ"</f>
        <v/>
      </c>
      <c r="B380">
        <f>Rdcr*1000&amp;"mΩ"</f>
        <v/>
      </c>
      <c r="D380">
        <f>IF(MODE=1, Rdcr2*1000&amp;"mΩ", Rdcr*1000&amp;"mΩ")</f>
        <v/>
      </c>
      <c r="I380" s="57" t="n"/>
    </row>
    <row r="381">
      <c r="A381" s="56">
        <f>"Rs = "&amp;'Design Regulator'!E18&amp;"mΩ"</f>
        <v/>
      </c>
      <c r="B381">
        <f>'Design Regulator'!E18&amp;"mΩ"</f>
        <v/>
      </c>
      <c r="D381">
        <f>IF(MODE = 1, 'Design Regulator'!I18&amp;"mΩ", 'Design Regulator'!E18&amp;"mΩ")</f>
        <v/>
      </c>
      <c r="I381" s="57" t="n"/>
    </row>
    <row r="382">
      <c r="A382" s="670" t="n"/>
      <c r="I382" s="57" t="n"/>
    </row>
    <row r="383">
      <c r="A383" s="585" t="inlineStr">
        <is>
          <t>IC</t>
        </is>
      </c>
      <c r="B383">
        <f>IF(VIN_max&gt;42,"LM5148(-Q1)","LM25148(-Q1)")</f>
        <v/>
      </c>
      <c r="I383" s="57" t="n"/>
    </row>
    <row r="384">
      <c r="A384" s="56" t="n"/>
      <c r="I384" s="57" t="n"/>
    </row>
    <row r="385">
      <c r="A385" s="670">
        <f>IF((INFILTER_TYPE=1),"AEF IS DISABLED!","AEF")</f>
        <v/>
      </c>
      <c r="B385" s="113">
        <f>IF((INFILTER_TYPE=1),"","0.1µF")</f>
        <v/>
      </c>
      <c r="C385" s="113">
        <f>IF((INFILTER_TYPE=1),"","0.47Ω")</f>
        <v/>
      </c>
      <c r="D385">
        <f>IF((INFILTER_TYPE=1),"","3Ω")</f>
        <v/>
      </c>
      <c r="E385">
        <f>IF((INFILTER_TYPE=1),"","50kΩ")</f>
        <v/>
      </c>
      <c r="I385" s="57" t="n"/>
    </row>
    <row r="386">
      <c r="A386" s="670">
        <f>"LAEF ="&amp;L_infilter&amp;" uF"</f>
        <v/>
      </c>
      <c r="B386" s="113">
        <f>IF((INFILTER_TYPE=1),"",L_infilter&amp;"µH")</f>
        <v/>
      </c>
      <c r="C386" s="113" t="n"/>
      <c r="I386" s="57" t="n"/>
    </row>
    <row r="387">
      <c r="A387" s="670" t="n"/>
      <c r="B387">
        <f>IF((INFILTER_TYPE=1),"",CinjSel*1000000&amp;"µF")</f>
        <v/>
      </c>
      <c r="I387" s="57" t="n"/>
    </row>
    <row r="388">
      <c r="A388" s="670" t="n"/>
      <c r="B388">
        <f>IF((INFILTER_TYPE=1),"",IF(OSC=1,"DNP",CdampSel*1000000&amp;"µF"))</f>
        <v/>
      </c>
      <c r="I388" s="57" t="n"/>
    </row>
    <row r="389">
      <c r="A389" s="670" t="n"/>
      <c r="B389">
        <f>IF((INFILTER_TYPE=1),"",RdampSel&amp;"Ω")</f>
        <v/>
      </c>
      <c r="I389" s="57" t="n"/>
    </row>
    <row r="390">
      <c r="A390" s="670">
        <f>"Rcomp ="&amp;Rcomp_AEF&amp;"Ω"</f>
        <v/>
      </c>
      <c r="B390">
        <f>IF((INFILTER_TYPE=1),"",Rcomp_AEF&amp;"Ω")</f>
        <v/>
      </c>
      <c r="I390" s="57" t="n"/>
    </row>
    <row r="391">
      <c r="A391" s="670">
        <f>"Ccomp ="&amp;Ccomp_AEF*1000000000000&amp;"pF"</f>
        <v/>
      </c>
      <c r="B391">
        <f>IF((INFILTER_TYPE=1),"",Ccomp_AEF*1000000000000&amp;"pF")</f>
        <v/>
      </c>
      <c r="I391" s="57" t="n"/>
    </row>
    <row r="392">
      <c r="A392" s="670">
        <f>"Csen ="&amp;Csen_AEF*1000000&amp;"µF"</f>
        <v/>
      </c>
      <c r="B392">
        <f>IF((INFILTER_TYPE=1),"",Csen_AEF*1000000&amp;"µF")</f>
        <v/>
      </c>
      <c r="I392" s="57" t="n"/>
    </row>
    <row r="393" ht="15.75" customHeight="1">
      <c r="A393" s="670" t="n"/>
      <c r="B393" s="113" t="inlineStr">
        <is>
          <t>CDAMP</t>
        </is>
      </c>
      <c r="I393" s="57" t="n"/>
    </row>
    <row r="394">
      <c r="A394" s="670" t="n"/>
      <c r="I394" s="57" t="n"/>
    </row>
    <row r="395">
      <c r="A395" s="56">
        <f>"VOUT = "&amp;'Design Regulator'!E9&amp;"V"</f>
        <v/>
      </c>
      <c r="B395">
        <f>'Design Regulator'!E9&amp;"V"</f>
        <v/>
      </c>
      <c r="D395">
        <f>IF(MODE=1, 'Design Regulator'!I10&amp;"V", "")</f>
        <v/>
      </c>
      <c r="I395" s="57" t="n"/>
    </row>
    <row r="396">
      <c r="A396" s="56" t="n"/>
      <c r="I396" s="57" t="n"/>
    </row>
    <row r="397">
      <c r="A397" s="56">
        <f>"COUT = "&amp;'Design Regulator'!$E$35&amp;"µF"</f>
        <v/>
      </c>
      <c r="B397">
        <f>ROUND('Design Regulator'!$E$35/Number_of_Phases, 0)&amp;"µF"</f>
        <v/>
      </c>
      <c r="D397">
        <f>IF(MODE=1, 'Design Regulator'!$I$35&amp;"µF", ROUND('Design Regulator'!$E$35/Number_of_Phases, 0)&amp;"µF")</f>
        <v/>
      </c>
      <c r="I397" s="57" t="n"/>
    </row>
    <row r="398">
      <c r="A398" s="209" t="inlineStr">
        <is>
          <t>Capacitance per component (Cout)</t>
        </is>
      </c>
      <c r="B398">
        <f>"22µF"</f>
        <v/>
      </c>
      <c r="I398" s="57" t="n"/>
    </row>
    <row r="399">
      <c r="A399" s="209" t="inlineStr">
        <is>
          <t># of output caps</t>
        </is>
      </c>
      <c r="B399" s="115">
        <f>ROUNDUP(Cout*1000000/22,0)&amp;" x"</f>
        <v/>
      </c>
      <c r="C399" s="290" t="n"/>
      <c r="I399" s="57" t="n"/>
    </row>
    <row r="400">
      <c r="A400" s="56" t="n"/>
      <c r="I400" s="57" t="n"/>
    </row>
    <row r="401">
      <c r="A401" s="56" t="inlineStr">
        <is>
          <t>CIN</t>
        </is>
      </c>
      <c r="B401">
        <f>Cin*1000000&amp;"µF"</f>
        <v/>
      </c>
      <c r="I401" s="57" t="n"/>
    </row>
    <row r="402">
      <c r="A402" s="209" t="inlineStr">
        <is>
          <t>Capacitance per component (Cin)</t>
        </is>
      </c>
      <c r="B402">
        <f>"10µF"</f>
        <v/>
      </c>
      <c r="I402" s="57" t="n"/>
    </row>
    <row r="403">
      <c r="A403" s="209" t="inlineStr">
        <is>
          <t># of input caps</t>
        </is>
      </c>
      <c r="B403" s="115">
        <f>ROUNDUP(Cin*1000000/10,0)&amp;" x"</f>
        <v/>
      </c>
      <c r="C403" s="290" t="n"/>
      <c r="I403" s="57" t="n"/>
    </row>
    <row r="404">
      <c r="A404" s="585" t="inlineStr">
        <is>
          <t>Cd</t>
        </is>
      </c>
      <c r="B404" s="115">
        <f>CHOOSE(INFILTER_TYPE,"",4*Cin*1000000&amp;"µF")</f>
        <v/>
      </c>
      <c r="C404" s="290" t="n"/>
      <c r="E404">
        <f>COMP_TYPE</f>
        <v/>
      </c>
      <c r="I404" s="57" t="n"/>
    </row>
    <row r="405">
      <c r="A405" s="585" t="inlineStr">
        <is>
          <t>Rd</t>
        </is>
      </c>
      <c r="B405" s="115">
        <f>CHOOSE(INFILTER_TYPE,"",D301&amp;"Ω")</f>
        <v/>
      </c>
      <c r="C405" s="290" t="n"/>
      <c r="I405" s="57" t="n"/>
    </row>
    <row r="406">
      <c r="A406" s="209" t="n"/>
      <c r="B406" s="115" t="n"/>
      <c r="C406" s="290" t="n"/>
      <c r="I406" s="57" t="n"/>
    </row>
    <row r="407">
      <c r="A407" s="56">
        <f>"RC1 = "&amp;Rcea1_u/1000&amp;"kΩ"</f>
        <v/>
      </c>
      <c r="B407">
        <f>IF(COMP_TYPE=1,"",ROUND(Rcea1_u/1000,2)&amp;"kΩ")</f>
        <v/>
      </c>
      <c r="C407">
        <f>IF(OR(Vout=3.3,Vout=5,Vout=12),"",IF(COMP_TYPE=1,"100kΩ",""))</f>
        <v/>
      </c>
      <c r="D407" s="366">
        <f>IF(OR(Vout=3.3,Vout=5,Vout=12), IF(COMP_TYPE=1,"",ROUND(Rcea1_u/1000,2)&amp;"kΩ"), "")</f>
        <v/>
      </c>
      <c r="E407">
        <f>IF(OR(Vout=3.3,Vout=5,Vout=12),IF(COMP_TYPE=1,"100kΩ",""),"")</f>
        <v/>
      </c>
      <c r="I407" s="57" t="n"/>
    </row>
    <row r="408">
      <c r="A408" s="56">
        <f>"CC1 = "&amp;Cc1ea_u*10^9&amp;"nF"</f>
        <v/>
      </c>
      <c r="B408">
        <f>IF(COMP_TYPE=1,"",Cc1ea_u*10^9&amp;"nF")</f>
        <v/>
      </c>
      <c r="C408" s="113" t="n"/>
      <c r="I408" s="57" t="n"/>
    </row>
    <row r="409">
      <c r="A409" s="56">
        <f>"CC2 = "&amp;IF(Cc2ea_u&gt;0, Cc2ea_u*10^12&amp;"pF", "OPEN")</f>
        <v/>
      </c>
      <c r="B409">
        <f>IF(COMP_TYPE=1,"",IF(Cc2ea_u&gt;0, ROUND(Cc2ea_u*10^12,1)&amp;"pF", "N/A"))</f>
        <v/>
      </c>
      <c r="C409" s="113" t="n"/>
      <c r="I409" s="57" t="n"/>
    </row>
    <row r="410">
      <c r="A410" s="56" t="n"/>
      <c r="I410" s="57" t="n"/>
    </row>
    <row r="411">
      <c r="A411" s="56">
        <f>"gm = "&amp;$B$200*1000&amp;"mS"</f>
        <v/>
      </c>
      <c r="B411">
        <f>$B$200*1000&amp;"mS"</f>
        <v/>
      </c>
      <c r="I411" s="57" t="n"/>
    </row>
    <row r="412">
      <c r="A412" s="56">
        <f>"RoEA = "&amp;RoEA/1000000&amp;"MΩ"</f>
        <v/>
      </c>
      <c r="B412">
        <f>RoEA/1000000&amp;"MΩ"</f>
        <v/>
      </c>
      <c r="I412" s="57" t="n"/>
    </row>
    <row r="413">
      <c r="A413" s="56">
        <f>"GBW = "&amp;GBW&amp;"MHz"</f>
        <v/>
      </c>
      <c r="B413">
        <f>GBW&amp;"MHz"</f>
        <v/>
      </c>
      <c r="I413" s="57" t="n"/>
    </row>
    <row r="414">
      <c r="A414" s="56" t="n"/>
      <c r="I414" s="57" t="n"/>
    </row>
    <row r="415">
      <c r="A415" s="56" t="n"/>
      <c r="I415" s="57" t="n"/>
    </row>
    <row r="416">
      <c r="A416" s="209" t="inlineStr">
        <is>
          <t>Cd</t>
        </is>
      </c>
      <c r="B416">
        <f>IF(DITHER=1, ROUND(Cdither*1000000000,1)&amp;"nF", "")</f>
        <v/>
      </c>
      <c r="C416" s="2">
        <f>IF(DITHER=1, "Cd", "")</f>
        <v/>
      </c>
      <c r="I416" s="57" t="n"/>
    </row>
    <row r="417">
      <c r="A417" s="56">
        <f>"RFB1 = "&amp;'Design Regulator'!E65&amp;"kΩ"</f>
        <v/>
      </c>
      <c r="B417">
        <f>IF(VOUT_setting=1, 'Design Regulator'!E65&amp;"kΩ", "")</f>
        <v/>
      </c>
      <c r="D417">
        <f>'Design Regulator'!I65&amp;"kΩ"</f>
        <v/>
      </c>
      <c r="I417" s="57" t="n"/>
    </row>
    <row r="418">
      <c r="A418" s="56">
        <f>"RFB2 = "&amp;IF(Vout=Vref,"OPEN",'Design Regulator'!E66&amp;"kΩ")</f>
        <v/>
      </c>
      <c r="B418">
        <f>IF(VOUT_setting=1, IF(Vout=Vref,"OPEN",Rfb2_u/1000&amp;"kΩ"), "")</f>
        <v/>
      </c>
      <c r="D418">
        <f>IF(Vout2=Vref,"OPEN",Rfb4_u/1000&amp;"kΩ")</f>
        <v/>
      </c>
      <c r="I418" s="57" t="n"/>
    </row>
    <row r="419">
      <c r="A419" s="585">
        <f>"RFBSET = "&amp;CHOOSE(VOUT_setting,"","24.9kΩ","0Ω","48.7kΩ")</f>
        <v/>
      </c>
      <c r="D419">
        <f>CHOOSE(VOUT_setting,"","24.9kΩ","0Ω","48.7kΩ")</f>
        <v/>
      </c>
      <c r="I419" s="57" t="n"/>
    </row>
    <row r="420">
      <c r="A420" s="585" t="n"/>
      <c r="I420" s="57" t="n"/>
    </row>
    <row r="421">
      <c r="A421" s="585" t="inlineStr">
        <is>
          <t>RENT</t>
        </is>
      </c>
      <c r="B421">
        <f>IF((UVLO_TYPE=1),B188&amp;"kΩ","0Ω")</f>
        <v/>
      </c>
      <c r="I421" s="57" t="n"/>
    </row>
    <row r="422">
      <c r="A422" s="585" t="inlineStr">
        <is>
          <t>RENB</t>
        </is>
      </c>
      <c r="B422">
        <f>IF((UVLO_TYPE=1),B189&amp;"kΩ","N/A")</f>
        <v/>
      </c>
      <c r="I422" s="57" t="n"/>
    </row>
    <row r="423">
      <c r="A423" s="670" t="n"/>
      <c r="I423" s="57" t="n"/>
    </row>
    <row r="424">
      <c r="A424" s="56">
        <f>"Crossover frequency = "&amp;ROUND('Stability Calculations'!U4,0)&amp;"kHz"</f>
        <v/>
      </c>
      <c r="B424">
        <f>ROUND('Stability Calculations'!U4,0)&amp;"kHz"</f>
        <v/>
      </c>
      <c r="D424" s="114">
        <f>'Stability Calculations'!U4</f>
        <v/>
      </c>
      <c r="I424" s="57" t="n"/>
    </row>
    <row r="425">
      <c r="A425" s="56">
        <f>CHOOSE(BODE_PLOT_TYPE, "Phase margin = "&amp;ROUND('Stability Calculations'!U5,0)&amp;"°", "°")</f>
        <v/>
      </c>
      <c r="B425" s="115">
        <f>ROUND('Stability Calculations'!U5,0)&amp;"°"</f>
        <v/>
      </c>
      <c r="C425" s="290" t="n"/>
      <c r="E425" s="210" t="n"/>
      <c r="I425" s="57" t="n"/>
    </row>
    <row r="426">
      <c r="A426" s="56">
        <f>IF(loopPM&lt;45,CHOOSE(COMP_TYPE,"Phase margin is LOW, increase Cout","Phase margin is LOW, recompensate"),"")</f>
        <v/>
      </c>
      <c r="B426" s="115" t="n"/>
      <c r="C426" s="290" t="n"/>
      <c r="E426" s="210" t="n"/>
      <c r="I426" s="57" t="n"/>
    </row>
    <row r="427">
      <c r="A427" s="670" t="n"/>
      <c r="B427" s="115" t="n"/>
      <c r="C427" s="290" t="n"/>
      <c r="E427" s="210" t="n"/>
      <c r="I427" s="57" t="n"/>
    </row>
    <row r="428">
      <c r="A428" s="66" t="inlineStr">
        <is>
          <t>Full-load/high line efficiency</t>
        </is>
      </c>
      <c r="B428" s="1026">
        <f>IF(PLOT_TYPE=1, ROUND('Efficiency Calculations'!AZ109,1)&amp;"%", ROUND(#REF!,1)&amp;"%")</f>
        <v/>
      </c>
      <c r="C428" s="290" t="n"/>
      <c r="D428" s="1026" t="n"/>
      <c r="E428" s="210" t="n"/>
      <c r="I428" s="57" t="n"/>
    </row>
    <row r="429">
      <c r="A429" s="66" t="inlineStr">
        <is>
          <t>Half-load/mid-line efficiency</t>
        </is>
      </c>
      <c r="B429" s="1026">
        <f>IF(PLOT_TYPE=1, ROUND('Efficiency Calculations'!AZ59,1)&amp;"%", ROUND(#REF!,1)&amp;"%")</f>
        <v/>
      </c>
      <c r="C429" s="290" t="n"/>
      <c r="D429" s="1026" t="n"/>
      <c r="E429" s="210" t="n"/>
      <c r="I429" s="57" t="n"/>
    </row>
    <row r="430">
      <c r="A430" s="631" t="n"/>
      <c r="B430" s="1026">
        <f>IF(VOUT_setting=1, "", IF(OSC=1, "Tie OSC to VDDA", "Tie OSC to AGND"))</f>
        <v/>
      </c>
      <c r="C430" s="290" t="n"/>
      <c r="D430" s="1026" t="n"/>
      <c r="E430" s="210" t="n"/>
      <c r="I430" s="57" t="n"/>
    </row>
    <row r="431">
      <c r="A431" s="56" t="n"/>
      <c r="B431" s="115" t="n"/>
      <c r="C431" s="290" t="n"/>
      <c r="E431" s="210" t="n"/>
      <c r="I431" s="57" t="n"/>
    </row>
    <row r="432">
      <c r="A432" s="56" t="n"/>
      <c r="I432" s="57" t="n"/>
    </row>
    <row r="433">
      <c r="A433" s="56">
        <f>"Rs = "&amp;Rs&amp;"Ω"</f>
        <v/>
      </c>
      <c r="B433">
        <f>'Standard Value Calculator'!S6&amp;"Ω"</f>
        <v/>
      </c>
      <c r="I433" s="57" t="n"/>
    </row>
    <row r="434">
      <c r="A434" s="56" t="inlineStr">
        <is>
          <t>Rset</t>
        </is>
      </c>
      <c r="B434">
        <f>'Standard Value Calculator'!S16&amp;"mΩ"</f>
        <v/>
      </c>
      <c r="I434" s="57" t="n"/>
    </row>
    <row r="435">
      <c r="A435" s="56" t="inlineStr">
        <is>
          <t>Rs</t>
        </is>
      </c>
      <c r="B435">
        <f>'Standard Value Calculator'!S6&amp;"mΩ"</f>
        <v/>
      </c>
      <c r="I435" s="57" t="n"/>
    </row>
    <row r="436">
      <c r="A436" s="56">
        <f>"Rshunt = "&amp;ROUND(Rshunt,1)&amp;"mΩ"</f>
        <v/>
      </c>
      <c r="B436">
        <f>IF(Rshunt="0", "N/A",ROUND(Rshunt,1)&amp;"mΩ")</f>
        <v/>
      </c>
      <c r="I436" s="57" t="n"/>
    </row>
    <row r="437">
      <c r="A437" s="56" t="n"/>
      <c r="I437" s="57" t="n"/>
    </row>
    <row r="438">
      <c r="A438" s="209" t="inlineStr">
        <is>
          <t>Rpgood</t>
        </is>
      </c>
      <c r="B438" s="113" t="inlineStr">
        <is>
          <t>20kΩ</t>
        </is>
      </c>
      <c r="I438" s="57" t="n"/>
    </row>
    <row r="439" ht="15.75" customHeight="1">
      <c r="A439" s="209" t="inlineStr">
        <is>
          <t>RDAMP</t>
        </is>
      </c>
      <c r="B439" s="113" t="n"/>
      <c r="I439" s="57" t="n"/>
    </row>
    <row r="440">
      <c r="A440" s="585" t="n"/>
      <c r="B440" s="113" t="n"/>
      <c r="I440" s="57" t="n"/>
    </row>
    <row r="441">
      <c r="A441" s="585" t="inlineStr">
        <is>
          <t>VCCX</t>
        </is>
      </c>
      <c r="B441" s="113">
        <f>IF((Ext_VCC=1),"5V","GND")</f>
        <v/>
      </c>
      <c r="I441" s="57" t="n"/>
    </row>
    <row r="442">
      <c r="A442" s="209" t="inlineStr">
        <is>
          <t>RCNFG</t>
        </is>
      </c>
      <c r="B442" s="113">
        <f> 'Design Regulator'!E57&amp;"kΩ"</f>
        <v/>
      </c>
      <c r="I442" s="57" t="n"/>
    </row>
    <row r="443">
      <c r="A443" s="209" t="inlineStr">
        <is>
          <t>Rt</t>
        </is>
      </c>
      <c r="B443">
        <f> Rfadj&amp;"kΩ"</f>
        <v/>
      </c>
      <c r="C443" s="2">
        <f>Rfadj</f>
        <v/>
      </c>
      <c r="D443">
        <f>Fsw</f>
        <v/>
      </c>
      <c r="F443">
        <f>OR((Fsw=440000),(Fsw=2200000))</f>
        <v/>
      </c>
      <c r="H443">
        <f>OR(OR(AND(OSC=1, OR(Fsw/1000&gt;2530, Fsw/1000&lt;1800)), AND(OSC=2, OR(Fsw/1000&gt;500, Fsw/1000&lt;300))), OR((Fsw=440000),(Fsw=2200000)))</f>
        <v/>
      </c>
      <c r="I443" s="57" t="n"/>
    </row>
    <row r="444">
      <c r="A444" s="56" t="inlineStr">
        <is>
          <t>Css</t>
        </is>
      </c>
      <c r="B444" s="630">
        <f>'Standard Value Calculator'!B4*1000000000&amp;"nF"</f>
        <v/>
      </c>
      <c r="C444" s="113">
        <f>IF(MODE=1,"Css","")</f>
        <v/>
      </c>
      <c r="I444" s="57" t="n"/>
    </row>
    <row r="445">
      <c r="A445" s="209" t="inlineStr">
        <is>
          <t>Cres</t>
        </is>
      </c>
      <c r="B445">
        <f>IF(Cres_u = 0, "N/A", Cres_u*1000000000 &amp;"nF")</f>
        <v/>
      </c>
      <c r="C445">
        <f>IF(Cres_u = 0, "N/A", Cres_u*1000000 &amp;"µF")</f>
        <v/>
      </c>
      <c r="D445">
        <f>Cres_u</f>
        <v/>
      </c>
      <c r="I445" s="57" t="n"/>
    </row>
    <row r="446">
      <c r="A446" s="585" t="n"/>
      <c r="I446" s="57" t="n"/>
    </row>
    <row r="447">
      <c r="A447" s="56" t="inlineStr">
        <is>
          <t>Blank out</t>
        </is>
      </c>
      <c r="B447">
        <f>IF(B76="y","","|")</f>
        <v/>
      </c>
      <c r="I447" s="57" t="n"/>
    </row>
    <row r="448">
      <c r="A448" s="56" t="inlineStr">
        <is>
          <t>OUTPUT CURRENT</t>
        </is>
      </c>
      <c r="B448">
        <f>'Design Regulator'!$E$10&amp;"A"</f>
        <v/>
      </c>
      <c r="I448" s="57" t="n"/>
    </row>
    <row r="449">
      <c r="A449" s="56" t="inlineStr">
        <is>
          <t>VIN</t>
        </is>
      </c>
      <c r="B449">
        <f>VIN_nom&amp;"V"</f>
        <v/>
      </c>
      <c r="I449" s="57" t="n"/>
    </row>
    <row r="450">
      <c r="A450" s="209" t="inlineStr">
        <is>
          <t>VIN range</t>
        </is>
      </c>
      <c r="B450">
        <f>VIN_min&amp;"V"&amp;"..."&amp;VIN_max&amp;"V"</f>
        <v/>
      </c>
      <c r="I450" s="57" t="n"/>
    </row>
    <row r="451">
      <c r="A451" s="56" t="n"/>
      <c r="B451">
        <f>IF(INFILTER_TYPE=1,B450,"")</f>
        <v/>
      </c>
      <c r="C451">
        <f>IF(INFILTER_TYPE=1,"",B450)</f>
        <v/>
      </c>
      <c r="I451" s="57" t="n"/>
    </row>
    <row r="452" ht="13.5" customHeight="1" thickBot="1">
      <c r="A452" s="60">
        <f>CHOOSE(Ext_VCC, "", "Tie VCCX to PGND")</f>
        <v/>
      </c>
      <c r="B452" s="61" t="n"/>
      <c r="C452" s="289" t="n"/>
      <c r="D452" s="61" t="n"/>
      <c r="E452" s="61" t="n"/>
      <c r="F452" s="61" t="n"/>
      <c r="G452" s="61" t="n"/>
      <c r="H452" s="61" t="n"/>
      <c r="I452" s="62" t="n"/>
    </row>
  </sheetData>
  <mergeCells count="2">
    <mergeCell ref="A1:I1"/>
    <mergeCell ref="E5:H5"/>
  </mergeCells>
  <conditionalFormatting sqref="B393">
    <cfRule type="expression" priority="1" dxfId="0">
      <formula>OSC=1</formula>
    </cfRule>
  </conditionalFormatting>
  <pageMargins left="0.75" right="0.75" top="1" bottom="1" header="0.5" footer="0.5"/>
  <pageSetup orientation="portrait"/>
</worksheet>
</file>

<file path=xl/worksheets/sheet7.xml><?xml version="1.0" encoding="utf-8"?>
<worksheet xmlns="http://schemas.openxmlformats.org/spreadsheetml/2006/main">
  <sheetPr codeName="Sheet7">
    <outlinePr summaryBelow="1" summaryRight="1"/>
    <pageSetUpPr/>
  </sheetPr>
  <dimension ref="A1:N29"/>
  <sheetViews>
    <sheetView topLeftCell="A4" zoomScale="70" zoomScaleNormal="70" workbookViewId="0">
      <selection activeCell="G5" sqref="G5"/>
    </sheetView>
  </sheetViews>
  <sheetFormatPr baseColWidth="8" defaultRowHeight="12.75"/>
  <cols>
    <col width="10.5703125" customWidth="1" min="1" max="1"/>
    <col width="102.140625" customWidth="1" min="2" max="2"/>
  </cols>
  <sheetData>
    <row r="1">
      <c r="J1" s="113" t="n"/>
      <c r="N1" s="113" t="inlineStr">
        <is>
          <t>3.3V or 5V fixed (FB1/2)</t>
        </is>
      </c>
    </row>
    <row r="2">
      <c r="A2">
        <f>IF(MODE=1, CHOOSE(SCH_SETTING, "SCH_SetVout_IntComp_nAEF","SCH_SetVout_IntComp_AEF","SCH_SetVout_ExtComp_nAEF","SCH_SetVout_ExtComp_AEF","SCH_AdjVout_IntComp_nAEF","SCH_AdjVout_IntComp_AEF","SCH_AdjVout_ExtComp_nAEF","SCH_AdjVout_ExtComp_AEF"))</f>
        <v/>
      </c>
      <c r="J2" s="113" t="n"/>
      <c r="N2" s="113" t="inlineStr">
        <is>
          <t>With/without VOUT connected to VCCX</t>
        </is>
      </c>
    </row>
    <row r="3">
      <c r="J3" s="113" t="n"/>
    </row>
    <row r="4" ht="19.5" customHeight="1">
      <c r="J4" s="113" t="n"/>
    </row>
    <row r="5" ht="311.1" customHeight="1">
      <c r="B5" s="521" t="n"/>
    </row>
    <row r="6" ht="12" customHeight="1">
      <c r="B6" s="521" t="n"/>
    </row>
    <row r="7" ht="34.5" customHeight="1"/>
    <row r="8" ht="311.1" customHeight="1">
      <c r="B8" s="521" t="n"/>
    </row>
    <row r="9">
      <c r="B9" s="521" t="n"/>
    </row>
    <row r="10" ht="312" customHeight="1">
      <c r="B10" s="521" t="n"/>
    </row>
    <row r="12" ht="311.65" customHeight="1">
      <c r="B12" s="521" t="n"/>
    </row>
    <row r="14" ht="309.75" customHeight="1">
      <c r="B14" s="521" t="n"/>
    </row>
    <row r="16" ht="15" customHeight="1"/>
    <row r="17" ht="311.65" customHeight="1">
      <c r="B17" s="521" t="inlineStr">
        <is>
          <t xml:space="preserve"> </t>
        </is>
      </c>
    </row>
    <row r="18" ht="9.75" customHeight="1"/>
    <row r="19" ht="312" customHeight="1">
      <c r="B19" s="521" t="n"/>
    </row>
    <row r="20" ht="16.15" customHeight="1"/>
    <row r="21" ht="312" customHeight="1">
      <c r="B21" s="521" t="n"/>
    </row>
    <row r="23" ht="409.5" customHeight="1">
      <c r="B23" s="521" t="n"/>
    </row>
    <row r="25" ht="408.75" customHeight="1">
      <c r="B25" s="521" t="n"/>
    </row>
    <row r="27" ht="409.5" customHeight="1">
      <c r="B27" s="521" t="n"/>
    </row>
    <row r="29" ht="409.5" customHeight="1">
      <c r="B29" s="521" t="n"/>
    </row>
  </sheetData>
  <pageMargins left="0.7" right="0.7" top="0.75" bottom="0.75" header="0.3" footer="0.3"/>
  <pageSetup orientation="portrait"/>
</worksheet>
</file>

<file path=xl/worksheets/sheet8.xml><?xml version="1.0" encoding="utf-8"?>
<worksheet xmlns="http://schemas.openxmlformats.org/spreadsheetml/2006/main">
  <sheetPr codeName="Sheet4">
    <outlinePr summaryBelow="1" summaryRight="1"/>
    <pageSetUpPr/>
  </sheetPr>
  <dimension ref="A2:AI687"/>
  <sheetViews>
    <sheetView topLeftCell="M1" zoomScaleNormal="100" workbookViewId="0">
      <pane ySplit="11" topLeftCell="A12" activePane="bottomLeft" state="frozen"/>
      <selection activeCell="A93" sqref="A93"/>
      <selection pane="bottomLeft" activeCell="AI9" sqref="AI9"/>
    </sheetView>
  </sheetViews>
  <sheetFormatPr baseColWidth="8" defaultColWidth="9.140625" defaultRowHeight="12.75"/>
  <cols>
    <col width="16.140625" customWidth="1" style="307" min="1" max="1"/>
    <col width="15.7109375" customWidth="1" style="307" min="2" max="2"/>
    <col width="10" customWidth="1" style="307" min="3" max="3"/>
    <col width="10.7109375" customWidth="1" style="307" min="4" max="4"/>
    <col width="10.140625" customWidth="1" style="307" min="5" max="5"/>
    <col width="11.7109375" customWidth="1" style="307" min="6" max="8"/>
    <col width="14.28515625" customWidth="1" style="307" min="9" max="9"/>
    <col width="11" customWidth="1" style="307" min="10" max="10"/>
    <col width="12" customWidth="1" style="307" min="11" max="11"/>
    <col width="11.42578125" customWidth="1" style="307" min="12" max="12"/>
    <col width="10.7109375" customWidth="1" style="307" min="13" max="13"/>
    <col width="11.42578125" customWidth="1" style="307" min="14" max="18"/>
    <col width="12.28515625" customWidth="1" style="307" min="19" max="19"/>
    <col width="12.140625" customWidth="1" style="307" min="20" max="20"/>
    <col width="9.42578125" customWidth="1" style="307" min="21" max="21"/>
    <col width="16.140625" bestFit="1" customWidth="1" style="307" min="22" max="22"/>
    <col width="16.140625" customWidth="1" style="347" min="23" max="23"/>
    <col width="9.140625" customWidth="1" style="307" min="24" max="24"/>
    <col width="13.42578125" bestFit="1" customWidth="1" style="307" min="25" max="25"/>
    <col width="9.28515625" bestFit="1" customWidth="1" style="307" min="26" max="26"/>
    <col width="9.140625" customWidth="1" style="307" min="27" max="27"/>
    <col width="13.5703125" customWidth="1" style="307" min="28" max="28"/>
    <col width="10.5703125" customWidth="1" style="307" min="29" max="29"/>
    <col width="9.140625" customWidth="1" style="307" min="30" max="30"/>
    <col width="9.28515625" bestFit="1" customWidth="1" style="307" min="31" max="31"/>
    <col width="11.28515625" bestFit="1" customWidth="1" style="307" min="32" max="32"/>
    <col width="9.140625" customWidth="1" style="307" min="33" max="33"/>
    <col width="12.28515625" customWidth="1" min="34" max="34"/>
    <col width="8.7109375" customWidth="1" min="35" max="35"/>
    <col width="9.140625" customWidth="1" style="307" min="36" max="16384"/>
  </cols>
  <sheetData>
    <row r="1" ht="13.5" customHeight="1" thickBot="1"/>
    <row r="2">
      <c r="A2" s="1027" t="inlineStr">
        <is>
          <t>Divider Network &amp; EA Poles/Zeros</t>
        </is>
      </c>
      <c r="B2" s="936" t="n"/>
      <c r="C2" s="936" t="n"/>
      <c r="D2" s="1028" t="n"/>
      <c r="E2" s="860" t="inlineStr">
        <is>
          <t>Modulator</t>
        </is>
      </c>
      <c r="F2" s="936" t="n"/>
      <c r="G2" s="936" t="n"/>
      <c r="H2" s="860" t="n"/>
      <c r="I2" s="869" t="n"/>
      <c r="J2" s="1027" t="inlineStr">
        <is>
          <t>Power Stage Poles/Zeros</t>
        </is>
      </c>
      <c r="K2" s="936" t="n"/>
      <c r="L2" s="1028" t="n"/>
      <c r="M2" s="860" t="inlineStr">
        <is>
          <t>Complex Pole Pair</t>
        </is>
      </c>
      <c r="N2" s="936" t="n"/>
      <c r="O2" s="936" t="n"/>
      <c r="P2" s="1029" t="inlineStr">
        <is>
          <t>Feedback natural frequencies</t>
        </is>
      </c>
      <c r="Q2" s="936" t="n"/>
      <c r="R2" s="936" t="n"/>
      <c r="S2" s="1028" t="n"/>
      <c r="T2" s="1027" t="inlineStr">
        <is>
          <t>Total System</t>
        </is>
      </c>
      <c r="U2" s="936" t="n"/>
      <c r="V2" s="1028" t="n"/>
      <c r="W2" s="1030" t="n"/>
      <c r="AH2" s="113" t="n"/>
      <c r="AI2" s="113" t="n"/>
    </row>
    <row r="3">
      <c r="B3" s="308" t="inlineStr">
        <is>
          <t>Afb1</t>
        </is>
      </c>
      <c r="C3" s="1031">
        <f>Afb</f>
        <v/>
      </c>
      <c r="D3" s="310" t="inlineStr">
        <is>
          <t>V/V</t>
        </is>
      </c>
      <c r="E3" s="311" t="inlineStr">
        <is>
          <t>Acs</t>
        </is>
      </c>
      <c r="F3" s="309">
        <f>Acs</f>
        <v/>
      </c>
      <c r="G3" s="310" t="inlineStr">
        <is>
          <t>A/V</t>
        </is>
      </c>
      <c r="H3" s="402" t="inlineStr">
        <is>
          <t>gm</t>
        </is>
      </c>
      <c r="I3" s="414">
        <f>gm</f>
        <v/>
      </c>
      <c r="J3" s="311" t="inlineStr">
        <is>
          <t>z_ESR</t>
        </is>
      </c>
      <c r="K3" s="312">
        <f>Fesr</f>
        <v/>
      </c>
      <c r="L3" s="310" t="inlineStr">
        <is>
          <t>Hz</t>
        </is>
      </c>
      <c r="M3" s="311" t="inlineStr">
        <is>
          <t>p3</t>
        </is>
      </c>
      <c r="N3" s="312">
        <f>Fsw/2</f>
        <v/>
      </c>
      <c r="O3" s="310" t="inlineStr">
        <is>
          <t>Hz</t>
        </is>
      </c>
      <c r="P3" s="680" t="inlineStr">
        <is>
          <t>zterm1</t>
        </is>
      </c>
      <c r="Q3" s="681">
        <f>((1/wffHz)+(1/wfftHz))</f>
        <v/>
      </c>
      <c r="S3" s="680" t="n"/>
      <c r="T3" s="313" t="inlineStr">
        <is>
          <t>Adc</t>
        </is>
      </c>
      <c r="U3" s="312">
        <f>IF(VOUT_setting=1,Am*Afb*AEA,Am*AEA)</f>
        <v/>
      </c>
      <c r="V3" s="310" t="inlineStr">
        <is>
          <t>V/V</t>
        </is>
      </c>
    </row>
    <row r="4">
      <c r="B4" s="308" t="inlineStr">
        <is>
          <t>EA zero, z1</t>
        </is>
      </c>
      <c r="C4" s="312">
        <f>Fz1_u</f>
        <v/>
      </c>
      <c r="D4" s="310" t="inlineStr">
        <is>
          <t>Hz</t>
        </is>
      </c>
      <c r="E4" s="311" t="inlineStr">
        <is>
          <t>Am</t>
        </is>
      </c>
      <c r="F4" s="1032">
        <f>Am</f>
        <v/>
      </c>
      <c r="G4" s="310" t="inlineStr">
        <is>
          <t>V/V</t>
        </is>
      </c>
      <c r="H4" s="1033" t="n"/>
      <c r="I4" s="1033" t="n"/>
      <c r="J4" s="311" t="inlineStr">
        <is>
          <t>p_dom</t>
        </is>
      </c>
      <c r="K4" s="312">
        <f>Fp_dominant</f>
        <v/>
      </c>
      <c r="L4" s="310" t="inlineStr">
        <is>
          <t>Hz</t>
        </is>
      </c>
      <c r="M4" s="311" t="inlineStr">
        <is>
          <t>pterm1</t>
        </is>
      </c>
      <c r="N4" s="389">
        <f>Q*pole3</f>
        <v/>
      </c>
      <c r="O4" s="681" t="n"/>
      <c r="P4" s="681" t="inlineStr">
        <is>
          <t>pterm3</t>
        </is>
      </c>
      <c r="Q4" s="681">
        <f>((1/wfbtHz)+(1/wffHz)+(1/wfftHz)+(Afbr/wffHz))</f>
        <v/>
      </c>
      <c r="R4" s="681" t="n"/>
      <c r="T4" s="313" t="inlineStr">
        <is>
          <t>Crossover</t>
        </is>
      </c>
      <c r="U4" s="353">
        <f>AI7</f>
        <v/>
      </c>
      <c r="V4" s="310" t="inlineStr">
        <is>
          <t>kHz</t>
        </is>
      </c>
    </row>
    <row r="5">
      <c r="B5" s="308" t="inlineStr">
        <is>
          <t>EA pole, p1</t>
        </is>
      </c>
      <c r="C5" s="1032">
        <f>Fp1_u</f>
        <v/>
      </c>
      <c r="D5" s="310" t="inlineStr">
        <is>
          <t>Hz</t>
        </is>
      </c>
      <c r="E5" s="311" t="inlineStr">
        <is>
          <t>Q</t>
        </is>
      </c>
      <c r="F5" s="1031">
        <f>Q</f>
        <v/>
      </c>
      <c r="G5" s="310" t="n"/>
      <c r="H5" s="1033" t="n"/>
      <c r="I5" s="1033" t="n"/>
      <c r="J5" s="311" t="n"/>
      <c r="K5" s="312" t="n"/>
      <c r="L5" s="310" t="n"/>
      <c r="M5" s="311" t="inlineStr">
        <is>
          <t>pterm2</t>
        </is>
      </c>
      <c r="N5" s="309">
        <f>pole3^2</f>
        <v/>
      </c>
      <c r="O5" s="402" t="n"/>
      <c r="P5" s="402" t="inlineStr">
        <is>
          <t>pterm4</t>
        </is>
      </c>
      <c r="Q5" s="402">
        <f>1/(wffHz*wfbtHz)</f>
        <v/>
      </c>
      <c r="R5" s="402" t="n"/>
      <c r="S5" s="310" t="n"/>
      <c r="T5" s="313" t="inlineStr">
        <is>
          <t>Phase Margin</t>
        </is>
      </c>
      <c r="U5" s="1032">
        <f>AI9</f>
        <v/>
      </c>
      <c r="V5" s="375" t="inlineStr">
        <is>
          <t>°</t>
        </is>
      </c>
    </row>
    <row r="6">
      <c r="B6" s="308" t="inlineStr">
        <is>
          <t>Aea</t>
        </is>
      </c>
      <c r="C6" s="309">
        <f>AEA</f>
        <v/>
      </c>
      <c r="D6" s="310" t="inlineStr">
        <is>
          <t>V/V</t>
        </is>
      </c>
      <c r="E6" s="311" t="inlineStr">
        <is>
          <t>mc</t>
        </is>
      </c>
      <c r="F6" s="1031">
        <f>mc</f>
        <v/>
      </c>
      <c r="G6" s="402" t="n"/>
      <c r="H6" s="405" t="n"/>
      <c r="I6" s="316" t="n"/>
      <c r="J6" s="314" t="n"/>
      <c r="K6" s="315" t="n"/>
      <c r="L6" s="316" t="n"/>
      <c r="M6" s="314" t="n"/>
      <c r="N6" s="1034" t="n"/>
      <c r="O6" s="1035" t="n"/>
      <c r="P6" s="1035" t="inlineStr">
        <is>
          <t>Afbr</t>
        </is>
      </c>
      <c r="Q6" s="688">
        <f>Rfb1_/Rfb2_u</f>
        <v/>
      </c>
      <c r="R6" s="1035" t="n"/>
      <c r="S6" s="316" t="n"/>
      <c r="T6" s="387" t="inlineStr">
        <is>
          <t>radconv</t>
        </is>
      </c>
      <c r="U6" s="315">
        <f>180/Pi</f>
        <v/>
      </c>
      <c r="V6" s="316" t="n"/>
      <c r="AH6" s="5" t="inlineStr">
        <is>
          <t>XOVER SEARCH</t>
        </is>
      </c>
      <c r="AI6" s="5" t="n"/>
    </row>
    <row r="7" ht="13.5" customHeight="1" thickBot="1">
      <c r="B7" s="383" t="inlineStr">
        <is>
          <t>EA pole, p2</t>
        </is>
      </c>
      <c r="C7" s="390">
        <f>Fp2_u</f>
        <v/>
      </c>
      <c r="D7" s="385" t="inlineStr">
        <is>
          <t>Hz</t>
        </is>
      </c>
      <c r="E7" s="384" t="inlineStr">
        <is>
          <t>k</t>
        </is>
      </c>
      <c r="F7" s="1036">
        <f>k</f>
        <v/>
      </c>
      <c r="G7" s="1036" t="n"/>
      <c r="H7" s="1037" t="n"/>
      <c r="I7" s="385" t="n"/>
      <c r="J7" s="384" t="n"/>
      <c r="K7" s="384" t="n"/>
      <c r="L7" s="385" t="n"/>
      <c r="M7" s="384" t="n"/>
      <c r="N7" s="384" t="n"/>
      <c r="O7" s="384" t="n"/>
      <c r="P7" s="384" t="n"/>
      <c r="Q7" s="384" t="n"/>
      <c r="R7" s="384" t="n"/>
      <c r="S7" s="385" t="n"/>
      <c r="T7" s="384" t="n"/>
      <c r="U7" s="384" t="n"/>
      <c r="V7" s="385" t="n"/>
      <c r="AH7" t="inlineStr">
        <is>
          <t>xover</t>
        </is>
      </c>
      <c r="AI7">
        <f>SUM(AH12:AH613)/1000</f>
        <v/>
      </c>
    </row>
    <row r="8">
      <c r="B8" s="392" t="n"/>
      <c r="C8" s="393" t="n"/>
      <c r="F8" s="1038" t="n"/>
      <c r="G8" s="1038" t="n"/>
      <c r="H8" s="1038" t="n"/>
    </row>
    <row r="9" ht="13.5" customHeight="1" thickBot="1">
      <c r="AH9" t="inlineStr">
        <is>
          <t>phase margin</t>
        </is>
      </c>
      <c r="AI9" s="4">
        <f>SUM(AI13:AI613)</f>
        <v/>
      </c>
    </row>
    <row r="10" ht="15" customHeight="1">
      <c r="A10" s="1039" t="inlineStr">
        <is>
          <t>Freq (Hz)</t>
        </is>
      </c>
      <c r="B10" s="1040" t="n"/>
      <c r="C10" s="1041" t="inlineStr">
        <is>
          <t>Power Stage</t>
        </is>
      </c>
      <c r="D10" s="936" t="n"/>
      <c r="E10" s="936" t="n"/>
      <c r="F10" s="936" t="n"/>
      <c r="G10" s="936" t="n"/>
      <c r="H10" s="1028" t="n"/>
      <c r="I10" s="1041" t="inlineStr">
        <is>
          <t>Error Amplifier</t>
        </is>
      </c>
      <c r="J10" s="936" t="n"/>
      <c r="K10" s="936" t="n"/>
      <c r="L10" s="936" t="n"/>
      <c r="M10" s="936" t="n"/>
      <c r="N10" s="1028" t="n"/>
      <c r="O10" s="870" t="inlineStr">
        <is>
          <t>Feedback Gain</t>
        </is>
      </c>
      <c r="P10" s="936" t="n"/>
      <c r="Q10" s="936" t="n"/>
      <c r="R10" s="936" t="n"/>
      <c r="S10" s="867" t="inlineStr">
        <is>
          <t>Sampling Double Pole</t>
        </is>
      </c>
      <c r="T10" s="937" t="n"/>
      <c r="U10" s="867" t="inlineStr">
        <is>
          <t>System Response</t>
        </is>
      </c>
      <c r="V10" s="936" t="n"/>
      <c r="W10" s="937" t="n"/>
      <c r="AB10" s="851" t="inlineStr">
        <is>
          <t>ERROR AMP Response</t>
        </is>
      </c>
      <c r="AC10" s="937" t="n"/>
      <c r="AE10" s="851" t="inlineStr">
        <is>
          <t>PLANT Response</t>
        </is>
      </c>
      <c r="AF10" s="937" t="n"/>
    </row>
    <row r="11">
      <c r="A11" s="1042" t="n"/>
      <c r="B11" s="1043" t="n"/>
      <c r="C11" s="853" t="inlineStr">
        <is>
          <t>p_dom</t>
        </is>
      </c>
      <c r="D11" s="952" t="n"/>
      <c r="E11" s="854" t="inlineStr">
        <is>
          <t>z_ESR</t>
        </is>
      </c>
      <c r="F11" s="952" t="n"/>
      <c r="G11" s="1044" t="inlineStr">
        <is>
          <t>z_RHP</t>
        </is>
      </c>
      <c r="H11" s="1045" t="n"/>
      <c r="I11" s="853" t="inlineStr">
        <is>
          <t>p1</t>
        </is>
      </c>
      <c r="J11" s="952" t="n"/>
      <c r="K11" s="854" t="inlineStr">
        <is>
          <t>z1</t>
        </is>
      </c>
      <c r="L11" s="952" t="n"/>
      <c r="M11" s="1044" t="inlineStr">
        <is>
          <t>p2</t>
        </is>
      </c>
      <c r="N11" s="1045" t="n"/>
      <c r="O11" s="853" t="inlineStr">
        <is>
          <t>z1</t>
        </is>
      </c>
      <c r="P11" s="952" t="n"/>
      <c r="Q11" s="854" t="inlineStr">
        <is>
          <t>p1p2</t>
        </is>
      </c>
      <c r="R11" s="952" t="n"/>
      <c r="S11" s="853" t="inlineStr">
        <is>
          <t>p3</t>
        </is>
      </c>
      <c r="T11" s="952" t="n"/>
      <c r="U11" s="311" t="n"/>
      <c r="V11" s="309" t="n"/>
      <c r="W11" s="354" t="n"/>
      <c r="AB11" s="311" t="n"/>
      <c r="AC11" s="310" t="n"/>
      <c r="AE11" s="311" t="n"/>
      <c r="AF11" s="310" t="n"/>
    </row>
    <row r="12" ht="13.5" customHeight="1" thickBot="1">
      <c r="A12" s="1046" t="n"/>
      <c r="B12" s="351" t="n"/>
      <c r="C12" s="318" t="inlineStr">
        <is>
          <t>Gain(V/V)</t>
        </is>
      </c>
      <c r="D12" s="319" t="inlineStr">
        <is>
          <t>Phase(rad)</t>
        </is>
      </c>
      <c r="E12" s="319" t="inlineStr">
        <is>
          <t>Gain(V/V)</t>
        </is>
      </c>
      <c r="F12" s="320" t="inlineStr">
        <is>
          <t>Phase(rad)</t>
        </is>
      </c>
      <c r="G12" s="319" t="inlineStr">
        <is>
          <t>Gain(V/V)</t>
        </is>
      </c>
      <c r="H12" s="320" t="inlineStr">
        <is>
          <t>Phase(rad)</t>
        </is>
      </c>
      <c r="I12" s="318" t="inlineStr">
        <is>
          <t>Gain(V/V)</t>
        </is>
      </c>
      <c r="J12" s="319" t="inlineStr">
        <is>
          <t>Phase(rad)</t>
        </is>
      </c>
      <c r="K12" s="319" t="inlineStr">
        <is>
          <t>Gain(V/V)</t>
        </is>
      </c>
      <c r="L12" s="320" t="inlineStr">
        <is>
          <t>Phase(rad)</t>
        </is>
      </c>
      <c r="M12" s="318" t="inlineStr">
        <is>
          <t>Gain(V/V)</t>
        </is>
      </c>
      <c r="N12" s="319" t="inlineStr">
        <is>
          <t>Phase(rad)</t>
        </is>
      </c>
      <c r="O12" s="318" t="inlineStr">
        <is>
          <t>Gain(V/V)</t>
        </is>
      </c>
      <c r="P12" s="319" t="inlineStr">
        <is>
          <t>Phase(rad)</t>
        </is>
      </c>
      <c r="Q12" s="319" t="inlineStr">
        <is>
          <t>Gain(V/V)</t>
        </is>
      </c>
      <c r="R12" s="320" t="inlineStr">
        <is>
          <t>Phase(rad)</t>
        </is>
      </c>
      <c r="S12" s="318" t="inlineStr">
        <is>
          <t>Gain(V/V)</t>
        </is>
      </c>
      <c r="T12" s="320" t="inlineStr">
        <is>
          <t>Phase(rad)</t>
        </is>
      </c>
      <c r="U12" s="318" t="inlineStr">
        <is>
          <t>Gain (dB)</t>
        </is>
      </c>
      <c r="V12" s="319" t="inlineStr">
        <is>
          <t>Phase (°)</t>
        </is>
      </c>
      <c r="W12" s="355" t="inlineStr">
        <is>
          <t>Phase Margin (°)</t>
        </is>
      </c>
      <c r="Z12" s="321" t="inlineStr">
        <is>
          <t>Fsquare</t>
        </is>
      </c>
      <c r="AB12" s="322" t="inlineStr">
        <is>
          <t>Gain(dB)</t>
        </is>
      </c>
      <c r="AC12" s="323" t="inlineStr">
        <is>
          <t>Phase(Deg)</t>
        </is>
      </c>
      <c r="AE12" s="322" t="inlineStr">
        <is>
          <t>Gain(dB)</t>
        </is>
      </c>
      <c r="AF12" s="323" t="inlineStr">
        <is>
          <t>Phase(Deg)</t>
        </is>
      </c>
    </row>
    <row r="13">
      <c r="A13" s="324" t="n">
        <v>1</v>
      </c>
      <c r="B13" s="352">
        <f>A13/1000</f>
        <v/>
      </c>
      <c r="C13" s="1047">
        <f>SQRT(1+(A13/pole1)^2)</f>
        <v/>
      </c>
      <c r="D13" s="1048">
        <f>ATAN(A13/pole1)</f>
        <v/>
      </c>
      <c r="E13" s="1048">
        <f>SQRT(1+(A13/Zero1)^2)</f>
        <v/>
      </c>
      <c r="F13" s="1049">
        <f>ATAN(A13/Zero1)</f>
        <v/>
      </c>
      <c r="G13" s="1048">
        <f>IF(VIN_nom&gt;Vout, 1, SQRT(1+(A13/z_RHP)^2))</f>
        <v/>
      </c>
      <c r="H13" s="1049">
        <f>IF(VIN_nom&gt;Vout, 0, -ATAN(A13/z_RHP))</f>
        <v/>
      </c>
      <c r="I13" s="1047">
        <f>SQRT(1+(A13/Pole2)^2)</f>
        <v/>
      </c>
      <c r="J13" s="1050">
        <f>ATAN(A13/Pole2)</f>
        <v/>
      </c>
      <c r="K13" s="1048">
        <f>SQRT(1+(A13/Zero2)^2)</f>
        <v/>
      </c>
      <c r="L13" s="1049">
        <f>ATAN(A13/Zero2)</f>
        <v/>
      </c>
      <c r="M13" s="1047">
        <f>SQRT(1+(A13/pole4)^2)</f>
        <v/>
      </c>
      <c r="N13" s="1051">
        <f>ATAN(A13/pole4)</f>
        <v/>
      </c>
      <c r="O13" s="1052">
        <f>IF(VOUT_setting=1,1,SQRT(1+(A13*zterm1)^2))</f>
        <v/>
      </c>
      <c r="P13" s="1053">
        <f>IF(VOUT_setting=1,0,ATAN(((A13*zterm1))))</f>
        <v/>
      </c>
      <c r="Q13" s="1052">
        <f>IF(VOUT_setting=1,1,SQRT((1+Afbr-pterm4*(A13)^2)^2+(A13*$Q$4)^2))</f>
        <v/>
      </c>
      <c r="R13" s="1051">
        <f>IF(VOUT_setting=1,0,ATAN(A13*$Q$4/(1+Afbr-$Q$5*(A13)^2)))</f>
        <v/>
      </c>
      <c r="S13" s="1054">
        <f>SQRT((1-(Z13/pterm2))^2+(A13/pterm1)^2)</f>
        <v/>
      </c>
      <c r="T13" s="1055">
        <f>IF((ATAN((A13/pterm1)/(1-A13^2/pterm2))&gt;0),ATAN((A13/pterm1)/(1-A13^2/pterm2)),PI()+ATAN((A13/pterm1)/(1-A13^2/pterm2)))</f>
        <v/>
      </c>
      <c r="U13" s="331">
        <f>20*LOG10(((E13*K13*G13*O13)/(C13*I13*S13*M13*Q13))*Adc)</f>
        <v/>
      </c>
      <c r="V13" s="332">
        <f>((F13+L13+H13+P13)-(D13+J13+T13+N13+R13))*radconv</f>
        <v/>
      </c>
      <c r="W13" s="563">
        <f>IF(V13&gt;0,V13,V13+180)</f>
        <v/>
      </c>
      <c r="Y13" s="307">
        <f>IF(U13&lt;0,A13,1000000000)</f>
        <v/>
      </c>
      <c r="Z13" s="307">
        <f>A13^2</f>
        <v/>
      </c>
      <c r="AB13" s="333">
        <f>20*LOG10((K13/(I13*M13))*AEA)</f>
        <v/>
      </c>
      <c r="AC13" s="334">
        <f>(L13-(J13+N13))*radconv</f>
        <v/>
      </c>
      <c r="AE13" s="333">
        <f>20*LOG10((E13*G13/(C13*S13))*Acs*Am)</f>
        <v/>
      </c>
      <c r="AF13" s="334">
        <f>(F13+H13-(D13+T13))*radconv</f>
        <v/>
      </c>
      <c r="AH13">
        <f>SUM((U14&lt;0)*(U13&gt;0))*A13</f>
        <v/>
      </c>
      <c r="AI13">
        <f>IF(AH13&gt;0,W11,0)</f>
        <v/>
      </c>
    </row>
    <row r="14">
      <c r="A14" s="335" t="n">
        <v>1.0965</v>
      </c>
      <c r="B14" s="352">
        <f>A14/1000</f>
        <v/>
      </c>
      <c r="C14" s="1047">
        <f>SQRT(1+(A14/pole1)^2)</f>
        <v/>
      </c>
      <c r="D14" s="1048">
        <f>ATAN(A14/pole1)</f>
        <v/>
      </c>
      <c r="E14" s="1048">
        <f>SQRT(1+(A14/Zero1)^2)</f>
        <v/>
      </c>
      <c r="F14" s="1049">
        <f>ATAN(A14/Zero1)</f>
        <v/>
      </c>
      <c r="G14" s="1048">
        <f>IF(VIN_nom&gt;Vout, 1, SQRT(1+(A14/z_RHP)^2))</f>
        <v/>
      </c>
      <c r="H14" s="1049">
        <f>IF(VIN_nom&gt;Vout, 0, -ATAN(A14/z_RHP))</f>
        <v/>
      </c>
      <c r="I14" s="1047">
        <f>SQRT(1+(A14/Pole2)^2)</f>
        <v/>
      </c>
      <c r="J14" s="1050">
        <f>ATAN(A14/Pole2)</f>
        <v/>
      </c>
      <c r="K14" s="1056">
        <f>SQRT(1+(A14/Zero2)^2)</f>
        <v/>
      </c>
      <c r="L14" s="1057">
        <f>ATAN(A14/Zero2)</f>
        <v/>
      </c>
      <c r="M14" s="1047">
        <f>SQRT(1+(A14/pole4)^2)</f>
        <v/>
      </c>
      <c r="N14" s="1057">
        <f>ATAN(A14/pole4)</f>
        <v/>
      </c>
      <c r="O14" s="1058">
        <f>IF(VOUT_setting=1,1,SQRT(1+(A14*zterm1)^2))</f>
        <v/>
      </c>
      <c r="P14" s="1059">
        <f>IF(VOUT_setting=1,0,ATAN(((A14*zterm1))))</f>
        <v/>
      </c>
      <c r="Q14" s="1056">
        <f>IF(VOUT_setting=1,1,SQRT((1+Afbr-pterm4*(A14)^2)^2+(A14*$Q$4)^2))</f>
        <v/>
      </c>
      <c r="R14" s="1060">
        <f>IF(VOUT_setting=1,0,ATAN(A14*$Q$4/(1+Afbr-$Q$5*(A14)^2)))</f>
        <v/>
      </c>
      <c r="S14" s="1054">
        <f>SQRT((1-(Z14/pterm2))^2+(A14/pterm1)^2)</f>
        <v/>
      </c>
      <c r="T14" s="1055">
        <f>IF((ATAN((A14/pterm1)/(1-A14^2/pterm2))&gt;0),ATAN((A14/pterm1)/(1-A14^2/pterm2)),PI()+ATAN((A14/pterm1)/(1-A14^2/pterm2)))</f>
        <v/>
      </c>
      <c r="U14" s="331">
        <f>20*LOG10(((E14*K14*G14*O14)/(C14*I14*S14*M14*Q14))*Adc)</f>
        <v/>
      </c>
      <c r="V14" s="332">
        <f>((F14+L14+H14+P14)-(D14+J14+T14+N14+R14))*radconv</f>
        <v/>
      </c>
      <c r="W14" s="334">
        <f>IF(V14&gt;0,V14,V14+180)</f>
        <v/>
      </c>
      <c r="Y14" s="307">
        <f>IF(U14&lt;0,A14,1000000000)</f>
        <v/>
      </c>
      <c r="Z14" s="307">
        <f>A14^2</f>
        <v/>
      </c>
      <c r="AB14" s="333">
        <f>20*LOG10((K14/(I14*M14))*AEA)</f>
        <v/>
      </c>
      <c r="AC14" s="334">
        <f>(L14-(J14+N14))*radconv</f>
        <v/>
      </c>
      <c r="AE14" s="333">
        <f>20*LOG10((E14*G14/(C14*S14))*Acs*Am)</f>
        <v/>
      </c>
      <c r="AF14" s="334">
        <f>(F14+H14-(D14+T14))*radconv</f>
        <v/>
      </c>
      <c r="AH14">
        <f>SUM((U15&lt;0)*(U14&gt;0))*A14</f>
        <v/>
      </c>
      <c r="AI14">
        <f>IF(AH14&gt;0,W12,0)</f>
        <v/>
      </c>
    </row>
    <row r="15">
      <c r="A15" s="335" t="n">
        <v>1.2023</v>
      </c>
      <c r="B15" s="352">
        <f>A15/1000</f>
        <v/>
      </c>
      <c r="C15" s="1047">
        <f>SQRT(1+(A15/pole1)^2)</f>
        <v/>
      </c>
      <c r="D15" s="1048">
        <f>ATAN(A15/pole1)</f>
        <v/>
      </c>
      <c r="E15" s="1048">
        <f>SQRT(1+(A15/Zero1)^2)</f>
        <v/>
      </c>
      <c r="F15" s="1049">
        <f>ATAN(A15/Zero1)</f>
        <v/>
      </c>
      <c r="G15" s="1048">
        <f>IF(VIN_nom&gt;Vout, 1, SQRT(1+(A15/z_RHP)^2))</f>
        <v/>
      </c>
      <c r="H15" s="1049">
        <f>IF(VIN_nom&gt;Vout, 0, -ATAN(A15/z_RHP))</f>
        <v/>
      </c>
      <c r="I15" s="1047">
        <f>SQRT(1+(A15/Pole2)^2)</f>
        <v/>
      </c>
      <c r="J15" s="1050">
        <f>ATAN(A15/Pole2)</f>
        <v/>
      </c>
      <c r="K15" s="1056">
        <f>SQRT(1+(A15/Zero2)^2)</f>
        <v/>
      </c>
      <c r="L15" s="1057">
        <f>ATAN(A15/Zero2)</f>
        <v/>
      </c>
      <c r="M15" s="1047">
        <f>SQRT(1+(A15/pole4)^2)</f>
        <v/>
      </c>
      <c r="N15" s="1057">
        <f>ATAN(A15/pole4)</f>
        <v/>
      </c>
      <c r="O15" s="1058">
        <f>IF(VOUT_setting=1,1,SQRT(1+(A15*zterm1)^2))</f>
        <v/>
      </c>
      <c r="P15" s="1059">
        <f>IF(VOUT_setting=1,0,ATAN(((A15*zterm1))))</f>
        <v/>
      </c>
      <c r="Q15" s="1056">
        <f>IF(VOUT_setting=1,1,SQRT((1+Afbr-$Q$5*(A15)^2)^2+(A15*$Q$4)^2))</f>
        <v/>
      </c>
      <c r="R15" s="1060">
        <f>IF(VOUT_setting=1,0,ATAN(A15*$Q$4/(1+Afbr-$Q$5*(A15)^2)))</f>
        <v/>
      </c>
      <c r="S15" s="1054">
        <f>SQRT((1-(Z15/pterm2))^2+(A15/pterm1)^2)</f>
        <v/>
      </c>
      <c r="T15" s="1055">
        <f>IF((ATAN((A15/pterm1)/(1-A15^2/pterm2))&gt;0),ATAN((A15/pterm1)/(1-A15^2/pterm2)),PI()+ATAN((A15/pterm1)/(1-A15^2/pterm2)))</f>
        <v/>
      </c>
      <c r="U15" s="331">
        <f>20*LOG10(((E15*K15*G15*O15)/(C15*I15*S15*M15*Q15))*Adc)</f>
        <v/>
      </c>
      <c r="V15" s="332">
        <f>((F15+L15+H15+P15)-(D15+J15+T15+N15+R15))*radconv</f>
        <v/>
      </c>
      <c r="W15" s="334">
        <f>IF(V15&gt;0,V15,V15+180)</f>
        <v/>
      </c>
      <c r="Y15" s="307">
        <f>IF(U15&lt;0,A15,1000000000)</f>
        <v/>
      </c>
      <c r="Z15" s="307">
        <f>A15^2</f>
        <v/>
      </c>
      <c r="AB15" s="333">
        <f>20*LOG10((K15/(I15*M15))*AEA)</f>
        <v/>
      </c>
      <c r="AC15" s="334">
        <f>(L15-(J15+N15))*radconv</f>
        <v/>
      </c>
      <c r="AE15" s="333">
        <f>20*LOG10((E15*G15/(C15*S15))*Acs*Am)</f>
        <v/>
      </c>
      <c r="AF15" s="334">
        <f>(F15+H15-(D15+T15))*radconv</f>
        <v/>
      </c>
      <c r="AH15">
        <f>SUM((U16&lt;0)*(U15&gt;0))*A15</f>
        <v/>
      </c>
      <c r="AI15">
        <f>IF(AH15&gt;0,W13,0)</f>
        <v/>
      </c>
    </row>
    <row r="16">
      <c r="A16" s="335" t="n">
        <v>1.3183</v>
      </c>
      <c r="B16" s="352">
        <f>A16/1000</f>
        <v/>
      </c>
      <c r="C16" s="1047">
        <f>SQRT(1+(A16/pole1)^2)</f>
        <v/>
      </c>
      <c r="D16" s="1048">
        <f>ATAN(A16/pole1)</f>
        <v/>
      </c>
      <c r="E16" s="1048">
        <f>SQRT(1+(A16/Zero1)^2)</f>
        <v/>
      </c>
      <c r="F16" s="1049">
        <f>ATAN(A16/Zero1)</f>
        <v/>
      </c>
      <c r="G16" s="1048">
        <f>IF(VIN_nom&gt;Vout, 1, SQRT(1+(A16/z_RHP)^2))</f>
        <v/>
      </c>
      <c r="H16" s="1049">
        <f>IF(VIN_nom&gt;Vout, 0, -ATAN(A16/z_RHP))</f>
        <v/>
      </c>
      <c r="I16" s="1047">
        <f>SQRT(1+(A16/Pole2)^2)</f>
        <v/>
      </c>
      <c r="J16" s="1050">
        <f>ATAN(A16/Pole2)</f>
        <v/>
      </c>
      <c r="K16" s="1056">
        <f>SQRT(1+(A16/Zero2)^2)</f>
        <v/>
      </c>
      <c r="L16" s="1057">
        <f>ATAN(A16/Zero2)</f>
        <v/>
      </c>
      <c r="M16" s="1047">
        <f>SQRT(1+(A16/pole4)^2)</f>
        <v/>
      </c>
      <c r="N16" s="1057">
        <f>ATAN(A16/pole4)</f>
        <v/>
      </c>
      <c r="O16" s="1058">
        <f>IF(VOUT_setting=1,1,SQRT(1+(A16*zterm1)^2))</f>
        <v/>
      </c>
      <c r="P16" s="1059">
        <f>IF(VOUT_setting=1,0,ATAN(((A16*zterm1))))</f>
        <v/>
      </c>
      <c r="Q16" s="1056">
        <f>IF(VOUT_setting=1,1,SQRT((1+Afbr-$Q$5*(A16)^2)^2+(A16*$Q$4)^2))</f>
        <v/>
      </c>
      <c r="R16" s="1060">
        <f>IF(VOUT_setting=1,0,ATAN(A16*$Q$4/(1+Afbr-$Q$5*(A16)^2)))</f>
        <v/>
      </c>
      <c r="S16" s="1054">
        <f>SQRT((1-(Z16/pterm2))^2+(A16/pterm1)^2)</f>
        <v/>
      </c>
      <c r="T16" s="1055">
        <f>IF((ATAN((A16/pterm1)/(1-A16^2/pterm2))&gt;0),ATAN((A16/pterm1)/(1-A16^2/pterm2)),PI()+ATAN((A16/pterm1)/(1-A16^2/pterm2)))</f>
        <v/>
      </c>
      <c r="U16" s="331">
        <f>20*LOG10(((E16*K16*G16*O16)/(C16*I16*S16*M16*Q16))*Adc)</f>
        <v/>
      </c>
      <c r="V16" s="332">
        <f>((F16+L16+H16+P16)-(D16+J16+T16+N16+R16))*radconv</f>
        <v/>
      </c>
      <c r="W16" s="334">
        <f>IF(V16&gt;0,V16,V16+180)</f>
        <v/>
      </c>
      <c r="Y16" s="307">
        <f>IF(U16&lt;0,A16,1000000000)</f>
        <v/>
      </c>
      <c r="Z16" s="307">
        <f>A16^2</f>
        <v/>
      </c>
      <c r="AB16" s="333">
        <f>20*LOG10((K16/(I16*M16))*AEA)</f>
        <v/>
      </c>
      <c r="AC16" s="334">
        <f>(L16-(J16+N16))*radconv</f>
        <v/>
      </c>
      <c r="AE16" s="333">
        <f>20*LOG10((E16*G16/(C16*S16))*Acs*Am)</f>
        <v/>
      </c>
      <c r="AF16" s="334">
        <f>(F16+H16-(D16+T16))*radconv</f>
        <v/>
      </c>
      <c r="AH16">
        <f>SUM((U17&lt;0)*(U16&gt;0))*A16</f>
        <v/>
      </c>
      <c r="AI16">
        <f>IF(AH16&gt;0,W14,0)</f>
        <v/>
      </c>
    </row>
    <row r="17">
      <c r="A17" s="335" t="n">
        <v>1.4454</v>
      </c>
      <c r="B17" s="352">
        <f>A17/1000</f>
        <v/>
      </c>
      <c r="C17" s="1047">
        <f>SQRT(1+(A17/pole1)^2)</f>
        <v/>
      </c>
      <c r="D17" s="1048">
        <f>ATAN(A17/pole1)</f>
        <v/>
      </c>
      <c r="E17" s="1048">
        <f>SQRT(1+(A17/Zero1)^2)</f>
        <v/>
      </c>
      <c r="F17" s="1049">
        <f>ATAN(A17/Zero1)</f>
        <v/>
      </c>
      <c r="G17" s="1048">
        <f>IF(VIN_nom&gt;Vout, 1, SQRT(1+(A17/z_RHP)^2))</f>
        <v/>
      </c>
      <c r="H17" s="1049">
        <f>IF(VIN_nom&gt;Vout, 0, -ATAN(A17/z_RHP))</f>
        <v/>
      </c>
      <c r="I17" s="1047">
        <f>SQRT(1+(A17/Pole2)^2)</f>
        <v/>
      </c>
      <c r="J17" s="1050">
        <f>ATAN(A17/Pole2)</f>
        <v/>
      </c>
      <c r="K17" s="1056">
        <f>SQRT(1+(A17/Zero2)^2)</f>
        <v/>
      </c>
      <c r="L17" s="1057">
        <f>ATAN(A17/Zero2)</f>
        <v/>
      </c>
      <c r="M17" s="1047">
        <f>SQRT(1+(A17/pole4)^2)</f>
        <v/>
      </c>
      <c r="N17" s="1057">
        <f>ATAN(A17/pole4)</f>
        <v/>
      </c>
      <c r="O17" s="1058">
        <f>IF(VOUT_setting=1,1,SQRT(1+(A17*zterm1)^2))</f>
        <v/>
      </c>
      <c r="P17" s="1059">
        <f>IF(VOUT_setting=1,0,ATAN(((A17*zterm1))))</f>
        <v/>
      </c>
      <c r="Q17" s="1056">
        <f>IF(VOUT_setting=1,1,SQRT((1+Afbr-$Q$5*(A17)^2)^2+(A17*$Q$4)^2))</f>
        <v/>
      </c>
      <c r="R17" s="1060">
        <f>IF(VOUT_setting=1,0,ATAN(A17*$Q$4/(1+Afbr-$Q$5*(A17)^2)))</f>
        <v/>
      </c>
      <c r="S17" s="1054">
        <f>SQRT((1-(Z17/pterm2))^2+(A17/pterm1)^2)</f>
        <v/>
      </c>
      <c r="T17" s="1055">
        <f>IF((ATAN((A17/pterm1)/(1-A17^2/pterm2))&gt;0),ATAN((A17/pterm1)/(1-A17^2/pterm2)),PI()+ATAN((A17/pterm1)/(1-A17^2/pterm2)))</f>
        <v/>
      </c>
      <c r="U17" s="331">
        <f>20*LOG10(((E17*K17*G17*O17)/(C17*I17*S17*M17*Q17))*Adc)</f>
        <v/>
      </c>
      <c r="V17" s="332">
        <f>((F17+L17+H17+P17)-(D17+J17+T17+N17+R17))*radconv</f>
        <v/>
      </c>
      <c r="W17" s="334">
        <f>IF(V17&gt;0,V17,V17+180)</f>
        <v/>
      </c>
      <c r="Y17" s="307">
        <f>IF(U17&lt;0,A17,1000000000)</f>
        <v/>
      </c>
      <c r="Z17" s="307">
        <f>A17^2</f>
        <v/>
      </c>
      <c r="AB17" s="333">
        <f>20*LOG10((K17/(I17*M17))*AEA)</f>
        <v/>
      </c>
      <c r="AC17" s="334">
        <f>(L17-(J17+N17))*radconv</f>
        <v/>
      </c>
      <c r="AE17" s="333">
        <f>20*LOG10((E17*G17/(C17*S17))*Acs*Am)</f>
        <v/>
      </c>
      <c r="AF17" s="334">
        <f>(F17+H17-(D17+T17))*radconv</f>
        <v/>
      </c>
      <c r="AH17">
        <f>SUM((U18&lt;0)*(U17&gt;0))*A17</f>
        <v/>
      </c>
      <c r="AI17">
        <f>IF(AH17&gt;0,W15,0)</f>
        <v/>
      </c>
    </row>
    <row r="18">
      <c r="A18" s="335" t="n">
        <v>1.5849</v>
      </c>
      <c r="B18" s="352">
        <f>A18/1000</f>
        <v/>
      </c>
      <c r="C18" s="1047">
        <f>SQRT(1+(A18/pole1)^2)</f>
        <v/>
      </c>
      <c r="D18" s="1048">
        <f>ATAN(A18/pole1)</f>
        <v/>
      </c>
      <c r="E18" s="1048">
        <f>SQRT(1+(A18/Zero1)^2)</f>
        <v/>
      </c>
      <c r="F18" s="1049">
        <f>ATAN(A18/Zero1)</f>
        <v/>
      </c>
      <c r="G18" s="1048">
        <f>IF(VIN_nom&gt;Vout, 1, SQRT(1+(A18/z_RHP)^2))</f>
        <v/>
      </c>
      <c r="H18" s="1049">
        <f>IF(VIN_nom&gt;Vout, 0, -ATAN(A18/z_RHP))</f>
        <v/>
      </c>
      <c r="I18" s="1047">
        <f>SQRT(1+(A18/Pole2)^2)</f>
        <v/>
      </c>
      <c r="J18" s="1050">
        <f>ATAN(A18/Pole2)</f>
        <v/>
      </c>
      <c r="K18" s="1056">
        <f>SQRT(1+(A18/Zero2)^2)</f>
        <v/>
      </c>
      <c r="L18" s="1057">
        <f>ATAN(A18/Zero2)</f>
        <v/>
      </c>
      <c r="M18" s="1047">
        <f>SQRT(1+(A18/pole4)^2)</f>
        <v/>
      </c>
      <c r="N18" s="1057">
        <f>ATAN(A18/pole4)</f>
        <v/>
      </c>
      <c r="O18" s="1058">
        <f>IF(VOUT_setting=1,1,SQRT(1+(A18*zterm1)^2))</f>
        <v/>
      </c>
      <c r="P18" s="1059">
        <f>IF(VOUT_setting=1,0,ATAN(((A18*zterm1))))</f>
        <v/>
      </c>
      <c r="Q18" s="1056">
        <f>IF(VOUT_setting=1,1,SQRT((1+Afbr-$Q$5*(A18)^2)^2+(A18*$Q$4)^2))</f>
        <v/>
      </c>
      <c r="R18" s="1060">
        <f>IF(VOUT_setting=1,0,ATAN(A18*$Q$4/(1+Afbr-$Q$5*(A18)^2)))</f>
        <v/>
      </c>
      <c r="S18" s="1054">
        <f>SQRT((1-(Z18/pterm2))^2+(A18/pterm1)^2)</f>
        <v/>
      </c>
      <c r="T18" s="1055">
        <f>IF((ATAN((A18/pterm1)/(1-A18^2/pterm2))&gt;0),ATAN((A18/pterm1)/(1-A18^2/pterm2)),PI()+ATAN((A18/pterm1)/(1-A18^2/pterm2)))</f>
        <v/>
      </c>
      <c r="U18" s="331">
        <f>20*LOG10(((E18*K18*G18*O18)/(C18*I18*S18*M18*Q18))*Adc)</f>
        <v/>
      </c>
      <c r="V18" s="332">
        <f>((F18+L18+H18+P18)-(D18+J18+T18+N18+R18))*radconv</f>
        <v/>
      </c>
      <c r="W18" s="334">
        <f>IF(V18&gt;0,V18,V18+180)</f>
        <v/>
      </c>
      <c r="Y18" s="307">
        <f>IF(U18&lt;0,A18,1000000000)</f>
        <v/>
      </c>
      <c r="Z18" s="307">
        <f>A18^2</f>
        <v/>
      </c>
      <c r="AB18" s="333">
        <f>20*LOG10((K18/(I18*M18))*AEA)</f>
        <v/>
      </c>
      <c r="AC18" s="334">
        <f>(L18-(J18+N18))*radconv</f>
        <v/>
      </c>
      <c r="AE18" s="333">
        <f>20*LOG10((E18*G18/(C18*S18))*Acs*Am)</f>
        <v/>
      </c>
      <c r="AF18" s="334">
        <f>(F18+H18-(D18+T18))*radconv</f>
        <v/>
      </c>
      <c r="AH18">
        <f>SUM((U19&lt;0)*(U18&gt;0))*A18</f>
        <v/>
      </c>
      <c r="AI18">
        <f>IF(AH18&gt;0,W16,0)</f>
        <v/>
      </c>
    </row>
    <row r="19">
      <c r="A19" s="335" t="n">
        <v>1.7378</v>
      </c>
      <c r="B19" s="352">
        <f>A19/1000</f>
        <v/>
      </c>
      <c r="C19" s="1047">
        <f>SQRT(1+(A19/pole1)^2)</f>
        <v/>
      </c>
      <c r="D19" s="1048">
        <f>ATAN(A19/pole1)</f>
        <v/>
      </c>
      <c r="E19" s="1048">
        <f>SQRT(1+(A19/Zero1)^2)</f>
        <v/>
      </c>
      <c r="F19" s="1049">
        <f>ATAN(A19/Zero1)</f>
        <v/>
      </c>
      <c r="G19" s="1048">
        <f>IF(VIN_nom&gt;Vout, 1, SQRT(1+(A19/z_RHP)^2))</f>
        <v/>
      </c>
      <c r="H19" s="1049">
        <f>IF(VIN_nom&gt;Vout, 0, -ATAN(A19/z_RHP))</f>
        <v/>
      </c>
      <c r="I19" s="1047">
        <f>SQRT(1+(A19/Pole2)^2)</f>
        <v/>
      </c>
      <c r="J19" s="1050">
        <f>ATAN(A19/Pole2)</f>
        <v/>
      </c>
      <c r="K19" s="1056">
        <f>SQRT(1+(A19/Zero2)^2)</f>
        <v/>
      </c>
      <c r="L19" s="1057">
        <f>ATAN(A19/Zero2)</f>
        <v/>
      </c>
      <c r="M19" s="1047">
        <f>SQRT(1+(A19/pole4)^2)</f>
        <v/>
      </c>
      <c r="N19" s="1057">
        <f>ATAN(A19/pole4)</f>
        <v/>
      </c>
      <c r="O19" s="1058">
        <f>IF(VOUT_setting=1,1,SQRT(1+(A19*zterm1)^2))</f>
        <v/>
      </c>
      <c r="P19" s="1059">
        <f>IF(VOUT_setting=1,0,ATAN(((A19*zterm1))))</f>
        <v/>
      </c>
      <c r="Q19" s="1056">
        <f>IF(VOUT_setting=1,1,SQRT((1+Afbr-$Q$5*(A19)^2)^2+(A19*$Q$4)^2))</f>
        <v/>
      </c>
      <c r="R19" s="1060">
        <f>IF(VOUT_setting=1,0,ATAN(A19*$Q$4/(1+Afbr-$Q$5*(A19)^2)))</f>
        <v/>
      </c>
      <c r="S19" s="1054">
        <f>SQRT((1-(Z19/pterm2))^2+(A19/pterm1)^2)</f>
        <v/>
      </c>
      <c r="T19" s="1055">
        <f>IF((ATAN((A19/pterm1)/(1-A19^2/pterm2))&gt;0),ATAN((A19/pterm1)/(1-A19^2/pterm2)),PI()+ATAN((A19/pterm1)/(1-A19^2/pterm2)))</f>
        <v/>
      </c>
      <c r="U19" s="331">
        <f>20*LOG10(((E19*K19*G19*O19)/(C19*I19*S19*M19*Q19))*Adc)</f>
        <v/>
      </c>
      <c r="V19" s="332">
        <f>((F19+L19+H19+P19)-(D19+J19+T19+N19+R19))*radconv</f>
        <v/>
      </c>
      <c r="W19" s="334">
        <f>IF(V19&gt;0,V19,V19+180)</f>
        <v/>
      </c>
      <c r="Y19" s="307">
        <f>IF(U19&lt;0,A19,1000000000)</f>
        <v/>
      </c>
      <c r="Z19" s="307">
        <f>A19^2</f>
        <v/>
      </c>
      <c r="AB19" s="333">
        <f>20*LOG10((K19/(I19*M19))*AEA)</f>
        <v/>
      </c>
      <c r="AC19" s="334">
        <f>(L19-(J19+N19))*radconv</f>
        <v/>
      </c>
      <c r="AE19" s="333">
        <f>20*LOG10((E19*G19/(C19*S19))*Acs*Am)</f>
        <v/>
      </c>
      <c r="AF19" s="334">
        <f>(F19+H19-(D19+T19))*radconv</f>
        <v/>
      </c>
      <c r="AH19">
        <f>SUM((U20&lt;0)*(U19&gt;0))*A19</f>
        <v/>
      </c>
      <c r="AI19">
        <f>IF(AH19&gt;0,W17,0)</f>
        <v/>
      </c>
    </row>
    <row r="20">
      <c r="A20" s="335" t="n">
        <v>1.9055</v>
      </c>
      <c r="B20" s="352">
        <f>A20/1000</f>
        <v/>
      </c>
      <c r="C20" s="1047">
        <f>SQRT(1+(A20/pole1)^2)</f>
        <v/>
      </c>
      <c r="D20" s="1048">
        <f>ATAN(A20/pole1)</f>
        <v/>
      </c>
      <c r="E20" s="1048">
        <f>SQRT(1+(A20/Zero1)^2)</f>
        <v/>
      </c>
      <c r="F20" s="1049">
        <f>ATAN(A20/Zero1)</f>
        <v/>
      </c>
      <c r="G20" s="1048">
        <f>IF(VIN_nom&gt;Vout, 1, SQRT(1+(A20/z_RHP)^2))</f>
        <v/>
      </c>
      <c r="H20" s="1049">
        <f>IF(VIN_nom&gt;Vout, 0, -ATAN(A20/z_RHP))</f>
        <v/>
      </c>
      <c r="I20" s="1047">
        <f>SQRT(1+(A20/Pole2)^2)</f>
        <v/>
      </c>
      <c r="J20" s="1050">
        <f>ATAN(A20/Pole2)</f>
        <v/>
      </c>
      <c r="K20" s="1056">
        <f>SQRT(1+(A20/Zero2)^2)</f>
        <v/>
      </c>
      <c r="L20" s="1057">
        <f>ATAN(A20/Zero2)</f>
        <v/>
      </c>
      <c r="M20" s="1047">
        <f>SQRT(1+(A20/pole4)^2)</f>
        <v/>
      </c>
      <c r="N20" s="1057">
        <f>ATAN(A20/pole4)</f>
        <v/>
      </c>
      <c r="O20" s="1058">
        <f>IF(VOUT_setting=1,1,SQRT(1+(A20*zterm1)^2))</f>
        <v/>
      </c>
      <c r="P20" s="1059">
        <f>IF(VOUT_setting=1,0,ATAN(((A20*zterm1))))</f>
        <v/>
      </c>
      <c r="Q20" s="1056">
        <f>IF(VOUT_setting=1,1,SQRT((1+Afbr-$Q$5*(A20)^2)^2+(A20*$Q$4)^2))</f>
        <v/>
      </c>
      <c r="R20" s="1060">
        <f>IF(VOUT_setting=1,0,ATAN(A20*$Q$4/(1+Afbr-$Q$5*(A20)^2)))</f>
        <v/>
      </c>
      <c r="S20" s="1054">
        <f>SQRT((1-(Z20/pterm2))^2+(A20/pterm1)^2)</f>
        <v/>
      </c>
      <c r="T20" s="1055">
        <f>IF((ATAN((A20/pterm1)/(1-A20^2/pterm2))&gt;0),ATAN((A20/pterm1)/(1-A20^2/pterm2)),PI()+ATAN((A20/pterm1)/(1-A20^2/pterm2)))</f>
        <v/>
      </c>
      <c r="U20" s="331">
        <f>20*LOG10(((E20*K20*G20*O20)/(C20*I20*S20*M20*Q20))*Adc)</f>
        <v/>
      </c>
      <c r="V20" s="332">
        <f>((F20+L20+H20+P20)-(D20+J20+T20+N20+R20))*radconv</f>
        <v/>
      </c>
      <c r="W20" s="334">
        <f>IF(V20&gt;0,V20,V20+180)</f>
        <v/>
      </c>
      <c r="Y20" s="307">
        <f>IF(U20&lt;0,A20,1000000000)</f>
        <v/>
      </c>
      <c r="Z20" s="307">
        <f>A20^2</f>
        <v/>
      </c>
      <c r="AB20" s="333">
        <f>20*LOG10((K20/(I20*M20))*AEA)</f>
        <v/>
      </c>
      <c r="AC20" s="334">
        <f>(L20-(J20+N20))*radconv</f>
        <v/>
      </c>
      <c r="AE20" s="333">
        <f>20*LOG10((E20*G20/(C20*S20))*Acs*Am)</f>
        <v/>
      </c>
      <c r="AF20" s="334">
        <f>(F20+H20-(D20+T20))*radconv</f>
        <v/>
      </c>
      <c r="AH20">
        <f>SUM((U21&lt;0)*(U20&gt;0))*A20</f>
        <v/>
      </c>
      <c r="AI20">
        <f>IF(AH20&gt;0,W18,0)</f>
        <v/>
      </c>
    </row>
    <row r="21">
      <c r="A21" s="335" t="n">
        <v>2.0893</v>
      </c>
      <c r="B21" s="352">
        <f>A21/1000</f>
        <v/>
      </c>
      <c r="C21" s="1047">
        <f>SQRT(1+(A21/pole1)^2)</f>
        <v/>
      </c>
      <c r="D21" s="1048">
        <f>ATAN(A21/pole1)</f>
        <v/>
      </c>
      <c r="E21" s="1048">
        <f>SQRT(1+(A21/Zero1)^2)</f>
        <v/>
      </c>
      <c r="F21" s="1049">
        <f>ATAN(A21/Zero1)</f>
        <v/>
      </c>
      <c r="G21" s="1048">
        <f>IF(VIN_nom&gt;Vout, 1, SQRT(1+(A21/z_RHP)^2))</f>
        <v/>
      </c>
      <c r="H21" s="1049">
        <f>IF(VIN_nom&gt;Vout, 0, -ATAN(A21/z_RHP))</f>
        <v/>
      </c>
      <c r="I21" s="1047">
        <f>SQRT(1+(A21/Pole2)^2)</f>
        <v/>
      </c>
      <c r="J21" s="1050">
        <f>ATAN(A21/Pole2)</f>
        <v/>
      </c>
      <c r="K21" s="1056">
        <f>SQRT(1+(A21/Zero2)^2)</f>
        <v/>
      </c>
      <c r="L21" s="1057">
        <f>ATAN(A21/Zero2)</f>
        <v/>
      </c>
      <c r="M21" s="1047">
        <f>SQRT(1+(A21/pole4)^2)</f>
        <v/>
      </c>
      <c r="N21" s="1057">
        <f>ATAN(A21/pole4)</f>
        <v/>
      </c>
      <c r="O21" s="1058">
        <f>IF(VOUT_setting=1,1,SQRT(1+(A21*zterm1)^2))</f>
        <v/>
      </c>
      <c r="P21" s="1059">
        <f>IF(VOUT_setting=1,0,ATAN(((A21*zterm1))))</f>
        <v/>
      </c>
      <c r="Q21" s="1056">
        <f>IF(VOUT_setting=1,1,SQRT((1+Afbr-$Q$5*(A21)^2)^2+(A21*$Q$4)^2))</f>
        <v/>
      </c>
      <c r="R21" s="1060">
        <f>IF(VOUT_setting=1,0,ATAN(A21*$Q$4/(1+Afbr-$Q$5*(A21)^2)))</f>
        <v/>
      </c>
      <c r="S21" s="1054">
        <f>SQRT((1-(Z21/pterm2))^2+(A21/pterm1)^2)</f>
        <v/>
      </c>
      <c r="T21" s="1055">
        <f>IF((ATAN((A21/pterm1)/(1-A21^2/pterm2))&gt;0),ATAN((A21/pterm1)/(1-A21^2/pterm2)),PI()+ATAN((A21/pterm1)/(1-A21^2/pterm2)))</f>
        <v/>
      </c>
      <c r="U21" s="331">
        <f>20*LOG10(((E21*K21*G21*O21)/(C21*I21*S21*M21*Q21))*Adc)</f>
        <v/>
      </c>
      <c r="V21" s="332">
        <f>((F21+L21+H21+P21)-(D21+J21+T21+N21+R21))*radconv</f>
        <v/>
      </c>
      <c r="W21" s="334">
        <f>IF(V21&gt;0,V21,V21+180)</f>
        <v/>
      </c>
      <c r="Y21" s="307">
        <f>IF(U21&lt;0,A21,1000000000)</f>
        <v/>
      </c>
      <c r="Z21" s="307">
        <f>A21^2</f>
        <v/>
      </c>
      <c r="AB21" s="333">
        <f>20*LOG10((K21/(I21*M21))*AEA)</f>
        <v/>
      </c>
      <c r="AC21" s="334">
        <f>(L21-(J21+N21))*radconv</f>
        <v/>
      </c>
      <c r="AE21" s="333">
        <f>20*LOG10((E21*G21/(C21*S21))*Acs*Am)</f>
        <v/>
      </c>
      <c r="AF21" s="334">
        <f>(F21+H21-(D21+T21))*radconv</f>
        <v/>
      </c>
      <c r="AH21">
        <f>SUM((U22&lt;0)*(U21&gt;0))*A21</f>
        <v/>
      </c>
      <c r="AI21">
        <f>IF(AH21&gt;0,W19,0)</f>
        <v/>
      </c>
    </row>
    <row r="22">
      <c r="A22" s="335" t="n">
        <v>2.2909</v>
      </c>
      <c r="B22" s="352">
        <f>A22/1000</f>
        <v/>
      </c>
      <c r="C22" s="1047">
        <f>SQRT(1+(A22/pole1)^2)</f>
        <v/>
      </c>
      <c r="D22" s="1048">
        <f>ATAN(A22/pole1)</f>
        <v/>
      </c>
      <c r="E22" s="1048">
        <f>SQRT(1+(A22/Zero1)^2)</f>
        <v/>
      </c>
      <c r="F22" s="1049">
        <f>ATAN(A22/Zero1)</f>
        <v/>
      </c>
      <c r="G22" s="1048">
        <f>IF(VIN_nom&gt;Vout, 1, SQRT(1+(A22/z_RHP)^2))</f>
        <v/>
      </c>
      <c r="H22" s="1049">
        <f>IF(VIN_nom&gt;Vout, 0, -ATAN(A22/z_RHP))</f>
        <v/>
      </c>
      <c r="I22" s="1047">
        <f>SQRT(1+(A22/Pole2)^2)</f>
        <v/>
      </c>
      <c r="J22" s="1050">
        <f>ATAN(A22/Pole2)</f>
        <v/>
      </c>
      <c r="K22" s="1056">
        <f>SQRT(1+(A22/Zero2)^2)</f>
        <v/>
      </c>
      <c r="L22" s="1057">
        <f>ATAN(A22/Zero2)</f>
        <v/>
      </c>
      <c r="M22" s="1047">
        <f>SQRT(1+(A22/pole4)^2)</f>
        <v/>
      </c>
      <c r="N22" s="1057">
        <f>ATAN(A22/pole4)</f>
        <v/>
      </c>
      <c r="O22" s="1058">
        <f>IF(VOUT_setting=1,1,SQRT(1+(A22*zterm1)^2))</f>
        <v/>
      </c>
      <c r="P22" s="1059">
        <f>IF(VOUT_setting=1,0,ATAN(((A22*zterm1))))</f>
        <v/>
      </c>
      <c r="Q22" s="1056">
        <f>IF(VOUT_setting=1,1,SQRT((1+Afbr-$Q$5*(A22)^2)^2+(A22*$Q$4)^2))</f>
        <v/>
      </c>
      <c r="R22" s="1060">
        <f>IF(VOUT_setting=1,0,ATAN(A22*$Q$4/(1+Afbr-$Q$5*(A22)^2)))</f>
        <v/>
      </c>
      <c r="S22" s="1054">
        <f>SQRT((1-(Z22/pterm2))^2+(A22/pterm1)^2)</f>
        <v/>
      </c>
      <c r="T22" s="1055">
        <f>IF((ATAN((A22/pterm1)/(1-A22^2/pterm2))&gt;0),ATAN((A22/pterm1)/(1-A22^2/pterm2)),PI()+ATAN((A22/pterm1)/(1-A22^2/pterm2)))</f>
        <v/>
      </c>
      <c r="U22" s="331">
        <f>20*LOG10(((E22*K22*G22*O22)/(C22*I22*S22*M22*Q22))*Adc)</f>
        <v/>
      </c>
      <c r="V22" s="332">
        <f>((F22+L22+H22+P22)-(D22+J22+T22+N22+R22))*radconv</f>
        <v/>
      </c>
      <c r="W22" s="334">
        <f>IF(V22&gt;0,V22,V22+180)</f>
        <v/>
      </c>
      <c r="Y22" s="307">
        <f>IF(U22&lt;0,A22,1000000000)</f>
        <v/>
      </c>
      <c r="Z22" s="307">
        <f>A22^2</f>
        <v/>
      </c>
      <c r="AB22" s="333">
        <f>20*LOG10((K22/(I22*M22))*AEA)</f>
        <v/>
      </c>
      <c r="AC22" s="334">
        <f>(L22-(J22+N22))*radconv</f>
        <v/>
      </c>
      <c r="AE22" s="333">
        <f>20*LOG10((E22*G22/(C22*S22))*Acs*Am)</f>
        <v/>
      </c>
      <c r="AF22" s="334">
        <f>(F22+H22-(D22+T22))*radconv</f>
        <v/>
      </c>
      <c r="AH22">
        <f>SUM((U23&lt;0)*(U22&gt;0))*A22</f>
        <v/>
      </c>
      <c r="AI22">
        <f>IF(AH22&gt;0,W20,0)</f>
        <v/>
      </c>
    </row>
    <row r="23">
      <c r="A23" s="335" t="n">
        <v>2.5119</v>
      </c>
      <c r="B23" s="352">
        <f>A23/1000</f>
        <v/>
      </c>
      <c r="C23" s="1047">
        <f>SQRT(1+(A23/pole1)^2)</f>
        <v/>
      </c>
      <c r="D23" s="1048">
        <f>ATAN(A23/pole1)</f>
        <v/>
      </c>
      <c r="E23" s="1048">
        <f>SQRT(1+(A23/Zero1)^2)</f>
        <v/>
      </c>
      <c r="F23" s="1049">
        <f>ATAN(A23/Zero1)</f>
        <v/>
      </c>
      <c r="G23" s="1048">
        <f>IF(VIN_nom&gt;Vout, 1, SQRT(1+(A23/z_RHP)^2))</f>
        <v/>
      </c>
      <c r="H23" s="1049">
        <f>IF(VIN_nom&gt;Vout, 0, -ATAN(A23/z_RHP))</f>
        <v/>
      </c>
      <c r="I23" s="1047">
        <f>SQRT(1+(A23/Pole2)^2)</f>
        <v/>
      </c>
      <c r="J23" s="1050">
        <f>ATAN(A23/Pole2)</f>
        <v/>
      </c>
      <c r="K23" s="1056">
        <f>SQRT(1+(A23/Zero2)^2)</f>
        <v/>
      </c>
      <c r="L23" s="1057">
        <f>ATAN(A23/Zero2)</f>
        <v/>
      </c>
      <c r="M23" s="1047">
        <f>SQRT(1+(A23/pole4)^2)</f>
        <v/>
      </c>
      <c r="N23" s="1057">
        <f>ATAN(A23/pole4)</f>
        <v/>
      </c>
      <c r="O23" s="1058">
        <f>IF(VOUT_setting=1,1,SQRT(1+(A23*zterm1)^2))</f>
        <v/>
      </c>
      <c r="P23" s="1059">
        <f>IF(VOUT_setting=1,0,ATAN(((A23*zterm1))))</f>
        <v/>
      </c>
      <c r="Q23" s="1056">
        <f>IF(VOUT_setting=1,1,SQRT((1+Afbr-$Q$5*(A23)^2)^2+(A23*$Q$4)^2))</f>
        <v/>
      </c>
      <c r="R23" s="1060">
        <f>IF(VOUT_setting=1,0,ATAN(A23*$Q$4/(1+Afbr-$Q$5*(A23)^2)))</f>
        <v/>
      </c>
      <c r="S23" s="1054">
        <f>SQRT((1-(Z23/pterm2))^2+(A23/pterm1)^2)</f>
        <v/>
      </c>
      <c r="T23" s="1055">
        <f>IF((ATAN((A23/pterm1)/(1-A23^2/pterm2))&gt;0),ATAN((A23/pterm1)/(1-A23^2/pterm2)),PI()+ATAN((A23/pterm1)/(1-A23^2/pterm2)))</f>
        <v/>
      </c>
      <c r="U23" s="331">
        <f>20*LOG10(((E23*K23*G23*O23)/(C23*I23*S23*M23*Q23))*Adc)</f>
        <v/>
      </c>
      <c r="V23" s="332">
        <f>((F23+L23+H23+P23)-(D23+J23+T23+N23+R23))*radconv</f>
        <v/>
      </c>
      <c r="W23" s="334">
        <f>IF(V23&gt;0,V23,V23+180)</f>
        <v/>
      </c>
      <c r="Y23" s="307">
        <f>IF(U23&lt;0,A23,1000000000)</f>
        <v/>
      </c>
      <c r="Z23" s="307">
        <f>A23^2</f>
        <v/>
      </c>
      <c r="AB23" s="333">
        <f>20*LOG10((K23/(I23*M23))*AEA)</f>
        <v/>
      </c>
      <c r="AC23" s="334">
        <f>(L23-(J23+N23))*radconv</f>
        <v/>
      </c>
      <c r="AE23" s="333">
        <f>20*LOG10((E23*G23/(C23*S23))*Acs*Am)</f>
        <v/>
      </c>
      <c r="AF23" s="334">
        <f>(F23+H23-(D23+T23))*radconv</f>
        <v/>
      </c>
      <c r="AH23">
        <f>SUM((U24&lt;0)*(U23&gt;0))*A23</f>
        <v/>
      </c>
      <c r="AI23">
        <f>IF(AH23&gt;0,W21,0)</f>
        <v/>
      </c>
    </row>
    <row r="24">
      <c r="A24" s="335" t="n">
        <v>2.7542</v>
      </c>
      <c r="B24" s="352">
        <f>A24/1000</f>
        <v/>
      </c>
      <c r="C24" s="1047">
        <f>SQRT(1+(A24/pole1)^2)</f>
        <v/>
      </c>
      <c r="D24" s="1048">
        <f>ATAN(A24/pole1)</f>
        <v/>
      </c>
      <c r="E24" s="1048">
        <f>SQRT(1+(A24/Zero1)^2)</f>
        <v/>
      </c>
      <c r="F24" s="1049">
        <f>ATAN(A24/Zero1)</f>
        <v/>
      </c>
      <c r="G24" s="1048">
        <f>IF(VIN_nom&gt;Vout, 1, SQRT(1+(A24/z_RHP)^2))</f>
        <v/>
      </c>
      <c r="H24" s="1049">
        <f>IF(VIN_nom&gt;Vout, 0, -ATAN(A24/z_RHP))</f>
        <v/>
      </c>
      <c r="I24" s="1047">
        <f>SQRT(1+(A24/Pole2)^2)</f>
        <v/>
      </c>
      <c r="J24" s="1050">
        <f>ATAN(A24/Pole2)</f>
        <v/>
      </c>
      <c r="K24" s="1056">
        <f>SQRT(1+(A24/Zero2)^2)</f>
        <v/>
      </c>
      <c r="L24" s="1057">
        <f>ATAN(A24/Zero2)</f>
        <v/>
      </c>
      <c r="M24" s="1047">
        <f>SQRT(1+(A24/pole4)^2)</f>
        <v/>
      </c>
      <c r="N24" s="1057">
        <f>ATAN(A24/pole4)</f>
        <v/>
      </c>
      <c r="O24" s="1058">
        <f>IF(VOUT_setting=1,1,SQRT(1+(A24*zterm1)^2))</f>
        <v/>
      </c>
      <c r="P24" s="1059">
        <f>IF(VOUT_setting=1,0,ATAN(((A24*zterm1))))</f>
        <v/>
      </c>
      <c r="Q24" s="1056">
        <f>IF(VOUT_setting=1,1,SQRT((1+Afbr-$Q$5*(A24)^2)^2+(A24*$Q$4)^2))</f>
        <v/>
      </c>
      <c r="R24" s="1060">
        <f>IF(VOUT_setting=1,0,ATAN(A24*$Q$4/(1+Afbr-$Q$5*(A24)^2)))</f>
        <v/>
      </c>
      <c r="S24" s="1054">
        <f>SQRT((1-(Z24/pterm2))^2+(A24/pterm1)^2)</f>
        <v/>
      </c>
      <c r="T24" s="1055">
        <f>IF((ATAN((A24/pterm1)/(1-A24^2/pterm2))&gt;0),ATAN((A24/pterm1)/(1-A24^2/pterm2)),PI()+ATAN((A24/pterm1)/(1-A24^2/pterm2)))</f>
        <v/>
      </c>
      <c r="U24" s="331">
        <f>20*LOG10(((E24*K24*G24*O24)/(C24*I24*S24*M24*Q24))*Adc)</f>
        <v/>
      </c>
      <c r="V24" s="332">
        <f>((F24+L24+H24+P24)-(D24+J24+T24+N24+R24))*radconv</f>
        <v/>
      </c>
      <c r="W24" s="334">
        <f>IF(V24&gt;0,V24,V24+180)</f>
        <v/>
      </c>
      <c r="Y24" s="307">
        <f>IF(U24&lt;0,A24,1000000000)</f>
        <v/>
      </c>
      <c r="Z24" s="307">
        <f>A24^2</f>
        <v/>
      </c>
      <c r="AB24" s="333">
        <f>20*LOG10((K24/(I24*M24))*AEA)</f>
        <v/>
      </c>
      <c r="AC24" s="334">
        <f>(L24-(J24+N24))*radconv</f>
        <v/>
      </c>
      <c r="AE24" s="333">
        <f>20*LOG10((E24*G24/(C24*S24))*Acs*Am)</f>
        <v/>
      </c>
      <c r="AF24" s="334">
        <f>(F24+H24-(D24+T24))*radconv</f>
        <v/>
      </c>
      <c r="AH24">
        <f>SUM((U25&lt;0)*(U24&gt;0))*A24</f>
        <v/>
      </c>
      <c r="AI24">
        <f>IF(AH24&gt;0,W22,0)</f>
        <v/>
      </c>
    </row>
    <row r="25">
      <c r="A25" s="335" t="n">
        <v>3.02</v>
      </c>
      <c r="B25" s="352">
        <f>A25/1000</f>
        <v/>
      </c>
      <c r="C25" s="1047">
        <f>SQRT(1+(A25/pole1)^2)</f>
        <v/>
      </c>
      <c r="D25" s="1048">
        <f>ATAN(A25/pole1)</f>
        <v/>
      </c>
      <c r="E25" s="1048">
        <f>SQRT(1+(A25/Zero1)^2)</f>
        <v/>
      </c>
      <c r="F25" s="1049">
        <f>ATAN(A25/Zero1)</f>
        <v/>
      </c>
      <c r="G25" s="1048">
        <f>IF(VIN_nom&gt;Vout, 1, SQRT(1+(A25/z_RHP)^2))</f>
        <v/>
      </c>
      <c r="H25" s="1049">
        <f>IF(VIN_nom&gt;Vout, 0, -ATAN(A25/z_RHP))</f>
        <v/>
      </c>
      <c r="I25" s="1047">
        <f>SQRT(1+(A25/Pole2)^2)</f>
        <v/>
      </c>
      <c r="J25" s="1050">
        <f>ATAN(A25/Pole2)</f>
        <v/>
      </c>
      <c r="K25" s="1056">
        <f>SQRT(1+(A25/Zero2)^2)</f>
        <v/>
      </c>
      <c r="L25" s="1057">
        <f>ATAN(A25/Zero2)</f>
        <v/>
      </c>
      <c r="M25" s="1047">
        <f>SQRT(1+(A25/pole4)^2)</f>
        <v/>
      </c>
      <c r="N25" s="1057">
        <f>ATAN(A25/pole4)</f>
        <v/>
      </c>
      <c r="O25" s="1058">
        <f>IF(VOUT_setting=1,1,SQRT(1+(A25*zterm1)^2))</f>
        <v/>
      </c>
      <c r="P25" s="1059">
        <f>IF(VOUT_setting=1,0,ATAN(((A25*zterm1))))</f>
        <v/>
      </c>
      <c r="Q25" s="1056">
        <f>IF(VOUT_setting=1,1,SQRT((1+Afbr-$Q$5*(A25)^2)^2+(A25*$Q$4)^2))</f>
        <v/>
      </c>
      <c r="R25" s="1060">
        <f>IF(VOUT_setting=1,0,ATAN(A25*$Q$4/(1+Afbr-$Q$5*(A25)^2)))</f>
        <v/>
      </c>
      <c r="S25" s="1054">
        <f>SQRT((1-(Z25/pterm2))^2+(A25/pterm1)^2)</f>
        <v/>
      </c>
      <c r="T25" s="1055">
        <f>IF((ATAN((A25/pterm1)/(1-A25^2/pterm2))&gt;0),ATAN((A25/pterm1)/(1-A25^2/pterm2)),PI()+ATAN((A25/pterm1)/(1-A25^2/pterm2)))</f>
        <v/>
      </c>
      <c r="U25" s="331">
        <f>20*LOG10(((E25*K25*G25*O25)/(C25*I25*S25*M25*Q25))*Adc)</f>
        <v/>
      </c>
      <c r="V25" s="332">
        <f>((F25+L25+H25+P25)-(D25+J25+T25+N25+R25))*radconv</f>
        <v/>
      </c>
      <c r="W25" s="334">
        <f>IF(V25&gt;0,V25,V25+180)</f>
        <v/>
      </c>
      <c r="Y25" s="307">
        <f>IF(U25&lt;0,A25,1000000000)</f>
        <v/>
      </c>
      <c r="Z25" s="307">
        <f>A25^2</f>
        <v/>
      </c>
      <c r="AB25" s="333">
        <f>20*LOG10((K25/(I25*M25))*AEA)</f>
        <v/>
      </c>
      <c r="AC25" s="334">
        <f>(L25-(J25+N25))*radconv</f>
        <v/>
      </c>
      <c r="AE25" s="333">
        <f>20*LOG10((E25*G25/(C25*S25))*Acs*Am)</f>
        <v/>
      </c>
      <c r="AF25" s="334">
        <f>(F25+H25-(D25+T25))*radconv</f>
        <v/>
      </c>
      <c r="AH25">
        <f>SUM((U26&lt;0)*(U25&gt;0))*A25</f>
        <v/>
      </c>
      <c r="AI25">
        <f>IF(AH25&gt;0,W23,0)</f>
        <v/>
      </c>
    </row>
    <row r="26">
      <c r="A26" s="335" t="n">
        <v>3.3113</v>
      </c>
      <c r="B26" s="352">
        <f>A26/1000</f>
        <v/>
      </c>
      <c r="C26" s="1047">
        <f>SQRT(1+(A26/pole1)^2)</f>
        <v/>
      </c>
      <c r="D26" s="1048">
        <f>ATAN(A26/pole1)</f>
        <v/>
      </c>
      <c r="E26" s="1048">
        <f>SQRT(1+(A26/Zero1)^2)</f>
        <v/>
      </c>
      <c r="F26" s="1049">
        <f>ATAN(A26/Zero1)</f>
        <v/>
      </c>
      <c r="G26" s="1048">
        <f>IF(VIN_nom&gt;Vout, 1, SQRT(1+(A26/z_RHP)^2))</f>
        <v/>
      </c>
      <c r="H26" s="1049">
        <f>IF(VIN_nom&gt;Vout, 0, -ATAN(A26/z_RHP))</f>
        <v/>
      </c>
      <c r="I26" s="1047">
        <f>SQRT(1+(A26/Pole2)^2)</f>
        <v/>
      </c>
      <c r="J26" s="1050">
        <f>ATAN(A26/Pole2)</f>
        <v/>
      </c>
      <c r="K26" s="1056">
        <f>SQRT(1+(A26/Zero2)^2)</f>
        <v/>
      </c>
      <c r="L26" s="1057">
        <f>ATAN(A26/Zero2)</f>
        <v/>
      </c>
      <c r="M26" s="1047">
        <f>SQRT(1+(A26/pole4)^2)</f>
        <v/>
      </c>
      <c r="N26" s="1057">
        <f>ATAN(A26/pole4)</f>
        <v/>
      </c>
      <c r="O26" s="1058">
        <f>IF(VOUT_setting=1,1,SQRT(1+(A26*zterm1)^2))</f>
        <v/>
      </c>
      <c r="P26" s="1059">
        <f>IF(VOUT_setting=1,0,ATAN(((A26*zterm1))))</f>
        <v/>
      </c>
      <c r="Q26" s="1056">
        <f>IF(VOUT_setting=1,1,SQRT((1+Afbr-$Q$5*(A26)^2)^2+(A26*$Q$4)^2))</f>
        <v/>
      </c>
      <c r="R26" s="1060">
        <f>IF(VOUT_setting=1,0,ATAN(A26*$Q$4/(1+Afbr-$Q$5*(A26)^2)))</f>
        <v/>
      </c>
      <c r="S26" s="1054">
        <f>SQRT((1-(Z26/pterm2))^2+(A26/pterm1)^2)</f>
        <v/>
      </c>
      <c r="T26" s="1055">
        <f>IF((ATAN((A26/pterm1)/(1-A26^2/pterm2))&gt;0),ATAN((A26/pterm1)/(1-A26^2/pterm2)),PI()+ATAN((A26/pterm1)/(1-A26^2/pterm2)))</f>
        <v/>
      </c>
      <c r="U26" s="331">
        <f>20*LOG10(((E26*K26*G26*O26)/(C26*I26*S26*M26*Q26))*Adc)</f>
        <v/>
      </c>
      <c r="V26" s="332">
        <f>((F26+L26+H26+P26)-(D26+J26+T26+N26+R26))*radconv</f>
        <v/>
      </c>
      <c r="W26" s="334">
        <f>IF(V26&gt;0,V26,V26+180)</f>
        <v/>
      </c>
      <c r="Y26" s="307">
        <f>IF(U26&lt;0,A26,1000000000)</f>
        <v/>
      </c>
      <c r="Z26" s="307">
        <f>A26^2</f>
        <v/>
      </c>
      <c r="AB26" s="333">
        <f>20*LOG10((K26/(I26*M26))*AEA)</f>
        <v/>
      </c>
      <c r="AC26" s="334">
        <f>(L26-(J26+N26))*radconv</f>
        <v/>
      </c>
      <c r="AE26" s="333">
        <f>20*LOG10((E26*G26/(C26*S26))*Acs*Am)</f>
        <v/>
      </c>
      <c r="AF26" s="334">
        <f>(F26+H26-(D26+T26))*radconv</f>
        <v/>
      </c>
      <c r="AH26">
        <f>SUM((U27&lt;0)*(U26&gt;0))*A26</f>
        <v/>
      </c>
      <c r="AI26">
        <f>IF(AH26&gt;0,W24,0)</f>
        <v/>
      </c>
    </row>
    <row r="27">
      <c r="A27" s="335" t="n">
        <v>3.6308</v>
      </c>
      <c r="B27" s="352">
        <f>A27/1000</f>
        <v/>
      </c>
      <c r="C27" s="1047">
        <f>SQRT(1+(A27/pole1)^2)</f>
        <v/>
      </c>
      <c r="D27" s="1048">
        <f>ATAN(A27/pole1)</f>
        <v/>
      </c>
      <c r="E27" s="1048">
        <f>SQRT(1+(A27/Zero1)^2)</f>
        <v/>
      </c>
      <c r="F27" s="1049">
        <f>ATAN(A27/Zero1)</f>
        <v/>
      </c>
      <c r="G27" s="1048">
        <f>IF(VIN_nom&gt;Vout, 1, SQRT(1+(A27/z_RHP)^2))</f>
        <v/>
      </c>
      <c r="H27" s="1049">
        <f>IF(VIN_nom&gt;Vout, 0, -ATAN(A27/z_RHP))</f>
        <v/>
      </c>
      <c r="I27" s="1047">
        <f>SQRT(1+(A27/Pole2)^2)</f>
        <v/>
      </c>
      <c r="J27" s="1050">
        <f>ATAN(A27/Pole2)</f>
        <v/>
      </c>
      <c r="K27" s="1056">
        <f>SQRT(1+(A27/Zero2)^2)</f>
        <v/>
      </c>
      <c r="L27" s="1057">
        <f>ATAN(A27/Zero2)</f>
        <v/>
      </c>
      <c r="M27" s="1047">
        <f>SQRT(1+(A27/pole4)^2)</f>
        <v/>
      </c>
      <c r="N27" s="1057">
        <f>ATAN(A27/pole4)</f>
        <v/>
      </c>
      <c r="O27" s="1058">
        <f>IF(VOUT_setting=1,1,SQRT(1+(A27*zterm1)^2))</f>
        <v/>
      </c>
      <c r="P27" s="1059">
        <f>IF(VOUT_setting=1,0,ATAN(((A27*zterm1))))</f>
        <v/>
      </c>
      <c r="Q27" s="1056">
        <f>IF(VOUT_setting=1,1,SQRT((1+Afbr-$Q$5*(A27)^2)^2+(A27*$Q$4)^2))</f>
        <v/>
      </c>
      <c r="R27" s="1060">
        <f>IF(VOUT_setting=1,0,ATAN(A27*$Q$4/(1+Afbr-$Q$5*(A27)^2)))</f>
        <v/>
      </c>
      <c r="S27" s="1054">
        <f>SQRT((1-(Z27/pterm2))^2+(A27/pterm1)^2)</f>
        <v/>
      </c>
      <c r="T27" s="1055">
        <f>IF((ATAN((A27/pterm1)/(1-A27^2/pterm2))&gt;0),ATAN((A27/pterm1)/(1-A27^2/pterm2)),PI()+ATAN((A27/pterm1)/(1-A27^2/pterm2)))</f>
        <v/>
      </c>
      <c r="U27" s="331">
        <f>20*LOG10(((E27*K27*G27*O27)/(C27*I27*S27*M27*Q27))*Adc)</f>
        <v/>
      </c>
      <c r="V27" s="332">
        <f>((F27+L27+H27+P27)-(D27+J27+T27+N27+R27))*radconv</f>
        <v/>
      </c>
      <c r="W27" s="334">
        <f>IF(V27&gt;0,V27,V27+180)</f>
        <v/>
      </c>
      <c r="Y27" s="307">
        <f>IF(U27&lt;0,A27,1000000000)</f>
        <v/>
      </c>
      <c r="Z27" s="307">
        <f>A27^2</f>
        <v/>
      </c>
      <c r="AB27" s="333">
        <f>20*LOG10((K27/(I27*M27))*AEA)</f>
        <v/>
      </c>
      <c r="AC27" s="334">
        <f>(L27-(J27+N27))*radconv</f>
        <v/>
      </c>
      <c r="AE27" s="333">
        <f>20*LOG10((E27*G27/(C27*S27))*Acs*Am)</f>
        <v/>
      </c>
      <c r="AF27" s="334">
        <f>(F27+H27-(D27+T27))*radconv</f>
        <v/>
      </c>
      <c r="AH27">
        <f>SUM((U28&lt;0)*(U27&gt;0))*A27</f>
        <v/>
      </c>
      <c r="AI27">
        <f>IF(AH27&gt;0,W25,0)</f>
        <v/>
      </c>
    </row>
    <row r="28">
      <c r="A28" s="335" t="n">
        <v>3.9811</v>
      </c>
      <c r="B28" s="352">
        <f>A28/1000</f>
        <v/>
      </c>
      <c r="C28" s="1047">
        <f>SQRT(1+(A28/pole1)^2)</f>
        <v/>
      </c>
      <c r="D28" s="1048">
        <f>ATAN(A28/pole1)</f>
        <v/>
      </c>
      <c r="E28" s="1048">
        <f>SQRT(1+(A28/Zero1)^2)</f>
        <v/>
      </c>
      <c r="F28" s="1049">
        <f>ATAN(A28/Zero1)</f>
        <v/>
      </c>
      <c r="G28" s="1048">
        <f>IF(VIN_nom&gt;Vout, 1, SQRT(1+(A28/z_RHP)^2))</f>
        <v/>
      </c>
      <c r="H28" s="1049">
        <f>IF(VIN_nom&gt;Vout, 0, -ATAN(A28/z_RHP))</f>
        <v/>
      </c>
      <c r="I28" s="1047">
        <f>SQRT(1+(A28/Pole2)^2)</f>
        <v/>
      </c>
      <c r="J28" s="1050">
        <f>ATAN(A28/Pole2)</f>
        <v/>
      </c>
      <c r="K28" s="1056">
        <f>SQRT(1+(A28/Zero2)^2)</f>
        <v/>
      </c>
      <c r="L28" s="1057">
        <f>ATAN(A28/Zero2)</f>
        <v/>
      </c>
      <c r="M28" s="1047">
        <f>SQRT(1+(A28/pole4)^2)</f>
        <v/>
      </c>
      <c r="N28" s="1057">
        <f>ATAN(A28/pole4)</f>
        <v/>
      </c>
      <c r="O28" s="1058">
        <f>IF(VOUT_setting=1,1,SQRT(1+(A28*zterm1)^2))</f>
        <v/>
      </c>
      <c r="P28" s="1059">
        <f>IF(VOUT_setting=1,0,ATAN(((A28*zterm1))))</f>
        <v/>
      </c>
      <c r="Q28" s="1056">
        <f>IF(VOUT_setting=1,1,SQRT((1+Afbr-$Q$5*(A28)^2)^2+(A28*$Q$4)^2))</f>
        <v/>
      </c>
      <c r="R28" s="1060">
        <f>IF(VOUT_setting=1,0,ATAN(A28*$Q$4/(1+Afbr-$Q$5*(A28)^2)))</f>
        <v/>
      </c>
      <c r="S28" s="1054">
        <f>SQRT((1-(Z28/pterm2))^2+(A28/pterm1)^2)</f>
        <v/>
      </c>
      <c r="T28" s="1055">
        <f>IF((ATAN((A28/pterm1)/(1-A28^2/pterm2))&gt;0),ATAN((A28/pterm1)/(1-A28^2/pterm2)),PI()+ATAN((A28/pterm1)/(1-A28^2/pterm2)))</f>
        <v/>
      </c>
      <c r="U28" s="331">
        <f>20*LOG10(((E28*K28*G28*O28)/(C28*I28*S28*M28*Q28))*Adc)</f>
        <v/>
      </c>
      <c r="V28" s="332">
        <f>((F28+L28+H28+P28)-(D28+J28+T28+N28+R28))*radconv</f>
        <v/>
      </c>
      <c r="W28" s="334">
        <f>IF(V28&gt;0,V28,V28+180)</f>
        <v/>
      </c>
      <c r="Y28" s="307">
        <f>IF(U28&lt;0,A28,1000000000)</f>
        <v/>
      </c>
      <c r="Z28" s="307">
        <f>A28^2</f>
        <v/>
      </c>
      <c r="AB28" s="333">
        <f>20*LOG10((K28/(I28*M28))*AEA)</f>
        <v/>
      </c>
      <c r="AC28" s="334">
        <f>(L28-(J28+N28))*radconv</f>
        <v/>
      </c>
      <c r="AE28" s="333">
        <f>20*LOG10((E28*G28/(C28*S28))*Acs*Am)</f>
        <v/>
      </c>
      <c r="AF28" s="334">
        <f>(F28+H28-(D28+T28))*radconv</f>
        <v/>
      </c>
      <c r="AH28">
        <f>SUM((U29&lt;0)*(U28&gt;0))*A28</f>
        <v/>
      </c>
      <c r="AI28">
        <f>IF(AH28&gt;0,W26,0)</f>
        <v/>
      </c>
    </row>
    <row r="29">
      <c r="A29" s="335" t="n">
        <v>4.3652</v>
      </c>
      <c r="B29" s="352">
        <f>A29/1000</f>
        <v/>
      </c>
      <c r="C29" s="1047">
        <f>SQRT(1+(A29/pole1)^2)</f>
        <v/>
      </c>
      <c r="D29" s="1048">
        <f>ATAN(A29/pole1)</f>
        <v/>
      </c>
      <c r="E29" s="1048">
        <f>SQRT(1+(A29/Zero1)^2)</f>
        <v/>
      </c>
      <c r="F29" s="1049">
        <f>ATAN(A29/Zero1)</f>
        <v/>
      </c>
      <c r="G29" s="1048">
        <f>IF(VIN_nom&gt;Vout, 1, SQRT(1+(A29/z_RHP)^2))</f>
        <v/>
      </c>
      <c r="H29" s="1049">
        <f>IF(VIN_nom&gt;Vout, 0, -ATAN(A29/z_RHP))</f>
        <v/>
      </c>
      <c r="I29" s="1047">
        <f>SQRT(1+(A29/Pole2)^2)</f>
        <v/>
      </c>
      <c r="J29" s="1050">
        <f>ATAN(A29/Pole2)</f>
        <v/>
      </c>
      <c r="K29" s="1056">
        <f>SQRT(1+(A29/Zero2)^2)</f>
        <v/>
      </c>
      <c r="L29" s="1057">
        <f>ATAN(A29/Zero2)</f>
        <v/>
      </c>
      <c r="M29" s="1047">
        <f>SQRT(1+(A29/pole4)^2)</f>
        <v/>
      </c>
      <c r="N29" s="1057">
        <f>ATAN(A29/pole4)</f>
        <v/>
      </c>
      <c r="O29" s="1058">
        <f>IF(VOUT_setting=1,1,SQRT(1+(A29*zterm1)^2))</f>
        <v/>
      </c>
      <c r="P29" s="1059">
        <f>IF(VOUT_setting=1,0,ATAN(((A29*zterm1))))</f>
        <v/>
      </c>
      <c r="Q29" s="1056">
        <f>IF(VOUT_setting=1,1,SQRT((1+Afbr-$Q$5*(A29)^2)^2+(A29*$Q$4)^2))</f>
        <v/>
      </c>
      <c r="R29" s="1060">
        <f>IF(VOUT_setting=1,0,ATAN(A29*$Q$4/(1+Afbr-$Q$5*(A29)^2)))</f>
        <v/>
      </c>
      <c r="S29" s="1054">
        <f>SQRT((1-(Z29/pterm2))^2+(A29/pterm1)^2)</f>
        <v/>
      </c>
      <c r="T29" s="1055">
        <f>IF((ATAN((A29/pterm1)/(1-A29^2/pterm2))&gt;0),ATAN((A29/pterm1)/(1-A29^2/pterm2)),PI()+ATAN((A29/pterm1)/(1-A29^2/pterm2)))</f>
        <v/>
      </c>
      <c r="U29" s="331">
        <f>20*LOG10(((E29*K29*G29*O29)/(C29*I29*S29*M29*Q29))*Adc)</f>
        <v/>
      </c>
      <c r="V29" s="332">
        <f>((F29+L29+H29+P29)-(D29+J29+T29+N29+R29))*radconv</f>
        <v/>
      </c>
      <c r="W29" s="334">
        <f>IF(V29&gt;0,V29,V29+180)</f>
        <v/>
      </c>
      <c r="Y29" s="307">
        <f>IF(U29&lt;0,A29,1000000000)</f>
        <v/>
      </c>
      <c r="Z29" s="307">
        <f>A29^2</f>
        <v/>
      </c>
      <c r="AB29" s="333">
        <f>20*LOG10((K29/(I29*M29))*AEA)</f>
        <v/>
      </c>
      <c r="AC29" s="334">
        <f>(L29-(J29+N29))*radconv</f>
        <v/>
      </c>
      <c r="AE29" s="333">
        <f>20*LOG10((E29*G29/(C29*S29))*Acs*Am)</f>
        <v/>
      </c>
      <c r="AF29" s="334">
        <f>(F29+H29-(D29+T29))*radconv</f>
        <v/>
      </c>
      <c r="AH29">
        <f>SUM((U30&lt;0)*(U29&gt;0))*A29</f>
        <v/>
      </c>
      <c r="AI29">
        <f>IF(AH29&gt;0,W27,0)</f>
        <v/>
      </c>
    </row>
    <row r="30">
      <c r="A30" s="335" t="n">
        <v>4.7863</v>
      </c>
      <c r="B30" s="352">
        <f>A30/1000</f>
        <v/>
      </c>
      <c r="C30" s="1047">
        <f>SQRT(1+(A30/pole1)^2)</f>
        <v/>
      </c>
      <c r="D30" s="1048">
        <f>ATAN(A30/pole1)</f>
        <v/>
      </c>
      <c r="E30" s="1048">
        <f>SQRT(1+(A30/Zero1)^2)</f>
        <v/>
      </c>
      <c r="F30" s="1049">
        <f>ATAN(A30/Zero1)</f>
        <v/>
      </c>
      <c r="G30" s="1048">
        <f>IF(VIN_nom&gt;Vout, 1, SQRT(1+(A30/z_RHP)^2))</f>
        <v/>
      </c>
      <c r="H30" s="1049">
        <f>IF(VIN_nom&gt;Vout, 0, -ATAN(A30/z_RHP))</f>
        <v/>
      </c>
      <c r="I30" s="1047">
        <f>SQRT(1+(A30/Pole2)^2)</f>
        <v/>
      </c>
      <c r="J30" s="1050">
        <f>ATAN(A30/Pole2)</f>
        <v/>
      </c>
      <c r="K30" s="1056">
        <f>SQRT(1+(A30/Zero2)^2)</f>
        <v/>
      </c>
      <c r="L30" s="1057">
        <f>ATAN(A30/Zero2)</f>
        <v/>
      </c>
      <c r="M30" s="1047">
        <f>SQRT(1+(A30/pole4)^2)</f>
        <v/>
      </c>
      <c r="N30" s="1057">
        <f>ATAN(A30/pole4)</f>
        <v/>
      </c>
      <c r="O30" s="1058">
        <f>IF(VOUT_setting=1,1,SQRT(1+(A30*zterm1)^2))</f>
        <v/>
      </c>
      <c r="P30" s="1059">
        <f>IF(VOUT_setting=1,0,ATAN(((A30*zterm1))))</f>
        <v/>
      </c>
      <c r="Q30" s="1056">
        <f>IF(VOUT_setting=1,1,SQRT((1+Afbr-$Q$5*(A30)^2)^2+(A30*$Q$4)^2))</f>
        <v/>
      </c>
      <c r="R30" s="1060">
        <f>IF(VOUT_setting=1,0,ATAN(A30*$Q$4/(1+Afbr-$Q$5*(A30)^2)))</f>
        <v/>
      </c>
      <c r="S30" s="1054">
        <f>SQRT((1-(Z30/pterm2))^2+(A30/pterm1)^2)</f>
        <v/>
      </c>
      <c r="T30" s="1055">
        <f>IF((ATAN((A30/pterm1)/(1-A30^2/pterm2))&gt;0),ATAN((A30/pterm1)/(1-A30^2/pterm2)),PI()+ATAN((A30/pterm1)/(1-A30^2/pterm2)))</f>
        <v/>
      </c>
      <c r="U30" s="331">
        <f>20*LOG10(((E30*K30*G30*O30)/(C30*I30*S30*M30*Q30))*Adc)</f>
        <v/>
      </c>
      <c r="V30" s="332">
        <f>((F30+L30+H30+P30)-(D30+J30+T30+N30+R30))*radconv</f>
        <v/>
      </c>
      <c r="W30" s="334">
        <f>IF(V30&gt;0,V30,V30+180)</f>
        <v/>
      </c>
      <c r="Y30" s="307">
        <f>IF(U30&lt;0,A30,1000000000)</f>
        <v/>
      </c>
      <c r="Z30" s="307">
        <f>A30^2</f>
        <v/>
      </c>
      <c r="AB30" s="333">
        <f>20*LOG10((K30/(I30*M30))*AEA)</f>
        <v/>
      </c>
      <c r="AC30" s="334">
        <f>(L30-(J30+N30))*radconv</f>
        <v/>
      </c>
      <c r="AE30" s="333">
        <f>20*LOG10((E30*G30/(C30*S30))*Acs*Am)</f>
        <v/>
      </c>
      <c r="AF30" s="334">
        <f>(F30+H30-(D30+T30))*radconv</f>
        <v/>
      </c>
      <c r="AH30">
        <f>SUM((U31&lt;0)*(U30&gt;0))*A30</f>
        <v/>
      </c>
      <c r="AI30">
        <f>IF(AH30&gt;0,W28,0)</f>
        <v/>
      </c>
    </row>
    <row r="31">
      <c r="A31" s="335" t="n">
        <v>5.2481</v>
      </c>
      <c r="B31" s="352">
        <f>A31/1000</f>
        <v/>
      </c>
      <c r="C31" s="1047">
        <f>SQRT(1+(A31/pole1)^2)</f>
        <v/>
      </c>
      <c r="D31" s="1048">
        <f>ATAN(A31/pole1)</f>
        <v/>
      </c>
      <c r="E31" s="1048">
        <f>SQRT(1+(A31/Zero1)^2)</f>
        <v/>
      </c>
      <c r="F31" s="1049">
        <f>ATAN(A31/Zero1)</f>
        <v/>
      </c>
      <c r="G31" s="1048">
        <f>IF(VIN_nom&gt;Vout, 1, SQRT(1+(A31/z_RHP)^2))</f>
        <v/>
      </c>
      <c r="H31" s="1049">
        <f>IF(VIN_nom&gt;Vout, 0, -ATAN(A31/z_RHP))</f>
        <v/>
      </c>
      <c r="I31" s="1047">
        <f>SQRT(1+(A31/Pole2)^2)</f>
        <v/>
      </c>
      <c r="J31" s="1050">
        <f>ATAN(A31/Pole2)</f>
        <v/>
      </c>
      <c r="K31" s="1056">
        <f>SQRT(1+(A31/Zero2)^2)</f>
        <v/>
      </c>
      <c r="L31" s="1057">
        <f>ATAN(A31/Zero2)</f>
        <v/>
      </c>
      <c r="M31" s="1047">
        <f>SQRT(1+(A31/pole4)^2)</f>
        <v/>
      </c>
      <c r="N31" s="1057">
        <f>ATAN(A31/pole4)</f>
        <v/>
      </c>
      <c r="O31" s="1058">
        <f>IF(VOUT_setting=1,1,SQRT(1+(A31*zterm1)^2))</f>
        <v/>
      </c>
      <c r="P31" s="1059">
        <f>IF(VOUT_setting=1,0,ATAN(((A31*zterm1))))</f>
        <v/>
      </c>
      <c r="Q31" s="1056">
        <f>IF(VOUT_setting=1,1,SQRT((1+Afbr-$Q$5*(A31)^2)^2+(A31*$Q$4)^2))</f>
        <v/>
      </c>
      <c r="R31" s="1060">
        <f>IF(VOUT_setting=1,0,ATAN(A31*$Q$4/(1+Afbr-$Q$5*(A31)^2)))</f>
        <v/>
      </c>
      <c r="S31" s="1054">
        <f>SQRT((1-(Z31/pterm2))^2+(A31/pterm1)^2)</f>
        <v/>
      </c>
      <c r="T31" s="1055">
        <f>IF((ATAN((A31/pterm1)/(1-A31^2/pterm2))&gt;0),ATAN((A31/pterm1)/(1-A31^2/pterm2)),PI()+ATAN((A31/pterm1)/(1-A31^2/pterm2)))</f>
        <v/>
      </c>
      <c r="U31" s="331">
        <f>20*LOG10(((E31*K31*G31*O31)/(C31*I31*S31*M31*Q31))*Adc)</f>
        <v/>
      </c>
      <c r="V31" s="332">
        <f>((F31+L31+H31+P31)-(D31+J31+T31+N31+R31))*radconv</f>
        <v/>
      </c>
      <c r="W31" s="334">
        <f>IF(V31&gt;0,V31,V31+180)</f>
        <v/>
      </c>
      <c r="Y31" s="307">
        <f>IF(U31&lt;0,A31,1000000000)</f>
        <v/>
      </c>
      <c r="Z31" s="307">
        <f>A31^2</f>
        <v/>
      </c>
      <c r="AB31" s="333">
        <f>20*LOG10((K31/(I31*M31))*AEA)</f>
        <v/>
      </c>
      <c r="AC31" s="334">
        <f>(L31-(J31+N31))*radconv</f>
        <v/>
      </c>
      <c r="AE31" s="333">
        <f>20*LOG10((E31*G31/(C31*S31))*Acs*Am)</f>
        <v/>
      </c>
      <c r="AF31" s="334">
        <f>(F31+H31-(D31+T31))*radconv</f>
        <v/>
      </c>
      <c r="AH31">
        <f>SUM((U32&lt;0)*(U31&gt;0))*A31</f>
        <v/>
      </c>
      <c r="AI31">
        <f>IF(AH31&gt;0,W29,0)</f>
        <v/>
      </c>
    </row>
    <row r="32">
      <c r="A32" s="335" t="n">
        <v>5.7544</v>
      </c>
      <c r="B32" s="352">
        <f>A32/1000</f>
        <v/>
      </c>
      <c r="C32" s="1047">
        <f>SQRT(1+(A32/pole1)^2)</f>
        <v/>
      </c>
      <c r="D32" s="1048">
        <f>ATAN(A32/pole1)</f>
        <v/>
      </c>
      <c r="E32" s="1048">
        <f>SQRT(1+(A32/Zero1)^2)</f>
        <v/>
      </c>
      <c r="F32" s="1049">
        <f>ATAN(A32/Zero1)</f>
        <v/>
      </c>
      <c r="G32" s="1048">
        <f>IF(VIN_nom&gt;Vout, 1, SQRT(1+(A32/z_RHP)^2))</f>
        <v/>
      </c>
      <c r="H32" s="1049">
        <f>IF(VIN_nom&gt;Vout, 0, -ATAN(A32/z_RHP))</f>
        <v/>
      </c>
      <c r="I32" s="1047">
        <f>SQRT(1+(A32/Pole2)^2)</f>
        <v/>
      </c>
      <c r="J32" s="1050">
        <f>ATAN(A32/Pole2)</f>
        <v/>
      </c>
      <c r="K32" s="1056">
        <f>SQRT(1+(A32/Zero2)^2)</f>
        <v/>
      </c>
      <c r="L32" s="1057">
        <f>ATAN(A32/Zero2)</f>
        <v/>
      </c>
      <c r="M32" s="1047">
        <f>SQRT(1+(A32/pole4)^2)</f>
        <v/>
      </c>
      <c r="N32" s="1057">
        <f>ATAN(A32/pole4)</f>
        <v/>
      </c>
      <c r="O32" s="1058">
        <f>IF(VOUT_setting=1,1,SQRT(1+(A32*zterm1)^2))</f>
        <v/>
      </c>
      <c r="P32" s="1059">
        <f>IF(VOUT_setting=1,0,ATAN(((A32*zterm1))))</f>
        <v/>
      </c>
      <c r="Q32" s="1056">
        <f>IF(VOUT_setting=1,1,SQRT((1+Afbr-$Q$5*(A32)^2)^2+(A32*$Q$4)^2))</f>
        <v/>
      </c>
      <c r="R32" s="1060">
        <f>IF(VOUT_setting=1,0,ATAN(A32*$Q$4/(1+Afbr-$Q$5*(A32)^2)))</f>
        <v/>
      </c>
      <c r="S32" s="1054">
        <f>SQRT((1-(Z32/pterm2))^2+(A32/pterm1)^2)</f>
        <v/>
      </c>
      <c r="T32" s="1055">
        <f>IF((ATAN((A32/pterm1)/(1-A32^2/pterm2))&gt;0),ATAN((A32/pterm1)/(1-A32^2/pterm2)),PI()+ATAN((A32/pterm1)/(1-A32^2/pterm2)))</f>
        <v/>
      </c>
      <c r="U32" s="331">
        <f>20*LOG10(((E32*K32*G32*O32)/(C32*I32*S32*M32*Q32))*Adc)</f>
        <v/>
      </c>
      <c r="V32" s="332">
        <f>((F32+L32+H32+P32)-(D32+J32+T32+N32+R32))*radconv</f>
        <v/>
      </c>
      <c r="W32" s="334">
        <f>IF(V32&gt;0,V32,V32+180)</f>
        <v/>
      </c>
      <c r="Y32" s="307">
        <f>IF(U32&lt;0,A32,1000000000)</f>
        <v/>
      </c>
      <c r="Z32" s="307">
        <f>A32^2</f>
        <v/>
      </c>
      <c r="AB32" s="333">
        <f>20*LOG10((K32/(I32*M32))*AEA)</f>
        <v/>
      </c>
      <c r="AC32" s="334">
        <f>(L32-(J32+N32))*radconv</f>
        <v/>
      </c>
      <c r="AE32" s="333">
        <f>20*LOG10((E32*G32/(C32*S32))*Acs*Am)</f>
        <v/>
      </c>
      <c r="AF32" s="334">
        <f>(F32+H32-(D32+T32))*radconv</f>
        <v/>
      </c>
      <c r="AH32">
        <f>SUM((U33&lt;0)*(U32&gt;0))*A32</f>
        <v/>
      </c>
      <c r="AI32">
        <f>IF(AH32&gt;0,W30,0)</f>
        <v/>
      </c>
    </row>
    <row r="33">
      <c r="A33" s="335" t="n">
        <v>6.3096</v>
      </c>
      <c r="B33" s="352">
        <f>A33/1000</f>
        <v/>
      </c>
      <c r="C33" s="1047">
        <f>SQRT(1+(A33/pole1)^2)</f>
        <v/>
      </c>
      <c r="D33" s="1048">
        <f>ATAN(A33/pole1)</f>
        <v/>
      </c>
      <c r="E33" s="1048">
        <f>SQRT(1+(A33/Zero1)^2)</f>
        <v/>
      </c>
      <c r="F33" s="1049">
        <f>ATAN(A33/Zero1)</f>
        <v/>
      </c>
      <c r="G33" s="1048">
        <f>IF(VIN_nom&gt;Vout, 1, SQRT(1+(A33/z_RHP)^2))</f>
        <v/>
      </c>
      <c r="H33" s="1049">
        <f>IF(VIN_nom&gt;Vout, 0, -ATAN(A33/z_RHP))</f>
        <v/>
      </c>
      <c r="I33" s="1047">
        <f>SQRT(1+(A33/Pole2)^2)</f>
        <v/>
      </c>
      <c r="J33" s="1050">
        <f>ATAN(A33/Pole2)</f>
        <v/>
      </c>
      <c r="K33" s="1056">
        <f>SQRT(1+(A33/Zero2)^2)</f>
        <v/>
      </c>
      <c r="L33" s="1057">
        <f>ATAN(A33/Zero2)</f>
        <v/>
      </c>
      <c r="M33" s="1047">
        <f>SQRT(1+(A33/pole4)^2)</f>
        <v/>
      </c>
      <c r="N33" s="1057">
        <f>ATAN(A33/pole4)</f>
        <v/>
      </c>
      <c r="O33" s="1058">
        <f>IF(VOUT_setting=1,1,SQRT(1+(A33*zterm1)^2))</f>
        <v/>
      </c>
      <c r="P33" s="1059">
        <f>IF(VOUT_setting=1,0,ATAN(((A33*zterm1))))</f>
        <v/>
      </c>
      <c r="Q33" s="1056">
        <f>IF(VOUT_setting=1,1,SQRT((1+Afbr-$Q$5*(A33)^2)^2+(A33*$Q$4)^2))</f>
        <v/>
      </c>
      <c r="R33" s="1060">
        <f>IF(VOUT_setting=1,0,ATAN(A33*$Q$4/(1+Afbr-$Q$5*(A33)^2)))</f>
        <v/>
      </c>
      <c r="S33" s="1054">
        <f>SQRT((1-(Z33/pterm2))^2+(A33/pterm1)^2)</f>
        <v/>
      </c>
      <c r="T33" s="1055">
        <f>IF((ATAN((A33/pterm1)/(1-A33^2/pterm2))&gt;0),ATAN((A33/pterm1)/(1-A33^2/pterm2)),PI()+ATAN((A33/pterm1)/(1-A33^2/pterm2)))</f>
        <v/>
      </c>
      <c r="U33" s="331">
        <f>20*LOG10(((E33*K33*G33*O33)/(C33*I33*S33*M33*Q33))*Adc)</f>
        <v/>
      </c>
      <c r="V33" s="332">
        <f>((F33+L33+H33+P33)-(D33+J33+T33+N33+R33))*radconv</f>
        <v/>
      </c>
      <c r="W33" s="334">
        <f>IF(V33&gt;0,V33,V33+180)</f>
        <v/>
      </c>
      <c r="Y33" s="307">
        <f>IF(U33&lt;0,A33,1000000000)</f>
        <v/>
      </c>
      <c r="Z33" s="307">
        <f>A33^2</f>
        <v/>
      </c>
      <c r="AB33" s="333">
        <f>20*LOG10((K33/(I33*M33))*AEA)</f>
        <v/>
      </c>
      <c r="AC33" s="334">
        <f>(L33-(J33+N33))*radconv</f>
        <v/>
      </c>
      <c r="AE33" s="333">
        <f>20*LOG10((E33*G33/(C33*S33))*Acs*Am)</f>
        <v/>
      </c>
      <c r="AF33" s="334">
        <f>(F33+H33-(D33+T33))*radconv</f>
        <v/>
      </c>
      <c r="AH33">
        <f>SUM((U34&lt;0)*(U33&gt;0))*A33</f>
        <v/>
      </c>
      <c r="AI33">
        <f>IF(AH33&gt;0,W31,0)</f>
        <v/>
      </c>
    </row>
    <row r="34">
      <c r="A34" s="335" t="n">
        <v>6.9183</v>
      </c>
      <c r="B34" s="352">
        <f>A34/1000</f>
        <v/>
      </c>
      <c r="C34" s="1047">
        <f>SQRT(1+(A34/pole1)^2)</f>
        <v/>
      </c>
      <c r="D34" s="1048">
        <f>ATAN(A34/pole1)</f>
        <v/>
      </c>
      <c r="E34" s="1048">
        <f>SQRT(1+(A34/Zero1)^2)</f>
        <v/>
      </c>
      <c r="F34" s="1049">
        <f>ATAN(A34/Zero1)</f>
        <v/>
      </c>
      <c r="G34" s="1048">
        <f>IF(VIN_nom&gt;Vout, 1, SQRT(1+(A34/z_RHP)^2))</f>
        <v/>
      </c>
      <c r="H34" s="1049">
        <f>IF(VIN_nom&gt;Vout, 0, -ATAN(A34/z_RHP))</f>
        <v/>
      </c>
      <c r="I34" s="1047">
        <f>SQRT(1+(A34/Pole2)^2)</f>
        <v/>
      </c>
      <c r="J34" s="1050">
        <f>ATAN(A34/Pole2)</f>
        <v/>
      </c>
      <c r="K34" s="1056">
        <f>SQRT(1+(A34/Zero2)^2)</f>
        <v/>
      </c>
      <c r="L34" s="1057">
        <f>ATAN(A34/Zero2)</f>
        <v/>
      </c>
      <c r="M34" s="1047">
        <f>SQRT(1+(A34/pole4)^2)</f>
        <v/>
      </c>
      <c r="N34" s="1057">
        <f>ATAN(A34/pole4)</f>
        <v/>
      </c>
      <c r="O34" s="1058">
        <f>IF(VOUT_setting=1,1,SQRT(1+(A34*zterm1)^2))</f>
        <v/>
      </c>
      <c r="P34" s="1059">
        <f>IF(VOUT_setting=1,0,ATAN(((A34*zterm1))))</f>
        <v/>
      </c>
      <c r="Q34" s="1056">
        <f>IF(VOUT_setting=1,1,SQRT((1+Afbr-$Q$5*(A34)^2)^2+(A34*$Q$4)^2))</f>
        <v/>
      </c>
      <c r="R34" s="1060">
        <f>IF(VOUT_setting=1,0,ATAN(A34*$Q$4/(1+Afbr-$Q$5*(A34)^2)))</f>
        <v/>
      </c>
      <c r="S34" s="1054">
        <f>SQRT((1-(Z34/pterm2))^2+(A34/pterm1)^2)</f>
        <v/>
      </c>
      <c r="T34" s="1055">
        <f>IF((ATAN((A34/pterm1)/(1-A34^2/pterm2))&gt;0),ATAN((A34/pterm1)/(1-A34^2/pterm2)),PI()+ATAN((A34/pterm1)/(1-A34^2/pterm2)))</f>
        <v/>
      </c>
      <c r="U34" s="331">
        <f>20*LOG10(((E34*K34*G34*O34)/(C34*I34*S34*M34*Q34))*Adc)</f>
        <v/>
      </c>
      <c r="V34" s="332">
        <f>((F34+L34+H34+P34)-(D34+J34+T34+N34+R34))*radconv</f>
        <v/>
      </c>
      <c r="W34" s="334">
        <f>IF(V34&gt;0,V34,V34+180)</f>
        <v/>
      </c>
      <c r="Y34" s="307">
        <f>IF(U34&lt;0,A34,1000000000)</f>
        <v/>
      </c>
      <c r="Z34" s="307">
        <f>A34^2</f>
        <v/>
      </c>
      <c r="AB34" s="333">
        <f>20*LOG10((K34/(I34*M34))*AEA)</f>
        <v/>
      </c>
      <c r="AC34" s="334">
        <f>(L34-(J34+N34))*radconv</f>
        <v/>
      </c>
      <c r="AE34" s="333">
        <f>20*LOG10((E34*G34/(C34*S34))*Acs*Am)</f>
        <v/>
      </c>
      <c r="AF34" s="334">
        <f>(F34+H34-(D34+T34))*radconv</f>
        <v/>
      </c>
      <c r="AH34">
        <f>SUM((U35&lt;0)*(U34&gt;0))*A34</f>
        <v/>
      </c>
      <c r="AI34">
        <f>IF(AH34&gt;0,W32,0)</f>
        <v/>
      </c>
    </row>
    <row r="35">
      <c r="A35" s="335" t="n">
        <v>7.5858</v>
      </c>
      <c r="B35" s="352">
        <f>A35/1000</f>
        <v/>
      </c>
      <c r="C35" s="1047">
        <f>SQRT(1+(A35/pole1)^2)</f>
        <v/>
      </c>
      <c r="D35" s="1048">
        <f>ATAN(A35/pole1)</f>
        <v/>
      </c>
      <c r="E35" s="1048">
        <f>SQRT(1+(A35/Zero1)^2)</f>
        <v/>
      </c>
      <c r="F35" s="1049">
        <f>ATAN(A35/Zero1)</f>
        <v/>
      </c>
      <c r="G35" s="1048">
        <f>IF(VIN_nom&gt;Vout, 1, SQRT(1+(A35/z_RHP)^2))</f>
        <v/>
      </c>
      <c r="H35" s="1049">
        <f>IF(VIN_nom&gt;Vout, 0, -ATAN(A35/z_RHP))</f>
        <v/>
      </c>
      <c r="I35" s="1047">
        <f>SQRT(1+(A35/Pole2)^2)</f>
        <v/>
      </c>
      <c r="J35" s="1050">
        <f>ATAN(A35/Pole2)</f>
        <v/>
      </c>
      <c r="K35" s="1056">
        <f>SQRT(1+(A35/Zero2)^2)</f>
        <v/>
      </c>
      <c r="L35" s="1057">
        <f>ATAN(A35/Zero2)</f>
        <v/>
      </c>
      <c r="M35" s="1047">
        <f>SQRT(1+(A35/pole4)^2)</f>
        <v/>
      </c>
      <c r="N35" s="1057">
        <f>ATAN(A35/pole4)</f>
        <v/>
      </c>
      <c r="O35" s="1058">
        <f>IF(VOUT_setting=1,1,SQRT(1+(A35*zterm1)^2))</f>
        <v/>
      </c>
      <c r="P35" s="1059">
        <f>IF(VOUT_setting=1,0,ATAN(((A35*zterm1))))</f>
        <v/>
      </c>
      <c r="Q35" s="1056">
        <f>IF(VOUT_setting=1,1,SQRT((1+Afbr-$Q$5*(A35)^2)^2+(A35*$Q$4)^2))</f>
        <v/>
      </c>
      <c r="R35" s="1060">
        <f>IF(VOUT_setting=1,0,ATAN(A35*$Q$4/(1+Afbr-$Q$5*(A35)^2)))</f>
        <v/>
      </c>
      <c r="S35" s="1054">
        <f>SQRT((1-(Z35/pterm2))^2+(A35/pterm1)^2)</f>
        <v/>
      </c>
      <c r="T35" s="1055">
        <f>IF((ATAN((A35/pterm1)/(1-A35^2/pterm2))&gt;0),ATAN((A35/pterm1)/(1-A35^2/pterm2)),PI()+ATAN((A35/pterm1)/(1-A35^2/pterm2)))</f>
        <v/>
      </c>
      <c r="U35" s="331">
        <f>20*LOG10(((E35*K35*G35*O35)/(C35*I35*S35*M35*Q35))*Adc)</f>
        <v/>
      </c>
      <c r="V35" s="332">
        <f>((F35+L35+H35+P35)-(D35+J35+T35+N35+R35))*radconv</f>
        <v/>
      </c>
      <c r="W35" s="334">
        <f>IF(V35&gt;0,V35,V35+180)</f>
        <v/>
      </c>
      <c r="Y35" s="307">
        <f>IF(U35&lt;0,A35,1000000000)</f>
        <v/>
      </c>
      <c r="Z35" s="307">
        <f>A35^2</f>
        <v/>
      </c>
      <c r="AB35" s="333">
        <f>20*LOG10((K35/(I35*M35))*AEA)</f>
        <v/>
      </c>
      <c r="AC35" s="334">
        <f>(L35-(J35+N35))*radconv</f>
        <v/>
      </c>
      <c r="AE35" s="333">
        <f>20*LOG10((E35*G35/(C35*S35))*Acs*Am)</f>
        <v/>
      </c>
      <c r="AF35" s="334">
        <f>(F35+H35-(D35+T35))*radconv</f>
        <v/>
      </c>
      <c r="AH35">
        <f>SUM((U36&lt;0)*(U35&gt;0))*A35</f>
        <v/>
      </c>
      <c r="AI35">
        <f>IF(AH35&gt;0,W33,0)</f>
        <v/>
      </c>
    </row>
    <row r="36">
      <c r="A36" s="335" t="n">
        <v>8.317600000000001</v>
      </c>
      <c r="B36" s="352">
        <f>A36/1000</f>
        <v/>
      </c>
      <c r="C36" s="1047">
        <f>SQRT(1+(A36/pole1)^2)</f>
        <v/>
      </c>
      <c r="D36" s="1048">
        <f>ATAN(A36/pole1)</f>
        <v/>
      </c>
      <c r="E36" s="1048">
        <f>SQRT(1+(A36/Zero1)^2)</f>
        <v/>
      </c>
      <c r="F36" s="1049">
        <f>ATAN(A36/Zero1)</f>
        <v/>
      </c>
      <c r="G36" s="1048">
        <f>IF(VIN_nom&gt;Vout, 1, SQRT(1+(A36/z_RHP)^2))</f>
        <v/>
      </c>
      <c r="H36" s="1049">
        <f>IF(VIN_nom&gt;Vout, 0, -ATAN(A36/z_RHP))</f>
        <v/>
      </c>
      <c r="I36" s="1047">
        <f>SQRT(1+(A36/Pole2)^2)</f>
        <v/>
      </c>
      <c r="J36" s="1050">
        <f>ATAN(A36/Pole2)</f>
        <v/>
      </c>
      <c r="K36" s="1056">
        <f>SQRT(1+(A36/Zero2)^2)</f>
        <v/>
      </c>
      <c r="L36" s="1057">
        <f>ATAN(A36/Zero2)</f>
        <v/>
      </c>
      <c r="M36" s="1047">
        <f>SQRT(1+(A36/pole4)^2)</f>
        <v/>
      </c>
      <c r="N36" s="1057">
        <f>ATAN(A36/pole4)</f>
        <v/>
      </c>
      <c r="O36" s="1058">
        <f>IF(VOUT_setting=1,1,SQRT(1+(A36*zterm1)^2))</f>
        <v/>
      </c>
      <c r="P36" s="1059">
        <f>IF(VOUT_setting=1,0,ATAN(((A36*zterm1))))</f>
        <v/>
      </c>
      <c r="Q36" s="1056">
        <f>IF(VOUT_setting=1,1,SQRT((1+Afbr-$Q$5*(A36)^2)^2+(A36*$Q$4)^2))</f>
        <v/>
      </c>
      <c r="R36" s="1060">
        <f>IF(VOUT_setting=1,0,ATAN(A36*$Q$4/(1+Afbr-$Q$5*(A36)^2)))</f>
        <v/>
      </c>
      <c r="S36" s="1054">
        <f>SQRT((1-(Z36/pterm2))^2+(A36/pterm1)^2)</f>
        <v/>
      </c>
      <c r="T36" s="1055">
        <f>IF((ATAN((A36/pterm1)/(1-A36^2/pterm2))&gt;0),ATAN((A36/pterm1)/(1-A36^2/pterm2)),PI()+ATAN((A36/pterm1)/(1-A36^2/pterm2)))</f>
        <v/>
      </c>
      <c r="U36" s="331">
        <f>20*LOG10(((E36*K36*G36*O36)/(C36*I36*S36*M36*Q36))*Adc)</f>
        <v/>
      </c>
      <c r="V36" s="332">
        <f>((F36+L36+H36+P36)-(D36+J36+T36+N36+R36))*radconv</f>
        <v/>
      </c>
      <c r="W36" s="334">
        <f>IF(V36&gt;0,V36,V36+180)</f>
        <v/>
      </c>
      <c r="Y36" s="307">
        <f>IF(U36&lt;0,A36,1000000000)</f>
        <v/>
      </c>
      <c r="Z36" s="307">
        <f>A36^2</f>
        <v/>
      </c>
      <c r="AB36" s="333">
        <f>20*LOG10((K36/(I36*M36))*AEA)</f>
        <v/>
      </c>
      <c r="AC36" s="334">
        <f>(L36-(J36+N36))*radconv</f>
        <v/>
      </c>
      <c r="AE36" s="333">
        <f>20*LOG10((E36*G36/(C36*S36))*Acs*Am)</f>
        <v/>
      </c>
      <c r="AF36" s="334">
        <f>(F36+H36-(D36+T36))*radconv</f>
        <v/>
      </c>
      <c r="AH36">
        <f>SUM((U37&lt;0)*(U36&gt;0))*A36</f>
        <v/>
      </c>
      <c r="AI36">
        <f>IF(AH36&gt;0,W34,0)</f>
        <v/>
      </c>
    </row>
    <row r="37">
      <c r="A37" s="335" t="n">
        <v>9.120100000000001</v>
      </c>
      <c r="B37" s="352">
        <f>A37/1000</f>
        <v/>
      </c>
      <c r="C37" s="1047">
        <f>SQRT(1+(A37/pole1)^2)</f>
        <v/>
      </c>
      <c r="D37" s="1048">
        <f>ATAN(A37/pole1)</f>
        <v/>
      </c>
      <c r="E37" s="1048">
        <f>SQRT(1+(A37/Zero1)^2)</f>
        <v/>
      </c>
      <c r="F37" s="1049">
        <f>ATAN(A37/Zero1)</f>
        <v/>
      </c>
      <c r="G37" s="1048">
        <f>IF(VIN_nom&gt;Vout, 1, SQRT(1+(A37/z_RHP)^2))</f>
        <v/>
      </c>
      <c r="H37" s="1049">
        <f>IF(VIN_nom&gt;Vout, 0, -ATAN(A37/z_RHP))</f>
        <v/>
      </c>
      <c r="I37" s="1047">
        <f>SQRT(1+(A37/Pole2)^2)</f>
        <v/>
      </c>
      <c r="J37" s="1050">
        <f>ATAN(A37/Pole2)</f>
        <v/>
      </c>
      <c r="K37" s="1056">
        <f>SQRT(1+(A37/Zero2)^2)</f>
        <v/>
      </c>
      <c r="L37" s="1057">
        <f>ATAN(A37/Zero2)</f>
        <v/>
      </c>
      <c r="M37" s="1047">
        <f>SQRT(1+(A37/pole4)^2)</f>
        <v/>
      </c>
      <c r="N37" s="1057">
        <f>ATAN(A37/pole4)</f>
        <v/>
      </c>
      <c r="O37" s="1058">
        <f>IF(VOUT_setting=1,1,SQRT(1+(A37*zterm1)^2))</f>
        <v/>
      </c>
      <c r="P37" s="1059">
        <f>IF(VOUT_setting=1,0,ATAN(((A37*zterm1))))</f>
        <v/>
      </c>
      <c r="Q37" s="1056">
        <f>IF(VOUT_setting=1,1,SQRT((1+Afbr-$Q$5*(A37)^2)^2+(A37*$Q$4)^2))</f>
        <v/>
      </c>
      <c r="R37" s="1060">
        <f>IF(VOUT_setting=1,0,ATAN(A37*$Q$4/(1+Afbr-$Q$5*(A37)^2)))</f>
        <v/>
      </c>
      <c r="S37" s="1054">
        <f>SQRT((1-(Z37/pterm2))^2+(A37/pterm1)^2)</f>
        <v/>
      </c>
      <c r="T37" s="1055">
        <f>IF((ATAN((A37/pterm1)/(1-A37^2/pterm2))&gt;0),ATAN((A37/pterm1)/(1-A37^2/pterm2)),PI()+ATAN((A37/pterm1)/(1-A37^2/pterm2)))</f>
        <v/>
      </c>
      <c r="U37" s="331">
        <f>20*LOG10(((E37*K37*G37*O37)/(C37*I37*S37*M37*Q37))*Adc)</f>
        <v/>
      </c>
      <c r="V37" s="332">
        <f>((F37+L37+H37+P37)-(D37+J37+T37+N37+R37))*radconv</f>
        <v/>
      </c>
      <c r="W37" s="334">
        <f>IF(V37&gt;0,V37,V37+180)</f>
        <v/>
      </c>
      <c r="Y37" s="307">
        <f>IF(U37&lt;0,A37,1000000000)</f>
        <v/>
      </c>
      <c r="Z37" s="307">
        <f>A37^2</f>
        <v/>
      </c>
      <c r="AB37" s="333">
        <f>20*LOG10((K37/(I37*M37))*AEA)</f>
        <v/>
      </c>
      <c r="AC37" s="334">
        <f>(L37-(J37+N37))*radconv</f>
        <v/>
      </c>
      <c r="AE37" s="333">
        <f>20*LOG10((E37*G37/(C37*S37))*Acs*Am)</f>
        <v/>
      </c>
      <c r="AF37" s="334">
        <f>(F37+H37-(D37+T37))*radconv</f>
        <v/>
      </c>
      <c r="AH37">
        <f>SUM((U38&lt;0)*(U37&gt;0))*A37</f>
        <v/>
      </c>
      <c r="AI37">
        <f>IF(AH37&gt;0,W35,0)</f>
        <v/>
      </c>
    </row>
    <row r="38">
      <c r="A38" s="335" t="n">
        <v>10</v>
      </c>
      <c r="B38" s="352">
        <f>A38/1000</f>
        <v/>
      </c>
      <c r="C38" s="1047">
        <f>SQRT(1+(A38/pole1)^2)</f>
        <v/>
      </c>
      <c r="D38" s="1048">
        <f>ATAN(A38/pole1)</f>
        <v/>
      </c>
      <c r="E38" s="1048">
        <f>SQRT(1+(A38/Zero1)^2)</f>
        <v/>
      </c>
      <c r="F38" s="1049">
        <f>ATAN(A38/Zero1)</f>
        <v/>
      </c>
      <c r="G38" s="1048">
        <f>IF(VIN_nom&gt;Vout, 1, SQRT(1+(A38/z_RHP)^2))</f>
        <v/>
      </c>
      <c r="H38" s="1049">
        <f>IF(VIN_nom&gt;Vout, 0, -ATAN(A38/z_RHP))</f>
        <v/>
      </c>
      <c r="I38" s="1047">
        <f>SQRT(1+(A38/Pole2)^2)</f>
        <v/>
      </c>
      <c r="J38" s="1050">
        <f>ATAN(A38/Pole2)</f>
        <v/>
      </c>
      <c r="K38" s="1056">
        <f>SQRT(1+(A38/Zero2)^2)</f>
        <v/>
      </c>
      <c r="L38" s="1057">
        <f>ATAN(A38/Zero2)</f>
        <v/>
      </c>
      <c r="M38" s="1047">
        <f>SQRT(1+(A38/pole4)^2)</f>
        <v/>
      </c>
      <c r="N38" s="1057">
        <f>ATAN(A38/pole4)</f>
        <v/>
      </c>
      <c r="O38" s="1058">
        <f>IF(VOUT_setting=1,1,SQRT(1+(A38*zterm1)^2))</f>
        <v/>
      </c>
      <c r="P38" s="1059">
        <f>IF(VOUT_setting=1,0,ATAN(((A38*zterm1))))</f>
        <v/>
      </c>
      <c r="Q38" s="1056">
        <f>IF(VOUT_setting=1,1,SQRT((1+Afbr-$Q$5*(A38)^2)^2+(A38*$Q$4)^2))</f>
        <v/>
      </c>
      <c r="R38" s="1060">
        <f>IF(VOUT_setting=1,0,ATAN(A38*$Q$4/(1+Afbr-$Q$5*(A38)^2)))</f>
        <v/>
      </c>
      <c r="S38" s="1054">
        <f>SQRT((1-(Z38/pterm2))^2+(A38/pterm1)^2)</f>
        <v/>
      </c>
      <c r="T38" s="1055">
        <f>IF((ATAN((A38/pterm1)/(1-A38^2/pterm2))&gt;0),ATAN((A38/pterm1)/(1-A38^2/pterm2)),PI()+ATAN((A38/pterm1)/(1-A38^2/pterm2)))</f>
        <v/>
      </c>
      <c r="U38" s="331">
        <f>20*LOG10(((E38*K38*G38*O38)/(C38*I38*S38*M38*Q38))*Adc)</f>
        <v/>
      </c>
      <c r="V38" s="332">
        <f>((F38+L38+H38+P38)-(D38+J38+T38+N38+R38))*radconv</f>
        <v/>
      </c>
      <c r="W38" s="334">
        <f>IF(V38&gt;0,V38,V38+180)</f>
        <v/>
      </c>
      <c r="Y38" s="307">
        <f>IF(U38&lt;0,A38,1000000000)</f>
        <v/>
      </c>
      <c r="Z38" s="307">
        <f>A38^2</f>
        <v/>
      </c>
      <c r="AB38" s="333">
        <f>20*LOG10((K38/(I38*M38))*AEA)</f>
        <v/>
      </c>
      <c r="AC38" s="334">
        <f>(L38-(J38+N38))*radconv</f>
        <v/>
      </c>
      <c r="AE38" s="333">
        <f>20*LOG10((E38*G38/(C38*S38))*Acs*Am)</f>
        <v/>
      </c>
      <c r="AF38" s="334">
        <f>(F38+H38-(D38+T38))*radconv</f>
        <v/>
      </c>
      <c r="AH38">
        <f>SUM((U39&lt;0)*(U38&gt;0))*A38</f>
        <v/>
      </c>
      <c r="AI38">
        <f>IF(AH38&gt;0,W36,0)</f>
        <v/>
      </c>
    </row>
    <row r="39">
      <c r="A39" s="335" t="n">
        <v>10.965</v>
      </c>
      <c r="B39" s="352">
        <f>A39/1000</f>
        <v/>
      </c>
      <c r="C39" s="1047">
        <f>SQRT(1+(A39/pole1)^2)</f>
        <v/>
      </c>
      <c r="D39" s="1048">
        <f>ATAN(A39/pole1)</f>
        <v/>
      </c>
      <c r="E39" s="1048">
        <f>SQRT(1+(A39/Zero1)^2)</f>
        <v/>
      </c>
      <c r="F39" s="1049">
        <f>ATAN(A39/Zero1)</f>
        <v/>
      </c>
      <c r="G39" s="1048">
        <f>IF(VIN_nom&gt;Vout, 1, SQRT(1+(A39/z_RHP)^2))</f>
        <v/>
      </c>
      <c r="H39" s="1049">
        <f>IF(VIN_nom&gt;Vout, 0, -ATAN(A39/z_RHP))</f>
        <v/>
      </c>
      <c r="I39" s="1047">
        <f>SQRT(1+(A39/Pole2)^2)</f>
        <v/>
      </c>
      <c r="J39" s="1050">
        <f>ATAN(A39/Pole2)</f>
        <v/>
      </c>
      <c r="K39" s="1056">
        <f>SQRT(1+(A39/Zero2)^2)</f>
        <v/>
      </c>
      <c r="L39" s="1057">
        <f>ATAN(A39/Zero2)</f>
        <v/>
      </c>
      <c r="M39" s="1047">
        <f>SQRT(1+(A39/pole4)^2)</f>
        <v/>
      </c>
      <c r="N39" s="1057">
        <f>ATAN(A39/pole4)</f>
        <v/>
      </c>
      <c r="O39" s="1058">
        <f>IF(VOUT_setting=1,1,SQRT(1+(A39*zterm1)^2))</f>
        <v/>
      </c>
      <c r="P39" s="1059">
        <f>IF(VOUT_setting=1,0,ATAN(((A39*zterm1))))</f>
        <v/>
      </c>
      <c r="Q39" s="1056">
        <f>IF(VOUT_setting=1,1,SQRT((1+Afbr-$Q$5*(A39)^2)^2+(A39*$Q$4)^2))</f>
        <v/>
      </c>
      <c r="R39" s="1060">
        <f>IF(VOUT_setting=1,0,ATAN(A39*$Q$4/(1+Afbr-$Q$5*(A39)^2)))</f>
        <v/>
      </c>
      <c r="S39" s="1054">
        <f>SQRT((1-(Z39/pterm2))^2+(A39/pterm1)^2)</f>
        <v/>
      </c>
      <c r="T39" s="1055">
        <f>IF((ATAN((A39/pterm1)/(1-A39^2/pterm2))&gt;0),ATAN((A39/pterm1)/(1-A39^2/pterm2)),PI()+ATAN((A39/pterm1)/(1-A39^2/pterm2)))</f>
        <v/>
      </c>
      <c r="U39" s="331">
        <f>20*LOG10(((E39*K39*G39*O39)/(C39*I39*S39*M39*Q39))*Adc)</f>
        <v/>
      </c>
      <c r="V39" s="332">
        <f>((F39+L39+H39+P39)-(D39+J39+T39+N39+R39))*radconv</f>
        <v/>
      </c>
      <c r="W39" s="334">
        <f>IF(V39&gt;0,V39,V39+180)</f>
        <v/>
      </c>
      <c r="Y39" s="307">
        <f>IF(U39&lt;0,A39,1000000000)</f>
        <v/>
      </c>
      <c r="Z39" s="307">
        <f>A39^2</f>
        <v/>
      </c>
      <c r="AB39" s="333">
        <f>20*LOG10((K39/(I39*M39))*AEA)</f>
        <v/>
      </c>
      <c r="AC39" s="334">
        <f>(L39-(J39+N39))*radconv</f>
        <v/>
      </c>
      <c r="AE39" s="333">
        <f>20*LOG10((E39*G39/(C39*S39))*Acs*Am)</f>
        <v/>
      </c>
      <c r="AF39" s="334">
        <f>(F39+H39-(D39+T39))*radconv</f>
        <v/>
      </c>
      <c r="AH39">
        <f>SUM((U40&lt;0)*(U39&gt;0))*A39</f>
        <v/>
      </c>
      <c r="AI39">
        <f>IF(AH39&gt;0,W37,0)</f>
        <v/>
      </c>
    </row>
    <row r="40">
      <c r="A40" s="335" t="n">
        <v>12.023</v>
      </c>
      <c r="B40" s="352">
        <f>A40/1000</f>
        <v/>
      </c>
      <c r="C40" s="1047">
        <f>SQRT(1+(A40/pole1)^2)</f>
        <v/>
      </c>
      <c r="D40" s="1048">
        <f>ATAN(A40/pole1)</f>
        <v/>
      </c>
      <c r="E40" s="1048">
        <f>SQRT(1+(A40/Zero1)^2)</f>
        <v/>
      </c>
      <c r="F40" s="1049">
        <f>ATAN(A40/Zero1)</f>
        <v/>
      </c>
      <c r="G40" s="1048">
        <f>IF(VIN_nom&gt;Vout, 1, SQRT(1+(A40/z_RHP)^2))</f>
        <v/>
      </c>
      <c r="H40" s="1049">
        <f>IF(VIN_nom&gt;Vout, 0, -ATAN(A40/z_RHP))</f>
        <v/>
      </c>
      <c r="I40" s="1047">
        <f>SQRT(1+(A40/Pole2)^2)</f>
        <v/>
      </c>
      <c r="J40" s="1050">
        <f>ATAN(A40/Pole2)</f>
        <v/>
      </c>
      <c r="K40" s="1056">
        <f>SQRT(1+(A40/Zero2)^2)</f>
        <v/>
      </c>
      <c r="L40" s="1057">
        <f>ATAN(A40/Zero2)</f>
        <v/>
      </c>
      <c r="M40" s="1047">
        <f>SQRT(1+(A40/pole4)^2)</f>
        <v/>
      </c>
      <c r="N40" s="1057">
        <f>ATAN(A40/pole4)</f>
        <v/>
      </c>
      <c r="O40" s="1058">
        <f>IF(VOUT_setting=1,1,SQRT(1+(A40*zterm1)^2))</f>
        <v/>
      </c>
      <c r="P40" s="1059">
        <f>IF(VOUT_setting=1,0,ATAN(((A40*zterm1))))</f>
        <v/>
      </c>
      <c r="Q40" s="1056">
        <f>IF(VOUT_setting=1,1,SQRT((1+Afbr-$Q$5*(A40)^2)^2+(A40*$Q$4)^2))</f>
        <v/>
      </c>
      <c r="R40" s="1060">
        <f>IF(VOUT_setting=1,0,ATAN(A40*$Q$4/(1+Afbr-$Q$5*(A40)^2)))</f>
        <v/>
      </c>
      <c r="S40" s="1054">
        <f>SQRT((1-(Z40/pterm2))^2+(A40/pterm1)^2)</f>
        <v/>
      </c>
      <c r="T40" s="1055">
        <f>IF((ATAN((A40/pterm1)/(1-A40^2/pterm2))&gt;0),ATAN((A40/pterm1)/(1-A40^2/pterm2)),PI()+ATAN((A40/pterm1)/(1-A40^2/pterm2)))</f>
        <v/>
      </c>
      <c r="U40" s="331">
        <f>20*LOG10(((E40*K40*G40*O40)/(C40*I40*S40*M40*Q40))*Adc)</f>
        <v/>
      </c>
      <c r="V40" s="332">
        <f>((F40+L40+H40+P40)-(D40+J40+T40+N40+R40))*radconv</f>
        <v/>
      </c>
      <c r="W40" s="334">
        <f>IF(V40&gt;0,V40,V40+180)</f>
        <v/>
      </c>
      <c r="Y40" s="307">
        <f>IF(U40&lt;0,A40,1000000000)</f>
        <v/>
      </c>
      <c r="Z40" s="307">
        <f>A40^2</f>
        <v/>
      </c>
      <c r="AB40" s="333">
        <f>20*LOG10((K40/(I40*M40))*AEA)</f>
        <v/>
      </c>
      <c r="AC40" s="334">
        <f>(L40-(J40+N40))*radconv</f>
        <v/>
      </c>
      <c r="AE40" s="333">
        <f>20*LOG10((E40*G40/(C40*S40))*Acs*Am)</f>
        <v/>
      </c>
      <c r="AF40" s="334">
        <f>(F40+H40-(D40+T40))*radconv</f>
        <v/>
      </c>
      <c r="AH40">
        <f>SUM((U41&lt;0)*(U40&gt;0))*A40</f>
        <v/>
      </c>
      <c r="AI40">
        <f>IF(AH40&gt;0,W38,0)</f>
        <v/>
      </c>
    </row>
    <row r="41">
      <c r="A41" s="335" t="n">
        <v>13.183</v>
      </c>
      <c r="B41" s="352">
        <f>A41/1000</f>
        <v/>
      </c>
      <c r="C41" s="1047">
        <f>SQRT(1+(A41/pole1)^2)</f>
        <v/>
      </c>
      <c r="D41" s="1048">
        <f>ATAN(A41/pole1)</f>
        <v/>
      </c>
      <c r="E41" s="1048">
        <f>SQRT(1+(A41/Zero1)^2)</f>
        <v/>
      </c>
      <c r="F41" s="1049">
        <f>ATAN(A41/Zero1)</f>
        <v/>
      </c>
      <c r="G41" s="1048">
        <f>IF(VIN_nom&gt;Vout, 1, SQRT(1+(A41/z_RHP)^2))</f>
        <v/>
      </c>
      <c r="H41" s="1049">
        <f>IF(VIN_nom&gt;Vout, 0, -ATAN(A41/z_RHP))</f>
        <v/>
      </c>
      <c r="I41" s="1047">
        <f>SQRT(1+(A41/Pole2)^2)</f>
        <v/>
      </c>
      <c r="J41" s="1050">
        <f>ATAN(A41/Pole2)</f>
        <v/>
      </c>
      <c r="K41" s="1056">
        <f>SQRT(1+(A41/Zero2)^2)</f>
        <v/>
      </c>
      <c r="L41" s="1057">
        <f>ATAN(A41/Zero2)</f>
        <v/>
      </c>
      <c r="M41" s="1047">
        <f>SQRT(1+(A41/pole4)^2)</f>
        <v/>
      </c>
      <c r="N41" s="1057">
        <f>ATAN(A41/pole4)</f>
        <v/>
      </c>
      <c r="O41" s="1058">
        <f>IF(VOUT_setting=1,1,SQRT(1+(A41*zterm1)^2))</f>
        <v/>
      </c>
      <c r="P41" s="1059">
        <f>IF(VOUT_setting=1,0,ATAN(((A41*zterm1))))</f>
        <v/>
      </c>
      <c r="Q41" s="1056">
        <f>IF(VOUT_setting=1,1,SQRT((1+Afbr-$Q$5*(A41)^2)^2+(A41*$Q$4)^2))</f>
        <v/>
      </c>
      <c r="R41" s="1060">
        <f>IF(VOUT_setting=1,0,ATAN(A41*$Q$4/(1+Afbr-$Q$5*(A41)^2)))</f>
        <v/>
      </c>
      <c r="S41" s="1054">
        <f>SQRT((1-(Z41/pterm2))^2+(A41/pterm1)^2)</f>
        <v/>
      </c>
      <c r="T41" s="1055">
        <f>IF((ATAN((A41/pterm1)/(1-A41^2/pterm2))&gt;0),ATAN((A41/pterm1)/(1-A41^2/pterm2)),PI()+ATAN((A41/pterm1)/(1-A41^2/pterm2)))</f>
        <v/>
      </c>
      <c r="U41" s="331">
        <f>20*LOG10(((E41*K41*G41*O41)/(C41*I41*S41*M41*Q41))*Adc)</f>
        <v/>
      </c>
      <c r="V41" s="332">
        <f>((F41+L41+H41+P41)-(D41+J41+T41+N41+R41))*radconv</f>
        <v/>
      </c>
      <c r="W41" s="334">
        <f>IF(V41&gt;0,V41,V41+180)</f>
        <v/>
      </c>
      <c r="Y41" s="307">
        <f>IF(U41&lt;0,A41,1000000000)</f>
        <v/>
      </c>
      <c r="Z41" s="307">
        <f>A41^2</f>
        <v/>
      </c>
      <c r="AB41" s="333">
        <f>20*LOG10((K41/(I41*M41))*AEA)</f>
        <v/>
      </c>
      <c r="AC41" s="334">
        <f>(L41-(J41+N41))*radconv</f>
        <v/>
      </c>
      <c r="AE41" s="333">
        <f>20*LOG10((E41*G41/(C41*S41))*Acs*Am)</f>
        <v/>
      </c>
      <c r="AF41" s="334">
        <f>(F41+H41-(D41+T41))*radconv</f>
        <v/>
      </c>
      <c r="AH41">
        <f>SUM((U42&lt;0)*(U41&gt;0))*A41</f>
        <v/>
      </c>
      <c r="AI41">
        <f>IF(AH41&gt;0,W39,0)</f>
        <v/>
      </c>
    </row>
    <row r="42">
      <c r="A42" s="335" t="n">
        <v>14.454</v>
      </c>
      <c r="B42" s="352">
        <f>A42/1000</f>
        <v/>
      </c>
      <c r="C42" s="1047">
        <f>SQRT(1+(A42/pole1)^2)</f>
        <v/>
      </c>
      <c r="D42" s="1048">
        <f>ATAN(A42/pole1)</f>
        <v/>
      </c>
      <c r="E42" s="1048">
        <f>SQRT(1+(A42/Zero1)^2)</f>
        <v/>
      </c>
      <c r="F42" s="1049">
        <f>ATAN(A42/Zero1)</f>
        <v/>
      </c>
      <c r="G42" s="1048">
        <f>IF(VIN_nom&gt;Vout, 1, SQRT(1+(A42/z_RHP)^2))</f>
        <v/>
      </c>
      <c r="H42" s="1049">
        <f>IF(VIN_nom&gt;Vout, 0, -ATAN(A42/z_RHP))</f>
        <v/>
      </c>
      <c r="I42" s="1047">
        <f>SQRT(1+(A42/Pole2)^2)</f>
        <v/>
      </c>
      <c r="J42" s="1050">
        <f>ATAN(A42/Pole2)</f>
        <v/>
      </c>
      <c r="K42" s="1056">
        <f>SQRT(1+(A42/Zero2)^2)</f>
        <v/>
      </c>
      <c r="L42" s="1057">
        <f>ATAN(A42/Zero2)</f>
        <v/>
      </c>
      <c r="M42" s="1047">
        <f>SQRT(1+(A42/pole4)^2)</f>
        <v/>
      </c>
      <c r="N42" s="1057">
        <f>ATAN(A42/pole4)</f>
        <v/>
      </c>
      <c r="O42" s="1058">
        <f>IF(VOUT_setting=1,1,SQRT(1+(A42*zterm1)^2))</f>
        <v/>
      </c>
      <c r="P42" s="1059">
        <f>IF(VOUT_setting=1,0,ATAN(((A42*zterm1))))</f>
        <v/>
      </c>
      <c r="Q42" s="1056">
        <f>IF(VOUT_setting=1,1,SQRT((1+Afbr-$Q$5*(A42)^2)^2+(A42*$Q$4)^2))</f>
        <v/>
      </c>
      <c r="R42" s="1060">
        <f>IF(VOUT_setting=1,0,ATAN(A42*$Q$4/(1+Afbr-$Q$5*(A42)^2)))</f>
        <v/>
      </c>
      <c r="S42" s="1054">
        <f>SQRT((1-(Z42/pterm2))^2+(A42/pterm1)^2)</f>
        <v/>
      </c>
      <c r="T42" s="1055">
        <f>IF((ATAN((A42/pterm1)/(1-A42^2/pterm2))&gt;0),ATAN((A42/pterm1)/(1-A42^2/pterm2)),PI()+ATAN((A42/pterm1)/(1-A42^2/pterm2)))</f>
        <v/>
      </c>
      <c r="U42" s="331">
        <f>20*LOG10(((E42*K42*G42*O42)/(C42*I42*S42*M42*Q42))*Adc)</f>
        <v/>
      </c>
      <c r="V42" s="332">
        <f>((F42+L42+H42+P42)-(D42+J42+T42+N42+R42))*radconv</f>
        <v/>
      </c>
      <c r="W42" s="334">
        <f>IF(V42&gt;0,V42,V42+180)</f>
        <v/>
      </c>
      <c r="Y42" s="307">
        <f>IF(U42&lt;0,A42,1000000000)</f>
        <v/>
      </c>
      <c r="Z42" s="307">
        <f>A42^2</f>
        <v/>
      </c>
      <c r="AB42" s="333">
        <f>20*LOG10((K42/(I42*M42))*AEA)</f>
        <v/>
      </c>
      <c r="AC42" s="334">
        <f>(L42-(J42+N42))*radconv</f>
        <v/>
      </c>
      <c r="AE42" s="333">
        <f>20*LOG10((E42*G42/(C42*S42))*Acs*Am)</f>
        <v/>
      </c>
      <c r="AF42" s="334">
        <f>(F42+H42-(D42+T42))*radconv</f>
        <v/>
      </c>
      <c r="AH42">
        <f>SUM((U43&lt;0)*(U42&gt;0))*A42</f>
        <v/>
      </c>
      <c r="AI42">
        <f>IF(AH42&gt;0,W40,0)</f>
        <v/>
      </c>
    </row>
    <row r="43">
      <c r="A43" s="335" t="n">
        <v>15.849</v>
      </c>
      <c r="B43" s="352">
        <f>A43/1000</f>
        <v/>
      </c>
      <c r="C43" s="1047">
        <f>SQRT(1+(A43/pole1)^2)</f>
        <v/>
      </c>
      <c r="D43" s="1048">
        <f>ATAN(A43/pole1)</f>
        <v/>
      </c>
      <c r="E43" s="1048">
        <f>SQRT(1+(A43/Zero1)^2)</f>
        <v/>
      </c>
      <c r="F43" s="1049">
        <f>ATAN(A43/Zero1)</f>
        <v/>
      </c>
      <c r="G43" s="1048">
        <f>IF(VIN_nom&gt;Vout, 1, SQRT(1+(A43/z_RHP)^2))</f>
        <v/>
      </c>
      <c r="H43" s="1049">
        <f>IF(VIN_nom&gt;Vout, 0, -ATAN(A43/z_RHP))</f>
        <v/>
      </c>
      <c r="I43" s="1047">
        <f>SQRT(1+(A43/Pole2)^2)</f>
        <v/>
      </c>
      <c r="J43" s="1050">
        <f>ATAN(A43/Pole2)</f>
        <v/>
      </c>
      <c r="K43" s="1056">
        <f>SQRT(1+(A43/Zero2)^2)</f>
        <v/>
      </c>
      <c r="L43" s="1057">
        <f>ATAN(A43/Zero2)</f>
        <v/>
      </c>
      <c r="M43" s="1047">
        <f>SQRT(1+(A43/pole4)^2)</f>
        <v/>
      </c>
      <c r="N43" s="1057">
        <f>ATAN(A43/pole4)</f>
        <v/>
      </c>
      <c r="O43" s="1058">
        <f>IF(VOUT_setting=1,1,SQRT(1+(A43*zterm1)^2))</f>
        <v/>
      </c>
      <c r="P43" s="1059">
        <f>IF(VOUT_setting=1,0,ATAN(((A43*zterm1))))</f>
        <v/>
      </c>
      <c r="Q43" s="1056">
        <f>IF(VOUT_setting=1,1,SQRT((1+Afbr-$Q$5*(A43)^2)^2+(A43*$Q$4)^2))</f>
        <v/>
      </c>
      <c r="R43" s="1060">
        <f>IF(VOUT_setting=1,0,ATAN(A43*$Q$4/(1+Afbr-$Q$5*(A43)^2)))</f>
        <v/>
      </c>
      <c r="S43" s="1054">
        <f>SQRT((1-(Z43/pterm2))^2+(A43/pterm1)^2)</f>
        <v/>
      </c>
      <c r="T43" s="1055">
        <f>IF((ATAN((A43/pterm1)/(1-A43^2/pterm2))&gt;0),ATAN((A43/pterm1)/(1-A43^2/pterm2)),PI()+ATAN((A43/pterm1)/(1-A43^2/pterm2)))</f>
        <v/>
      </c>
      <c r="U43" s="331">
        <f>20*LOG10(((E43*K43*G43*O43)/(C43*I43*S43*M43*Q43))*Adc)</f>
        <v/>
      </c>
      <c r="V43" s="332">
        <f>((F43+L43+H43+P43)-(D43+J43+T43+N43+R43))*radconv</f>
        <v/>
      </c>
      <c r="W43" s="334">
        <f>IF(V43&gt;0,V43,V43+180)</f>
        <v/>
      </c>
      <c r="Y43" s="307">
        <f>IF(U43&lt;0,A43,1000000000)</f>
        <v/>
      </c>
      <c r="Z43" s="307">
        <f>A43^2</f>
        <v/>
      </c>
      <c r="AB43" s="333">
        <f>20*LOG10((K43/(I43*M43))*AEA)</f>
        <v/>
      </c>
      <c r="AC43" s="334">
        <f>(L43-(J43+N43))*radconv</f>
        <v/>
      </c>
      <c r="AE43" s="333">
        <f>20*LOG10((E43*G43/(C43*S43))*Acs*Am)</f>
        <v/>
      </c>
      <c r="AF43" s="334">
        <f>(F43+H43-(D43+T43))*radconv</f>
        <v/>
      </c>
      <c r="AH43">
        <f>SUM((U44&lt;0)*(U43&gt;0))*A43</f>
        <v/>
      </c>
      <c r="AI43">
        <f>IF(AH43&gt;0,W41,0)</f>
        <v/>
      </c>
    </row>
    <row r="44">
      <c r="A44" s="335" t="n">
        <v>17.378</v>
      </c>
      <c r="B44" s="352">
        <f>A44/1000</f>
        <v/>
      </c>
      <c r="C44" s="1047">
        <f>SQRT(1+(A44/pole1)^2)</f>
        <v/>
      </c>
      <c r="D44" s="1048">
        <f>ATAN(A44/pole1)</f>
        <v/>
      </c>
      <c r="E44" s="1048">
        <f>SQRT(1+(A44/Zero1)^2)</f>
        <v/>
      </c>
      <c r="F44" s="1049">
        <f>ATAN(A44/Zero1)</f>
        <v/>
      </c>
      <c r="G44" s="1048">
        <f>IF(VIN_nom&gt;Vout, 1, SQRT(1+(A44/z_RHP)^2))</f>
        <v/>
      </c>
      <c r="H44" s="1049">
        <f>IF(VIN_nom&gt;Vout, 0, -ATAN(A44/z_RHP))</f>
        <v/>
      </c>
      <c r="I44" s="1047">
        <f>SQRT(1+(A44/Pole2)^2)</f>
        <v/>
      </c>
      <c r="J44" s="1050">
        <f>ATAN(A44/Pole2)</f>
        <v/>
      </c>
      <c r="K44" s="1056">
        <f>SQRT(1+(A44/Zero2)^2)</f>
        <v/>
      </c>
      <c r="L44" s="1057">
        <f>ATAN(A44/Zero2)</f>
        <v/>
      </c>
      <c r="M44" s="1047">
        <f>SQRT(1+(A44/pole4)^2)</f>
        <v/>
      </c>
      <c r="N44" s="1057">
        <f>ATAN(A44/pole4)</f>
        <v/>
      </c>
      <c r="O44" s="1058">
        <f>IF(VOUT_setting=1,1,SQRT(1+(A44*zterm1)^2))</f>
        <v/>
      </c>
      <c r="P44" s="1059">
        <f>IF(VOUT_setting=1,0,ATAN(((A44*zterm1))))</f>
        <v/>
      </c>
      <c r="Q44" s="1056">
        <f>IF(VOUT_setting=1,1,SQRT((1+Afbr-$Q$5*(A44)^2)^2+(A44*$Q$4)^2))</f>
        <v/>
      </c>
      <c r="R44" s="1060">
        <f>IF(VOUT_setting=1,0,ATAN(A44*$Q$4/(1+Afbr-$Q$5*(A44)^2)))</f>
        <v/>
      </c>
      <c r="S44" s="1054">
        <f>SQRT((1-(Z44/pterm2))^2+(A44/pterm1)^2)</f>
        <v/>
      </c>
      <c r="T44" s="1055">
        <f>IF((ATAN((A44/pterm1)/(1-A44^2/pterm2))&gt;0),ATAN((A44/pterm1)/(1-A44^2/pterm2)),PI()+ATAN((A44/pterm1)/(1-A44^2/pterm2)))</f>
        <v/>
      </c>
      <c r="U44" s="331">
        <f>20*LOG10(((E44*K44*G44*O44)/(C44*I44*S44*M44*Q44))*Adc)</f>
        <v/>
      </c>
      <c r="V44" s="332">
        <f>((F44+L44+H44+P44)-(D44+J44+T44+N44+R44))*radconv</f>
        <v/>
      </c>
      <c r="W44" s="334">
        <f>IF(V44&gt;0,V44,V44+180)</f>
        <v/>
      </c>
      <c r="Y44" s="307">
        <f>IF(U44&lt;0,A44,1000000000)</f>
        <v/>
      </c>
      <c r="Z44" s="307">
        <f>A44^2</f>
        <v/>
      </c>
      <c r="AB44" s="333">
        <f>20*LOG10((K44/(I44*M44))*AEA)</f>
        <v/>
      </c>
      <c r="AC44" s="334">
        <f>(L44-(J44+N44))*radconv</f>
        <v/>
      </c>
      <c r="AE44" s="333">
        <f>20*LOG10((E44*G44/(C44*S44))*Acs*Am)</f>
        <v/>
      </c>
      <c r="AF44" s="334">
        <f>(F44+H44-(D44+T44))*radconv</f>
        <v/>
      </c>
      <c r="AH44">
        <f>SUM((U45&lt;0)*(U44&gt;0))*A44</f>
        <v/>
      </c>
      <c r="AI44">
        <f>IF(AH44&gt;0,W42,0)</f>
        <v/>
      </c>
    </row>
    <row r="45">
      <c r="A45" s="335" t="n">
        <v>19.055</v>
      </c>
      <c r="B45" s="352">
        <f>A45/1000</f>
        <v/>
      </c>
      <c r="C45" s="1047">
        <f>SQRT(1+(A45/pole1)^2)</f>
        <v/>
      </c>
      <c r="D45" s="1048">
        <f>ATAN(A45/pole1)</f>
        <v/>
      </c>
      <c r="E45" s="1048">
        <f>SQRT(1+(A45/Zero1)^2)</f>
        <v/>
      </c>
      <c r="F45" s="1049">
        <f>ATAN(A45/Zero1)</f>
        <v/>
      </c>
      <c r="G45" s="1048">
        <f>IF(VIN_nom&gt;Vout, 1, SQRT(1+(A45/z_RHP)^2))</f>
        <v/>
      </c>
      <c r="H45" s="1049">
        <f>IF(VIN_nom&gt;Vout, 0, -ATAN(A45/z_RHP))</f>
        <v/>
      </c>
      <c r="I45" s="1047">
        <f>SQRT(1+(A45/Pole2)^2)</f>
        <v/>
      </c>
      <c r="J45" s="1050">
        <f>ATAN(A45/Pole2)</f>
        <v/>
      </c>
      <c r="K45" s="1056">
        <f>SQRT(1+(A45/Zero2)^2)</f>
        <v/>
      </c>
      <c r="L45" s="1057">
        <f>ATAN(A45/Zero2)</f>
        <v/>
      </c>
      <c r="M45" s="1047">
        <f>SQRT(1+(A45/pole4)^2)</f>
        <v/>
      </c>
      <c r="N45" s="1057">
        <f>ATAN(A45/pole4)</f>
        <v/>
      </c>
      <c r="O45" s="1058">
        <f>IF(VOUT_setting=1,1,SQRT(1+(A45*zterm1)^2))</f>
        <v/>
      </c>
      <c r="P45" s="1059">
        <f>IF(VOUT_setting=1,0,ATAN(((A45*zterm1))))</f>
        <v/>
      </c>
      <c r="Q45" s="1056">
        <f>IF(VOUT_setting=1,1,SQRT((1+Afbr-$Q$5*(A45)^2)^2+(A45*$Q$4)^2))</f>
        <v/>
      </c>
      <c r="R45" s="1060">
        <f>IF(VOUT_setting=1,0,ATAN(A45*$Q$4/(1+Afbr-$Q$5*(A45)^2)))</f>
        <v/>
      </c>
      <c r="S45" s="1054">
        <f>SQRT((1-(Z45/pterm2))^2+(A45/pterm1)^2)</f>
        <v/>
      </c>
      <c r="T45" s="1055">
        <f>IF((ATAN((A45/pterm1)/(1-A45^2/pterm2))&gt;0),ATAN((A45/pterm1)/(1-A45^2/pterm2)),PI()+ATAN((A45/pterm1)/(1-A45^2/pterm2)))</f>
        <v/>
      </c>
      <c r="U45" s="331">
        <f>20*LOG10(((E45*K45*G45*O45)/(C45*I45*S45*M45*Q45))*Adc)</f>
        <v/>
      </c>
      <c r="V45" s="332">
        <f>((F45+L45+H45+P45)-(D45+J45+T45+N45+R45))*radconv</f>
        <v/>
      </c>
      <c r="W45" s="334">
        <f>IF(V45&gt;0,V45,V45+180)</f>
        <v/>
      </c>
      <c r="Y45" s="307">
        <f>IF(U45&lt;0,A45,1000000000)</f>
        <v/>
      </c>
      <c r="Z45" s="307">
        <f>A45^2</f>
        <v/>
      </c>
      <c r="AB45" s="333">
        <f>20*LOG10((K45/(I45*M45))*AEA)</f>
        <v/>
      </c>
      <c r="AC45" s="334">
        <f>(L45-(J45+N45))*radconv</f>
        <v/>
      </c>
      <c r="AE45" s="333">
        <f>20*LOG10((E45*G45/(C45*S45))*Acs*Am)</f>
        <v/>
      </c>
      <c r="AF45" s="334">
        <f>(F45+H45-(D45+T45))*radconv</f>
        <v/>
      </c>
      <c r="AH45">
        <f>SUM((U46&lt;0)*(U45&gt;0))*A45</f>
        <v/>
      </c>
      <c r="AI45">
        <f>IF(AH45&gt;0,W43,0)</f>
        <v/>
      </c>
    </row>
    <row r="46">
      <c r="A46" s="335" t="n">
        <v>20.893</v>
      </c>
      <c r="B46" s="352">
        <f>A46/1000</f>
        <v/>
      </c>
      <c r="C46" s="1047">
        <f>SQRT(1+(A46/pole1)^2)</f>
        <v/>
      </c>
      <c r="D46" s="1048">
        <f>ATAN(A46/pole1)</f>
        <v/>
      </c>
      <c r="E46" s="1048">
        <f>SQRT(1+(A46/Zero1)^2)</f>
        <v/>
      </c>
      <c r="F46" s="1049">
        <f>ATAN(A46/Zero1)</f>
        <v/>
      </c>
      <c r="G46" s="1048">
        <f>IF(VIN_nom&gt;Vout, 1, SQRT(1+(A46/z_RHP)^2))</f>
        <v/>
      </c>
      <c r="H46" s="1049">
        <f>IF(VIN_nom&gt;Vout, 0, -ATAN(A46/z_RHP))</f>
        <v/>
      </c>
      <c r="I46" s="1047">
        <f>SQRT(1+(A46/Pole2)^2)</f>
        <v/>
      </c>
      <c r="J46" s="1050">
        <f>ATAN(A46/Pole2)</f>
        <v/>
      </c>
      <c r="K46" s="1056">
        <f>SQRT(1+(A46/Zero2)^2)</f>
        <v/>
      </c>
      <c r="L46" s="1057">
        <f>ATAN(A46/Zero2)</f>
        <v/>
      </c>
      <c r="M46" s="1047">
        <f>SQRT(1+(A46/pole4)^2)</f>
        <v/>
      </c>
      <c r="N46" s="1057">
        <f>ATAN(A46/pole4)</f>
        <v/>
      </c>
      <c r="O46" s="1058">
        <f>IF(VOUT_setting=1,1,SQRT(1+(A46*zterm1)^2))</f>
        <v/>
      </c>
      <c r="P46" s="1059">
        <f>IF(VOUT_setting=1,0,ATAN(((A46*zterm1))))</f>
        <v/>
      </c>
      <c r="Q46" s="1056">
        <f>IF(VOUT_setting=1,1,SQRT((1+Afbr-$Q$5*(A46)^2)^2+(A46*$Q$4)^2))</f>
        <v/>
      </c>
      <c r="R46" s="1060">
        <f>IF(VOUT_setting=1,0,ATAN(A46*$Q$4/(1+Afbr-$Q$5*(A46)^2)))</f>
        <v/>
      </c>
      <c r="S46" s="1054">
        <f>SQRT((1-(Z46/pterm2))^2+(A46/pterm1)^2)</f>
        <v/>
      </c>
      <c r="T46" s="1055">
        <f>IF((ATAN((A46/pterm1)/(1-A46^2/pterm2))&gt;0),ATAN((A46/pterm1)/(1-A46^2/pterm2)),PI()+ATAN((A46/pterm1)/(1-A46^2/pterm2)))</f>
        <v/>
      </c>
      <c r="U46" s="331">
        <f>20*LOG10(((E46*K46*G46*O46)/(C46*I46*S46*M46*Q46))*Adc)</f>
        <v/>
      </c>
      <c r="V46" s="332">
        <f>((F46+L46+H46+P46)-(D46+J46+T46+N46+R46))*radconv</f>
        <v/>
      </c>
      <c r="W46" s="334">
        <f>IF(V46&gt;0,V46,V46+180)</f>
        <v/>
      </c>
      <c r="Y46" s="307">
        <f>IF(U46&lt;0,A46,1000000000)</f>
        <v/>
      </c>
      <c r="Z46" s="307">
        <f>A46^2</f>
        <v/>
      </c>
      <c r="AB46" s="333">
        <f>20*LOG10((K46/(I46*M46))*AEA)</f>
        <v/>
      </c>
      <c r="AC46" s="334">
        <f>(L46-(J46+N46))*radconv</f>
        <v/>
      </c>
      <c r="AE46" s="333">
        <f>20*LOG10((E46*G46/(C46*S46))*Acs*Am)</f>
        <v/>
      </c>
      <c r="AF46" s="334">
        <f>(F46+H46-(D46+T46))*radconv</f>
        <v/>
      </c>
      <c r="AH46">
        <f>SUM((U47&lt;0)*(U46&gt;0))*A46</f>
        <v/>
      </c>
      <c r="AI46">
        <f>IF(AH46&gt;0,W44,0)</f>
        <v/>
      </c>
    </row>
    <row r="47">
      <c r="A47" s="335" t="n">
        <v>22.909</v>
      </c>
      <c r="B47" s="352">
        <f>A47/1000</f>
        <v/>
      </c>
      <c r="C47" s="1047">
        <f>SQRT(1+(A47/pole1)^2)</f>
        <v/>
      </c>
      <c r="D47" s="1048">
        <f>ATAN(A47/pole1)</f>
        <v/>
      </c>
      <c r="E47" s="1048">
        <f>SQRT(1+(A47/Zero1)^2)</f>
        <v/>
      </c>
      <c r="F47" s="1049">
        <f>ATAN(A47/Zero1)</f>
        <v/>
      </c>
      <c r="G47" s="1048">
        <f>IF(VIN_nom&gt;Vout, 1, SQRT(1+(A47/z_RHP)^2))</f>
        <v/>
      </c>
      <c r="H47" s="1049">
        <f>IF(VIN_nom&gt;Vout, 0, -ATAN(A47/z_RHP))</f>
        <v/>
      </c>
      <c r="I47" s="1047">
        <f>SQRT(1+(A47/Pole2)^2)</f>
        <v/>
      </c>
      <c r="J47" s="1050">
        <f>ATAN(A47/Pole2)</f>
        <v/>
      </c>
      <c r="K47" s="1056">
        <f>SQRT(1+(A47/Zero2)^2)</f>
        <v/>
      </c>
      <c r="L47" s="1057">
        <f>ATAN(A47/Zero2)</f>
        <v/>
      </c>
      <c r="M47" s="1047">
        <f>SQRT(1+(A47/pole4)^2)</f>
        <v/>
      </c>
      <c r="N47" s="1057">
        <f>ATAN(A47/pole4)</f>
        <v/>
      </c>
      <c r="O47" s="1058">
        <f>IF(VOUT_setting=1,1,SQRT(1+(A47*zterm1)^2))</f>
        <v/>
      </c>
      <c r="P47" s="1059">
        <f>IF(VOUT_setting=1,0,ATAN(((A47*zterm1))))</f>
        <v/>
      </c>
      <c r="Q47" s="1056">
        <f>IF(VOUT_setting=1,1,SQRT((1+Afbr-$Q$5*(A47)^2)^2+(A47*$Q$4)^2))</f>
        <v/>
      </c>
      <c r="R47" s="1060">
        <f>IF(VOUT_setting=1,0,ATAN(A47*$Q$4/(1+Afbr-$Q$5*(A47)^2)))</f>
        <v/>
      </c>
      <c r="S47" s="1054">
        <f>SQRT((1-(Z47/pterm2))^2+(A47/pterm1)^2)</f>
        <v/>
      </c>
      <c r="T47" s="1055">
        <f>IF((ATAN((A47/pterm1)/(1-A47^2/pterm2))&gt;0),ATAN((A47/pterm1)/(1-A47^2/pterm2)),PI()+ATAN((A47/pterm1)/(1-A47^2/pterm2)))</f>
        <v/>
      </c>
      <c r="U47" s="331">
        <f>20*LOG10(((E47*K47*G47*O47)/(C47*I47*S47*M47*Q47))*Adc)</f>
        <v/>
      </c>
      <c r="V47" s="332">
        <f>((F47+L47+H47+P47)-(D47+J47+T47+N47+R47))*radconv</f>
        <v/>
      </c>
      <c r="W47" s="334">
        <f>IF(V47&gt;0,V47,V47+180)</f>
        <v/>
      </c>
      <c r="Y47" s="307">
        <f>IF(U47&lt;0,A47,1000000000)</f>
        <v/>
      </c>
      <c r="Z47" s="307">
        <f>A47^2</f>
        <v/>
      </c>
      <c r="AB47" s="333">
        <f>20*LOG10((K47/(I47*M47))*AEA)</f>
        <v/>
      </c>
      <c r="AC47" s="334">
        <f>(L47-(J47+N47))*radconv</f>
        <v/>
      </c>
      <c r="AE47" s="333">
        <f>20*LOG10((E47*G47/(C47*S47))*Acs*Am)</f>
        <v/>
      </c>
      <c r="AF47" s="334">
        <f>(F47+H47-(D47+T47))*radconv</f>
        <v/>
      </c>
      <c r="AH47">
        <f>SUM((U48&lt;0)*(U47&gt;0))*A47</f>
        <v/>
      </c>
      <c r="AI47">
        <f>IF(AH47&gt;0,W45,0)</f>
        <v/>
      </c>
    </row>
    <row r="48">
      <c r="A48" s="335" t="n">
        <v>25.119</v>
      </c>
      <c r="B48" s="352">
        <f>A48/1000</f>
        <v/>
      </c>
      <c r="C48" s="1047">
        <f>SQRT(1+(A48/pole1)^2)</f>
        <v/>
      </c>
      <c r="D48" s="1048">
        <f>ATAN(A48/pole1)</f>
        <v/>
      </c>
      <c r="E48" s="1048">
        <f>SQRT(1+(A48/Zero1)^2)</f>
        <v/>
      </c>
      <c r="F48" s="1049">
        <f>ATAN(A48/Zero1)</f>
        <v/>
      </c>
      <c r="G48" s="1048">
        <f>IF(VIN_nom&gt;Vout, 1, SQRT(1+(A48/z_RHP)^2))</f>
        <v/>
      </c>
      <c r="H48" s="1049">
        <f>IF(VIN_nom&gt;Vout, 0, -ATAN(A48/z_RHP))</f>
        <v/>
      </c>
      <c r="I48" s="1047">
        <f>SQRT(1+(A48/Pole2)^2)</f>
        <v/>
      </c>
      <c r="J48" s="1050">
        <f>ATAN(A48/Pole2)</f>
        <v/>
      </c>
      <c r="K48" s="1056">
        <f>SQRT(1+(A48/Zero2)^2)</f>
        <v/>
      </c>
      <c r="L48" s="1057">
        <f>ATAN(A48/Zero2)</f>
        <v/>
      </c>
      <c r="M48" s="1047">
        <f>SQRT(1+(A48/pole4)^2)</f>
        <v/>
      </c>
      <c r="N48" s="1057">
        <f>ATAN(A48/pole4)</f>
        <v/>
      </c>
      <c r="O48" s="1058">
        <f>IF(VOUT_setting=1,1,SQRT(1+(A48*zterm1)^2))</f>
        <v/>
      </c>
      <c r="P48" s="1059">
        <f>IF(VOUT_setting=1,0,ATAN(((A48*zterm1))))</f>
        <v/>
      </c>
      <c r="Q48" s="1056">
        <f>IF(VOUT_setting=1,1,SQRT((1+Afbr-$Q$5*(A48)^2)^2+(A48*$Q$4)^2))</f>
        <v/>
      </c>
      <c r="R48" s="1060">
        <f>IF(VOUT_setting=1,0,ATAN(A48*$Q$4/(1+Afbr-$Q$5*(A48)^2)))</f>
        <v/>
      </c>
      <c r="S48" s="1054">
        <f>SQRT((1-(Z48/pterm2))^2+(A48/pterm1)^2)</f>
        <v/>
      </c>
      <c r="T48" s="1055">
        <f>IF((ATAN((A48/pterm1)/(1-A48^2/pterm2))&gt;0),ATAN((A48/pterm1)/(1-A48^2/pterm2)),PI()+ATAN((A48/pterm1)/(1-A48^2/pterm2)))</f>
        <v/>
      </c>
      <c r="U48" s="331">
        <f>20*LOG10(((E48*K48*G48*O48)/(C48*I48*S48*M48*Q48))*Adc)</f>
        <v/>
      </c>
      <c r="V48" s="332">
        <f>((F48+L48+H48+P48)-(D48+J48+T48+N48+R48))*radconv</f>
        <v/>
      </c>
      <c r="W48" s="334">
        <f>IF(V48&gt;0,V48,V48+180)</f>
        <v/>
      </c>
      <c r="Y48" s="307">
        <f>IF(U48&lt;0,A48,1000000000)</f>
        <v/>
      </c>
      <c r="Z48" s="307">
        <f>A48^2</f>
        <v/>
      </c>
      <c r="AB48" s="333">
        <f>20*LOG10((K48/(I48*M48))*AEA)</f>
        <v/>
      </c>
      <c r="AC48" s="334">
        <f>(L48-(J48+N48))*radconv</f>
        <v/>
      </c>
      <c r="AE48" s="333">
        <f>20*LOG10((E48*G48/(C48*S48))*Acs*Am)</f>
        <v/>
      </c>
      <c r="AF48" s="334">
        <f>(F48+H48-(D48+T48))*radconv</f>
        <v/>
      </c>
      <c r="AH48">
        <f>SUM((U49&lt;0)*(U48&gt;0))*A48</f>
        <v/>
      </c>
      <c r="AI48">
        <f>IF(AH48&gt;0,W46,0)</f>
        <v/>
      </c>
    </row>
    <row r="49">
      <c r="A49" s="335" t="n">
        <v>27.542</v>
      </c>
      <c r="B49" s="352">
        <f>A49/1000</f>
        <v/>
      </c>
      <c r="C49" s="1047">
        <f>SQRT(1+(A49/pole1)^2)</f>
        <v/>
      </c>
      <c r="D49" s="1048">
        <f>ATAN(A49/pole1)</f>
        <v/>
      </c>
      <c r="E49" s="1048">
        <f>SQRT(1+(A49/Zero1)^2)</f>
        <v/>
      </c>
      <c r="F49" s="1049">
        <f>ATAN(A49/Zero1)</f>
        <v/>
      </c>
      <c r="G49" s="1048">
        <f>IF(VIN_nom&gt;Vout, 1, SQRT(1+(A49/z_RHP)^2))</f>
        <v/>
      </c>
      <c r="H49" s="1049">
        <f>IF(VIN_nom&gt;Vout, 0, -ATAN(A49/z_RHP))</f>
        <v/>
      </c>
      <c r="I49" s="1047">
        <f>SQRT(1+(A49/Pole2)^2)</f>
        <v/>
      </c>
      <c r="J49" s="1050">
        <f>ATAN(A49/Pole2)</f>
        <v/>
      </c>
      <c r="K49" s="1056">
        <f>SQRT(1+(A49/Zero2)^2)</f>
        <v/>
      </c>
      <c r="L49" s="1057">
        <f>ATAN(A49/Zero2)</f>
        <v/>
      </c>
      <c r="M49" s="1047">
        <f>SQRT(1+(A49/pole4)^2)</f>
        <v/>
      </c>
      <c r="N49" s="1057">
        <f>ATAN(A49/pole4)</f>
        <v/>
      </c>
      <c r="O49" s="1058">
        <f>IF(VOUT_setting=1,1,SQRT(1+(A49*zterm1)^2))</f>
        <v/>
      </c>
      <c r="P49" s="1059">
        <f>IF(VOUT_setting=1,0,ATAN(((A49*zterm1))))</f>
        <v/>
      </c>
      <c r="Q49" s="1056">
        <f>IF(VOUT_setting=1,1,SQRT((1+Afbr-$Q$5*(A49)^2)^2+(A49*$Q$4)^2))</f>
        <v/>
      </c>
      <c r="R49" s="1060">
        <f>IF(VOUT_setting=1,0,ATAN(A49*$Q$4/(1+Afbr-$Q$5*(A49)^2)))</f>
        <v/>
      </c>
      <c r="S49" s="1054">
        <f>SQRT((1-(Z49/pterm2))^2+(A49/pterm1)^2)</f>
        <v/>
      </c>
      <c r="T49" s="1055">
        <f>IF((ATAN((A49/pterm1)/(1-A49^2/pterm2))&gt;0),ATAN((A49/pterm1)/(1-A49^2/pterm2)),PI()+ATAN((A49/pterm1)/(1-A49^2/pterm2)))</f>
        <v/>
      </c>
      <c r="U49" s="331">
        <f>20*LOG10(((E49*K49*G49*O49)/(C49*I49*S49*M49*Q49))*Adc)</f>
        <v/>
      </c>
      <c r="V49" s="332">
        <f>((F49+L49+H49+P49)-(D49+J49+T49+N49+R49))*radconv</f>
        <v/>
      </c>
      <c r="W49" s="334">
        <f>IF(V49&gt;0,V49,V49+180)</f>
        <v/>
      </c>
      <c r="Y49" s="307">
        <f>IF(U49&lt;0,A49,1000000000)</f>
        <v/>
      </c>
      <c r="Z49" s="307">
        <f>A49^2</f>
        <v/>
      </c>
      <c r="AB49" s="333">
        <f>20*LOG10((K49/(I49*M49))*AEA)</f>
        <v/>
      </c>
      <c r="AC49" s="334">
        <f>(L49-(J49+N49))*radconv</f>
        <v/>
      </c>
      <c r="AE49" s="333">
        <f>20*LOG10((E49*G49/(C49*S49))*Acs*Am)</f>
        <v/>
      </c>
      <c r="AF49" s="334">
        <f>(F49+H49-(D49+T49))*radconv</f>
        <v/>
      </c>
      <c r="AH49">
        <f>SUM((U50&lt;0)*(U49&gt;0))*A49</f>
        <v/>
      </c>
      <c r="AI49">
        <f>IF(AH49&gt;0,W47,0)</f>
        <v/>
      </c>
    </row>
    <row r="50">
      <c r="A50" s="335" t="n">
        <v>30.2</v>
      </c>
      <c r="B50" s="352">
        <f>A50/1000</f>
        <v/>
      </c>
      <c r="C50" s="1047">
        <f>SQRT(1+(A50/pole1)^2)</f>
        <v/>
      </c>
      <c r="D50" s="1048">
        <f>ATAN(A50/pole1)</f>
        <v/>
      </c>
      <c r="E50" s="1048">
        <f>SQRT(1+(A50/Zero1)^2)</f>
        <v/>
      </c>
      <c r="F50" s="1049">
        <f>ATAN(A50/Zero1)</f>
        <v/>
      </c>
      <c r="G50" s="1048">
        <f>IF(VIN_nom&gt;Vout, 1, SQRT(1+(A50/z_RHP)^2))</f>
        <v/>
      </c>
      <c r="H50" s="1049">
        <f>IF(VIN_nom&gt;Vout, 0, -ATAN(A50/z_RHP))</f>
        <v/>
      </c>
      <c r="I50" s="1047">
        <f>SQRT(1+(A50/Pole2)^2)</f>
        <v/>
      </c>
      <c r="J50" s="1050">
        <f>ATAN(A50/Pole2)</f>
        <v/>
      </c>
      <c r="K50" s="1056">
        <f>SQRT(1+(A50/Zero2)^2)</f>
        <v/>
      </c>
      <c r="L50" s="1057">
        <f>ATAN(A50/Zero2)</f>
        <v/>
      </c>
      <c r="M50" s="1047">
        <f>SQRT(1+(A50/pole4)^2)</f>
        <v/>
      </c>
      <c r="N50" s="1057">
        <f>ATAN(A50/pole4)</f>
        <v/>
      </c>
      <c r="O50" s="1058">
        <f>IF(VOUT_setting=1,1,SQRT(1+(A50*zterm1)^2))</f>
        <v/>
      </c>
      <c r="P50" s="1059">
        <f>IF(VOUT_setting=1,0,ATAN(((A50*zterm1))))</f>
        <v/>
      </c>
      <c r="Q50" s="1056">
        <f>IF(VOUT_setting=1,1,SQRT((1+Afbr-$Q$5*(A50)^2)^2+(A50*$Q$4)^2))</f>
        <v/>
      </c>
      <c r="R50" s="1060">
        <f>IF(VOUT_setting=1,0,ATAN(A50*$Q$4/(1+Afbr-$Q$5*(A50)^2)))</f>
        <v/>
      </c>
      <c r="S50" s="1054">
        <f>SQRT((1-(Z50/pterm2))^2+(A50/pterm1)^2)</f>
        <v/>
      </c>
      <c r="T50" s="1055">
        <f>IF((ATAN((A50/pterm1)/(1-A50^2/pterm2))&gt;0),ATAN((A50/pterm1)/(1-A50^2/pterm2)),PI()+ATAN((A50/pterm1)/(1-A50^2/pterm2)))</f>
        <v/>
      </c>
      <c r="U50" s="331">
        <f>20*LOG10(((E50*K50*G50*O50)/(C50*I50*S50*M50*Q50))*Adc)</f>
        <v/>
      </c>
      <c r="V50" s="332">
        <f>((F50+L50+H50+P50)-(D50+J50+T50+N50+R50))*radconv</f>
        <v/>
      </c>
      <c r="W50" s="334">
        <f>IF(V50&gt;0,V50,V50+180)</f>
        <v/>
      </c>
      <c r="Y50" s="307">
        <f>IF(U50&lt;0,A50,1000000000)</f>
        <v/>
      </c>
      <c r="Z50" s="307">
        <f>A50^2</f>
        <v/>
      </c>
      <c r="AB50" s="333">
        <f>20*LOG10((K50/(I50*M50))*AEA)</f>
        <v/>
      </c>
      <c r="AC50" s="334">
        <f>(L50-(J50+N50))*radconv</f>
        <v/>
      </c>
      <c r="AE50" s="333">
        <f>20*LOG10((E50*G50/(C50*S50))*Acs*Am)</f>
        <v/>
      </c>
      <c r="AF50" s="334">
        <f>(F50+H50-(D50+T50))*radconv</f>
        <v/>
      </c>
      <c r="AH50">
        <f>SUM((U51&lt;0)*(U50&gt;0))*A50</f>
        <v/>
      </c>
      <c r="AI50">
        <f>IF(AH50&gt;0,W48,0)</f>
        <v/>
      </c>
    </row>
    <row r="51">
      <c r="A51" s="335" t="n">
        <v>33.113</v>
      </c>
      <c r="B51" s="352">
        <f>A51/1000</f>
        <v/>
      </c>
      <c r="C51" s="1047">
        <f>SQRT(1+(A51/pole1)^2)</f>
        <v/>
      </c>
      <c r="D51" s="1048">
        <f>ATAN(A51/pole1)</f>
        <v/>
      </c>
      <c r="E51" s="1048">
        <f>SQRT(1+(A51/Zero1)^2)</f>
        <v/>
      </c>
      <c r="F51" s="1049">
        <f>ATAN(A51/Zero1)</f>
        <v/>
      </c>
      <c r="G51" s="1048">
        <f>IF(VIN_nom&gt;Vout, 1, SQRT(1+(A51/z_RHP)^2))</f>
        <v/>
      </c>
      <c r="H51" s="1049">
        <f>IF(VIN_nom&gt;Vout, 0, -ATAN(A51/z_RHP))</f>
        <v/>
      </c>
      <c r="I51" s="1047">
        <f>SQRT(1+(A51/Pole2)^2)</f>
        <v/>
      </c>
      <c r="J51" s="1050">
        <f>ATAN(A51/Pole2)</f>
        <v/>
      </c>
      <c r="K51" s="1056">
        <f>SQRT(1+(A51/Zero2)^2)</f>
        <v/>
      </c>
      <c r="L51" s="1057">
        <f>ATAN(A51/Zero2)</f>
        <v/>
      </c>
      <c r="M51" s="1047">
        <f>SQRT(1+(A51/pole4)^2)</f>
        <v/>
      </c>
      <c r="N51" s="1057">
        <f>ATAN(A51/pole4)</f>
        <v/>
      </c>
      <c r="O51" s="1058">
        <f>IF(VOUT_setting=1,1,SQRT(1+(A51*zterm1)^2))</f>
        <v/>
      </c>
      <c r="P51" s="1059">
        <f>IF(VOUT_setting=1,0,ATAN(((A51*zterm1))))</f>
        <v/>
      </c>
      <c r="Q51" s="1056">
        <f>IF(VOUT_setting=1,1,SQRT((1+Afbr-$Q$5*(A51)^2)^2+(A51*$Q$4)^2))</f>
        <v/>
      </c>
      <c r="R51" s="1060">
        <f>IF(VOUT_setting=1,0,ATAN(A51*$Q$4/(1+Afbr-$Q$5*(A51)^2)))</f>
        <v/>
      </c>
      <c r="S51" s="1054">
        <f>SQRT((1-(Z51/pterm2))^2+(A51/pterm1)^2)</f>
        <v/>
      </c>
      <c r="T51" s="1055">
        <f>IF((ATAN((A51/pterm1)/(1-A51^2/pterm2))&gt;0),ATAN((A51/pterm1)/(1-A51^2/pterm2)),PI()+ATAN((A51/pterm1)/(1-A51^2/pterm2)))</f>
        <v/>
      </c>
      <c r="U51" s="331">
        <f>20*LOG10(((E51*K51*G51*O51)/(C51*I51*S51*M51*Q51))*Adc)</f>
        <v/>
      </c>
      <c r="V51" s="332">
        <f>((F51+L51+H51+P51)-(D51+J51+T51+N51+R51))*radconv</f>
        <v/>
      </c>
      <c r="W51" s="334">
        <f>IF(V51&gt;0,V51,V51+180)</f>
        <v/>
      </c>
      <c r="Y51" s="307">
        <f>IF(U51&lt;0,A51,1000000000)</f>
        <v/>
      </c>
      <c r="Z51" s="307">
        <f>A51^2</f>
        <v/>
      </c>
      <c r="AB51" s="333">
        <f>20*LOG10((K51/(I51*M51))*AEA)</f>
        <v/>
      </c>
      <c r="AC51" s="334">
        <f>(L51-(J51+N51))*radconv</f>
        <v/>
      </c>
      <c r="AE51" s="333">
        <f>20*LOG10((E51*G51/(C51*S51))*Acs*Am)</f>
        <v/>
      </c>
      <c r="AF51" s="334">
        <f>(F51+H51-(D51+T51))*radconv</f>
        <v/>
      </c>
      <c r="AH51">
        <f>SUM((U52&lt;0)*(U51&gt;0))*A51</f>
        <v/>
      </c>
      <c r="AI51">
        <f>IF(AH51&gt;0,W49,0)</f>
        <v/>
      </c>
    </row>
    <row r="52">
      <c r="A52" s="335" t="n">
        <v>36.308</v>
      </c>
      <c r="B52" s="352">
        <f>A52/1000</f>
        <v/>
      </c>
      <c r="C52" s="1047">
        <f>SQRT(1+(A52/pole1)^2)</f>
        <v/>
      </c>
      <c r="D52" s="1048">
        <f>ATAN(A52/pole1)</f>
        <v/>
      </c>
      <c r="E52" s="1048">
        <f>SQRT(1+(A52/Zero1)^2)</f>
        <v/>
      </c>
      <c r="F52" s="1049">
        <f>ATAN(A52/Zero1)</f>
        <v/>
      </c>
      <c r="G52" s="1048">
        <f>IF(VIN_nom&gt;Vout, 1, SQRT(1+(A52/z_RHP)^2))</f>
        <v/>
      </c>
      <c r="H52" s="1049">
        <f>IF(VIN_nom&gt;Vout, 0, -ATAN(A52/z_RHP))</f>
        <v/>
      </c>
      <c r="I52" s="1047">
        <f>SQRT(1+(A52/Pole2)^2)</f>
        <v/>
      </c>
      <c r="J52" s="1050">
        <f>ATAN(A52/Pole2)</f>
        <v/>
      </c>
      <c r="K52" s="1056">
        <f>SQRT(1+(A52/Zero2)^2)</f>
        <v/>
      </c>
      <c r="L52" s="1057">
        <f>ATAN(A52/Zero2)</f>
        <v/>
      </c>
      <c r="M52" s="1047">
        <f>SQRT(1+(A52/pole4)^2)</f>
        <v/>
      </c>
      <c r="N52" s="1057">
        <f>ATAN(A52/pole4)</f>
        <v/>
      </c>
      <c r="O52" s="1058">
        <f>IF(VOUT_setting=1,1,SQRT(1+(A52*zterm1)^2))</f>
        <v/>
      </c>
      <c r="P52" s="1059">
        <f>IF(VOUT_setting=1,0,ATAN(((A52*zterm1))))</f>
        <v/>
      </c>
      <c r="Q52" s="1056">
        <f>IF(VOUT_setting=1,1,SQRT((1+Afbr-$Q$5*(A52)^2)^2+(A52*$Q$4)^2))</f>
        <v/>
      </c>
      <c r="R52" s="1060">
        <f>IF(VOUT_setting=1,0,ATAN(A52*$Q$4/(1+Afbr-$Q$5*(A52)^2)))</f>
        <v/>
      </c>
      <c r="S52" s="1054">
        <f>SQRT((1-(Z52/pterm2))^2+(A52/pterm1)^2)</f>
        <v/>
      </c>
      <c r="T52" s="1055">
        <f>IF((ATAN((A52/pterm1)/(1-A52^2/pterm2))&gt;0),ATAN((A52/pterm1)/(1-A52^2/pterm2)),PI()+ATAN((A52/pterm1)/(1-A52^2/pterm2)))</f>
        <v/>
      </c>
      <c r="U52" s="331">
        <f>20*LOG10(((E52*K52*G52*O52)/(C52*I52*S52*M52*Q52))*Adc)</f>
        <v/>
      </c>
      <c r="V52" s="332">
        <f>((F52+L52+H52+P52)-(D52+J52+T52+N52+R52))*radconv</f>
        <v/>
      </c>
      <c r="W52" s="334">
        <f>IF(V52&gt;0,V52,V52+180)</f>
        <v/>
      </c>
      <c r="Y52" s="307">
        <f>IF(U52&lt;0,A52,1000000000)</f>
        <v/>
      </c>
      <c r="Z52" s="307">
        <f>A52^2</f>
        <v/>
      </c>
      <c r="AB52" s="333">
        <f>20*LOG10((K52/(I52*M52))*AEA)</f>
        <v/>
      </c>
      <c r="AC52" s="334">
        <f>(L52-(J52+N52))*radconv</f>
        <v/>
      </c>
      <c r="AE52" s="333">
        <f>20*LOG10((E52*G52/(C52*S52))*Acs*Am)</f>
        <v/>
      </c>
      <c r="AF52" s="334">
        <f>(F52+H52-(D52+T52))*radconv</f>
        <v/>
      </c>
      <c r="AH52">
        <f>SUM((U53&lt;0)*(U52&gt;0))*A52</f>
        <v/>
      </c>
      <c r="AI52">
        <f>IF(AH52&gt;0,W50,0)</f>
        <v/>
      </c>
    </row>
    <row r="53">
      <c r="A53" s="335" t="n">
        <v>39.811</v>
      </c>
      <c r="B53" s="352">
        <f>A53/1000</f>
        <v/>
      </c>
      <c r="C53" s="1047">
        <f>SQRT(1+(A53/pole1)^2)</f>
        <v/>
      </c>
      <c r="D53" s="1048">
        <f>ATAN(A53/pole1)</f>
        <v/>
      </c>
      <c r="E53" s="1048">
        <f>SQRT(1+(A53/Zero1)^2)</f>
        <v/>
      </c>
      <c r="F53" s="1049">
        <f>ATAN(A53/Zero1)</f>
        <v/>
      </c>
      <c r="G53" s="1048">
        <f>IF(VIN_nom&gt;Vout, 1, SQRT(1+(A53/z_RHP)^2))</f>
        <v/>
      </c>
      <c r="H53" s="1049">
        <f>IF(VIN_nom&gt;Vout, 0, -ATAN(A53/z_RHP))</f>
        <v/>
      </c>
      <c r="I53" s="1047">
        <f>SQRT(1+(A53/Pole2)^2)</f>
        <v/>
      </c>
      <c r="J53" s="1050">
        <f>ATAN(A53/Pole2)</f>
        <v/>
      </c>
      <c r="K53" s="1056">
        <f>SQRT(1+(A53/Zero2)^2)</f>
        <v/>
      </c>
      <c r="L53" s="1057">
        <f>ATAN(A53/Zero2)</f>
        <v/>
      </c>
      <c r="M53" s="1047">
        <f>SQRT(1+(A53/pole4)^2)</f>
        <v/>
      </c>
      <c r="N53" s="1057">
        <f>ATAN(A53/pole4)</f>
        <v/>
      </c>
      <c r="O53" s="1058">
        <f>IF(VOUT_setting=1,1,SQRT(1+(A53*zterm1)^2))</f>
        <v/>
      </c>
      <c r="P53" s="1059">
        <f>IF(VOUT_setting=1,0,ATAN(((A53*zterm1))))</f>
        <v/>
      </c>
      <c r="Q53" s="1056">
        <f>IF(VOUT_setting=1,1,SQRT((1+Afbr-$Q$5*(A53)^2)^2+(A53*$Q$4)^2))</f>
        <v/>
      </c>
      <c r="R53" s="1060">
        <f>IF(VOUT_setting=1,0,ATAN(A53*$Q$4/(1+Afbr-$Q$5*(A53)^2)))</f>
        <v/>
      </c>
      <c r="S53" s="1054">
        <f>SQRT((1-(Z53/pterm2))^2+(A53/pterm1)^2)</f>
        <v/>
      </c>
      <c r="T53" s="1055">
        <f>IF((ATAN((A53/pterm1)/(1-A53^2/pterm2))&gt;0),ATAN((A53/pterm1)/(1-A53^2/pterm2)),PI()+ATAN((A53/pterm1)/(1-A53^2/pterm2)))</f>
        <v/>
      </c>
      <c r="U53" s="331">
        <f>20*LOG10(((E53*K53*G53*O53)/(C53*I53*S53*M53*Q53))*Adc)</f>
        <v/>
      </c>
      <c r="V53" s="332">
        <f>((F53+L53+H53+P53)-(D53+J53+T53+N53+R53))*radconv</f>
        <v/>
      </c>
      <c r="W53" s="334">
        <f>IF(V53&gt;0,V53,V53+180)</f>
        <v/>
      </c>
      <c r="Y53" s="307">
        <f>IF(U53&lt;0,A53,1000000000)</f>
        <v/>
      </c>
      <c r="Z53" s="307">
        <f>A53^2</f>
        <v/>
      </c>
      <c r="AB53" s="333">
        <f>20*LOG10((K53/(I53*M53))*AEA)</f>
        <v/>
      </c>
      <c r="AC53" s="334">
        <f>(L53-(J53+N53))*radconv</f>
        <v/>
      </c>
      <c r="AE53" s="333">
        <f>20*LOG10((E53*G53/(C53*S53))*Acs*Am)</f>
        <v/>
      </c>
      <c r="AF53" s="334">
        <f>(F53+H53-(D53+T53))*radconv</f>
        <v/>
      </c>
      <c r="AH53">
        <f>SUM((U54&lt;0)*(U53&gt;0))*A53</f>
        <v/>
      </c>
      <c r="AI53">
        <f>IF(AH53&gt;0,W51,0)</f>
        <v/>
      </c>
    </row>
    <row r="54">
      <c r="A54" s="335" t="n">
        <v>43.652</v>
      </c>
      <c r="B54" s="352">
        <f>A54/1000</f>
        <v/>
      </c>
      <c r="C54" s="1047">
        <f>SQRT(1+(A54/pole1)^2)</f>
        <v/>
      </c>
      <c r="D54" s="1048">
        <f>ATAN(A54/pole1)</f>
        <v/>
      </c>
      <c r="E54" s="1048">
        <f>SQRT(1+(A54/Zero1)^2)</f>
        <v/>
      </c>
      <c r="F54" s="1049">
        <f>ATAN(A54/Zero1)</f>
        <v/>
      </c>
      <c r="G54" s="1048">
        <f>IF(VIN_nom&gt;Vout, 1, SQRT(1+(A54/z_RHP)^2))</f>
        <v/>
      </c>
      <c r="H54" s="1049">
        <f>IF(VIN_nom&gt;Vout, 0, -ATAN(A54/z_RHP))</f>
        <v/>
      </c>
      <c r="I54" s="1047">
        <f>SQRT(1+(A54/Pole2)^2)</f>
        <v/>
      </c>
      <c r="J54" s="1050">
        <f>ATAN(A54/Pole2)</f>
        <v/>
      </c>
      <c r="K54" s="1056">
        <f>SQRT(1+(A54/Zero2)^2)</f>
        <v/>
      </c>
      <c r="L54" s="1057">
        <f>ATAN(A54/Zero2)</f>
        <v/>
      </c>
      <c r="M54" s="1047">
        <f>SQRT(1+(A54/pole4)^2)</f>
        <v/>
      </c>
      <c r="N54" s="1057">
        <f>ATAN(A54/pole4)</f>
        <v/>
      </c>
      <c r="O54" s="1058">
        <f>IF(VOUT_setting=1,1,SQRT(1+(A54*zterm1)^2))</f>
        <v/>
      </c>
      <c r="P54" s="1059">
        <f>IF(VOUT_setting=1,0,ATAN(((A54*zterm1))))</f>
        <v/>
      </c>
      <c r="Q54" s="1056">
        <f>IF(VOUT_setting=1,1,SQRT((1+Afbr-$Q$5*(A54)^2)^2+(A54*$Q$4)^2))</f>
        <v/>
      </c>
      <c r="R54" s="1060">
        <f>IF(VOUT_setting=1,0,ATAN(A54*$Q$4/(1+Afbr-$Q$5*(A54)^2)))</f>
        <v/>
      </c>
      <c r="S54" s="1054">
        <f>SQRT((1-(Z54/pterm2))^2+(A54/pterm1)^2)</f>
        <v/>
      </c>
      <c r="T54" s="1055">
        <f>IF((ATAN((A54/pterm1)/(1-A54^2/pterm2))&gt;0),ATAN((A54/pterm1)/(1-A54^2/pterm2)),PI()+ATAN((A54/pterm1)/(1-A54^2/pterm2)))</f>
        <v/>
      </c>
      <c r="U54" s="331">
        <f>20*LOG10(((E54*K54*G54*O54)/(C54*I54*S54*M54*Q54))*Adc)</f>
        <v/>
      </c>
      <c r="V54" s="332">
        <f>((F54+L54+H54+P54)-(D54+J54+T54+N54+R54))*radconv</f>
        <v/>
      </c>
      <c r="W54" s="334">
        <f>IF(V54&gt;0,V54,V54+180)</f>
        <v/>
      </c>
      <c r="Y54" s="307">
        <f>IF(U54&lt;0,A54,1000000000)</f>
        <v/>
      </c>
      <c r="Z54" s="307">
        <f>A54^2</f>
        <v/>
      </c>
      <c r="AB54" s="333">
        <f>20*LOG10((K54/(I54*M54))*AEA)</f>
        <v/>
      </c>
      <c r="AC54" s="334">
        <f>(L54-(J54+N54))*radconv</f>
        <v/>
      </c>
      <c r="AE54" s="333">
        <f>20*LOG10((E54*G54/(C54*S54))*Acs*Am)</f>
        <v/>
      </c>
      <c r="AF54" s="334">
        <f>(F54+H54-(D54+T54))*radconv</f>
        <v/>
      </c>
      <c r="AH54">
        <f>SUM((U55&lt;0)*(U54&gt;0))*A54</f>
        <v/>
      </c>
      <c r="AI54">
        <f>IF(AH54&gt;0,W52,0)</f>
        <v/>
      </c>
    </row>
    <row r="55">
      <c r="A55" s="335" t="n">
        <v>47.863</v>
      </c>
      <c r="B55" s="352">
        <f>A55/1000</f>
        <v/>
      </c>
      <c r="C55" s="1047">
        <f>SQRT(1+(A55/pole1)^2)</f>
        <v/>
      </c>
      <c r="D55" s="1048">
        <f>ATAN(A55/pole1)</f>
        <v/>
      </c>
      <c r="E55" s="1048">
        <f>SQRT(1+(A55/Zero1)^2)</f>
        <v/>
      </c>
      <c r="F55" s="1049">
        <f>ATAN(A55/Zero1)</f>
        <v/>
      </c>
      <c r="G55" s="1048">
        <f>IF(VIN_nom&gt;Vout, 1, SQRT(1+(A55/z_RHP)^2))</f>
        <v/>
      </c>
      <c r="H55" s="1049">
        <f>IF(VIN_nom&gt;Vout, 0, -ATAN(A55/z_RHP))</f>
        <v/>
      </c>
      <c r="I55" s="1047">
        <f>SQRT(1+(A55/Pole2)^2)</f>
        <v/>
      </c>
      <c r="J55" s="1050">
        <f>ATAN(A55/Pole2)</f>
        <v/>
      </c>
      <c r="K55" s="1056">
        <f>SQRT(1+(A55/Zero2)^2)</f>
        <v/>
      </c>
      <c r="L55" s="1057">
        <f>ATAN(A55/Zero2)</f>
        <v/>
      </c>
      <c r="M55" s="1047">
        <f>SQRT(1+(A55/pole4)^2)</f>
        <v/>
      </c>
      <c r="N55" s="1057">
        <f>ATAN(A55/pole4)</f>
        <v/>
      </c>
      <c r="O55" s="1058">
        <f>IF(VOUT_setting=1,1,SQRT(1+(A55*zterm1)^2))</f>
        <v/>
      </c>
      <c r="P55" s="1059">
        <f>IF(VOUT_setting=1,0,ATAN(((A55*zterm1))))</f>
        <v/>
      </c>
      <c r="Q55" s="1056">
        <f>IF(VOUT_setting=1,1,SQRT((1+Afbr-$Q$5*(A55)^2)^2+(A55*$Q$4)^2))</f>
        <v/>
      </c>
      <c r="R55" s="1060">
        <f>IF(VOUT_setting=1,0,ATAN(A55*$Q$4/(1+Afbr-$Q$5*(A55)^2)))</f>
        <v/>
      </c>
      <c r="S55" s="1054">
        <f>SQRT((1-(Z55/pterm2))^2+(A55/pterm1)^2)</f>
        <v/>
      </c>
      <c r="T55" s="1055">
        <f>IF((ATAN((A55/pterm1)/(1-A55^2/pterm2))&gt;0),ATAN((A55/pterm1)/(1-A55^2/pterm2)),PI()+ATAN((A55/pterm1)/(1-A55^2/pterm2)))</f>
        <v/>
      </c>
      <c r="U55" s="331">
        <f>20*LOG10(((E55*K55*G55*O55)/(C55*I55*S55*M55*Q55))*Adc)</f>
        <v/>
      </c>
      <c r="V55" s="332">
        <f>((F55+L55+H55+P55)-(D55+J55+T55+N55+R55))*radconv</f>
        <v/>
      </c>
      <c r="W55" s="334">
        <f>IF(V55&gt;0,V55,V55+180)</f>
        <v/>
      </c>
      <c r="Y55" s="307">
        <f>IF(U55&lt;0,A55,1000000000)</f>
        <v/>
      </c>
      <c r="Z55" s="307">
        <f>A55^2</f>
        <v/>
      </c>
      <c r="AB55" s="333">
        <f>20*LOG10((K55/(I55*M55))*AEA)</f>
        <v/>
      </c>
      <c r="AC55" s="334">
        <f>(L55-(J55+N55))*radconv</f>
        <v/>
      </c>
      <c r="AE55" s="333">
        <f>20*LOG10((E55*G55/(C55*S55))*Acs*Am)</f>
        <v/>
      </c>
      <c r="AF55" s="334">
        <f>(F55+H55-(D55+T55))*radconv</f>
        <v/>
      </c>
      <c r="AH55">
        <f>SUM((U56&lt;0)*(U55&gt;0))*A55</f>
        <v/>
      </c>
      <c r="AI55">
        <f>IF(AH55&gt;0,W53,0)</f>
        <v/>
      </c>
    </row>
    <row r="56">
      <c r="A56" s="335" t="n">
        <v>52.481</v>
      </c>
      <c r="B56" s="352">
        <f>A56/1000</f>
        <v/>
      </c>
      <c r="C56" s="1047">
        <f>SQRT(1+(A56/pole1)^2)</f>
        <v/>
      </c>
      <c r="D56" s="1048">
        <f>ATAN(A56/pole1)</f>
        <v/>
      </c>
      <c r="E56" s="1048">
        <f>SQRT(1+(A56/Zero1)^2)</f>
        <v/>
      </c>
      <c r="F56" s="1049">
        <f>ATAN(A56/Zero1)</f>
        <v/>
      </c>
      <c r="G56" s="1048">
        <f>IF(VIN_nom&gt;Vout, 1, SQRT(1+(A56/z_RHP)^2))</f>
        <v/>
      </c>
      <c r="H56" s="1049">
        <f>IF(VIN_nom&gt;Vout, 0, -ATAN(A56/z_RHP))</f>
        <v/>
      </c>
      <c r="I56" s="1047">
        <f>SQRT(1+(A56/Pole2)^2)</f>
        <v/>
      </c>
      <c r="J56" s="1050">
        <f>ATAN(A56/Pole2)</f>
        <v/>
      </c>
      <c r="K56" s="1056">
        <f>SQRT(1+(A56/Zero2)^2)</f>
        <v/>
      </c>
      <c r="L56" s="1057">
        <f>ATAN(A56/Zero2)</f>
        <v/>
      </c>
      <c r="M56" s="1047">
        <f>SQRT(1+(A56/pole4)^2)</f>
        <v/>
      </c>
      <c r="N56" s="1057">
        <f>ATAN(A56/pole4)</f>
        <v/>
      </c>
      <c r="O56" s="1058">
        <f>IF(VOUT_setting=1,1,SQRT(1+(A56*zterm1)^2))</f>
        <v/>
      </c>
      <c r="P56" s="1059">
        <f>IF(VOUT_setting=1,0,ATAN(((A56*zterm1))))</f>
        <v/>
      </c>
      <c r="Q56" s="1056">
        <f>IF(VOUT_setting=1,1,SQRT((1+Afbr-$Q$5*(A56)^2)^2+(A56*$Q$4)^2))</f>
        <v/>
      </c>
      <c r="R56" s="1060">
        <f>IF(VOUT_setting=1,0,ATAN(A56*$Q$4/(1+Afbr-$Q$5*(A56)^2)))</f>
        <v/>
      </c>
      <c r="S56" s="1054">
        <f>SQRT((1-(Z56/pterm2))^2+(A56/pterm1)^2)</f>
        <v/>
      </c>
      <c r="T56" s="1055">
        <f>IF((ATAN((A56/pterm1)/(1-A56^2/pterm2))&gt;0),ATAN((A56/pterm1)/(1-A56^2/pterm2)),PI()+ATAN((A56/pterm1)/(1-A56^2/pterm2)))</f>
        <v/>
      </c>
      <c r="U56" s="331">
        <f>20*LOG10(((E56*K56*G56*O56)/(C56*I56*S56*M56*Q56))*Adc)</f>
        <v/>
      </c>
      <c r="V56" s="332">
        <f>((F56+L56+H56+P56)-(D56+J56+T56+N56+R56))*radconv</f>
        <v/>
      </c>
      <c r="W56" s="334">
        <f>IF(V56&gt;0,V56,V56+180)</f>
        <v/>
      </c>
      <c r="Y56" s="307">
        <f>IF(U56&lt;0,A56,1000000000)</f>
        <v/>
      </c>
      <c r="Z56" s="307">
        <f>A56^2</f>
        <v/>
      </c>
      <c r="AB56" s="333">
        <f>20*LOG10((K56/(I56*M56))*AEA)</f>
        <v/>
      </c>
      <c r="AC56" s="334">
        <f>(L56-(J56+N56))*radconv</f>
        <v/>
      </c>
      <c r="AE56" s="333">
        <f>20*LOG10((E56*G56/(C56*S56))*Acs*Am)</f>
        <v/>
      </c>
      <c r="AF56" s="334">
        <f>(F56+H56-(D56+T56))*radconv</f>
        <v/>
      </c>
      <c r="AH56">
        <f>SUM((U57&lt;0)*(U56&gt;0))*A56</f>
        <v/>
      </c>
      <c r="AI56">
        <f>IF(AH56&gt;0,W54,0)</f>
        <v/>
      </c>
    </row>
    <row r="57">
      <c r="A57" s="335" t="n">
        <v>57.544</v>
      </c>
      <c r="B57" s="352">
        <f>A57/1000</f>
        <v/>
      </c>
      <c r="C57" s="1047">
        <f>SQRT(1+(A57/pole1)^2)</f>
        <v/>
      </c>
      <c r="D57" s="1048">
        <f>ATAN(A57/pole1)</f>
        <v/>
      </c>
      <c r="E57" s="1048">
        <f>SQRT(1+(A57/Zero1)^2)</f>
        <v/>
      </c>
      <c r="F57" s="1049">
        <f>ATAN(A57/Zero1)</f>
        <v/>
      </c>
      <c r="G57" s="1048">
        <f>IF(VIN_nom&gt;Vout, 1, SQRT(1+(A57/z_RHP)^2))</f>
        <v/>
      </c>
      <c r="H57" s="1049">
        <f>IF(VIN_nom&gt;Vout, 0, -ATAN(A57/z_RHP))</f>
        <v/>
      </c>
      <c r="I57" s="1047">
        <f>SQRT(1+(A57/Pole2)^2)</f>
        <v/>
      </c>
      <c r="J57" s="1050">
        <f>ATAN(A57/Pole2)</f>
        <v/>
      </c>
      <c r="K57" s="1056">
        <f>SQRT(1+(A57/Zero2)^2)</f>
        <v/>
      </c>
      <c r="L57" s="1057">
        <f>ATAN(A57/Zero2)</f>
        <v/>
      </c>
      <c r="M57" s="1047">
        <f>SQRT(1+(A57/pole4)^2)</f>
        <v/>
      </c>
      <c r="N57" s="1057">
        <f>ATAN(A57/pole4)</f>
        <v/>
      </c>
      <c r="O57" s="1058">
        <f>IF(VOUT_setting=1,1,SQRT(1+(A57*zterm1)^2))</f>
        <v/>
      </c>
      <c r="P57" s="1059">
        <f>IF(VOUT_setting=1,0,ATAN(((A57*zterm1))))</f>
        <v/>
      </c>
      <c r="Q57" s="1056">
        <f>IF(VOUT_setting=1,1,SQRT((1+Afbr-$Q$5*(A57)^2)^2+(A57*$Q$4)^2))</f>
        <v/>
      </c>
      <c r="R57" s="1060">
        <f>IF(VOUT_setting=1,0,ATAN(A57*$Q$4/(1+Afbr-$Q$5*(A57)^2)))</f>
        <v/>
      </c>
      <c r="S57" s="1054">
        <f>SQRT((1-(Z57/pterm2))^2+(A57/pterm1)^2)</f>
        <v/>
      </c>
      <c r="T57" s="1055">
        <f>IF((ATAN((A57/pterm1)/(1-A57^2/pterm2))&gt;0),ATAN((A57/pterm1)/(1-A57^2/pterm2)),PI()+ATAN((A57/pterm1)/(1-A57^2/pterm2)))</f>
        <v/>
      </c>
      <c r="U57" s="331">
        <f>20*LOG10(((E57*K57*G57*O57)/(C57*I57*S57*M57*Q57))*Adc)</f>
        <v/>
      </c>
      <c r="V57" s="332">
        <f>((F57+L57+H57+P57)-(D57+J57+T57+N57+R57))*radconv</f>
        <v/>
      </c>
      <c r="W57" s="334">
        <f>IF(V57&gt;0,V57,V57+180)</f>
        <v/>
      </c>
      <c r="Y57" s="307">
        <f>IF(U57&lt;0,A57,1000000000)</f>
        <v/>
      </c>
      <c r="Z57" s="307">
        <f>A57^2</f>
        <v/>
      </c>
      <c r="AB57" s="333">
        <f>20*LOG10((K57/(I57*M57))*AEA)</f>
        <v/>
      </c>
      <c r="AC57" s="334">
        <f>(L57-(J57+N57))*radconv</f>
        <v/>
      </c>
      <c r="AE57" s="333">
        <f>20*LOG10((E57*G57/(C57*S57))*Acs*Am)</f>
        <v/>
      </c>
      <c r="AF57" s="334">
        <f>(F57+H57-(D57+T57))*radconv</f>
        <v/>
      </c>
      <c r="AH57">
        <f>SUM((U58&lt;0)*(U57&gt;0))*A57</f>
        <v/>
      </c>
      <c r="AI57">
        <f>IF(AH57&gt;0,W55,0)</f>
        <v/>
      </c>
    </row>
    <row r="58">
      <c r="A58" s="335" t="n">
        <v>63.096</v>
      </c>
      <c r="B58" s="352">
        <f>A58/1000</f>
        <v/>
      </c>
      <c r="C58" s="1047">
        <f>SQRT(1+(A58/pole1)^2)</f>
        <v/>
      </c>
      <c r="D58" s="1048">
        <f>ATAN(A58/pole1)</f>
        <v/>
      </c>
      <c r="E58" s="1048">
        <f>SQRT(1+(A58/Zero1)^2)</f>
        <v/>
      </c>
      <c r="F58" s="1049">
        <f>ATAN(A58/Zero1)</f>
        <v/>
      </c>
      <c r="G58" s="1048">
        <f>IF(VIN_nom&gt;Vout, 1, SQRT(1+(A58/z_RHP)^2))</f>
        <v/>
      </c>
      <c r="H58" s="1049">
        <f>IF(VIN_nom&gt;Vout, 0, -ATAN(A58/z_RHP))</f>
        <v/>
      </c>
      <c r="I58" s="1047">
        <f>SQRT(1+(A58/Pole2)^2)</f>
        <v/>
      </c>
      <c r="J58" s="1050">
        <f>ATAN(A58/Pole2)</f>
        <v/>
      </c>
      <c r="K58" s="1056">
        <f>SQRT(1+(A58/Zero2)^2)</f>
        <v/>
      </c>
      <c r="L58" s="1057">
        <f>ATAN(A58/Zero2)</f>
        <v/>
      </c>
      <c r="M58" s="1047">
        <f>SQRT(1+(A58/pole4)^2)</f>
        <v/>
      </c>
      <c r="N58" s="1057">
        <f>ATAN(A58/pole4)</f>
        <v/>
      </c>
      <c r="O58" s="1058">
        <f>IF(VOUT_setting=1,1,SQRT(1+(A58*zterm1)^2))</f>
        <v/>
      </c>
      <c r="P58" s="1059">
        <f>IF(VOUT_setting=1,0,ATAN(((A58*zterm1))))</f>
        <v/>
      </c>
      <c r="Q58" s="1056">
        <f>IF(VOUT_setting=1,1,SQRT((1+Afbr-$Q$5*(A58)^2)^2+(A58*$Q$4)^2))</f>
        <v/>
      </c>
      <c r="R58" s="1060">
        <f>IF(VOUT_setting=1,0,ATAN(A58*$Q$4/(1+Afbr-$Q$5*(A58)^2)))</f>
        <v/>
      </c>
      <c r="S58" s="1054">
        <f>SQRT((1-(Z58/pterm2))^2+(A58/pterm1)^2)</f>
        <v/>
      </c>
      <c r="T58" s="1055">
        <f>IF((ATAN((A58/pterm1)/(1-A58^2/pterm2))&gt;0),ATAN((A58/pterm1)/(1-A58^2/pterm2)),PI()+ATAN((A58/pterm1)/(1-A58^2/pterm2)))</f>
        <v/>
      </c>
      <c r="U58" s="331">
        <f>20*LOG10(((E58*K58*G58*O58)/(C58*I58*S58*M58*Q58))*Adc)</f>
        <v/>
      </c>
      <c r="V58" s="332">
        <f>((F58+L58+H58+P58)-(D58+J58+T58+N58+R58))*radconv</f>
        <v/>
      </c>
      <c r="W58" s="334">
        <f>IF(V58&gt;0,V58,V58+180)</f>
        <v/>
      </c>
      <c r="Y58" s="307">
        <f>IF(U58&lt;0,A58,1000000000)</f>
        <v/>
      </c>
      <c r="Z58" s="307">
        <f>A58^2</f>
        <v/>
      </c>
      <c r="AB58" s="333">
        <f>20*LOG10((K58/(I58*M58))*AEA)</f>
        <v/>
      </c>
      <c r="AC58" s="334">
        <f>(L58-(J58+N58))*radconv</f>
        <v/>
      </c>
      <c r="AE58" s="333">
        <f>20*LOG10((E58*G58/(C58*S58))*Acs*Am)</f>
        <v/>
      </c>
      <c r="AF58" s="334">
        <f>(F58+H58-(D58+T58))*radconv</f>
        <v/>
      </c>
      <c r="AH58">
        <f>SUM((U59&lt;0)*(U58&gt;0))*A58</f>
        <v/>
      </c>
      <c r="AI58">
        <f>IF(AH58&gt;0,W56,0)</f>
        <v/>
      </c>
    </row>
    <row r="59">
      <c r="A59" s="335" t="n">
        <v>69.18300000000001</v>
      </c>
      <c r="B59" s="352">
        <f>A59/1000</f>
        <v/>
      </c>
      <c r="C59" s="1047">
        <f>SQRT(1+(A59/pole1)^2)</f>
        <v/>
      </c>
      <c r="D59" s="1048">
        <f>ATAN(A59/pole1)</f>
        <v/>
      </c>
      <c r="E59" s="1048">
        <f>SQRT(1+(A59/Zero1)^2)</f>
        <v/>
      </c>
      <c r="F59" s="1049">
        <f>ATAN(A59/Zero1)</f>
        <v/>
      </c>
      <c r="G59" s="1048">
        <f>IF(VIN_nom&gt;Vout, 1, SQRT(1+(A59/z_RHP)^2))</f>
        <v/>
      </c>
      <c r="H59" s="1049">
        <f>IF(VIN_nom&gt;Vout, 0, -ATAN(A59/z_RHP))</f>
        <v/>
      </c>
      <c r="I59" s="1047">
        <f>SQRT(1+(A59/Pole2)^2)</f>
        <v/>
      </c>
      <c r="J59" s="1050">
        <f>ATAN(A59/Pole2)</f>
        <v/>
      </c>
      <c r="K59" s="1056">
        <f>SQRT(1+(A59/Zero2)^2)</f>
        <v/>
      </c>
      <c r="L59" s="1057">
        <f>ATAN(A59/Zero2)</f>
        <v/>
      </c>
      <c r="M59" s="1047">
        <f>SQRT(1+(A59/pole4)^2)</f>
        <v/>
      </c>
      <c r="N59" s="1057">
        <f>ATAN(A59/pole4)</f>
        <v/>
      </c>
      <c r="O59" s="1058">
        <f>IF(VOUT_setting=1,1,SQRT(1+(A59*zterm1)^2))</f>
        <v/>
      </c>
      <c r="P59" s="1059">
        <f>IF(VOUT_setting=1,0,ATAN(((A59*zterm1))))</f>
        <v/>
      </c>
      <c r="Q59" s="1056">
        <f>IF(VOUT_setting=1,1,SQRT((1+Afbr-$Q$5*(A59)^2)^2+(A59*$Q$4)^2))</f>
        <v/>
      </c>
      <c r="R59" s="1060">
        <f>IF(VOUT_setting=1,0,ATAN(A59*$Q$4/(1+Afbr-$Q$5*(A59)^2)))</f>
        <v/>
      </c>
      <c r="S59" s="1054">
        <f>SQRT((1-(Z59/pterm2))^2+(A59/pterm1)^2)</f>
        <v/>
      </c>
      <c r="T59" s="1055">
        <f>IF((ATAN((A59/pterm1)/(1-A59^2/pterm2))&gt;0),ATAN((A59/pterm1)/(1-A59^2/pterm2)),PI()+ATAN((A59/pterm1)/(1-A59^2/pterm2)))</f>
        <v/>
      </c>
      <c r="U59" s="331">
        <f>20*LOG10(((E59*K59*G59*O59)/(C59*I59*S59*M59*Q59))*Adc)</f>
        <v/>
      </c>
      <c r="V59" s="332">
        <f>((F59+L59+H59+P59)-(D59+J59+T59+N59+R59))*radconv</f>
        <v/>
      </c>
      <c r="W59" s="334">
        <f>IF(V59&gt;0,V59,V59+180)</f>
        <v/>
      </c>
      <c r="Y59" s="307">
        <f>IF(U59&lt;0,A59,1000000000)</f>
        <v/>
      </c>
      <c r="Z59" s="307">
        <f>A59^2</f>
        <v/>
      </c>
      <c r="AB59" s="333">
        <f>20*LOG10((K59/(I59*M59))*AEA)</f>
        <v/>
      </c>
      <c r="AC59" s="334">
        <f>(L59-(J59+N59))*radconv</f>
        <v/>
      </c>
      <c r="AE59" s="333">
        <f>20*LOG10((E59*G59/(C59*S59))*Acs*Am)</f>
        <v/>
      </c>
      <c r="AF59" s="334">
        <f>(F59+H59-(D59+T59))*radconv</f>
        <v/>
      </c>
      <c r="AH59">
        <f>SUM((U60&lt;0)*(U59&gt;0))*A59</f>
        <v/>
      </c>
      <c r="AI59">
        <f>IF(AH59&gt;0,W57,0)</f>
        <v/>
      </c>
    </row>
    <row r="60">
      <c r="A60" s="335" t="n">
        <v>75.858</v>
      </c>
      <c r="B60" s="352">
        <f>A60/1000</f>
        <v/>
      </c>
      <c r="C60" s="1047">
        <f>SQRT(1+(A60/pole1)^2)</f>
        <v/>
      </c>
      <c r="D60" s="1048">
        <f>ATAN(A60/pole1)</f>
        <v/>
      </c>
      <c r="E60" s="1048">
        <f>SQRT(1+(A60/Zero1)^2)</f>
        <v/>
      </c>
      <c r="F60" s="1049">
        <f>ATAN(A60/Zero1)</f>
        <v/>
      </c>
      <c r="G60" s="1048">
        <f>IF(VIN_nom&gt;Vout, 1, SQRT(1+(A60/z_RHP)^2))</f>
        <v/>
      </c>
      <c r="H60" s="1049">
        <f>IF(VIN_nom&gt;Vout, 0, -ATAN(A60/z_RHP))</f>
        <v/>
      </c>
      <c r="I60" s="1047">
        <f>SQRT(1+(A60/Pole2)^2)</f>
        <v/>
      </c>
      <c r="J60" s="1050">
        <f>ATAN(A60/Pole2)</f>
        <v/>
      </c>
      <c r="K60" s="1056">
        <f>SQRT(1+(A60/Zero2)^2)</f>
        <v/>
      </c>
      <c r="L60" s="1057">
        <f>ATAN(A60/Zero2)</f>
        <v/>
      </c>
      <c r="M60" s="1047">
        <f>SQRT(1+(A60/pole4)^2)</f>
        <v/>
      </c>
      <c r="N60" s="1057">
        <f>ATAN(A60/pole4)</f>
        <v/>
      </c>
      <c r="O60" s="1058">
        <f>IF(VOUT_setting=1,1,SQRT(1+(A60*zterm1)^2))</f>
        <v/>
      </c>
      <c r="P60" s="1059">
        <f>IF(VOUT_setting=1,0,ATAN(((A60*zterm1))))</f>
        <v/>
      </c>
      <c r="Q60" s="1056">
        <f>IF(VOUT_setting=1,1,SQRT((1+Afbr-$Q$5*(A60)^2)^2+(A60*$Q$4)^2))</f>
        <v/>
      </c>
      <c r="R60" s="1060">
        <f>IF(VOUT_setting=1,0,ATAN(A60*$Q$4/(1+Afbr-$Q$5*(A60)^2)))</f>
        <v/>
      </c>
      <c r="S60" s="1054">
        <f>SQRT((1-(Z60/pterm2))^2+(A60/pterm1)^2)</f>
        <v/>
      </c>
      <c r="T60" s="1055">
        <f>IF((ATAN((A60/pterm1)/(1-A60^2/pterm2))&gt;0),ATAN((A60/pterm1)/(1-A60^2/pterm2)),PI()+ATAN((A60/pterm1)/(1-A60^2/pterm2)))</f>
        <v/>
      </c>
      <c r="U60" s="331">
        <f>20*LOG10(((E60*K60*G60*O60)/(C60*I60*S60*M60*Q60))*Adc)</f>
        <v/>
      </c>
      <c r="V60" s="332">
        <f>((F60+L60+H60+P60)-(D60+J60+T60+N60+R60))*radconv</f>
        <v/>
      </c>
      <c r="W60" s="334">
        <f>IF(V60&gt;0,V60,V60+180)</f>
        <v/>
      </c>
      <c r="Y60" s="307">
        <f>IF(U60&lt;0,A60,1000000000)</f>
        <v/>
      </c>
      <c r="Z60" s="307">
        <f>A60^2</f>
        <v/>
      </c>
      <c r="AB60" s="333">
        <f>20*LOG10((K60/(I60*M60))*AEA)</f>
        <v/>
      </c>
      <c r="AC60" s="334">
        <f>(L60-(J60+N60))*radconv</f>
        <v/>
      </c>
      <c r="AE60" s="333">
        <f>20*LOG10((E60*G60/(C60*S60))*Acs*Am)</f>
        <v/>
      </c>
      <c r="AF60" s="334">
        <f>(F60+H60-(D60+T60))*radconv</f>
        <v/>
      </c>
      <c r="AH60">
        <f>SUM((U61&lt;0)*(U60&gt;0))*A60</f>
        <v/>
      </c>
      <c r="AI60">
        <f>IF(AH60&gt;0,W58,0)</f>
        <v/>
      </c>
    </row>
    <row r="61">
      <c r="A61" s="335" t="n">
        <v>83.176</v>
      </c>
      <c r="B61" s="352">
        <f>A61/1000</f>
        <v/>
      </c>
      <c r="C61" s="1047">
        <f>SQRT(1+(A61/pole1)^2)</f>
        <v/>
      </c>
      <c r="D61" s="1048">
        <f>ATAN(A61/pole1)</f>
        <v/>
      </c>
      <c r="E61" s="1048">
        <f>SQRT(1+(A61/Zero1)^2)</f>
        <v/>
      </c>
      <c r="F61" s="1049">
        <f>ATAN(A61/Zero1)</f>
        <v/>
      </c>
      <c r="G61" s="1048">
        <f>IF(VIN_nom&gt;Vout, 1, SQRT(1+(A61/z_RHP)^2))</f>
        <v/>
      </c>
      <c r="H61" s="1049">
        <f>IF(VIN_nom&gt;Vout, 0, -ATAN(A61/z_RHP))</f>
        <v/>
      </c>
      <c r="I61" s="1047">
        <f>SQRT(1+(A61/Pole2)^2)</f>
        <v/>
      </c>
      <c r="J61" s="1050">
        <f>ATAN(A61/Pole2)</f>
        <v/>
      </c>
      <c r="K61" s="1056">
        <f>SQRT(1+(A61/Zero2)^2)</f>
        <v/>
      </c>
      <c r="L61" s="1057">
        <f>ATAN(A61/Zero2)</f>
        <v/>
      </c>
      <c r="M61" s="1047">
        <f>SQRT(1+(A61/pole4)^2)</f>
        <v/>
      </c>
      <c r="N61" s="1057">
        <f>ATAN(A61/pole4)</f>
        <v/>
      </c>
      <c r="O61" s="1058">
        <f>IF(VOUT_setting=1,1,SQRT(1+(A61*zterm1)^2))</f>
        <v/>
      </c>
      <c r="P61" s="1059">
        <f>IF(VOUT_setting=1,0,ATAN(((A61*zterm1))))</f>
        <v/>
      </c>
      <c r="Q61" s="1056">
        <f>IF(VOUT_setting=1,1,SQRT((1+Afbr-$Q$5*(A61)^2)^2+(A61*$Q$4)^2))</f>
        <v/>
      </c>
      <c r="R61" s="1060">
        <f>IF(VOUT_setting=1,0,ATAN(A61*$Q$4/(1+Afbr-$Q$5*(A61)^2)))</f>
        <v/>
      </c>
      <c r="S61" s="1054">
        <f>SQRT((1-(Z61/pterm2))^2+(A61/pterm1)^2)</f>
        <v/>
      </c>
      <c r="T61" s="1055">
        <f>IF((ATAN((A61/pterm1)/(1-A61^2/pterm2))&gt;0),ATAN((A61/pterm1)/(1-A61^2/pterm2)),PI()+ATAN((A61/pterm1)/(1-A61^2/pterm2)))</f>
        <v/>
      </c>
      <c r="U61" s="331">
        <f>20*LOG10(((E61*K61*G61*O61)/(C61*I61*S61*M61*Q61))*Adc)</f>
        <v/>
      </c>
      <c r="V61" s="332">
        <f>((F61+L61+H61+P61)-(D61+J61+T61+N61+R61))*radconv</f>
        <v/>
      </c>
      <c r="W61" s="334">
        <f>IF(V61&gt;0,V61,V61+180)</f>
        <v/>
      </c>
      <c r="Y61" s="307">
        <f>IF(U61&lt;0,A61,1000000000)</f>
        <v/>
      </c>
      <c r="Z61" s="307">
        <f>A61^2</f>
        <v/>
      </c>
      <c r="AB61" s="333">
        <f>20*LOG10((K61/(I61*M61))*AEA)</f>
        <v/>
      </c>
      <c r="AC61" s="334">
        <f>(L61-(J61+N61))*radconv</f>
        <v/>
      </c>
      <c r="AE61" s="333">
        <f>20*LOG10((E61*G61/(C61*S61))*Acs*Am)</f>
        <v/>
      </c>
      <c r="AF61" s="334">
        <f>(F61+H61-(D61+T61))*radconv</f>
        <v/>
      </c>
      <c r="AH61">
        <f>SUM((U62&lt;0)*(U61&gt;0))*A61</f>
        <v/>
      </c>
      <c r="AI61">
        <f>IF(AH61&gt;0,W59,0)</f>
        <v/>
      </c>
    </row>
    <row r="62">
      <c r="A62" s="335" t="n">
        <v>91.20100000000001</v>
      </c>
      <c r="B62" s="352">
        <f>A62/1000</f>
        <v/>
      </c>
      <c r="C62" s="1047">
        <f>SQRT(1+(A62/pole1)^2)</f>
        <v/>
      </c>
      <c r="D62" s="1048">
        <f>ATAN(A62/pole1)</f>
        <v/>
      </c>
      <c r="E62" s="1048">
        <f>SQRT(1+(A62/Zero1)^2)</f>
        <v/>
      </c>
      <c r="F62" s="1049">
        <f>ATAN(A62/Zero1)</f>
        <v/>
      </c>
      <c r="G62" s="1048">
        <f>IF(VIN_nom&gt;Vout, 1, SQRT(1+(A62/z_RHP)^2))</f>
        <v/>
      </c>
      <c r="H62" s="1049">
        <f>IF(VIN_nom&gt;Vout, 0, -ATAN(A62/z_RHP))</f>
        <v/>
      </c>
      <c r="I62" s="1047">
        <f>SQRT(1+(A62/Pole2)^2)</f>
        <v/>
      </c>
      <c r="J62" s="1050">
        <f>ATAN(A62/Pole2)</f>
        <v/>
      </c>
      <c r="K62" s="1056">
        <f>SQRT(1+(A62/Zero2)^2)</f>
        <v/>
      </c>
      <c r="L62" s="1057">
        <f>ATAN(A62/Zero2)</f>
        <v/>
      </c>
      <c r="M62" s="1047">
        <f>SQRT(1+(A62/pole4)^2)</f>
        <v/>
      </c>
      <c r="N62" s="1057">
        <f>ATAN(A62/pole4)</f>
        <v/>
      </c>
      <c r="O62" s="1058">
        <f>IF(VOUT_setting=1,1,SQRT(1+(A62*zterm1)^2))</f>
        <v/>
      </c>
      <c r="P62" s="1059">
        <f>IF(VOUT_setting=1,0,ATAN(((A62*zterm1))))</f>
        <v/>
      </c>
      <c r="Q62" s="1056">
        <f>IF(VOUT_setting=1,1,SQRT((1+Afbr-$Q$5*(A62)^2)^2+(A62*$Q$4)^2))</f>
        <v/>
      </c>
      <c r="R62" s="1060">
        <f>IF(VOUT_setting=1,0,ATAN(A62*$Q$4/(1+Afbr-$Q$5*(A62)^2)))</f>
        <v/>
      </c>
      <c r="S62" s="1054">
        <f>SQRT((1-(Z62/pterm2))^2+(A62/pterm1)^2)</f>
        <v/>
      </c>
      <c r="T62" s="1055">
        <f>IF((ATAN((A62/pterm1)/(1-A62^2/pterm2))&gt;0),ATAN((A62/pterm1)/(1-A62^2/pterm2)),PI()+ATAN((A62/pterm1)/(1-A62^2/pterm2)))</f>
        <v/>
      </c>
      <c r="U62" s="331">
        <f>20*LOG10(((E62*K62*G62*O62)/(C62*I62*S62*M62*Q62))*Adc)</f>
        <v/>
      </c>
      <c r="V62" s="332">
        <f>((F62+L62+H62+P62)-(D62+J62+T62+N62+R62))*radconv</f>
        <v/>
      </c>
      <c r="W62" s="334">
        <f>IF(V62&gt;0,V62,V62+180)</f>
        <v/>
      </c>
      <c r="Y62" s="307">
        <f>IF(U62&lt;0,A62,1000000000)</f>
        <v/>
      </c>
      <c r="Z62" s="307">
        <f>A62^2</f>
        <v/>
      </c>
      <c r="AB62" s="333">
        <f>20*LOG10((K62/(I62*M62))*AEA)</f>
        <v/>
      </c>
      <c r="AC62" s="334">
        <f>(L62-(J62+N62))*radconv</f>
        <v/>
      </c>
      <c r="AE62" s="333">
        <f>20*LOG10((E62*G62/(C62*S62))*Acs*Am)</f>
        <v/>
      </c>
      <c r="AF62" s="334">
        <f>(F62+H62-(D62+T62))*radconv</f>
        <v/>
      </c>
      <c r="AH62">
        <f>SUM((U63&lt;0)*(U62&gt;0))*A62</f>
        <v/>
      </c>
      <c r="AI62">
        <f>IF(AH62&gt;0,W60,0)</f>
        <v/>
      </c>
    </row>
    <row r="63">
      <c r="A63" s="335" t="n">
        <v>100</v>
      </c>
      <c r="B63" s="352">
        <f>A63/1000</f>
        <v/>
      </c>
      <c r="C63" s="1047">
        <f>SQRT(1+(A63/pole1)^2)</f>
        <v/>
      </c>
      <c r="D63" s="1048">
        <f>ATAN(A63/pole1)</f>
        <v/>
      </c>
      <c r="E63" s="1048">
        <f>SQRT(1+(A63/Zero1)^2)</f>
        <v/>
      </c>
      <c r="F63" s="1049">
        <f>ATAN(A63/Zero1)</f>
        <v/>
      </c>
      <c r="G63" s="1048">
        <f>IF(VIN_nom&gt;Vout, 1, SQRT(1+(A63/z_RHP)^2))</f>
        <v/>
      </c>
      <c r="H63" s="1049">
        <f>IF(VIN_nom&gt;Vout, 0, -ATAN(A63/z_RHP))</f>
        <v/>
      </c>
      <c r="I63" s="1047">
        <f>SQRT(1+(A63/Pole2)^2)</f>
        <v/>
      </c>
      <c r="J63" s="1050">
        <f>ATAN(A63/Pole2)</f>
        <v/>
      </c>
      <c r="K63" s="1056">
        <f>SQRT(1+(A63/Zero2)^2)</f>
        <v/>
      </c>
      <c r="L63" s="1057">
        <f>ATAN(A63/Zero2)</f>
        <v/>
      </c>
      <c r="M63" s="1047">
        <f>SQRT(1+(A63/pole4)^2)</f>
        <v/>
      </c>
      <c r="N63" s="1057">
        <f>ATAN(A63/pole4)</f>
        <v/>
      </c>
      <c r="O63" s="1058">
        <f>IF(VOUT_setting=1,1,SQRT(1+(A63*zterm1)^2))</f>
        <v/>
      </c>
      <c r="P63" s="1059">
        <f>IF(VOUT_setting=1,0,ATAN(((A63*zterm1))))</f>
        <v/>
      </c>
      <c r="Q63" s="1056">
        <f>IF(VOUT_setting=1,1,SQRT((1+Afbr-$Q$5*(A63)^2)^2+(A63*$Q$4)^2))</f>
        <v/>
      </c>
      <c r="R63" s="1060">
        <f>IF(VOUT_setting=1,0,ATAN(A63*$Q$4/(1+Afbr-$Q$5*(A63)^2)))</f>
        <v/>
      </c>
      <c r="S63" s="1054">
        <f>SQRT((1-(Z63/pterm2))^2+(A63/pterm1)^2)</f>
        <v/>
      </c>
      <c r="T63" s="1055">
        <f>IF((ATAN((A63/pterm1)/(1-A63^2/pterm2))&gt;0),ATAN((A63/pterm1)/(1-A63^2/pterm2)),PI()+ATAN((A63/pterm1)/(1-A63^2/pterm2)))</f>
        <v/>
      </c>
      <c r="U63" s="331">
        <f>20*LOG10(((E63*K63*G63*O63)/(C63*I63*S63*M63*Q63))*Adc)</f>
        <v/>
      </c>
      <c r="V63" s="332">
        <f>((F63+L63+H63+P63)-(D63+J63+T63+N63+R63))*radconv</f>
        <v/>
      </c>
      <c r="W63" s="334">
        <f>IF(V63&gt;0,V63,V63+180)</f>
        <v/>
      </c>
      <c r="Y63" s="307">
        <f>IF(U63&lt;0,A63,1000000000)</f>
        <v/>
      </c>
      <c r="Z63" s="307">
        <f>A63^2</f>
        <v/>
      </c>
      <c r="AB63" s="333">
        <f>20*LOG10((K63/(I63*M63))*AEA)</f>
        <v/>
      </c>
      <c r="AC63" s="334">
        <f>(L63-(J63+N63))*radconv</f>
        <v/>
      </c>
      <c r="AE63" s="333">
        <f>20*LOG10((E63*G63/(C63*S63))*Acs*Am)</f>
        <v/>
      </c>
      <c r="AF63" s="334">
        <f>(F63+H63-(D63+T63))*radconv</f>
        <v/>
      </c>
      <c r="AH63">
        <f>SUM((U64&lt;0)*(U63&gt;0))*A63</f>
        <v/>
      </c>
      <c r="AI63">
        <f>IF(AH63&gt;0,W61,0)</f>
        <v/>
      </c>
    </row>
    <row r="64">
      <c r="A64" s="335" t="n">
        <v>109.65</v>
      </c>
      <c r="B64" s="352">
        <f>A64/1000</f>
        <v/>
      </c>
      <c r="C64" s="1047">
        <f>SQRT(1+(A64/pole1)^2)</f>
        <v/>
      </c>
      <c r="D64" s="1048">
        <f>ATAN(A64/pole1)</f>
        <v/>
      </c>
      <c r="E64" s="1048">
        <f>SQRT(1+(A64/Zero1)^2)</f>
        <v/>
      </c>
      <c r="F64" s="1049">
        <f>ATAN(A64/Zero1)</f>
        <v/>
      </c>
      <c r="G64" s="1048">
        <f>IF(VIN_nom&gt;Vout, 1, SQRT(1+(A64/z_RHP)^2))</f>
        <v/>
      </c>
      <c r="H64" s="1049">
        <f>IF(VIN_nom&gt;Vout, 0, -ATAN(A64/z_RHP))</f>
        <v/>
      </c>
      <c r="I64" s="1047">
        <f>SQRT(1+(A64/Pole2)^2)</f>
        <v/>
      </c>
      <c r="J64" s="1050">
        <f>ATAN(A64/Pole2)</f>
        <v/>
      </c>
      <c r="K64" s="1056">
        <f>SQRT(1+(A64/Zero2)^2)</f>
        <v/>
      </c>
      <c r="L64" s="1057">
        <f>ATAN(A64/Zero2)</f>
        <v/>
      </c>
      <c r="M64" s="1047">
        <f>SQRT(1+(A64/pole4)^2)</f>
        <v/>
      </c>
      <c r="N64" s="1057">
        <f>ATAN(A64/pole4)</f>
        <v/>
      </c>
      <c r="O64" s="1058">
        <f>IF(VOUT_setting=1,1,SQRT(1+(A64*zterm1)^2))</f>
        <v/>
      </c>
      <c r="P64" s="1059">
        <f>IF(VOUT_setting=1,0,ATAN(((A64*zterm1))))</f>
        <v/>
      </c>
      <c r="Q64" s="1056">
        <f>IF(VOUT_setting=1,1,SQRT((1+Afbr-$Q$5*(A64)^2)^2+(A64*$Q$4)^2))</f>
        <v/>
      </c>
      <c r="R64" s="1060">
        <f>IF(VOUT_setting=1,0,ATAN(A64*$Q$4/(1+Afbr-$Q$5*(A64)^2)))</f>
        <v/>
      </c>
      <c r="S64" s="1054">
        <f>SQRT((1-(Z64/pterm2))^2+(A64/pterm1)^2)</f>
        <v/>
      </c>
      <c r="T64" s="1055">
        <f>IF((ATAN((A64/pterm1)/(1-A64^2/pterm2))&gt;0),ATAN((A64/pterm1)/(1-A64^2/pterm2)),PI()+ATAN((A64/pterm1)/(1-A64^2/pterm2)))</f>
        <v/>
      </c>
      <c r="U64" s="331">
        <f>20*LOG10(((E64*K64*G64*O64)/(C64*I64*S64*M64*Q64))*Adc)</f>
        <v/>
      </c>
      <c r="V64" s="332">
        <f>((F64+L64+H64+P64)-(D64+J64+T64+N64+R64))*radconv</f>
        <v/>
      </c>
      <c r="W64" s="334">
        <f>IF(V64&gt;0,V64,V64+180)</f>
        <v/>
      </c>
      <c r="Y64" s="307">
        <f>IF(U64&lt;0,A64,1000000000)</f>
        <v/>
      </c>
      <c r="Z64" s="307">
        <f>A64^2</f>
        <v/>
      </c>
      <c r="AB64" s="333">
        <f>20*LOG10((K64/(I64*M64))*AEA)</f>
        <v/>
      </c>
      <c r="AC64" s="334">
        <f>(L64-(J64+N64))*radconv</f>
        <v/>
      </c>
      <c r="AE64" s="333">
        <f>20*LOG10((E64*G64/(C64*S64))*Acs*Am)</f>
        <v/>
      </c>
      <c r="AF64" s="334">
        <f>(F64+H64-(D64+T64))*radconv</f>
        <v/>
      </c>
      <c r="AH64">
        <f>SUM((U65&lt;0)*(U64&gt;0))*A64</f>
        <v/>
      </c>
      <c r="AI64">
        <f>IF(AH64&gt;0,W62,0)</f>
        <v/>
      </c>
    </row>
    <row r="65">
      <c r="A65" s="335" t="n">
        <v>120.23</v>
      </c>
      <c r="B65" s="352">
        <f>A65/1000</f>
        <v/>
      </c>
      <c r="C65" s="1047">
        <f>SQRT(1+(A65/pole1)^2)</f>
        <v/>
      </c>
      <c r="D65" s="1048">
        <f>ATAN(A65/pole1)</f>
        <v/>
      </c>
      <c r="E65" s="1048">
        <f>SQRT(1+(A65/Zero1)^2)</f>
        <v/>
      </c>
      <c r="F65" s="1049">
        <f>ATAN(A65/Zero1)</f>
        <v/>
      </c>
      <c r="G65" s="1048">
        <f>IF(VIN_nom&gt;Vout, 1, SQRT(1+(A65/z_RHP)^2))</f>
        <v/>
      </c>
      <c r="H65" s="1049">
        <f>IF(VIN_nom&gt;Vout, 0, -ATAN(A65/z_RHP))</f>
        <v/>
      </c>
      <c r="I65" s="1047">
        <f>SQRT(1+(A65/Pole2)^2)</f>
        <v/>
      </c>
      <c r="J65" s="1050">
        <f>ATAN(A65/Pole2)</f>
        <v/>
      </c>
      <c r="K65" s="1056">
        <f>SQRT(1+(A65/Zero2)^2)</f>
        <v/>
      </c>
      <c r="L65" s="1057">
        <f>ATAN(A65/Zero2)</f>
        <v/>
      </c>
      <c r="M65" s="1047">
        <f>SQRT(1+(A65/pole4)^2)</f>
        <v/>
      </c>
      <c r="N65" s="1057">
        <f>ATAN(A65/pole4)</f>
        <v/>
      </c>
      <c r="O65" s="1058">
        <f>IF(VOUT_setting=1,1,SQRT(1+(A65*zterm1)^2))</f>
        <v/>
      </c>
      <c r="P65" s="1059">
        <f>IF(VOUT_setting=1,0,ATAN(((A65*zterm1))))</f>
        <v/>
      </c>
      <c r="Q65" s="1056">
        <f>IF(VOUT_setting=1,1,SQRT((1+Afbr-$Q$5*(A65)^2)^2+(A65*$Q$4)^2))</f>
        <v/>
      </c>
      <c r="R65" s="1060">
        <f>IF(VOUT_setting=1,0,ATAN(A65*$Q$4/(1+Afbr-$Q$5*(A65)^2)))</f>
        <v/>
      </c>
      <c r="S65" s="1054">
        <f>SQRT((1-(Z65/pterm2))^2+(A65/pterm1)^2)</f>
        <v/>
      </c>
      <c r="T65" s="1055">
        <f>IF((ATAN((A65/pterm1)/(1-A65^2/pterm2))&gt;0),ATAN((A65/pterm1)/(1-A65^2/pterm2)),PI()+ATAN((A65/pterm1)/(1-A65^2/pterm2)))</f>
        <v/>
      </c>
      <c r="U65" s="331">
        <f>20*LOG10(((E65*K65*G65*O65)/(C65*I65*S65*M65*Q65))*Adc)</f>
        <v/>
      </c>
      <c r="V65" s="332">
        <f>((F65+L65+H65+P65)-(D65+J65+T65+N65+R65))*radconv</f>
        <v/>
      </c>
      <c r="W65" s="334">
        <f>IF(V65&gt;0,V65,V65+180)</f>
        <v/>
      </c>
      <c r="Y65" s="307">
        <f>IF(U65&lt;0,A65,1000000000)</f>
        <v/>
      </c>
      <c r="Z65" s="307">
        <f>A65^2</f>
        <v/>
      </c>
      <c r="AB65" s="333">
        <f>20*LOG10((K65/(I65*M65))*AEA)</f>
        <v/>
      </c>
      <c r="AC65" s="334">
        <f>(L65-(J65+N65))*radconv</f>
        <v/>
      </c>
      <c r="AE65" s="333">
        <f>20*LOG10((E65*G65/(C65*S65))*Acs*Am)</f>
        <v/>
      </c>
      <c r="AF65" s="334">
        <f>(F65+H65-(D65+T65))*radconv</f>
        <v/>
      </c>
      <c r="AH65">
        <f>SUM((U66&lt;0)*(U65&gt;0))*A65</f>
        <v/>
      </c>
      <c r="AI65">
        <f>IF(AH65&gt;0,W63,0)</f>
        <v/>
      </c>
    </row>
    <row r="66">
      <c r="A66" s="335" t="n">
        <v>131.83</v>
      </c>
      <c r="B66" s="352">
        <f>A66/1000</f>
        <v/>
      </c>
      <c r="C66" s="1047">
        <f>SQRT(1+(A66/pole1)^2)</f>
        <v/>
      </c>
      <c r="D66" s="1048">
        <f>ATAN(A66/pole1)</f>
        <v/>
      </c>
      <c r="E66" s="1048">
        <f>SQRT(1+(A66/Zero1)^2)</f>
        <v/>
      </c>
      <c r="F66" s="1049">
        <f>ATAN(A66/Zero1)</f>
        <v/>
      </c>
      <c r="G66" s="1048">
        <f>IF(VIN_nom&gt;Vout, 1, SQRT(1+(A66/z_RHP)^2))</f>
        <v/>
      </c>
      <c r="H66" s="1049">
        <f>IF(VIN_nom&gt;Vout, 0, -ATAN(A66/z_RHP))</f>
        <v/>
      </c>
      <c r="I66" s="1047">
        <f>SQRT(1+(A66/Pole2)^2)</f>
        <v/>
      </c>
      <c r="J66" s="1050">
        <f>ATAN(A66/Pole2)</f>
        <v/>
      </c>
      <c r="K66" s="1056">
        <f>SQRT(1+(A66/Zero2)^2)</f>
        <v/>
      </c>
      <c r="L66" s="1057">
        <f>ATAN(A66/Zero2)</f>
        <v/>
      </c>
      <c r="M66" s="1047">
        <f>SQRT(1+(A66/pole4)^2)</f>
        <v/>
      </c>
      <c r="N66" s="1057">
        <f>ATAN(A66/pole4)</f>
        <v/>
      </c>
      <c r="O66" s="1058">
        <f>IF(VOUT_setting=1,1,SQRT(1+(A66*zterm1)^2))</f>
        <v/>
      </c>
      <c r="P66" s="1059">
        <f>IF(VOUT_setting=1,0,ATAN(((A66*zterm1))))</f>
        <v/>
      </c>
      <c r="Q66" s="1056">
        <f>IF(VOUT_setting=1,1,SQRT((1+Afbr-$Q$5*(A66)^2)^2+(A66*$Q$4)^2))</f>
        <v/>
      </c>
      <c r="R66" s="1060">
        <f>IF(VOUT_setting=1,0,ATAN(A66*$Q$4/(1+Afbr-$Q$5*(A66)^2)))</f>
        <v/>
      </c>
      <c r="S66" s="1054">
        <f>SQRT((1-(Z66/pterm2))^2+(A66/pterm1)^2)</f>
        <v/>
      </c>
      <c r="T66" s="1055">
        <f>IF((ATAN((A66/pterm1)/(1-A66^2/pterm2))&gt;0),ATAN((A66/pterm1)/(1-A66^2/pterm2)),PI()+ATAN((A66/pterm1)/(1-A66^2/pterm2)))</f>
        <v/>
      </c>
      <c r="U66" s="331">
        <f>20*LOG10(((E66*K66*G66*O66)/(C66*I66*S66*M66*Q66))*Adc)</f>
        <v/>
      </c>
      <c r="V66" s="332">
        <f>((F66+L66+H66+P66)-(D66+J66+T66+N66+R66))*radconv</f>
        <v/>
      </c>
      <c r="W66" s="334">
        <f>IF(V66&gt;0,V66,V66+180)</f>
        <v/>
      </c>
      <c r="Y66" s="307">
        <f>IF(U66&lt;0,A66,1000000000)</f>
        <v/>
      </c>
      <c r="Z66" s="307">
        <f>A66^2</f>
        <v/>
      </c>
      <c r="AB66" s="333">
        <f>20*LOG10((K66/(I66*M66))*AEA)</f>
        <v/>
      </c>
      <c r="AC66" s="334">
        <f>(L66-(J66+N66))*radconv</f>
        <v/>
      </c>
      <c r="AE66" s="333">
        <f>20*LOG10((E66*G66/(C66*S66))*Acs*Am)</f>
        <v/>
      </c>
      <c r="AF66" s="334">
        <f>(F66+H66-(D66+T66))*radconv</f>
        <v/>
      </c>
      <c r="AH66">
        <f>SUM((U67&lt;0)*(U66&gt;0))*A66</f>
        <v/>
      </c>
      <c r="AI66">
        <f>IF(AH66&gt;0,W64,0)</f>
        <v/>
      </c>
    </row>
    <row r="67">
      <c r="A67" s="335" t="n">
        <v>144.54</v>
      </c>
      <c r="B67" s="352">
        <f>A67/1000</f>
        <v/>
      </c>
      <c r="C67" s="1047">
        <f>SQRT(1+(A67/pole1)^2)</f>
        <v/>
      </c>
      <c r="D67" s="1048">
        <f>ATAN(A67/pole1)</f>
        <v/>
      </c>
      <c r="E67" s="1048">
        <f>SQRT(1+(A67/Zero1)^2)</f>
        <v/>
      </c>
      <c r="F67" s="1049">
        <f>ATAN(A67/Zero1)</f>
        <v/>
      </c>
      <c r="G67" s="1048">
        <f>IF(VIN_nom&gt;Vout, 1, SQRT(1+(A67/z_RHP)^2))</f>
        <v/>
      </c>
      <c r="H67" s="1049">
        <f>IF(VIN_nom&gt;Vout, 0, -ATAN(A67/z_RHP))</f>
        <v/>
      </c>
      <c r="I67" s="1047">
        <f>SQRT(1+(A67/Pole2)^2)</f>
        <v/>
      </c>
      <c r="J67" s="1050">
        <f>ATAN(A67/Pole2)</f>
        <v/>
      </c>
      <c r="K67" s="1056">
        <f>SQRT(1+(A67/Zero2)^2)</f>
        <v/>
      </c>
      <c r="L67" s="1057">
        <f>ATAN(A67/Zero2)</f>
        <v/>
      </c>
      <c r="M67" s="1047">
        <f>SQRT(1+(A67/pole4)^2)</f>
        <v/>
      </c>
      <c r="N67" s="1057">
        <f>ATAN(A67/pole4)</f>
        <v/>
      </c>
      <c r="O67" s="1058">
        <f>IF(VOUT_setting=1,1,SQRT(1+(A67*zterm1)^2))</f>
        <v/>
      </c>
      <c r="P67" s="1059">
        <f>IF(VOUT_setting=1,0,ATAN(((A67*zterm1))))</f>
        <v/>
      </c>
      <c r="Q67" s="1056">
        <f>IF(VOUT_setting=1,1,SQRT((1+Afbr-$Q$5*(A67)^2)^2+(A67*$Q$4)^2))</f>
        <v/>
      </c>
      <c r="R67" s="1060">
        <f>IF(VOUT_setting=1,0,ATAN(A67*$Q$4/(1+Afbr-$Q$5*(A67)^2)))</f>
        <v/>
      </c>
      <c r="S67" s="1054">
        <f>SQRT((1-(Z67/pterm2))^2+(A67/pterm1)^2)</f>
        <v/>
      </c>
      <c r="T67" s="1055">
        <f>IF((ATAN((A67/pterm1)/(1-A67^2/pterm2))&gt;0),ATAN((A67/pterm1)/(1-A67^2/pterm2)),PI()+ATAN((A67/pterm1)/(1-A67^2/pterm2)))</f>
        <v/>
      </c>
      <c r="U67" s="331">
        <f>20*LOG10(((E67*K67*G67*O67)/(C67*I67*S67*M67*Q67))*Adc)</f>
        <v/>
      </c>
      <c r="V67" s="332">
        <f>((F67+L67+H67+P67)-(D67+J67+T67+N67+R67))*radconv</f>
        <v/>
      </c>
      <c r="W67" s="334">
        <f>IF(V67&gt;0,V67,V67+180)</f>
        <v/>
      </c>
      <c r="Y67" s="307">
        <f>IF(U67&lt;0,A67,1000000000)</f>
        <v/>
      </c>
      <c r="Z67" s="307">
        <f>A67^2</f>
        <v/>
      </c>
      <c r="AB67" s="333">
        <f>20*LOG10((K67/(I67*M67))*AEA)</f>
        <v/>
      </c>
      <c r="AC67" s="334">
        <f>(L67-(J67+N67))*radconv</f>
        <v/>
      </c>
      <c r="AE67" s="333">
        <f>20*LOG10((E67*G67/(C67*S67))*Acs*Am)</f>
        <v/>
      </c>
      <c r="AF67" s="334">
        <f>(F67+H67-(D67+T67))*radconv</f>
        <v/>
      </c>
      <c r="AH67">
        <f>SUM((U68&lt;0)*(U67&gt;0))*A67</f>
        <v/>
      </c>
      <c r="AI67">
        <f>IF(AH67&gt;0,W65,0)</f>
        <v/>
      </c>
    </row>
    <row r="68">
      <c r="A68" s="335" t="n">
        <v>158.49</v>
      </c>
      <c r="B68" s="352">
        <f>A68/1000</f>
        <v/>
      </c>
      <c r="C68" s="1047">
        <f>SQRT(1+(A68/pole1)^2)</f>
        <v/>
      </c>
      <c r="D68" s="1048">
        <f>ATAN(A68/pole1)</f>
        <v/>
      </c>
      <c r="E68" s="1048">
        <f>SQRT(1+(A68/Zero1)^2)</f>
        <v/>
      </c>
      <c r="F68" s="1049">
        <f>ATAN(A68/Zero1)</f>
        <v/>
      </c>
      <c r="G68" s="1048">
        <f>IF(VIN_nom&gt;Vout, 1, SQRT(1+(A68/z_RHP)^2))</f>
        <v/>
      </c>
      <c r="H68" s="1049">
        <f>IF(VIN_nom&gt;Vout, 0, -ATAN(A68/z_RHP))</f>
        <v/>
      </c>
      <c r="I68" s="1047">
        <f>SQRT(1+(A68/Pole2)^2)</f>
        <v/>
      </c>
      <c r="J68" s="1050">
        <f>ATAN(A68/Pole2)</f>
        <v/>
      </c>
      <c r="K68" s="1056">
        <f>SQRT(1+(A68/Zero2)^2)</f>
        <v/>
      </c>
      <c r="L68" s="1057">
        <f>ATAN(A68/Zero2)</f>
        <v/>
      </c>
      <c r="M68" s="1047">
        <f>SQRT(1+(A68/pole4)^2)</f>
        <v/>
      </c>
      <c r="N68" s="1057">
        <f>ATAN(A68/pole4)</f>
        <v/>
      </c>
      <c r="O68" s="1058">
        <f>IF(VOUT_setting=1,1,SQRT(1+(A68*zterm1)^2))</f>
        <v/>
      </c>
      <c r="P68" s="1059">
        <f>IF(VOUT_setting=1,0,ATAN(((A68*zterm1))))</f>
        <v/>
      </c>
      <c r="Q68" s="1056">
        <f>IF(VOUT_setting=1,1,SQRT((1+Afbr-$Q$5*(A68)^2)^2+(A68*$Q$4)^2))</f>
        <v/>
      </c>
      <c r="R68" s="1060">
        <f>IF(VOUT_setting=1,0,ATAN(A68*$Q$4/(1+Afbr-$Q$5*(A68)^2)))</f>
        <v/>
      </c>
      <c r="S68" s="1054">
        <f>SQRT((1-(Z68/pterm2))^2+(A68/pterm1)^2)</f>
        <v/>
      </c>
      <c r="T68" s="1055">
        <f>IF((ATAN((A68/pterm1)/(1-A68^2/pterm2))&gt;0),ATAN((A68/pterm1)/(1-A68^2/pterm2)),PI()+ATAN((A68/pterm1)/(1-A68^2/pterm2)))</f>
        <v/>
      </c>
      <c r="U68" s="331">
        <f>20*LOG10(((E68*K68*G68*O68)/(C68*I68*S68*M68*Q68))*Adc)</f>
        <v/>
      </c>
      <c r="V68" s="332">
        <f>((F68+L68+H68+P68)-(D68+J68+T68+N68+R68))*radconv</f>
        <v/>
      </c>
      <c r="W68" s="334">
        <f>IF(V68&gt;0,V68,V68+180)</f>
        <v/>
      </c>
      <c r="Y68" s="307">
        <f>IF(U68&lt;0,A68,1000000000)</f>
        <v/>
      </c>
      <c r="Z68" s="307">
        <f>A68^2</f>
        <v/>
      </c>
      <c r="AB68" s="333">
        <f>20*LOG10((K68/(I68*M68))*AEA)</f>
        <v/>
      </c>
      <c r="AC68" s="334">
        <f>(L68-(J68+N68))*radconv</f>
        <v/>
      </c>
      <c r="AE68" s="333">
        <f>20*LOG10((E68*G68/(C68*S68))*Acs*Am)</f>
        <v/>
      </c>
      <c r="AF68" s="334">
        <f>(F68+H68-(D68+T68))*radconv</f>
        <v/>
      </c>
      <c r="AH68">
        <f>SUM((U69&lt;0)*(U68&gt;0))*A68</f>
        <v/>
      </c>
      <c r="AI68">
        <f>IF(AH68&gt;0,W66,0)</f>
        <v/>
      </c>
    </row>
    <row r="69">
      <c r="A69" s="335" t="n">
        <v>173.78</v>
      </c>
      <c r="B69" s="352">
        <f>A69/1000</f>
        <v/>
      </c>
      <c r="C69" s="1047">
        <f>SQRT(1+(A69/pole1)^2)</f>
        <v/>
      </c>
      <c r="D69" s="1048">
        <f>ATAN(A69/pole1)</f>
        <v/>
      </c>
      <c r="E69" s="1048">
        <f>SQRT(1+(A69/Zero1)^2)</f>
        <v/>
      </c>
      <c r="F69" s="1049">
        <f>ATAN(A69/Zero1)</f>
        <v/>
      </c>
      <c r="G69" s="1048">
        <f>IF(VIN_nom&gt;Vout, 1, SQRT(1+(A69/z_RHP)^2))</f>
        <v/>
      </c>
      <c r="H69" s="1049">
        <f>IF(VIN_nom&gt;Vout, 0, -ATAN(A69/z_RHP))</f>
        <v/>
      </c>
      <c r="I69" s="1047">
        <f>SQRT(1+(A69/Pole2)^2)</f>
        <v/>
      </c>
      <c r="J69" s="1050">
        <f>ATAN(A69/Pole2)</f>
        <v/>
      </c>
      <c r="K69" s="1056">
        <f>SQRT(1+(A69/Zero2)^2)</f>
        <v/>
      </c>
      <c r="L69" s="1057">
        <f>ATAN(A69/Zero2)</f>
        <v/>
      </c>
      <c r="M69" s="1047">
        <f>SQRT(1+(A69/pole4)^2)</f>
        <v/>
      </c>
      <c r="N69" s="1057">
        <f>ATAN(A69/pole4)</f>
        <v/>
      </c>
      <c r="O69" s="1058">
        <f>IF(VOUT_setting=1,1,SQRT(1+(A69*zterm1)^2))</f>
        <v/>
      </c>
      <c r="P69" s="1059">
        <f>IF(VOUT_setting=1,0,ATAN(((A69*zterm1))))</f>
        <v/>
      </c>
      <c r="Q69" s="1056">
        <f>IF(VOUT_setting=1,1,SQRT((1+Afbr-$Q$5*(A69)^2)^2+(A69*$Q$4)^2))</f>
        <v/>
      </c>
      <c r="R69" s="1060">
        <f>IF(VOUT_setting=1,0,ATAN(A69*$Q$4/(1+Afbr-$Q$5*(A69)^2)))</f>
        <v/>
      </c>
      <c r="S69" s="1054">
        <f>SQRT((1-(Z69/pterm2))^2+(A69/pterm1)^2)</f>
        <v/>
      </c>
      <c r="T69" s="1055">
        <f>IF((ATAN((A69/pterm1)/(1-A69^2/pterm2))&gt;0),ATAN((A69/pterm1)/(1-A69^2/pterm2)),PI()+ATAN((A69/pterm1)/(1-A69^2/pterm2)))</f>
        <v/>
      </c>
      <c r="U69" s="331">
        <f>20*LOG10(((E69*K69*G69*O69)/(C69*I69*S69*M69*Q69))*Adc)</f>
        <v/>
      </c>
      <c r="V69" s="332">
        <f>((F69+L69+H69+P69)-(D69+J69+T69+N69+R69))*radconv</f>
        <v/>
      </c>
      <c r="W69" s="334">
        <f>IF(V69&gt;0,V69,V69+180)</f>
        <v/>
      </c>
      <c r="Y69" s="307">
        <f>IF(U69&lt;0,A69,1000000000)</f>
        <v/>
      </c>
      <c r="Z69" s="307">
        <f>A69^2</f>
        <v/>
      </c>
      <c r="AB69" s="333">
        <f>20*LOG10((K69/(I69*M69))*AEA)</f>
        <v/>
      </c>
      <c r="AC69" s="334">
        <f>(L69-(J69+N69))*radconv</f>
        <v/>
      </c>
      <c r="AE69" s="333">
        <f>20*LOG10((E69*G69/(C69*S69))*Acs*Am)</f>
        <v/>
      </c>
      <c r="AF69" s="334">
        <f>(F69+H69-(D69+T69))*radconv</f>
        <v/>
      </c>
      <c r="AH69">
        <f>SUM((U70&lt;0)*(U69&gt;0))*A69</f>
        <v/>
      </c>
      <c r="AI69">
        <f>IF(AH69&gt;0,W67,0)</f>
        <v/>
      </c>
    </row>
    <row r="70">
      <c r="A70" s="335" t="n">
        <v>190.55</v>
      </c>
      <c r="B70" s="352">
        <f>A70/1000</f>
        <v/>
      </c>
      <c r="C70" s="1047">
        <f>SQRT(1+(A70/pole1)^2)</f>
        <v/>
      </c>
      <c r="D70" s="1048">
        <f>ATAN(A70/pole1)</f>
        <v/>
      </c>
      <c r="E70" s="1048">
        <f>SQRT(1+(A70/Zero1)^2)</f>
        <v/>
      </c>
      <c r="F70" s="1049">
        <f>ATAN(A70/Zero1)</f>
        <v/>
      </c>
      <c r="G70" s="1048">
        <f>IF(VIN_nom&gt;Vout, 1, SQRT(1+(A70/z_RHP)^2))</f>
        <v/>
      </c>
      <c r="H70" s="1049">
        <f>IF(VIN_nom&gt;Vout, 0, -ATAN(A70/z_RHP))</f>
        <v/>
      </c>
      <c r="I70" s="1047">
        <f>SQRT(1+(A70/Pole2)^2)</f>
        <v/>
      </c>
      <c r="J70" s="1050">
        <f>ATAN(A70/Pole2)</f>
        <v/>
      </c>
      <c r="K70" s="1056">
        <f>SQRT(1+(A70/Zero2)^2)</f>
        <v/>
      </c>
      <c r="L70" s="1057">
        <f>ATAN(A70/Zero2)</f>
        <v/>
      </c>
      <c r="M70" s="1047">
        <f>SQRT(1+(A70/pole4)^2)</f>
        <v/>
      </c>
      <c r="N70" s="1057">
        <f>ATAN(A70/pole4)</f>
        <v/>
      </c>
      <c r="O70" s="1058">
        <f>IF(VOUT_setting=1,1,SQRT(1+(A70*zterm1)^2))</f>
        <v/>
      </c>
      <c r="P70" s="1059">
        <f>IF(VOUT_setting=1,0,ATAN(((A70*zterm1))))</f>
        <v/>
      </c>
      <c r="Q70" s="1056">
        <f>IF(VOUT_setting=1,1,SQRT((1+Afbr-$Q$5*(A70)^2)^2+(A70*$Q$4)^2))</f>
        <v/>
      </c>
      <c r="R70" s="1060">
        <f>IF(VOUT_setting=1,0,ATAN(A70*$Q$4/(1+Afbr-$Q$5*(A70)^2)))</f>
        <v/>
      </c>
      <c r="S70" s="1054">
        <f>SQRT((1-(Z70/pterm2))^2+(A70/pterm1)^2)</f>
        <v/>
      </c>
      <c r="T70" s="1055">
        <f>IF((ATAN((A70/pterm1)/(1-A70^2/pterm2))&gt;0),ATAN((A70/pterm1)/(1-A70^2/pterm2)),PI()+ATAN((A70/pterm1)/(1-A70^2/pterm2)))</f>
        <v/>
      </c>
      <c r="U70" s="331">
        <f>20*LOG10(((E70*K70*G70*O70)/(C70*I70*S70*M70*Q70))*Adc)</f>
        <v/>
      </c>
      <c r="V70" s="332">
        <f>((F70+L70+H70+P70)-(D70+J70+T70+N70+R70))*radconv</f>
        <v/>
      </c>
      <c r="W70" s="334">
        <f>IF(V70&gt;0,V70,V70+180)</f>
        <v/>
      </c>
      <c r="Y70" s="307">
        <f>IF(U70&lt;0,A70,1000000000)</f>
        <v/>
      </c>
      <c r="Z70" s="307">
        <f>A70^2</f>
        <v/>
      </c>
      <c r="AB70" s="333">
        <f>20*LOG10((K70/(I70*M70))*AEA)</f>
        <v/>
      </c>
      <c r="AC70" s="334">
        <f>(L70-(J70+N70))*radconv</f>
        <v/>
      </c>
      <c r="AE70" s="333">
        <f>20*LOG10((E70*G70/(C70*S70))*Acs*Am)</f>
        <v/>
      </c>
      <c r="AF70" s="334">
        <f>(F70+H70-(D70+T70))*radconv</f>
        <v/>
      </c>
      <c r="AH70">
        <f>SUM((U71&lt;0)*(U70&gt;0))*A70</f>
        <v/>
      </c>
      <c r="AI70">
        <f>IF(AH70&gt;0,W68,0)</f>
        <v/>
      </c>
    </row>
    <row r="71">
      <c r="A71" s="335" t="n">
        <v>208.93</v>
      </c>
      <c r="B71" s="352">
        <f>A71/1000</f>
        <v/>
      </c>
      <c r="C71" s="1047">
        <f>SQRT(1+(A71/pole1)^2)</f>
        <v/>
      </c>
      <c r="D71" s="1048">
        <f>ATAN(A71/pole1)</f>
        <v/>
      </c>
      <c r="E71" s="1048">
        <f>SQRT(1+(A71/Zero1)^2)</f>
        <v/>
      </c>
      <c r="F71" s="1049">
        <f>ATAN(A71/Zero1)</f>
        <v/>
      </c>
      <c r="G71" s="1048">
        <f>IF(VIN_nom&gt;Vout, 1, SQRT(1+(A71/z_RHP)^2))</f>
        <v/>
      </c>
      <c r="H71" s="1049">
        <f>IF(VIN_nom&gt;Vout, 0, -ATAN(A71/z_RHP))</f>
        <v/>
      </c>
      <c r="I71" s="1047">
        <f>SQRT(1+(A71/Pole2)^2)</f>
        <v/>
      </c>
      <c r="J71" s="1050">
        <f>ATAN(A71/Pole2)</f>
        <v/>
      </c>
      <c r="K71" s="1056">
        <f>SQRT(1+(A71/Zero2)^2)</f>
        <v/>
      </c>
      <c r="L71" s="1057">
        <f>ATAN(A71/Zero2)</f>
        <v/>
      </c>
      <c r="M71" s="1047">
        <f>SQRT(1+(A71/pole4)^2)</f>
        <v/>
      </c>
      <c r="N71" s="1057">
        <f>ATAN(A71/pole4)</f>
        <v/>
      </c>
      <c r="O71" s="1058">
        <f>IF(VOUT_setting=1,1,SQRT(1+(A71*zterm1)^2))</f>
        <v/>
      </c>
      <c r="P71" s="1059">
        <f>IF(VOUT_setting=1,0,ATAN(((A71*zterm1))))</f>
        <v/>
      </c>
      <c r="Q71" s="1056">
        <f>IF(VOUT_setting=1,1,SQRT((1+Afbr-$Q$5*(A71)^2)^2+(A71*$Q$4)^2))</f>
        <v/>
      </c>
      <c r="R71" s="1060">
        <f>IF(VOUT_setting=1,0,ATAN(A71*$Q$4/(1+Afbr-$Q$5*(A71)^2)))</f>
        <v/>
      </c>
      <c r="S71" s="1054">
        <f>SQRT((1-(Z71/pterm2))^2+(A71/pterm1)^2)</f>
        <v/>
      </c>
      <c r="T71" s="1055">
        <f>IF((ATAN((A71/pterm1)/(1-A71^2/pterm2))&gt;0),ATAN((A71/pterm1)/(1-A71^2/pterm2)),PI()+ATAN((A71/pterm1)/(1-A71^2/pterm2)))</f>
        <v/>
      </c>
      <c r="U71" s="331">
        <f>20*LOG10(((E71*K71*G71*O71)/(C71*I71*S71*M71*Q71))*Adc)</f>
        <v/>
      </c>
      <c r="V71" s="332">
        <f>((F71+L71+H71+P71)-(D71+J71+T71+N71+R71))*radconv</f>
        <v/>
      </c>
      <c r="W71" s="334">
        <f>IF(V71&gt;0,V71,V71+180)</f>
        <v/>
      </c>
      <c r="Y71" s="307">
        <f>IF(U71&lt;0,A71,1000000000)</f>
        <v/>
      </c>
      <c r="Z71" s="307">
        <f>A71^2</f>
        <v/>
      </c>
      <c r="AB71" s="333">
        <f>20*LOG10((K71/(I71*M71))*AEA)</f>
        <v/>
      </c>
      <c r="AC71" s="334">
        <f>(L71-(J71+N71))*radconv</f>
        <v/>
      </c>
      <c r="AE71" s="333">
        <f>20*LOG10((E71*G71/(C71*S71))*Acs*Am)</f>
        <v/>
      </c>
      <c r="AF71" s="334">
        <f>(F71+H71-(D71+T71))*radconv</f>
        <v/>
      </c>
      <c r="AH71">
        <f>SUM((U72&lt;0)*(U71&gt;0))*A71</f>
        <v/>
      </c>
      <c r="AI71">
        <f>IF(AH71&gt;0,W69,0)</f>
        <v/>
      </c>
    </row>
    <row r="72">
      <c r="A72" s="335" t="n">
        <v>229.09</v>
      </c>
      <c r="B72" s="352">
        <f>A72/1000</f>
        <v/>
      </c>
      <c r="C72" s="1047">
        <f>SQRT(1+(A72/pole1)^2)</f>
        <v/>
      </c>
      <c r="D72" s="1048">
        <f>ATAN(A72/pole1)</f>
        <v/>
      </c>
      <c r="E72" s="1048">
        <f>SQRT(1+(A72/Zero1)^2)</f>
        <v/>
      </c>
      <c r="F72" s="1049">
        <f>ATAN(A72/Zero1)</f>
        <v/>
      </c>
      <c r="G72" s="1048">
        <f>IF(VIN_nom&gt;Vout, 1, SQRT(1+(A72/z_RHP)^2))</f>
        <v/>
      </c>
      <c r="H72" s="1049">
        <f>IF(VIN_nom&gt;Vout, 0, -ATAN(A72/z_RHP))</f>
        <v/>
      </c>
      <c r="I72" s="1047">
        <f>SQRT(1+(A72/Pole2)^2)</f>
        <v/>
      </c>
      <c r="J72" s="1050">
        <f>ATAN(A72/Pole2)</f>
        <v/>
      </c>
      <c r="K72" s="1056">
        <f>SQRT(1+(A72/Zero2)^2)</f>
        <v/>
      </c>
      <c r="L72" s="1057">
        <f>ATAN(A72/Zero2)</f>
        <v/>
      </c>
      <c r="M72" s="1047">
        <f>SQRT(1+(A72/pole4)^2)</f>
        <v/>
      </c>
      <c r="N72" s="1057">
        <f>ATAN(A72/pole4)</f>
        <v/>
      </c>
      <c r="O72" s="1058">
        <f>IF(VOUT_setting=1,1,SQRT(1+(A72*zterm1)^2))</f>
        <v/>
      </c>
      <c r="P72" s="1059">
        <f>IF(VOUT_setting=1,0,ATAN(((A72*zterm1))))</f>
        <v/>
      </c>
      <c r="Q72" s="1056">
        <f>IF(VOUT_setting=1,1,SQRT((1+Afbr-$Q$5*(A72)^2)^2+(A72*$Q$4)^2))</f>
        <v/>
      </c>
      <c r="R72" s="1060">
        <f>IF(VOUT_setting=1,0,ATAN(A72*$Q$4/(1+Afbr-$Q$5*(A72)^2)))</f>
        <v/>
      </c>
      <c r="S72" s="1054">
        <f>SQRT((1-(Z72/pterm2))^2+(A72/pterm1)^2)</f>
        <v/>
      </c>
      <c r="T72" s="1055">
        <f>IF((ATAN((A72/pterm1)/(1-A72^2/pterm2))&gt;0),ATAN((A72/pterm1)/(1-A72^2/pterm2)),PI()+ATAN((A72/pterm1)/(1-A72^2/pterm2)))</f>
        <v/>
      </c>
      <c r="U72" s="331">
        <f>20*LOG10(((E72*K72*G72*O72)/(C72*I72*S72*M72*Q72))*Adc)</f>
        <v/>
      </c>
      <c r="V72" s="332">
        <f>((F72+L72+H72+P72)-(D72+J72+T72+N72+R72))*radconv</f>
        <v/>
      </c>
      <c r="W72" s="334">
        <f>IF(V72&gt;0,V72,V72+180)</f>
        <v/>
      </c>
      <c r="Y72" s="307">
        <f>IF(U72&lt;0,A72,1000000000)</f>
        <v/>
      </c>
      <c r="Z72" s="307">
        <f>A72^2</f>
        <v/>
      </c>
      <c r="AB72" s="333">
        <f>20*LOG10((K72/(I72*M72))*AEA)</f>
        <v/>
      </c>
      <c r="AC72" s="334">
        <f>(L72-(J72+N72))*radconv</f>
        <v/>
      </c>
      <c r="AE72" s="333">
        <f>20*LOG10((E72*G72/(C72*S72))*Acs*Am)</f>
        <v/>
      </c>
      <c r="AF72" s="334">
        <f>(F72+H72-(D72+T72))*radconv</f>
        <v/>
      </c>
      <c r="AH72">
        <f>SUM((U73&lt;0)*(U72&gt;0))*A72</f>
        <v/>
      </c>
      <c r="AI72">
        <f>IF(AH72&gt;0,W70,0)</f>
        <v/>
      </c>
    </row>
    <row r="73">
      <c r="A73" s="335" t="n">
        <v>251.19</v>
      </c>
      <c r="B73" s="352">
        <f>A73/1000</f>
        <v/>
      </c>
      <c r="C73" s="1047">
        <f>SQRT(1+(A73/pole1)^2)</f>
        <v/>
      </c>
      <c r="D73" s="1048">
        <f>ATAN(A73/pole1)</f>
        <v/>
      </c>
      <c r="E73" s="1048">
        <f>SQRT(1+(A73/Zero1)^2)</f>
        <v/>
      </c>
      <c r="F73" s="1049">
        <f>ATAN(A73/Zero1)</f>
        <v/>
      </c>
      <c r="G73" s="1048">
        <f>IF(VIN_nom&gt;Vout, 1, SQRT(1+(A73/z_RHP)^2))</f>
        <v/>
      </c>
      <c r="H73" s="1049">
        <f>IF(VIN_nom&gt;Vout, 0, -ATAN(A73/z_RHP))</f>
        <v/>
      </c>
      <c r="I73" s="1047">
        <f>SQRT(1+(A73/Pole2)^2)</f>
        <v/>
      </c>
      <c r="J73" s="1050">
        <f>ATAN(A73/Pole2)</f>
        <v/>
      </c>
      <c r="K73" s="1056">
        <f>SQRT(1+(A73/Zero2)^2)</f>
        <v/>
      </c>
      <c r="L73" s="1057">
        <f>ATAN(A73/Zero2)</f>
        <v/>
      </c>
      <c r="M73" s="1047">
        <f>SQRT(1+(A73/pole4)^2)</f>
        <v/>
      </c>
      <c r="N73" s="1057">
        <f>ATAN(A73/pole4)</f>
        <v/>
      </c>
      <c r="O73" s="1058">
        <f>IF(VOUT_setting=1,1,SQRT(1+(A73*zterm1)^2))</f>
        <v/>
      </c>
      <c r="P73" s="1059">
        <f>IF(VOUT_setting=1,0,ATAN(((A73*zterm1))))</f>
        <v/>
      </c>
      <c r="Q73" s="1056">
        <f>IF(VOUT_setting=1,1,SQRT((1+Afbr-$Q$5*(A73)^2)^2+(A73*$Q$4)^2))</f>
        <v/>
      </c>
      <c r="R73" s="1060">
        <f>IF(VOUT_setting=1,0,ATAN(A73*$Q$4/(1+Afbr-$Q$5*(A73)^2)))</f>
        <v/>
      </c>
      <c r="S73" s="1054">
        <f>SQRT((1-(Z73/pterm2))^2+(A73/pterm1)^2)</f>
        <v/>
      </c>
      <c r="T73" s="1055">
        <f>IF((ATAN((A73/pterm1)/(1-A73^2/pterm2))&gt;0),ATAN((A73/pterm1)/(1-A73^2/pterm2)),PI()+ATAN((A73/pterm1)/(1-A73^2/pterm2)))</f>
        <v/>
      </c>
      <c r="U73" s="331">
        <f>20*LOG10(((E73*K73*G73*O73)/(C73*I73*S73*M73*Q73))*Adc)</f>
        <v/>
      </c>
      <c r="V73" s="332">
        <f>((F73+L73+H73+P73)-(D73+J73+T73+N73+R73))*radconv</f>
        <v/>
      </c>
      <c r="W73" s="334">
        <f>IF(V73&gt;0,V73,V73+180)</f>
        <v/>
      </c>
      <c r="Y73" s="307">
        <f>IF(U73&lt;0,A73,1000000000)</f>
        <v/>
      </c>
      <c r="Z73" s="307">
        <f>A73^2</f>
        <v/>
      </c>
      <c r="AB73" s="333">
        <f>20*LOG10((K73/(I73*M73))*AEA)</f>
        <v/>
      </c>
      <c r="AC73" s="334">
        <f>(L73-(J73+N73))*radconv</f>
        <v/>
      </c>
      <c r="AE73" s="333">
        <f>20*LOG10((E73*G73/(C73*S73))*Acs*Am)</f>
        <v/>
      </c>
      <c r="AF73" s="334">
        <f>(F73+H73-(D73+T73))*radconv</f>
        <v/>
      </c>
      <c r="AH73">
        <f>SUM((U74&lt;0)*(U73&gt;0))*A73</f>
        <v/>
      </c>
      <c r="AI73">
        <f>IF(AH73&gt;0,W71,0)</f>
        <v/>
      </c>
    </row>
    <row r="74">
      <c r="A74" s="335" t="n">
        <v>275.42</v>
      </c>
      <c r="B74" s="352">
        <f>A74/1000</f>
        <v/>
      </c>
      <c r="C74" s="1047">
        <f>SQRT(1+(A74/pole1)^2)</f>
        <v/>
      </c>
      <c r="D74" s="1048">
        <f>ATAN(A74/pole1)</f>
        <v/>
      </c>
      <c r="E74" s="1048">
        <f>SQRT(1+(A74/Zero1)^2)</f>
        <v/>
      </c>
      <c r="F74" s="1049">
        <f>ATAN(A74/Zero1)</f>
        <v/>
      </c>
      <c r="G74" s="1048">
        <f>IF(VIN_nom&gt;Vout, 1, SQRT(1+(A74/z_RHP)^2))</f>
        <v/>
      </c>
      <c r="H74" s="1049">
        <f>IF(VIN_nom&gt;Vout, 0, -ATAN(A74/z_RHP))</f>
        <v/>
      </c>
      <c r="I74" s="1047">
        <f>SQRT(1+(A74/Pole2)^2)</f>
        <v/>
      </c>
      <c r="J74" s="1050">
        <f>ATAN(A74/Pole2)</f>
        <v/>
      </c>
      <c r="K74" s="1056">
        <f>SQRT(1+(A74/Zero2)^2)</f>
        <v/>
      </c>
      <c r="L74" s="1057">
        <f>ATAN(A74/Zero2)</f>
        <v/>
      </c>
      <c r="M74" s="1047">
        <f>SQRT(1+(A74/pole4)^2)</f>
        <v/>
      </c>
      <c r="N74" s="1057">
        <f>ATAN(A74/pole4)</f>
        <v/>
      </c>
      <c r="O74" s="1058">
        <f>IF(VOUT_setting=1,1,SQRT(1+(A74*zterm1)^2))</f>
        <v/>
      </c>
      <c r="P74" s="1059">
        <f>IF(VOUT_setting=1,0,ATAN(((A74*zterm1))))</f>
        <v/>
      </c>
      <c r="Q74" s="1056">
        <f>IF(VOUT_setting=1,1,SQRT((1+Afbr-$Q$5*(A74)^2)^2+(A74*$Q$4)^2))</f>
        <v/>
      </c>
      <c r="R74" s="1060">
        <f>IF(VOUT_setting=1,0,ATAN(A74*$Q$4/(1+Afbr-$Q$5*(A74)^2)))</f>
        <v/>
      </c>
      <c r="S74" s="1054">
        <f>SQRT((1-(Z74/pterm2))^2+(A74/pterm1)^2)</f>
        <v/>
      </c>
      <c r="T74" s="1055">
        <f>IF((ATAN((A74/pterm1)/(1-A74^2/pterm2))&gt;0),ATAN((A74/pterm1)/(1-A74^2/pterm2)),PI()+ATAN((A74/pterm1)/(1-A74^2/pterm2)))</f>
        <v/>
      </c>
      <c r="U74" s="331">
        <f>20*LOG10(((E74*K74*G74*O74)/(C74*I74*S74*M74*Q74))*Adc)</f>
        <v/>
      </c>
      <c r="V74" s="332">
        <f>((F74+L74+H74+P74)-(D74+J74+T74+N74+R74))*radconv</f>
        <v/>
      </c>
      <c r="W74" s="334">
        <f>IF(V74&gt;0,V74,V74+180)</f>
        <v/>
      </c>
      <c r="Y74" s="307">
        <f>IF(U74&lt;0,A74,1000000000)</f>
        <v/>
      </c>
      <c r="Z74" s="307">
        <f>A74^2</f>
        <v/>
      </c>
      <c r="AB74" s="333">
        <f>20*LOG10((K74/(I74*M74))*AEA)</f>
        <v/>
      </c>
      <c r="AC74" s="334">
        <f>(L74-(J74+N74))*radconv</f>
        <v/>
      </c>
      <c r="AE74" s="333">
        <f>20*LOG10((E74*G74/(C74*S74))*Acs*Am)</f>
        <v/>
      </c>
      <c r="AF74" s="334">
        <f>(F74+H74-(D74+T74))*radconv</f>
        <v/>
      </c>
      <c r="AH74">
        <f>SUM((U75&lt;0)*(U74&gt;0))*A74</f>
        <v/>
      </c>
      <c r="AI74">
        <f>IF(AH74&gt;0,W72,0)</f>
        <v/>
      </c>
    </row>
    <row r="75">
      <c r="A75" s="335" t="n">
        <v>302</v>
      </c>
      <c r="B75" s="352">
        <f>A75/1000</f>
        <v/>
      </c>
      <c r="C75" s="1047">
        <f>SQRT(1+(A75/pole1)^2)</f>
        <v/>
      </c>
      <c r="D75" s="1048">
        <f>ATAN(A75/pole1)</f>
        <v/>
      </c>
      <c r="E75" s="1048">
        <f>SQRT(1+(A75/Zero1)^2)</f>
        <v/>
      </c>
      <c r="F75" s="1049">
        <f>ATAN(A75/Zero1)</f>
        <v/>
      </c>
      <c r="G75" s="1048">
        <f>IF(VIN_nom&gt;Vout, 1, SQRT(1+(A75/z_RHP)^2))</f>
        <v/>
      </c>
      <c r="H75" s="1049">
        <f>IF(VIN_nom&gt;Vout, 0, -ATAN(A75/z_RHP))</f>
        <v/>
      </c>
      <c r="I75" s="1047">
        <f>SQRT(1+(A75/Pole2)^2)</f>
        <v/>
      </c>
      <c r="J75" s="1050">
        <f>ATAN(A75/Pole2)</f>
        <v/>
      </c>
      <c r="K75" s="1056">
        <f>SQRT(1+(A75/Zero2)^2)</f>
        <v/>
      </c>
      <c r="L75" s="1057">
        <f>ATAN(A75/Zero2)</f>
        <v/>
      </c>
      <c r="M75" s="1047">
        <f>SQRT(1+(A75/pole4)^2)</f>
        <v/>
      </c>
      <c r="N75" s="1057">
        <f>ATAN(A75/pole4)</f>
        <v/>
      </c>
      <c r="O75" s="1058">
        <f>IF(VOUT_setting=1,1,SQRT(1+(A75*zterm1)^2))</f>
        <v/>
      </c>
      <c r="P75" s="1059">
        <f>IF(VOUT_setting=1,0,ATAN(((A75*zterm1))))</f>
        <v/>
      </c>
      <c r="Q75" s="1056">
        <f>IF(VOUT_setting=1,1,SQRT((1+Afbr-$Q$5*(A75)^2)^2+(A75*$Q$4)^2))</f>
        <v/>
      </c>
      <c r="R75" s="1060">
        <f>IF(VOUT_setting=1,0,ATAN(A75*$Q$4/(1+Afbr-$Q$5*(A75)^2)))</f>
        <v/>
      </c>
      <c r="S75" s="1054">
        <f>SQRT((1-(Z75/pterm2))^2+(A75/pterm1)^2)</f>
        <v/>
      </c>
      <c r="T75" s="1055">
        <f>IF((ATAN((A75/pterm1)/(1-A75^2/pterm2))&gt;0),ATAN((A75/pterm1)/(1-A75^2/pterm2)),PI()+ATAN((A75/pterm1)/(1-A75^2/pterm2)))</f>
        <v/>
      </c>
      <c r="U75" s="331">
        <f>20*LOG10(((E75*K75*G75*O75)/(C75*I75*S75*M75*Q75))*Adc)</f>
        <v/>
      </c>
      <c r="V75" s="332">
        <f>((F75+L75+H75+P75)-(D75+J75+T75+N75+R75))*radconv</f>
        <v/>
      </c>
      <c r="W75" s="334">
        <f>IF(V75&gt;0,V75,V75+180)</f>
        <v/>
      </c>
      <c r="Y75" s="307">
        <f>IF(U75&lt;0,A75,1000000000)</f>
        <v/>
      </c>
      <c r="Z75" s="307">
        <f>A75^2</f>
        <v/>
      </c>
      <c r="AB75" s="333">
        <f>20*LOG10((K75/(I75*M75))*AEA)</f>
        <v/>
      </c>
      <c r="AC75" s="334">
        <f>(L75-(J75+N75))*radconv</f>
        <v/>
      </c>
      <c r="AE75" s="333">
        <f>20*LOG10((E75*G75/(C75*S75))*Acs*Am)</f>
        <v/>
      </c>
      <c r="AF75" s="334">
        <f>(F75+H75-(D75+T75))*radconv</f>
        <v/>
      </c>
      <c r="AH75">
        <f>SUM((U76&lt;0)*(U75&gt;0))*A75</f>
        <v/>
      </c>
      <c r="AI75">
        <f>IF(AH75&gt;0,W73,0)</f>
        <v/>
      </c>
    </row>
    <row r="76">
      <c r="A76" s="335" t="n">
        <v>331.13</v>
      </c>
      <c r="B76" s="352">
        <f>A76/1000</f>
        <v/>
      </c>
      <c r="C76" s="1047">
        <f>SQRT(1+(A76/pole1)^2)</f>
        <v/>
      </c>
      <c r="D76" s="1048">
        <f>ATAN(A76/pole1)</f>
        <v/>
      </c>
      <c r="E76" s="1048">
        <f>SQRT(1+(A76/Zero1)^2)</f>
        <v/>
      </c>
      <c r="F76" s="1049">
        <f>ATAN(A76/Zero1)</f>
        <v/>
      </c>
      <c r="G76" s="1048">
        <f>IF(VIN_nom&gt;Vout, 1, SQRT(1+(A76/z_RHP)^2))</f>
        <v/>
      </c>
      <c r="H76" s="1049">
        <f>IF(VIN_nom&gt;Vout, 0, -ATAN(A76/z_RHP))</f>
        <v/>
      </c>
      <c r="I76" s="1047">
        <f>SQRT(1+(A76/Pole2)^2)</f>
        <v/>
      </c>
      <c r="J76" s="1050">
        <f>ATAN(A76/Pole2)</f>
        <v/>
      </c>
      <c r="K76" s="1056">
        <f>SQRT(1+(A76/Zero2)^2)</f>
        <v/>
      </c>
      <c r="L76" s="1057">
        <f>ATAN(A76/Zero2)</f>
        <v/>
      </c>
      <c r="M76" s="1047">
        <f>SQRT(1+(A76/pole4)^2)</f>
        <v/>
      </c>
      <c r="N76" s="1057">
        <f>ATAN(A76/pole4)</f>
        <v/>
      </c>
      <c r="O76" s="1058">
        <f>IF(VOUT_setting=1,1,SQRT(1+(A76*zterm1)^2))</f>
        <v/>
      </c>
      <c r="P76" s="1059">
        <f>IF(VOUT_setting=1,0,ATAN(((A76*zterm1))))</f>
        <v/>
      </c>
      <c r="Q76" s="1056">
        <f>IF(VOUT_setting=1,1,SQRT((1+Afbr-$Q$5*(A76)^2)^2+(A76*$Q$4)^2))</f>
        <v/>
      </c>
      <c r="R76" s="1060">
        <f>IF(VOUT_setting=1,0,ATAN(A76*$Q$4/(1+Afbr-$Q$5*(A76)^2)))</f>
        <v/>
      </c>
      <c r="S76" s="1054">
        <f>SQRT((1-(Z76/pterm2))^2+(A76/pterm1)^2)</f>
        <v/>
      </c>
      <c r="T76" s="1055">
        <f>IF((ATAN((A76/pterm1)/(1-A76^2/pterm2))&gt;0),ATAN((A76/pterm1)/(1-A76^2/pterm2)),PI()+ATAN((A76/pterm1)/(1-A76^2/pterm2)))</f>
        <v/>
      </c>
      <c r="U76" s="331">
        <f>20*LOG10(((E76*K76*G76*O76)/(C76*I76*S76*M76*Q76))*Adc)</f>
        <v/>
      </c>
      <c r="V76" s="332">
        <f>((F76+L76+H76+P76)-(D76+J76+T76+N76+R76))*radconv</f>
        <v/>
      </c>
      <c r="W76" s="334">
        <f>IF(V76&gt;0,V76,V76+180)</f>
        <v/>
      </c>
      <c r="Y76" s="307">
        <f>IF(U76&lt;0,A76,1000000000)</f>
        <v/>
      </c>
      <c r="Z76" s="307">
        <f>A76^2</f>
        <v/>
      </c>
      <c r="AB76" s="333">
        <f>20*LOG10((K76/(I76*M76))*AEA)</f>
        <v/>
      </c>
      <c r="AC76" s="334">
        <f>(L76-(J76+N76))*radconv</f>
        <v/>
      </c>
      <c r="AE76" s="333">
        <f>20*LOG10((E76*G76/(C76*S76))*Acs*Am)</f>
        <v/>
      </c>
      <c r="AF76" s="334">
        <f>(F76+H76-(D76+T76))*radconv</f>
        <v/>
      </c>
      <c r="AH76">
        <f>SUM((U77&lt;0)*(U76&gt;0))*A76</f>
        <v/>
      </c>
      <c r="AI76">
        <f>IF(AH76&gt;0,W74,0)</f>
        <v/>
      </c>
    </row>
    <row r="77">
      <c r="A77" s="335" t="n">
        <v>363.08</v>
      </c>
      <c r="B77" s="352">
        <f>A77/1000</f>
        <v/>
      </c>
      <c r="C77" s="1047">
        <f>SQRT(1+(A77/pole1)^2)</f>
        <v/>
      </c>
      <c r="D77" s="1048">
        <f>ATAN(A77/pole1)</f>
        <v/>
      </c>
      <c r="E77" s="1048">
        <f>SQRT(1+(A77/Zero1)^2)</f>
        <v/>
      </c>
      <c r="F77" s="1049">
        <f>ATAN(A77/Zero1)</f>
        <v/>
      </c>
      <c r="G77" s="1048">
        <f>IF(VIN_nom&gt;Vout, 1, SQRT(1+(A77/z_RHP)^2))</f>
        <v/>
      </c>
      <c r="H77" s="1049">
        <f>IF(VIN_nom&gt;Vout, 0, -ATAN(A77/z_RHP))</f>
        <v/>
      </c>
      <c r="I77" s="1047">
        <f>SQRT(1+(A77/Pole2)^2)</f>
        <v/>
      </c>
      <c r="J77" s="1050">
        <f>ATAN(A77/Pole2)</f>
        <v/>
      </c>
      <c r="K77" s="1056">
        <f>SQRT(1+(A77/Zero2)^2)</f>
        <v/>
      </c>
      <c r="L77" s="1057">
        <f>ATAN(A77/Zero2)</f>
        <v/>
      </c>
      <c r="M77" s="1047">
        <f>SQRT(1+(A77/pole4)^2)</f>
        <v/>
      </c>
      <c r="N77" s="1057">
        <f>ATAN(A77/pole4)</f>
        <v/>
      </c>
      <c r="O77" s="1058">
        <f>IF(VOUT_setting=1,1,SQRT(1+(A77*zterm1)^2))</f>
        <v/>
      </c>
      <c r="P77" s="1059">
        <f>IF(VOUT_setting=1,0,ATAN(((A77*zterm1))))</f>
        <v/>
      </c>
      <c r="Q77" s="1056">
        <f>IF(VOUT_setting=1,1,SQRT((1+Afbr-$Q$5*(A77)^2)^2+(A77*$Q$4)^2))</f>
        <v/>
      </c>
      <c r="R77" s="1060">
        <f>IF(VOUT_setting=1,0,ATAN(A77*$Q$4/(1+Afbr-$Q$5*(A77)^2)))</f>
        <v/>
      </c>
      <c r="S77" s="1054">
        <f>SQRT((1-(Z77/pterm2))^2+(A77/pterm1)^2)</f>
        <v/>
      </c>
      <c r="T77" s="1055">
        <f>IF((ATAN((A77/pterm1)/(1-A77^2/pterm2))&gt;0),ATAN((A77/pterm1)/(1-A77^2/pterm2)),PI()+ATAN((A77/pterm1)/(1-A77^2/pterm2)))</f>
        <v/>
      </c>
      <c r="U77" s="331">
        <f>20*LOG10(((E77*K77*G77*O77)/(C77*I77*S77*M77*Q77))*Adc)</f>
        <v/>
      </c>
      <c r="V77" s="332">
        <f>((F77+L77+H77+P77)-(D77+J77+T77+N77+R77))*radconv</f>
        <v/>
      </c>
      <c r="W77" s="334">
        <f>IF(V77&gt;0,V77,V77+180)</f>
        <v/>
      </c>
      <c r="Y77" s="307">
        <f>IF(U77&lt;0,A77,1000000000)</f>
        <v/>
      </c>
      <c r="Z77" s="307">
        <f>A77^2</f>
        <v/>
      </c>
      <c r="AB77" s="333">
        <f>20*LOG10((K77/(I77*M77))*AEA)</f>
        <v/>
      </c>
      <c r="AC77" s="334">
        <f>(L77-(J77+N77))*radconv</f>
        <v/>
      </c>
      <c r="AE77" s="333">
        <f>20*LOG10((E77*G77/(C77*S77))*Acs*Am)</f>
        <v/>
      </c>
      <c r="AF77" s="334">
        <f>(F77+H77-(D77+T77))*radconv</f>
        <v/>
      </c>
      <c r="AH77">
        <f>SUM((U78&lt;0)*(U77&gt;0))*A77</f>
        <v/>
      </c>
      <c r="AI77">
        <f>IF(AH77&gt;0,W75,0)</f>
        <v/>
      </c>
    </row>
    <row r="78">
      <c r="A78" s="335" t="n">
        <v>398.11</v>
      </c>
      <c r="B78" s="352">
        <f>A78/1000</f>
        <v/>
      </c>
      <c r="C78" s="1047">
        <f>SQRT(1+(A78/pole1)^2)</f>
        <v/>
      </c>
      <c r="D78" s="1048">
        <f>ATAN(A78/pole1)</f>
        <v/>
      </c>
      <c r="E78" s="1048">
        <f>SQRT(1+(A78/Zero1)^2)</f>
        <v/>
      </c>
      <c r="F78" s="1049">
        <f>ATAN(A78/Zero1)</f>
        <v/>
      </c>
      <c r="G78" s="1048">
        <f>IF(VIN_nom&gt;Vout, 1, SQRT(1+(A78/z_RHP)^2))</f>
        <v/>
      </c>
      <c r="H78" s="1049">
        <f>IF(VIN_nom&gt;Vout, 0, -ATAN(A78/z_RHP))</f>
        <v/>
      </c>
      <c r="I78" s="1047">
        <f>SQRT(1+(A78/Pole2)^2)</f>
        <v/>
      </c>
      <c r="J78" s="1050">
        <f>ATAN(A78/Pole2)</f>
        <v/>
      </c>
      <c r="K78" s="1056">
        <f>SQRT(1+(A78/Zero2)^2)</f>
        <v/>
      </c>
      <c r="L78" s="1057">
        <f>ATAN(A78/Zero2)</f>
        <v/>
      </c>
      <c r="M78" s="1047">
        <f>SQRT(1+(A78/pole4)^2)</f>
        <v/>
      </c>
      <c r="N78" s="1057">
        <f>ATAN(A78/pole4)</f>
        <v/>
      </c>
      <c r="O78" s="1058">
        <f>IF(VOUT_setting=1,1,SQRT(1+(A78*zterm1)^2))</f>
        <v/>
      </c>
      <c r="P78" s="1059">
        <f>IF(VOUT_setting=1,0,ATAN(((A78*zterm1))))</f>
        <v/>
      </c>
      <c r="Q78" s="1056">
        <f>IF(VOUT_setting=1,1,SQRT((1+Afbr-$Q$5*(A78)^2)^2+(A78*$Q$4)^2))</f>
        <v/>
      </c>
      <c r="R78" s="1060">
        <f>IF(VOUT_setting=1,0,ATAN(A78*$Q$4/(1+Afbr-$Q$5*(A78)^2)))</f>
        <v/>
      </c>
      <c r="S78" s="1054">
        <f>SQRT((1-(Z78/pterm2))^2+(A78/pterm1)^2)</f>
        <v/>
      </c>
      <c r="T78" s="1055">
        <f>IF((ATAN((A78/pterm1)/(1-A78^2/pterm2))&gt;0),ATAN((A78/pterm1)/(1-A78^2/pterm2)),PI()+ATAN((A78/pterm1)/(1-A78^2/pterm2)))</f>
        <v/>
      </c>
      <c r="U78" s="331">
        <f>20*LOG10(((E78*K78*G78*O78)/(C78*I78*S78*M78*Q78))*Adc)</f>
        <v/>
      </c>
      <c r="V78" s="332">
        <f>((F78+L78+H78+P78)-(D78+J78+T78+N78+R78))*radconv</f>
        <v/>
      </c>
      <c r="W78" s="334">
        <f>IF(V78&gt;0,V78,V78+180)</f>
        <v/>
      </c>
      <c r="Y78" s="307">
        <f>IF(U78&lt;0,A78,1000000000)</f>
        <v/>
      </c>
      <c r="Z78" s="307">
        <f>A78^2</f>
        <v/>
      </c>
      <c r="AB78" s="333">
        <f>20*LOG10((K78/(I78*M78))*AEA)</f>
        <v/>
      </c>
      <c r="AC78" s="334">
        <f>(L78-(J78+N78))*radconv</f>
        <v/>
      </c>
      <c r="AE78" s="333">
        <f>20*LOG10((E78*G78/(C78*S78))*Acs*Am)</f>
        <v/>
      </c>
      <c r="AF78" s="334">
        <f>(F78+H78-(D78+T78))*radconv</f>
        <v/>
      </c>
      <c r="AH78">
        <f>SUM((U79&lt;0)*(U78&gt;0))*A78</f>
        <v/>
      </c>
      <c r="AI78">
        <f>IF(AH78&gt;0,W76,0)</f>
        <v/>
      </c>
    </row>
    <row r="79">
      <c r="A79" s="335" t="n">
        <v>436.52</v>
      </c>
      <c r="B79" s="352">
        <f>A79/1000</f>
        <v/>
      </c>
      <c r="C79" s="1047">
        <f>SQRT(1+(A79/pole1)^2)</f>
        <v/>
      </c>
      <c r="D79" s="1048">
        <f>ATAN(A79/pole1)</f>
        <v/>
      </c>
      <c r="E79" s="1048">
        <f>SQRT(1+(A79/Zero1)^2)</f>
        <v/>
      </c>
      <c r="F79" s="1049">
        <f>ATAN(A79/Zero1)</f>
        <v/>
      </c>
      <c r="G79" s="1048">
        <f>IF(VIN_nom&gt;Vout, 1, SQRT(1+(A79/z_RHP)^2))</f>
        <v/>
      </c>
      <c r="H79" s="1049">
        <f>IF(VIN_nom&gt;Vout, 0, -ATAN(A79/z_RHP))</f>
        <v/>
      </c>
      <c r="I79" s="1047">
        <f>SQRT(1+(A79/Pole2)^2)</f>
        <v/>
      </c>
      <c r="J79" s="1050">
        <f>ATAN(A79/Pole2)</f>
        <v/>
      </c>
      <c r="K79" s="1056">
        <f>SQRT(1+(A79/Zero2)^2)</f>
        <v/>
      </c>
      <c r="L79" s="1057">
        <f>ATAN(A79/Zero2)</f>
        <v/>
      </c>
      <c r="M79" s="1047">
        <f>SQRT(1+(A79/pole4)^2)</f>
        <v/>
      </c>
      <c r="N79" s="1057">
        <f>ATAN(A79/pole4)</f>
        <v/>
      </c>
      <c r="O79" s="1058">
        <f>IF(VOUT_setting=1,1,SQRT(1+(A79*zterm1)^2))</f>
        <v/>
      </c>
      <c r="P79" s="1059">
        <f>IF(VOUT_setting=1,0,ATAN(((A79*zterm1))))</f>
        <v/>
      </c>
      <c r="Q79" s="1056">
        <f>IF(VOUT_setting=1,1,SQRT((1+Afbr-$Q$5*(A79)^2)^2+(A79*$Q$4)^2))</f>
        <v/>
      </c>
      <c r="R79" s="1060">
        <f>IF(VOUT_setting=1,0,ATAN(A79*$Q$4/(1+Afbr-$Q$5*(A79)^2)))</f>
        <v/>
      </c>
      <c r="S79" s="1054">
        <f>SQRT((1-(Z79/pterm2))^2+(A79/pterm1)^2)</f>
        <v/>
      </c>
      <c r="T79" s="1055">
        <f>IF((ATAN((A79/pterm1)/(1-A79^2/pterm2))&gt;0),ATAN((A79/pterm1)/(1-A79^2/pterm2)),PI()+ATAN((A79/pterm1)/(1-A79^2/pterm2)))</f>
        <v/>
      </c>
      <c r="U79" s="331">
        <f>20*LOG10(((E79*K79*G79*O79)/(C79*I79*S79*M79*Q79))*Adc)</f>
        <v/>
      </c>
      <c r="V79" s="332">
        <f>((F79+L79+H79+P79)-(D79+J79+T79+N79+R79))*radconv</f>
        <v/>
      </c>
      <c r="W79" s="334">
        <f>IF(V79&gt;0,V79,V79+180)</f>
        <v/>
      </c>
      <c r="Y79" s="307">
        <f>IF(U79&lt;0,A79,1000000000)</f>
        <v/>
      </c>
      <c r="Z79" s="307">
        <f>A79^2</f>
        <v/>
      </c>
      <c r="AB79" s="333">
        <f>20*LOG10((K79/(I79*M79))*AEA)</f>
        <v/>
      </c>
      <c r="AC79" s="334">
        <f>(L79-(J79+N79))*radconv</f>
        <v/>
      </c>
      <c r="AE79" s="333">
        <f>20*LOG10((E79*G79/(C79*S79))*Acs*Am)</f>
        <v/>
      </c>
      <c r="AF79" s="334">
        <f>(F79+H79-(D79+T79))*radconv</f>
        <v/>
      </c>
      <c r="AH79">
        <f>SUM((U80&lt;0)*(U79&gt;0))*A79</f>
        <v/>
      </c>
      <c r="AI79">
        <f>IF(AH79&gt;0,W77,0)</f>
        <v/>
      </c>
    </row>
    <row r="80">
      <c r="A80" s="335" t="n">
        <v>478.63</v>
      </c>
      <c r="B80" s="352">
        <f>A80/1000</f>
        <v/>
      </c>
      <c r="C80" s="1047">
        <f>SQRT(1+(A80/pole1)^2)</f>
        <v/>
      </c>
      <c r="D80" s="1048">
        <f>ATAN(A80/pole1)</f>
        <v/>
      </c>
      <c r="E80" s="1048">
        <f>SQRT(1+(A80/Zero1)^2)</f>
        <v/>
      </c>
      <c r="F80" s="1049">
        <f>ATAN(A80/Zero1)</f>
        <v/>
      </c>
      <c r="G80" s="1048">
        <f>IF(VIN_nom&gt;Vout, 1, SQRT(1+(A80/z_RHP)^2))</f>
        <v/>
      </c>
      <c r="H80" s="1049">
        <f>IF(VIN_nom&gt;Vout, 0, -ATAN(A80/z_RHP))</f>
        <v/>
      </c>
      <c r="I80" s="1047">
        <f>SQRT(1+(A80/Pole2)^2)</f>
        <v/>
      </c>
      <c r="J80" s="1050">
        <f>ATAN(A80/Pole2)</f>
        <v/>
      </c>
      <c r="K80" s="1056">
        <f>SQRT(1+(A80/Zero2)^2)</f>
        <v/>
      </c>
      <c r="L80" s="1057">
        <f>ATAN(A80/Zero2)</f>
        <v/>
      </c>
      <c r="M80" s="1047">
        <f>SQRT(1+(A80/pole4)^2)</f>
        <v/>
      </c>
      <c r="N80" s="1057">
        <f>ATAN(A80/pole4)</f>
        <v/>
      </c>
      <c r="O80" s="1058">
        <f>IF(VOUT_setting=1,1,SQRT(1+(A80*zterm1)^2))</f>
        <v/>
      </c>
      <c r="P80" s="1059">
        <f>IF(VOUT_setting=1,0,ATAN(((A80*zterm1))))</f>
        <v/>
      </c>
      <c r="Q80" s="1056">
        <f>IF(VOUT_setting=1,1,SQRT((1+Afbr-$Q$5*(A80)^2)^2+(A80*$Q$4)^2))</f>
        <v/>
      </c>
      <c r="R80" s="1060">
        <f>IF(VOUT_setting=1,0,ATAN(A80*$Q$4/(1+Afbr-$Q$5*(A80)^2)))</f>
        <v/>
      </c>
      <c r="S80" s="1054">
        <f>SQRT((1-(Z80/pterm2))^2+(A80/pterm1)^2)</f>
        <v/>
      </c>
      <c r="T80" s="1055">
        <f>IF((ATAN((A80/pterm1)/(1-A80^2/pterm2))&gt;0),ATAN((A80/pterm1)/(1-A80^2/pterm2)),PI()+ATAN((A80/pterm1)/(1-A80^2/pterm2)))</f>
        <v/>
      </c>
      <c r="U80" s="331">
        <f>20*LOG10(((E80*K80*G80*O80)/(C80*I80*S80*M80*Q80))*Adc)</f>
        <v/>
      </c>
      <c r="V80" s="332">
        <f>((F80+L80+H80+P80)-(D80+J80+T80+N80+R80))*radconv</f>
        <v/>
      </c>
      <c r="W80" s="334">
        <f>IF(V80&gt;0,V80,V80+180)</f>
        <v/>
      </c>
      <c r="Y80" s="307">
        <f>IF(U80&lt;0,A80,1000000000)</f>
        <v/>
      </c>
      <c r="Z80" s="307">
        <f>A80^2</f>
        <v/>
      </c>
      <c r="AB80" s="333">
        <f>20*LOG10((K80/(I80*M80))*AEA)</f>
        <v/>
      </c>
      <c r="AC80" s="334">
        <f>(L80-(J80+N80))*radconv</f>
        <v/>
      </c>
      <c r="AE80" s="333">
        <f>20*LOG10((E80*G80/(C80*S80))*Acs*Am)</f>
        <v/>
      </c>
      <c r="AF80" s="334">
        <f>(F80+H80-(D80+T80))*radconv</f>
        <v/>
      </c>
      <c r="AH80">
        <f>SUM((U81&lt;0)*(U80&gt;0))*A80</f>
        <v/>
      </c>
      <c r="AI80">
        <f>IF(AH80&gt;0,W78,0)</f>
        <v/>
      </c>
    </row>
    <row r="81">
      <c r="A81" s="335" t="n">
        <v>524.8099999999999</v>
      </c>
      <c r="B81" s="352">
        <f>A81/1000</f>
        <v/>
      </c>
      <c r="C81" s="1047">
        <f>SQRT(1+(A81/pole1)^2)</f>
        <v/>
      </c>
      <c r="D81" s="1048">
        <f>ATAN(A81/pole1)</f>
        <v/>
      </c>
      <c r="E81" s="1048">
        <f>SQRT(1+(A81/Zero1)^2)</f>
        <v/>
      </c>
      <c r="F81" s="1049">
        <f>ATAN(A81/Zero1)</f>
        <v/>
      </c>
      <c r="G81" s="1048">
        <f>IF(VIN_nom&gt;Vout, 1, SQRT(1+(A81/z_RHP)^2))</f>
        <v/>
      </c>
      <c r="H81" s="1049">
        <f>IF(VIN_nom&gt;Vout, 0, -ATAN(A81/z_RHP))</f>
        <v/>
      </c>
      <c r="I81" s="1047">
        <f>SQRT(1+(A81/Pole2)^2)</f>
        <v/>
      </c>
      <c r="J81" s="1050">
        <f>ATAN(A81/Pole2)</f>
        <v/>
      </c>
      <c r="K81" s="1056">
        <f>SQRT(1+(A81/Zero2)^2)</f>
        <v/>
      </c>
      <c r="L81" s="1057">
        <f>ATAN(A81/Zero2)</f>
        <v/>
      </c>
      <c r="M81" s="1047">
        <f>SQRT(1+(A81/pole4)^2)</f>
        <v/>
      </c>
      <c r="N81" s="1057">
        <f>ATAN(A81/pole4)</f>
        <v/>
      </c>
      <c r="O81" s="1058">
        <f>IF(VOUT_setting=1,1,SQRT(1+(A81*zterm1)^2))</f>
        <v/>
      </c>
      <c r="P81" s="1059">
        <f>IF(VOUT_setting=1,0,ATAN(((A81*zterm1))))</f>
        <v/>
      </c>
      <c r="Q81" s="1056">
        <f>IF(VOUT_setting=1,1,SQRT((1+Afbr-$Q$5*(A81)^2)^2+(A81*$Q$4)^2))</f>
        <v/>
      </c>
      <c r="R81" s="1060">
        <f>IF(VOUT_setting=1,0,ATAN(A81*$Q$4/(1+Afbr-$Q$5*(A81)^2)))</f>
        <v/>
      </c>
      <c r="S81" s="1054">
        <f>SQRT((1-(Z81/pterm2))^2+(A81/pterm1)^2)</f>
        <v/>
      </c>
      <c r="T81" s="1055">
        <f>IF((ATAN((A81/pterm1)/(1-A81^2/pterm2))&gt;0),ATAN((A81/pterm1)/(1-A81^2/pterm2)),PI()+ATAN((A81/pterm1)/(1-A81^2/pterm2)))</f>
        <v/>
      </c>
      <c r="U81" s="331">
        <f>20*LOG10(((E81*K81*G81*O81)/(C81*I81*S81*M81*Q81))*Adc)</f>
        <v/>
      </c>
      <c r="V81" s="332">
        <f>((F81+L81+H81+P81)-(D81+J81+T81+N81+R81))*radconv</f>
        <v/>
      </c>
      <c r="W81" s="334">
        <f>IF(V81&gt;0,V81,V81+180)</f>
        <v/>
      </c>
      <c r="Y81" s="307">
        <f>IF(U81&lt;0,A81,1000000000)</f>
        <v/>
      </c>
      <c r="Z81" s="307">
        <f>A81^2</f>
        <v/>
      </c>
      <c r="AB81" s="333">
        <f>20*LOG10((K81/(I81*M81))*AEA)</f>
        <v/>
      </c>
      <c r="AC81" s="334">
        <f>(L81-(J81+N81))*radconv</f>
        <v/>
      </c>
      <c r="AE81" s="333">
        <f>20*LOG10((E81*G81/(C81*S81))*Acs*Am)</f>
        <v/>
      </c>
      <c r="AF81" s="334">
        <f>(F81+H81-(D81+T81))*radconv</f>
        <v/>
      </c>
      <c r="AH81">
        <f>SUM((U82&lt;0)*(U81&gt;0))*A81</f>
        <v/>
      </c>
      <c r="AI81">
        <f>IF(AH81&gt;0,W79,0)</f>
        <v/>
      </c>
    </row>
    <row r="82">
      <c r="A82" s="335" t="n">
        <v>575.4400000000001</v>
      </c>
      <c r="B82" s="352">
        <f>A82/1000</f>
        <v/>
      </c>
      <c r="C82" s="1047">
        <f>SQRT(1+(A82/pole1)^2)</f>
        <v/>
      </c>
      <c r="D82" s="1048">
        <f>ATAN(A82/pole1)</f>
        <v/>
      </c>
      <c r="E82" s="1048">
        <f>SQRT(1+(A82/Zero1)^2)</f>
        <v/>
      </c>
      <c r="F82" s="1049">
        <f>ATAN(A82/Zero1)</f>
        <v/>
      </c>
      <c r="G82" s="1048">
        <f>IF(VIN_nom&gt;Vout, 1, SQRT(1+(A82/z_RHP)^2))</f>
        <v/>
      </c>
      <c r="H82" s="1049">
        <f>IF(VIN_nom&gt;Vout, 0, -ATAN(A82/z_RHP))</f>
        <v/>
      </c>
      <c r="I82" s="1047">
        <f>SQRT(1+(A82/Pole2)^2)</f>
        <v/>
      </c>
      <c r="J82" s="1050">
        <f>ATAN(A82/Pole2)</f>
        <v/>
      </c>
      <c r="K82" s="1056">
        <f>SQRT(1+(A82/Zero2)^2)</f>
        <v/>
      </c>
      <c r="L82" s="1057">
        <f>ATAN(A82/Zero2)</f>
        <v/>
      </c>
      <c r="M82" s="1047">
        <f>SQRT(1+(A82/pole4)^2)</f>
        <v/>
      </c>
      <c r="N82" s="1057">
        <f>ATAN(A82/pole4)</f>
        <v/>
      </c>
      <c r="O82" s="1058">
        <f>IF(VOUT_setting=1,1,SQRT(1+(A82*zterm1)^2))</f>
        <v/>
      </c>
      <c r="P82" s="1059">
        <f>IF(VOUT_setting=1,0,ATAN(((A82*zterm1))))</f>
        <v/>
      </c>
      <c r="Q82" s="1056">
        <f>IF(VOUT_setting=1,1,SQRT((1+Afbr-$Q$5*(A82)^2)^2+(A82*$Q$4)^2))</f>
        <v/>
      </c>
      <c r="R82" s="1060">
        <f>IF(VOUT_setting=1,0,ATAN(A82*$Q$4/(1+Afbr-$Q$5*(A82)^2)))</f>
        <v/>
      </c>
      <c r="S82" s="1054">
        <f>SQRT((1-(Z82/pterm2))^2+(A82/pterm1)^2)</f>
        <v/>
      </c>
      <c r="T82" s="1055">
        <f>IF((ATAN((A82/pterm1)/(1-A82^2/pterm2))&gt;0),ATAN((A82/pterm1)/(1-A82^2/pterm2)),PI()+ATAN((A82/pterm1)/(1-A82^2/pterm2)))</f>
        <v/>
      </c>
      <c r="U82" s="331">
        <f>20*LOG10(((E82*K82*G82*O82)/(C82*I82*S82*M82*Q82))*Adc)</f>
        <v/>
      </c>
      <c r="V82" s="332">
        <f>((F82+L82+H82+P82)-(D82+J82+T82+N82+R82))*radconv</f>
        <v/>
      </c>
      <c r="W82" s="334">
        <f>IF(V82&gt;0,V82,V82+180)</f>
        <v/>
      </c>
      <c r="Y82" s="307">
        <f>IF(U82&lt;0,A82,1000000000)</f>
        <v/>
      </c>
      <c r="Z82" s="307">
        <f>A82^2</f>
        <v/>
      </c>
      <c r="AB82" s="333">
        <f>20*LOG10((K82/(I82*M82))*AEA)</f>
        <v/>
      </c>
      <c r="AC82" s="334">
        <f>(L82-(J82+N82))*radconv</f>
        <v/>
      </c>
      <c r="AE82" s="333">
        <f>20*LOG10((E82*G82/(C82*S82))*Acs*Am)</f>
        <v/>
      </c>
      <c r="AF82" s="334">
        <f>(F82+H82-(D82+T82))*radconv</f>
        <v/>
      </c>
      <c r="AH82">
        <f>SUM((U83&lt;0)*(U82&gt;0))*A82</f>
        <v/>
      </c>
      <c r="AI82">
        <f>IF(AH82&gt;0,W80,0)</f>
        <v/>
      </c>
    </row>
    <row r="83">
      <c r="A83" s="335" t="n">
        <v>630.96</v>
      </c>
      <c r="B83" s="352">
        <f>A83/1000</f>
        <v/>
      </c>
      <c r="C83" s="1047">
        <f>SQRT(1+(A83/pole1)^2)</f>
        <v/>
      </c>
      <c r="D83" s="1048">
        <f>ATAN(A83/pole1)</f>
        <v/>
      </c>
      <c r="E83" s="1048">
        <f>SQRT(1+(A83/Zero1)^2)</f>
        <v/>
      </c>
      <c r="F83" s="1049">
        <f>ATAN(A83/Zero1)</f>
        <v/>
      </c>
      <c r="G83" s="1048">
        <f>IF(VIN_nom&gt;Vout, 1, SQRT(1+(A83/z_RHP)^2))</f>
        <v/>
      </c>
      <c r="H83" s="1049">
        <f>IF(VIN_nom&gt;Vout, 0, -ATAN(A83/z_RHP))</f>
        <v/>
      </c>
      <c r="I83" s="1047">
        <f>SQRT(1+(A83/Pole2)^2)</f>
        <v/>
      </c>
      <c r="J83" s="1050">
        <f>ATAN(A83/Pole2)</f>
        <v/>
      </c>
      <c r="K83" s="1056">
        <f>SQRT(1+(A83/Zero2)^2)</f>
        <v/>
      </c>
      <c r="L83" s="1057">
        <f>ATAN(A83/Zero2)</f>
        <v/>
      </c>
      <c r="M83" s="1047">
        <f>SQRT(1+(A83/pole4)^2)</f>
        <v/>
      </c>
      <c r="N83" s="1057">
        <f>ATAN(A83/pole4)</f>
        <v/>
      </c>
      <c r="O83" s="1058">
        <f>IF(VOUT_setting=1,1,SQRT(1+(A83*zterm1)^2))</f>
        <v/>
      </c>
      <c r="P83" s="1059">
        <f>IF(VOUT_setting=1,0,ATAN(((A83*zterm1))))</f>
        <v/>
      </c>
      <c r="Q83" s="1056">
        <f>IF(VOUT_setting=1,1,SQRT((1+Afbr-$Q$5*(A83)^2)^2+(A83*$Q$4)^2))</f>
        <v/>
      </c>
      <c r="R83" s="1060">
        <f>IF(VOUT_setting=1,0,ATAN(A83*$Q$4/(1+Afbr-$Q$5*(A83)^2)))</f>
        <v/>
      </c>
      <c r="S83" s="1054">
        <f>SQRT((1-(Z83/pterm2))^2+(A83/pterm1)^2)</f>
        <v/>
      </c>
      <c r="T83" s="1055">
        <f>IF((ATAN((A83/pterm1)/(1-A83^2/pterm2))&gt;0),ATAN((A83/pterm1)/(1-A83^2/pterm2)),PI()+ATAN((A83/pterm1)/(1-A83^2/pterm2)))</f>
        <v/>
      </c>
      <c r="U83" s="331">
        <f>20*LOG10(((E83*K83*G83*O83)/(C83*I83*S83*M83*Q83))*Adc)</f>
        <v/>
      </c>
      <c r="V83" s="332">
        <f>((F83+L83+H83+P83)-(D83+J83+T83+N83+R83))*radconv</f>
        <v/>
      </c>
      <c r="W83" s="334">
        <f>IF(V83&gt;0,V83,V83+180)</f>
        <v/>
      </c>
      <c r="Y83" s="307">
        <f>IF(U83&lt;0,A83,1000000000)</f>
        <v/>
      </c>
      <c r="Z83" s="307">
        <f>A83^2</f>
        <v/>
      </c>
      <c r="AB83" s="333">
        <f>20*LOG10((K83/(I83*M83))*AEA)</f>
        <v/>
      </c>
      <c r="AC83" s="334">
        <f>(L83-(J83+N83))*radconv</f>
        <v/>
      </c>
      <c r="AE83" s="333">
        <f>20*LOG10((E83*G83/(C83*S83))*Acs*Am)</f>
        <v/>
      </c>
      <c r="AF83" s="334">
        <f>(F83+H83-(D83+T83))*radconv</f>
        <v/>
      </c>
      <c r="AH83">
        <f>SUM((U84&lt;0)*(U83&gt;0))*A83</f>
        <v/>
      </c>
      <c r="AI83">
        <f>IF(AH83&gt;0,W81,0)</f>
        <v/>
      </c>
    </row>
    <row r="84">
      <c r="A84" s="335" t="n">
        <v>691.83</v>
      </c>
      <c r="B84" s="352">
        <f>A84/1000</f>
        <v/>
      </c>
      <c r="C84" s="1047">
        <f>SQRT(1+(A84/pole1)^2)</f>
        <v/>
      </c>
      <c r="D84" s="1048">
        <f>ATAN(A84/pole1)</f>
        <v/>
      </c>
      <c r="E84" s="1048">
        <f>SQRT(1+(A84/Zero1)^2)</f>
        <v/>
      </c>
      <c r="F84" s="1049">
        <f>ATAN(A84/Zero1)</f>
        <v/>
      </c>
      <c r="G84" s="1048">
        <f>IF(VIN_nom&gt;Vout, 1, SQRT(1+(A84/z_RHP)^2))</f>
        <v/>
      </c>
      <c r="H84" s="1049">
        <f>IF(VIN_nom&gt;Vout, 0, -ATAN(A84/z_RHP))</f>
        <v/>
      </c>
      <c r="I84" s="1047">
        <f>SQRT(1+(A84/Pole2)^2)</f>
        <v/>
      </c>
      <c r="J84" s="1050">
        <f>ATAN(A84/Pole2)</f>
        <v/>
      </c>
      <c r="K84" s="1056">
        <f>SQRT(1+(A84/Zero2)^2)</f>
        <v/>
      </c>
      <c r="L84" s="1057">
        <f>ATAN(A84/Zero2)</f>
        <v/>
      </c>
      <c r="M84" s="1047">
        <f>SQRT(1+(A84/pole4)^2)</f>
        <v/>
      </c>
      <c r="N84" s="1057">
        <f>ATAN(A84/pole4)</f>
        <v/>
      </c>
      <c r="O84" s="1058">
        <f>IF(VOUT_setting=1,1,SQRT(1+(A84*zterm1)^2))</f>
        <v/>
      </c>
      <c r="P84" s="1059">
        <f>IF(VOUT_setting=1,0,ATAN(((A84*zterm1))))</f>
        <v/>
      </c>
      <c r="Q84" s="1056">
        <f>IF(VOUT_setting=1,1,SQRT((1+Afbr-$Q$5*(A84)^2)^2+(A84*$Q$4)^2))</f>
        <v/>
      </c>
      <c r="R84" s="1060">
        <f>IF(VOUT_setting=1,0,ATAN(A84*$Q$4/(1+Afbr-$Q$5*(A84)^2)))</f>
        <v/>
      </c>
      <c r="S84" s="1054">
        <f>SQRT((1-(Z84/pterm2))^2+(A84/pterm1)^2)</f>
        <v/>
      </c>
      <c r="T84" s="1055">
        <f>IF((ATAN((A84/pterm1)/(1-A84^2/pterm2))&gt;0),ATAN((A84/pterm1)/(1-A84^2/pterm2)),PI()+ATAN((A84/pterm1)/(1-A84^2/pterm2)))</f>
        <v/>
      </c>
      <c r="U84" s="331">
        <f>20*LOG10(((E84*K84*G84*O84)/(C84*I84*S84*M84*Q84))*Adc)</f>
        <v/>
      </c>
      <c r="V84" s="332">
        <f>((F84+L84+H84+P84)-(D84+J84+T84+N84+R84))*radconv</f>
        <v/>
      </c>
      <c r="W84" s="334">
        <f>IF(V84&gt;0,V84,V84+180)</f>
        <v/>
      </c>
      <c r="Y84" s="307">
        <f>IF(U84&lt;0,A84,1000000000)</f>
        <v/>
      </c>
      <c r="Z84" s="307">
        <f>A84^2</f>
        <v/>
      </c>
      <c r="AB84" s="333">
        <f>20*LOG10((K84/(I84*M84))*AEA)</f>
        <v/>
      </c>
      <c r="AC84" s="334">
        <f>(L84-(J84+N84))*radconv</f>
        <v/>
      </c>
      <c r="AE84" s="333">
        <f>20*LOG10((E84*G84/(C84*S84))*Acs*Am)</f>
        <v/>
      </c>
      <c r="AF84" s="334">
        <f>(F84+H84-(D84+T84))*radconv</f>
        <v/>
      </c>
      <c r="AH84">
        <f>SUM((U85&lt;0)*(U84&gt;0))*A84</f>
        <v/>
      </c>
      <c r="AI84">
        <f>IF(AH84&gt;0,W82,0)</f>
        <v/>
      </c>
    </row>
    <row r="85">
      <c r="A85" s="335" t="n">
        <v>758.58</v>
      </c>
      <c r="B85" s="352">
        <f>A85/1000</f>
        <v/>
      </c>
      <c r="C85" s="1047">
        <f>SQRT(1+(A85/pole1)^2)</f>
        <v/>
      </c>
      <c r="D85" s="1048">
        <f>ATAN(A85/pole1)</f>
        <v/>
      </c>
      <c r="E85" s="1048">
        <f>SQRT(1+(A85/Zero1)^2)</f>
        <v/>
      </c>
      <c r="F85" s="1049">
        <f>ATAN(A85/Zero1)</f>
        <v/>
      </c>
      <c r="G85" s="1048">
        <f>IF(VIN_nom&gt;Vout, 1, SQRT(1+(A85/z_RHP)^2))</f>
        <v/>
      </c>
      <c r="H85" s="1049">
        <f>IF(VIN_nom&gt;Vout, 0, -ATAN(A85/z_RHP))</f>
        <v/>
      </c>
      <c r="I85" s="1047">
        <f>SQRT(1+(A85/Pole2)^2)</f>
        <v/>
      </c>
      <c r="J85" s="1050">
        <f>ATAN(A85/Pole2)</f>
        <v/>
      </c>
      <c r="K85" s="1056">
        <f>SQRT(1+(A85/Zero2)^2)</f>
        <v/>
      </c>
      <c r="L85" s="1057">
        <f>ATAN(A85/Zero2)</f>
        <v/>
      </c>
      <c r="M85" s="1047">
        <f>SQRT(1+(A85/pole4)^2)</f>
        <v/>
      </c>
      <c r="N85" s="1057">
        <f>ATAN(A85/pole4)</f>
        <v/>
      </c>
      <c r="O85" s="1058">
        <f>IF(VOUT_setting=1,1,SQRT(1+(A85*zterm1)^2))</f>
        <v/>
      </c>
      <c r="P85" s="1059">
        <f>IF(VOUT_setting=1,0,ATAN(((A85*zterm1))))</f>
        <v/>
      </c>
      <c r="Q85" s="1056">
        <f>IF(VOUT_setting=1,1,SQRT((1+Afbr-$Q$5*(A85)^2)^2+(A85*$Q$4)^2))</f>
        <v/>
      </c>
      <c r="R85" s="1060">
        <f>IF(VOUT_setting=1,0,ATAN(A85*$Q$4/(1+Afbr-$Q$5*(A85)^2)))</f>
        <v/>
      </c>
      <c r="S85" s="1054">
        <f>SQRT((1-(Z85/pterm2))^2+(A85/pterm1)^2)</f>
        <v/>
      </c>
      <c r="T85" s="1055">
        <f>IF((ATAN((A85/pterm1)/(1-A85^2/pterm2))&gt;0),ATAN((A85/pterm1)/(1-A85^2/pterm2)),PI()+ATAN((A85/pterm1)/(1-A85^2/pterm2)))</f>
        <v/>
      </c>
      <c r="U85" s="331">
        <f>20*LOG10(((E85*K85*G85*O85)/(C85*I85*S85*M85*Q85))*Adc)</f>
        <v/>
      </c>
      <c r="V85" s="332">
        <f>((F85+L85+H85+P85)-(D85+J85+T85+N85+R85))*radconv</f>
        <v/>
      </c>
      <c r="W85" s="334">
        <f>IF(V85&gt;0,V85,V85+180)</f>
        <v/>
      </c>
      <c r="Y85" s="307">
        <f>IF(U85&lt;0,A85,1000000000)</f>
        <v/>
      </c>
      <c r="Z85" s="307">
        <f>A85^2</f>
        <v/>
      </c>
      <c r="AB85" s="333">
        <f>20*LOG10((K85/(I85*M85))*AEA)</f>
        <v/>
      </c>
      <c r="AC85" s="334">
        <f>(L85-(J85+N85))*radconv</f>
        <v/>
      </c>
      <c r="AE85" s="333">
        <f>20*LOG10((E85*G85/(C85*S85))*Acs*Am)</f>
        <v/>
      </c>
      <c r="AF85" s="334">
        <f>(F85+H85-(D85+T85))*radconv</f>
        <v/>
      </c>
      <c r="AH85">
        <f>SUM((U86&lt;0)*(U85&gt;0))*A85</f>
        <v/>
      </c>
      <c r="AI85">
        <f>IF(AH85&gt;0,W83,0)</f>
        <v/>
      </c>
    </row>
    <row r="86">
      <c r="A86" s="335" t="n">
        <v>831.76</v>
      </c>
      <c r="B86" s="352">
        <f>A86/1000</f>
        <v/>
      </c>
      <c r="C86" s="1047">
        <f>SQRT(1+(A86/pole1)^2)</f>
        <v/>
      </c>
      <c r="D86" s="1048">
        <f>ATAN(A86/pole1)</f>
        <v/>
      </c>
      <c r="E86" s="1048">
        <f>SQRT(1+(A86/Zero1)^2)</f>
        <v/>
      </c>
      <c r="F86" s="1049">
        <f>ATAN(A86/Zero1)</f>
        <v/>
      </c>
      <c r="G86" s="1048">
        <f>IF(VIN_nom&gt;Vout, 1, SQRT(1+(A86/z_RHP)^2))</f>
        <v/>
      </c>
      <c r="H86" s="1049">
        <f>IF(VIN_nom&gt;Vout, 0, -ATAN(A86/z_RHP))</f>
        <v/>
      </c>
      <c r="I86" s="1047">
        <f>SQRT(1+(A86/Pole2)^2)</f>
        <v/>
      </c>
      <c r="J86" s="1050">
        <f>ATAN(A86/Pole2)</f>
        <v/>
      </c>
      <c r="K86" s="1056">
        <f>SQRT(1+(A86/Zero2)^2)</f>
        <v/>
      </c>
      <c r="L86" s="1057">
        <f>ATAN(A86/Zero2)</f>
        <v/>
      </c>
      <c r="M86" s="1047">
        <f>SQRT(1+(A86/pole4)^2)</f>
        <v/>
      </c>
      <c r="N86" s="1057">
        <f>ATAN(A86/pole4)</f>
        <v/>
      </c>
      <c r="O86" s="1058">
        <f>IF(VOUT_setting=1,1,SQRT(1+(A86*zterm1)^2))</f>
        <v/>
      </c>
      <c r="P86" s="1059">
        <f>IF(VOUT_setting=1,0,ATAN(((A86*zterm1))))</f>
        <v/>
      </c>
      <c r="Q86" s="1056">
        <f>IF(VOUT_setting=1,1,SQRT((1+Afbr-$Q$5*(A86)^2)^2+(A86*$Q$4)^2))</f>
        <v/>
      </c>
      <c r="R86" s="1060">
        <f>IF(VOUT_setting=1,0,ATAN(A86*$Q$4/(1+Afbr-$Q$5*(A86)^2)))</f>
        <v/>
      </c>
      <c r="S86" s="1054">
        <f>SQRT((1-(Z86/pterm2))^2+(A86/pterm1)^2)</f>
        <v/>
      </c>
      <c r="T86" s="1055">
        <f>IF((ATAN((A86/pterm1)/(1-A86^2/pterm2))&gt;0),ATAN((A86/pterm1)/(1-A86^2/pterm2)),PI()+ATAN((A86/pterm1)/(1-A86^2/pterm2)))</f>
        <v/>
      </c>
      <c r="U86" s="331">
        <f>20*LOG10(((E86*K86*G86*O86)/(C86*I86*S86*M86*Q86))*Adc)</f>
        <v/>
      </c>
      <c r="V86" s="332">
        <f>((F86+L86+H86+P86)-(D86+J86+T86+N86+R86))*radconv</f>
        <v/>
      </c>
      <c r="W86" s="334">
        <f>IF(V86&gt;0,V86,V86+180)</f>
        <v/>
      </c>
      <c r="Y86" s="307">
        <f>IF(U86&lt;0,A86,1000000000)</f>
        <v/>
      </c>
      <c r="Z86" s="307">
        <f>A86^2</f>
        <v/>
      </c>
      <c r="AB86" s="333">
        <f>20*LOG10((K86/(I86*M86))*AEA)</f>
        <v/>
      </c>
      <c r="AC86" s="334">
        <f>(L86-(J86+N86))*radconv</f>
        <v/>
      </c>
      <c r="AE86" s="333">
        <f>20*LOG10((E86*G86/(C86*S86))*Acs*Am)</f>
        <v/>
      </c>
      <c r="AF86" s="334">
        <f>(F86+H86-(D86+T86))*radconv</f>
        <v/>
      </c>
      <c r="AH86">
        <f>SUM((U87&lt;0)*(U86&gt;0))*A86</f>
        <v/>
      </c>
      <c r="AI86">
        <f>IF(AH86&gt;0,W84,0)</f>
        <v/>
      </c>
    </row>
    <row r="87">
      <c r="A87" s="335" t="n">
        <v>912.01</v>
      </c>
      <c r="B87" s="352">
        <f>A87/1000</f>
        <v/>
      </c>
      <c r="C87" s="1047">
        <f>SQRT(1+(A87/pole1)^2)</f>
        <v/>
      </c>
      <c r="D87" s="1048">
        <f>ATAN(A87/pole1)</f>
        <v/>
      </c>
      <c r="E87" s="1048">
        <f>SQRT(1+(A87/Zero1)^2)</f>
        <v/>
      </c>
      <c r="F87" s="1049">
        <f>ATAN(A87/Zero1)</f>
        <v/>
      </c>
      <c r="G87" s="1048">
        <f>IF(VIN_nom&gt;Vout, 1, SQRT(1+(A87/z_RHP)^2))</f>
        <v/>
      </c>
      <c r="H87" s="1049">
        <f>IF(VIN_nom&gt;Vout, 0, -ATAN(A87/z_RHP))</f>
        <v/>
      </c>
      <c r="I87" s="1047">
        <f>SQRT(1+(A87/Pole2)^2)</f>
        <v/>
      </c>
      <c r="J87" s="1050">
        <f>ATAN(A87/Pole2)</f>
        <v/>
      </c>
      <c r="K87" s="1056">
        <f>SQRT(1+(A87/Zero2)^2)</f>
        <v/>
      </c>
      <c r="L87" s="1057">
        <f>ATAN(A87/Zero2)</f>
        <v/>
      </c>
      <c r="M87" s="1047">
        <f>SQRT(1+(A87/pole4)^2)</f>
        <v/>
      </c>
      <c r="N87" s="1057">
        <f>ATAN(A87/pole4)</f>
        <v/>
      </c>
      <c r="O87" s="1058">
        <f>IF(VOUT_setting=1,1,SQRT(1+(A87*zterm1)^2))</f>
        <v/>
      </c>
      <c r="P87" s="1059">
        <f>IF(VOUT_setting=1,0,ATAN(((A87*zterm1))))</f>
        <v/>
      </c>
      <c r="Q87" s="1056">
        <f>IF(VOUT_setting=1,1,SQRT((1+Afbr-$Q$5*(A87)^2)^2+(A87*$Q$4)^2))</f>
        <v/>
      </c>
      <c r="R87" s="1060">
        <f>IF(VOUT_setting=1,0,ATAN(A87*$Q$4/(1+Afbr-$Q$5*(A87)^2)))</f>
        <v/>
      </c>
      <c r="S87" s="1054">
        <f>SQRT((1-(Z87/pterm2))^2+(A87/pterm1)^2)</f>
        <v/>
      </c>
      <c r="T87" s="1055">
        <f>IF((ATAN((A87/pterm1)/(1-A87^2/pterm2))&gt;0),ATAN((A87/pterm1)/(1-A87^2/pterm2)),PI()+ATAN((A87/pterm1)/(1-A87^2/pterm2)))</f>
        <v/>
      </c>
      <c r="U87" s="331">
        <f>20*LOG10(((E87*K87*G87*O87)/(C87*I87*S87*M87*Q87))*Adc)</f>
        <v/>
      </c>
      <c r="V87" s="332">
        <f>((F87+L87+H87+P87)-(D87+J87+T87+N87+R87))*radconv</f>
        <v/>
      </c>
      <c r="W87" s="334">
        <f>IF(V87&gt;0,V87,V87+180)</f>
        <v/>
      </c>
      <c r="Y87" s="307">
        <f>IF(U87&lt;0,A87,1000000000)</f>
        <v/>
      </c>
      <c r="Z87" s="307">
        <f>A87^2</f>
        <v/>
      </c>
      <c r="AB87" s="333">
        <f>20*LOG10((K87/(I87*M87))*AEA)</f>
        <v/>
      </c>
      <c r="AC87" s="334">
        <f>(L87-(J87+N87))*radconv</f>
        <v/>
      </c>
      <c r="AE87" s="333">
        <f>20*LOG10((E87*G87/(C87*S87))*Acs*Am)</f>
        <v/>
      </c>
      <c r="AF87" s="334">
        <f>(F87+H87-(D87+T87))*radconv</f>
        <v/>
      </c>
      <c r="AH87">
        <f>SUM((U88&lt;0)*(U87&gt;0))*A87</f>
        <v/>
      </c>
      <c r="AI87">
        <f>IF(AH87&gt;0,W85,0)</f>
        <v/>
      </c>
    </row>
    <row r="88">
      <c r="A88" s="335" t="n">
        <v>1000</v>
      </c>
      <c r="B88" s="352">
        <f>A88/1000</f>
        <v/>
      </c>
      <c r="C88" s="1047">
        <f>SQRT(1+(A88/pole1)^2)</f>
        <v/>
      </c>
      <c r="D88" s="1048">
        <f>ATAN(A88/pole1)</f>
        <v/>
      </c>
      <c r="E88" s="1048">
        <f>SQRT(1+(A88/Zero1)^2)</f>
        <v/>
      </c>
      <c r="F88" s="1049">
        <f>ATAN(A88/Zero1)</f>
        <v/>
      </c>
      <c r="G88" s="1048">
        <f>IF(VIN_nom&gt;Vout, 1, SQRT(1+(A88/z_RHP)^2))</f>
        <v/>
      </c>
      <c r="H88" s="1049">
        <f>IF(VIN_nom&gt;Vout, 0, -ATAN(A88/z_RHP))</f>
        <v/>
      </c>
      <c r="I88" s="1047">
        <f>SQRT(1+(A88/Pole2)^2)</f>
        <v/>
      </c>
      <c r="J88" s="1050">
        <f>ATAN(A88/Pole2)</f>
        <v/>
      </c>
      <c r="K88" s="1056">
        <f>SQRT(1+(A88/Zero2)^2)</f>
        <v/>
      </c>
      <c r="L88" s="1057">
        <f>ATAN(A88/Zero2)</f>
        <v/>
      </c>
      <c r="M88" s="1047">
        <f>SQRT(1+(A88/pole4)^2)</f>
        <v/>
      </c>
      <c r="N88" s="1057">
        <f>ATAN(A88/pole4)</f>
        <v/>
      </c>
      <c r="O88" s="1058">
        <f>IF(VOUT_setting=1,1,SQRT(1+(A88*zterm1)^2))</f>
        <v/>
      </c>
      <c r="P88" s="1059">
        <f>IF(VOUT_setting=1,0,ATAN(((A88*zterm1))))</f>
        <v/>
      </c>
      <c r="Q88" s="1056">
        <f>IF(VOUT_setting=1,1,SQRT((1+Afbr-$Q$5*(A88)^2)^2+(A88*$Q$4)^2))</f>
        <v/>
      </c>
      <c r="R88" s="1060">
        <f>IF(VOUT_setting=1,0,ATAN(A88*$Q$4/(1+Afbr-$Q$5*(A88)^2)))</f>
        <v/>
      </c>
      <c r="S88" s="1054">
        <f>SQRT((1-(Z88/pterm2))^2+(A88/pterm1)^2)</f>
        <v/>
      </c>
      <c r="T88" s="1055">
        <f>IF((ATAN((A88/pterm1)/(1-A88^2/pterm2))&gt;0),ATAN((A88/pterm1)/(1-A88^2/pterm2)),PI()+ATAN((A88/pterm1)/(1-A88^2/pterm2)))</f>
        <v/>
      </c>
      <c r="U88" s="331">
        <f>20*LOG10(((E88*K88*G88*O88)/(C88*I88*S88*M88*Q88))*Adc)</f>
        <v/>
      </c>
      <c r="V88" s="332">
        <f>((F88+L88+H88+P88)-(D88+J88+T88+N88+R88))*radconv</f>
        <v/>
      </c>
      <c r="W88" s="334">
        <f>IF(V88&gt;0,V88,V88+180)</f>
        <v/>
      </c>
      <c r="Y88" s="307">
        <f>IF(U88&lt;0,A88,1000000000)</f>
        <v/>
      </c>
      <c r="Z88" s="307">
        <f>A88^2</f>
        <v/>
      </c>
      <c r="AB88" s="333">
        <f>20*LOG10((K88/(I88*M88))*AEA)</f>
        <v/>
      </c>
      <c r="AC88" s="334">
        <f>(L88-(J88+N88))*radconv</f>
        <v/>
      </c>
      <c r="AE88" s="333">
        <f>20*LOG10((E88*G88/(C88*S88))*Acs*Am)</f>
        <v/>
      </c>
      <c r="AF88" s="334">
        <f>(F88+H88-(D88+T88))*radconv</f>
        <v/>
      </c>
      <c r="AH88">
        <f>SUM((U89&lt;0)*(U88&gt;0))*A88</f>
        <v/>
      </c>
      <c r="AI88">
        <f>IF(AH88&gt;0,W86,0)</f>
        <v/>
      </c>
    </row>
    <row r="89">
      <c r="A89" s="335" t="n">
        <v>1096.5</v>
      </c>
      <c r="B89" s="352">
        <f>A89/1000</f>
        <v/>
      </c>
      <c r="C89" s="1047">
        <f>SQRT(1+(A89/pole1)^2)</f>
        <v/>
      </c>
      <c r="D89" s="1048">
        <f>ATAN(A89/pole1)</f>
        <v/>
      </c>
      <c r="E89" s="1048">
        <f>SQRT(1+(A89/Zero1)^2)</f>
        <v/>
      </c>
      <c r="F89" s="1049">
        <f>ATAN(A89/Zero1)</f>
        <v/>
      </c>
      <c r="G89" s="1048">
        <f>IF(VIN_nom&gt;Vout, 1, SQRT(1+(A89/z_RHP)^2))</f>
        <v/>
      </c>
      <c r="H89" s="1049">
        <f>IF(VIN_nom&gt;Vout, 0, -ATAN(A89/z_RHP))</f>
        <v/>
      </c>
      <c r="I89" s="1047">
        <f>SQRT(1+(A89/Pole2)^2)</f>
        <v/>
      </c>
      <c r="J89" s="1050">
        <f>ATAN(A89/Pole2)</f>
        <v/>
      </c>
      <c r="K89" s="1056">
        <f>SQRT(1+(A89/Zero2)^2)</f>
        <v/>
      </c>
      <c r="L89" s="1057">
        <f>ATAN(A89/Zero2)</f>
        <v/>
      </c>
      <c r="M89" s="1047">
        <f>SQRT(1+(A89/pole4)^2)</f>
        <v/>
      </c>
      <c r="N89" s="1057">
        <f>ATAN(A89/pole4)</f>
        <v/>
      </c>
      <c r="O89" s="1058">
        <f>IF(VOUT_setting=1,1,SQRT(1+(A89*zterm1)^2))</f>
        <v/>
      </c>
      <c r="P89" s="1059">
        <f>IF(VOUT_setting=1,0,ATAN(((A89*zterm1))))</f>
        <v/>
      </c>
      <c r="Q89" s="1056">
        <f>IF(VOUT_setting=1,1,SQRT((1+Afbr-$Q$5*(A89)^2)^2+(A89*$Q$4)^2))</f>
        <v/>
      </c>
      <c r="R89" s="1060">
        <f>IF(VOUT_setting=1,0,ATAN(A89*$Q$4/(1+Afbr-$Q$5*(A89)^2)))</f>
        <v/>
      </c>
      <c r="S89" s="1054">
        <f>SQRT((1-(Z89/pterm2))^2+(A89/pterm1)^2)</f>
        <v/>
      </c>
      <c r="T89" s="1055">
        <f>IF((ATAN((A89/pterm1)/(1-A89^2/pterm2))&gt;0),ATAN((A89/pterm1)/(1-A89^2/pterm2)),PI()+ATAN((A89/pterm1)/(1-A89^2/pterm2)))</f>
        <v/>
      </c>
      <c r="U89" s="331">
        <f>20*LOG10(((E89*K89*G89*O89)/(C89*I89*S89*M89*Q89))*Adc)</f>
        <v/>
      </c>
      <c r="V89" s="332">
        <f>((F89+L89+H89+P89)-(D89+J89+T89+N89+R89))*radconv</f>
        <v/>
      </c>
      <c r="W89" s="334">
        <f>IF(V89&gt;0,V89,V89+180)</f>
        <v/>
      </c>
      <c r="Y89" s="307">
        <f>IF(U89&lt;0,A89,1000000000)</f>
        <v/>
      </c>
      <c r="Z89" s="307">
        <f>A89^2</f>
        <v/>
      </c>
      <c r="AB89" s="333">
        <f>20*LOG10((K89/(I89*M89))*AEA)</f>
        <v/>
      </c>
      <c r="AC89" s="334">
        <f>(L89-(J89+N89))*radconv</f>
        <v/>
      </c>
      <c r="AE89" s="333">
        <f>20*LOG10((E89*G89/(C89*S89))*Acs*Am)</f>
        <v/>
      </c>
      <c r="AF89" s="334">
        <f>(F89+H89-(D89+T89))*radconv</f>
        <v/>
      </c>
      <c r="AH89">
        <f>SUM((U90&lt;0)*(U89&gt;0))*A89</f>
        <v/>
      </c>
      <c r="AI89">
        <f>IF(AH89&gt;0,W87,0)</f>
        <v/>
      </c>
    </row>
    <row r="90">
      <c r="A90" s="335" t="n">
        <v>1202.3</v>
      </c>
      <c r="B90" s="352">
        <f>A90/1000</f>
        <v/>
      </c>
      <c r="C90" s="1047">
        <f>SQRT(1+(A90/pole1)^2)</f>
        <v/>
      </c>
      <c r="D90" s="1048">
        <f>ATAN(A90/pole1)</f>
        <v/>
      </c>
      <c r="E90" s="1048">
        <f>SQRT(1+(A90/Zero1)^2)</f>
        <v/>
      </c>
      <c r="F90" s="1049">
        <f>ATAN(A90/Zero1)</f>
        <v/>
      </c>
      <c r="G90" s="1048">
        <f>IF(VIN_nom&gt;Vout, 1, SQRT(1+(A90/z_RHP)^2))</f>
        <v/>
      </c>
      <c r="H90" s="1049">
        <f>IF(VIN_nom&gt;Vout, 0, -ATAN(A90/z_RHP))</f>
        <v/>
      </c>
      <c r="I90" s="1047">
        <f>SQRT(1+(A90/Pole2)^2)</f>
        <v/>
      </c>
      <c r="J90" s="1050">
        <f>ATAN(A90/Pole2)</f>
        <v/>
      </c>
      <c r="K90" s="1056">
        <f>SQRT(1+(A90/Zero2)^2)</f>
        <v/>
      </c>
      <c r="L90" s="1057">
        <f>ATAN(A90/Zero2)</f>
        <v/>
      </c>
      <c r="M90" s="1047">
        <f>SQRT(1+(A90/pole4)^2)</f>
        <v/>
      </c>
      <c r="N90" s="1057">
        <f>ATAN(A90/pole4)</f>
        <v/>
      </c>
      <c r="O90" s="1058">
        <f>IF(VOUT_setting=1,1,SQRT(1+(A90*zterm1)^2))</f>
        <v/>
      </c>
      <c r="P90" s="1059">
        <f>IF(VOUT_setting=1,0,ATAN(((A90*zterm1))))</f>
        <v/>
      </c>
      <c r="Q90" s="1056">
        <f>IF(VOUT_setting=1,1,SQRT((1+Afbr-$Q$5*(A90)^2)^2+(A90*$Q$4)^2))</f>
        <v/>
      </c>
      <c r="R90" s="1060">
        <f>IF(VOUT_setting=1,0,ATAN(A90*$Q$4/(1+Afbr-$Q$5*(A90)^2)))</f>
        <v/>
      </c>
      <c r="S90" s="1054">
        <f>SQRT((1-(Z90/pterm2))^2+(A90/pterm1)^2)</f>
        <v/>
      </c>
      <c r="T90" s="1055">
        <f>IF((ATAN((A90/pterm1)/(1-A90^2/pterm2))&gt;0),ATAN((A90/pterm1)/(1-A90^2/pterm2)),PI()+ATAN((A90/pterm1)/(1-A90^2/pterm2)))</f>
        <v/>
      </c>
      <c r="U90" s="331">
        <f>20*LOG10(((E90*K90*G90*O90)/(C90*I90*S90*M90*Q90))*Adc)</f>
        <v/>
      </c>
      <c r="V90" s="332">
        <f>((F90+L90+H90+P90)-(D90+J90+T90+N90+R90))*radconv</f>
        <v/>
      </c>
      <c r="W90" s="334">
        <f>IF(V90&gt;0,V90,V90+180)</f>
        <v/>
      </c>
      <c r="Y90" s="307">
        <f>IF(U90&lt;0,A90,1000000000)</f>
        <v/>
      </c>
      <c r="Z90" s="307">
        <f>A90^2</f>
        <v/>
      </c>
      <c r="AB90" s="333">
        <f>20*LOG10((K90/(I90*M90))*AEA)</f>
        <v/>
      </c>
      <c r="AC90" s="334">
        <f>(L90-(J90+N90))*radconv</f>
        <v/>
      </c>
      <c r="AE90" s="333">
        <f>20*LOG10((E90*G90/(C90*S90))*Acs*Am)</f>
        <v/>
      </c>
      <c r="AF90" s="334">
        <f>(F90+H90-(D90+T90))*radconv</f>
        <v/>
      </c>
      <c r="AH90">
        <f>SUM((U91&lt;0)*(U90&gt;0))*A90</f>
        <v/>
      </c>
      <c r="AI90">
        <f>IF(AH90&gt;0,W90,0)</f>
        <v/>
      </c>
    </row>
    <row r="91">
      <c r="A91" s="335" t="n">
        <v>1318.3</v>
      </c>
      <c r="B91" s="352">
        <f>A91/1000</f>
        <v/>
      </c>
      <c r="C91" s="1047">
        <f>SQRT(1+(A91/pole1)^2)</f>
        <v/>
      </c>
      <c r="D91" s="1048">
        <f>ATAN(A91/pole1)</f>
        <v/>
      </c>
      <c r="E91" s="1048">
        <f>SQRT(1+(A91/Zero1)^2)</f>
        <v/>
      </c>
      <c r="F91" s="1049">
        <f>ATAN(A91/Zero1)</f>
        <v/>
      </c>
      <c r="G91" s="1048">
        <f>IF(VIN_nom&gt;Vout, 1, SQRT(1+(A91/z_RHP)^2))</f>
        <v/>
      </c>
      <c r="H91" s="1049">
        <f>IF(VIN_nom&gt;Vout, 0, -ATAN(A91/z_RHP))</f>
        <v/>
      </c>
      <c r="I91" s="1047">
        <f>SQRT(1+(A91/Pole2)^2)</f>
        <v/>
      </c>
      <c r="J91" s="1050">
        <f>ATAN(A91/Pole2)</f>
        <v/>
      </c>
      <c r="K91" s="1056">
        <f>SQRT(1+(A91/Zero2)^2)</f>
        <v/>
      </c>
      <c r="L91" s="1057">
        <f>ATAN(A91/Zero2)</f>
        <v/>
      </c>
      <c r="M91" s="1047">
        <f>SQRT(1+(A91/pole4)^2)</f>
        <v/>
      </c>
      <c r="N91" s="1057">
        <f>ATAN(A91/pole4)</f>
        <v/>
      </c>
      <c r="O91" s="1058">
        <f>IF(VOUT_setting=1,1,SQRT(1+(A91*zterm1)^2))</f>
        <v/>
      </c>
      <c r="P91" s="1059">
        <f>IF(VOUT_setting=1,0,ATAN(((A91*zterm1))))</f>
        <v/>
      </c>
      <c r="Q91" s="1056">
        <f>IF(VOUT_setting=1,1,SQRT((1+Afbr-$Q$5*(A91)^2)^2+(A91*$Q$4)^2))</f>
        <v/>
      </c>
      <c r="R91" s="1060">
        <f>IF(VOUT_setting=1,0,ATAN(A91*$Q$4/(1+Afbr-$Q$5*(A91)^2)))</f>
        <v/>
      </c>
      <c r="S91" s="1054">
        <f>SQRT((1-(Z91/pterm2))^2+(A91/pterm1)^2)</f>
        <v/>
      </c>
      <c r="T91" s="1055">
        <f>IF((ATAN((A91/pterm1)/(1-A91^2/pterm2))&gt;0),ATAN((A91/pterm1)/(1-A91^2/pterm2)),PI()+ATAN((A91/pterm1)/(1-A91^2/pterm2)))</f>
        <v/>
      </c>
      <c r="U91" s="331">
        <f>20*LOG10(((E91*K91*G91*O91)/(C91*I91*S91*M91*Q91))*Adc)</f>
        <v/>
      </c>
      <c r="V91" s="332">
        <f>((F91+L91+H91+P91)-(D91+J91+T91+N91+R91))*radconv</f>
        <v/>
      </c>
      <c r="W91" s="334">
        <f>IF(V91&gt;0,V91,V91+180)</f>
        <v/>
      </c>
      <c r="Y91" s="307">
        <f>IF(U91&lt;0,A91,1000000000)</f>
        <v/>
      </c>
      <c r="Z91" s="307">
        <f>A91^2</f>
        <v/>
      </c>
      <c r="AB91" s="333">
        <f>20*LOG10((K91/(I91*M91))*AEA)</f>
        <v/>
      </c>
      <c r="AC91" s="334">
        <f>(L91-(J91+N91))*radconv</f>
        <v/>
      </c>
      <c r="AE91" s="333">
        <f>20*LOG10((E91*G91/(C91*S91))*Acs*Am)</f>
        <v/>
      </c>
      <c r="AF91" s="334">
        <f>(F91+H91-(D91+T91))*radconv</f>
        <v/>
      </c>
      <c r="AH91">
        <f>SUM((U92&lt;0)*(U91&gt;0))*A91</f>
        <v/>
      </c>
      <c r="AI91">
        <f>IF(AH91&gt;0,W91,0)</f>
        <v/>
      </c>
    </row>
    <row r="92">
      <c r="A92" s="335" t="n">
        <v>1445.4</v>
      </c>
      <c r="B92" s="352">
        <f>A92/1000</f>
        <v/>
      </c>
      <c r="C92" s="1047">
        <f>SQRT(1+(A92/pole1)^2)</f>
        <v/>
      </c>
      <c r="D92" s="1048">
        <f>ATAN(A92/pole1)</f>
        <v/>
      </c>
      <c r="E92" s="1048">
        <f>SQRT(1+(A92/Zero1)^2)</f>
        <v/>
      </c>
      <c r="F92" s="1049">
        <f>ATAN(A92/Zero1)</f>
        <v/>
      </c>
      <c r="G92" s="1048">
        <f>IF(VIN_nom&gt;Vout, 1, SQRT(1+(A92/z_RHP)^2))</f>
        <v/>
      </c>
      <c r="H92" s="1049">
        <f>IF(VIN_nom&gt;Vout, 0, -ATAN(A92/z_RHP))</f>
        <v/>
      </c>
      <c r="I92" s="1047">
        <f>SQRT(1+(A92/Pole2)^2)</f>
        <v/>
      </c>
      <c r="J92" s="1050">
        <f>ATAN(A92/Pole2)</f>
        <v/>
      </c>
      <c r="K92" s="1056">
        <f>SQRT(1+(A92/Zero2)^2)</f>
        <v/>
      </c>
      <c r="L92" s="1057">
        <f>ATAN(A92/Zero2)</f>
        <v/>
      </c>
      <c r="M92" s="1047">
        <f>SQRT(1+(A92/pole4)^2)</f>
        <v/>
      </c>
      <c r="N92" s="1057">
        <f>ATAN(A92/pole4)</f>
        <v/>
      </c>
      <c r="O92" s="1058">
        <f>IF(VOUT_setting=1,1,SQRT(1+(A92*zterm1)^2))</f>
        <v/>
      </c>
      <c r="P92" s="1059">
        <f>IF(VOUT_setting=1,0,ATAN(((A92*zterm1))))</f>
        <v/>
      </c>
      <c r="Q92" s="1056">
        <f>IF(VOUT_setting=1,1,SQRT((1+Afbr-$Q$5*(A92)^2)^2+(A92*$Q$4)^2))</f>
        <v/>
      </c>
      <c r="R92" s="1060">
        <f>IF(VOUT_setting=1,0,ATAN(A92*$Q$4/(1+Afbr-$Q$5*(A92)^2)))</f>
        <v/>
      </c>
      <c r="S92" s="1054">
        <f>SQRT((1-(Z92/pterm2))^2+(A92/pterm1)^2)</f>
        <v/>
      </c>
      <c r="T92" s="1055">
        <f>IF((ATAN((A92/pterm1)/(1-A92^2/pterm2))&gt;0),ATAN((A92/pterm1)/(1-A92^2/pterm2)),PI()+ATAN((A92/pterm1)/(1-A92^2/pterm2)))</f>
        <v/>
      </c>
      <c r="U92" s="331">
        <f>20*LOG10(((E92*K92*G92*O92)/(C92*I92*S92*M92*Q92))*Adc)</f>
        <v/>
      </c>
      <c r="V92" s="332">
        <f>((F92+L92+H92+P92)-(D92+J92+T92+N92+R92))*radconv</f>
        <v/>
      </c>
      <c r="W92" s="334">
        <f>IF(V92&gt;0,V92,V92+180)</f>
        <v/>
      </c>
      <c r="Y92" s="307">
        <f>IF(U92&lt;0,A92,1000000000)</f>
        <v/>
      </c>
      <c r="Z92" s="307">
        <f>A92^2</f>
        <v/>
      </c>
      <c r="AB92" s="333">
        <f>20*LOG10((K92/(I92*M92))*AEA)</f>
        <v/>
      </c>
      <c r="AC92" s="334">
        <f>(L92-(J92+N92))*radconv</f>
        <v/>
      </c>
      <c r="AE92" s="333">
        <f>20*LOG10((E92*G92/(C92*S92))*Acs*Am)</f>
        <v/>
      </c>
      <c r="AF92" s="334">
        <f>(F92+H92-(D92+T92))*radconv</f>
        <v/>
      </c>
      <c r="AH92">
        <f>SUM((U93&lt;0)*(U92&gt;0))*A92</f>
        <v/>
      </c>
      <c r="AI92">
        <f>IF(AH92&gt;0,W92,0)</f>
        <v/>
      </c>
    </row>
    <row r="93">
      <c r="A93" s="335" t="n">
        <v>1584.9</v>
      </c>
      <c r="B93" s="352">
        <f>A93/1000</f>
        <v/>
      </c>
      <c r="C93" s="1047">
        <f>SQRT(1+(A93/pole1)^2)</f>
        <v/>
      </c>
      <c r="D93" s="1048">
        <f>ATAN(A93/pole1)</f>
        <v/>
      </c>
      <c r="E93" s="1048">
        <f>SQRT(1+(A93/Zero1)^2)</f>
        <v/>
      </c>
      <c r="F93" s="1049">
        <f>ATAN(A93/Zero1)</f>
        <v/>
      </c>
      <c r="G93" s="1048">
        <f>IF(VIN_nom&gt;Vout, 1, SQRT(1+(A93/z_RHP)^2))</f>
        <v/>
      </c>
      <c r="H93" s="1049">
        <f>IF(VIN_nom&gt;Vout, 0, -ATAN(A93/z_RHP))</f>
        <v/>
      </c>
      <c r="I93" s="1047">
        <f>SQRT(1+(A93/Pole2)^2)</f>
        <v/>
      </c>
      <c r="J93" s="1050">
        <f>ATAN(A93/Pole2)</f>
        <v/>
      </c>
      <c r="K93" s="1056">
        <f>SQRT(1+(A93/Zero2)^2)</f>
        <v/>
      </c>
      <c r="L93" s="1057">
        <f>ATAN(A93/Zero2)</f>
        <v/>
      </c>
      <c r="M93" s="1047">
        <f>SQRT(1+(A93/pole4)^2)</f>
        <v/>
      </c>
      <c r="N93" s="1057">
        <f>ATAN(A93/pole4)</f>
        <v/>
      </c>
      <c r="O93" s="1058">
        <f>IF(VOUT_setting=1,1,SQRT(1+(A93*zterm1)^2))</f>
        <v/>
      </c>
      <c r="P93" s="1059">
        <f>IF(VOUT_setting=1,0,ATAN(((A93*zterm1))))</f>
        <v/>
      </c>
      <c r="Q93" s="1056">
        <f>IF(VOUT_setting=1,1,SQRT((1+Afbr-$Q$5*(A93)^2)^2+(A93*$Q$4)^2))</f>
        <v/>
      </c>
      <c r="R93" s="1060">
        <f>IF(VOUT_setting=1,0,ATAN(A93*$Q$4/(1+Afbr-$Q$5*(A93)^2)))</f>
        <v/>
      </c>
      <c r="S93" s="1054">
        <f>SQRT((1-(Z93/pterm2))^2+(A93/pterm1)^2)</f>
        <v/>
      </c>
      <c r="T93" s="1055">
        <f>IF((ATAN((A93/pterm1)/(1-A93^2/pterm2))&gt;0),ATAN((A93/pterm1)/(1-A93^2/pterm2)),PI()+ATAN((A93/pterm1)/(1-A93^2/pterm2)))</f>
        <v/>
      </c>
      <c r="U93" s="331">
        <f>20*LOG10(((E93*K93*G93*O93)/(C93*I93*S93*M93*Q93))*Adc)</f>
        <v/>
      </c>
      <c r="V93" s="332">
        <f>((F93+L93+H93+P93)-(D93+J93+T93+N93+R93))*radconv</f>
        <v/>
      </c>
      <c r="W93" s="334">
        <f>IF(V93&gt;0,V93,V93+180)</f>
        <v/>
      </c>
      <c r="Y93" s="307">
        <f>IF(U93&lt;0,A93,1000000000)</f>
        <v/>
      </c>
      <c r="Z93" s="307">
        <f>A93^2</f>
        <v/>
      </c>
      <c r="AB93" s="333">
        <f>20*LOG10((K93/(I93*M93))*AEA)</f>
        <v/>
      </c>
      <c r="AC93" s="334">
        <f>(L93-(J93+N93))*radconv</f>
        <v/>
      </c>
      <c r="AE93" s="333">
        <f>20*LOG10((E93*G93/(C93*S93))*Acs*Am)</f>
        <v/>
      </c>
      <c r="AF93" s="334">
        <f>(F93+H93-(D93+T93))*radconv</f>
        <v/>
      </c>
      <c r="AH93">
        <f>SUM((U94&lt;0)*(U93&gt;0))*A93</f>
        <v/>
      </c>
      <c r="AI93">
        <f>IF(AH93&gt;0,W93,0)</f>
        <v/>
      </c>
    </row>
    <row r="94">
      <c r="A94" s="335" t="n">
        <v>1737.8</v>
      </c>
      <c r="B94" s="352">
        <f>A94/1000</f>
        <v/>
      </c>
      <c r="C94" s="1047">
        <f>SQRT(1+(A94/pole1)^2)</f>
        <v/>
      </c>
      <c r="D94" s="1048">
        <f>ATAN(A94/pole1)</f>
        <v/>
      </c>
      <c r="E94" s="1048">
        <f>SQRT(1+(A94/Zero1)^2)</f>
        <v/>
      </c>
      <c r="F94" s="1049">
        <f>ATAN(A94/Zero1)</f>
        <v/>
      </c>
      <c r="G94" s="1048">
        <f>IF(VIN_nom&gt;Vout, 1, SQRT(1+(A94/z_RHP)^2))</f>
        <v/>
      </c>
      <c r="H94" s="1049">
        <f>IF(VIN_nom&gt;Vout, 0, -ATAN(A94/z_RHP))</f>
        <v/>
      </c>
      <c r="I94" s="1047">
        <f>SQRT(1+(A94/Pole2)^2)</f>
        <v/>
      </c>
      <c r="J94" s="1050">
        <f>ATAN(A94/Pole2)</f>
        <v/>
      </c>
      <c r="K94" s="1056">
        <f>SQRT(1+(A94/Zero2)^2)</f>
        <v/>
      </c>
      <c r="L94" s="1057">
        <f>ATAN(A94/Zero2)</f>
        <v/>
      </c>
      <c r="M94" s="1047">
        <f>SQRT(1+(A94/pole4)^2)</f>
        <v/>
      </c>
      <c r="N94" s="1057">
        <f>ATAN(A94/pole4)</f>
        <v/>
      </c>
      <c r="O94" s="1058">
        <f>IF(VOUT_setting=1,1,SQRT(1+(A94*zterm1)^2))</f>
        <v/>
      </c>
      <c r="P94" s="1059">
        <f>IF(VOUT_setting=1,0,ATAN(((A94*zterm1))))</f>
        <v/>
      </c>
      <c r="Q94" s="1056">
        <f>IF(VOUT_setting=1,1,SQRT((1+Afbr-$Q$5*(A94)^2)^2+(A94*$Q$4)^2))</f>
        <v/>
      </c>
      <c r="R94" s="1060">
        <f>IF(VOUT_setting=1,0,ATAN(A94*$Q$4/(1+Afbr-$Q$5*(A94)^2)))</f>
        <v/>
      </c>
      <c r="S94" s="1054">
        <f>SQRT((1-(Z94/pterm2))^2+(A94/pterm1)^2)</f>
        <v/>
      </c>
      <c r="T94" s="1055">
        <f>IF((ATAN((A94/pterm1)/(1-A94^2/pterm2))&gt;0),ATAN((A94/pterm1)/(1-A94^2/pterm2)),PI()+ATAN((A94/pterm1)/(1-A94^2/pterm2)))</f>
        <v/>
      </c>
      <c r="U94" s="331">
        <f>20*LOG10(((E94*K94*G94*O94)/(C94*I94*S94*M94*Q94))*Adc)</f>
        <v/>
      </c>
      <c r="V94" s="332">
        <f>((F94+L94+H94+P94)-(D94+J94+T94+N94+R94))*radconv</f>
        <v/>
      </c>
      <c r="W94" s="334">
        <f>IF(V94&gt;0,V94,V94+180)</f>
        <v/>
      </c>
      <c r="Y94" s="307">
        <f>IF(U94&lt;0,A94,1000000000)</f>
        <v/>
      </c>
      <c r="Z94" s="307">
        <f>A94^2</f>
        <v/>
      </c>
      <c r="AB94" s="333">
        <f>20*LOG10((K94/(I94*M94))*AEA)</f>
        <v/>
      </c>
      <c r="AC94" s="334">
        <f>(L94-(J94+N94))*radconv</f>
        <v/>
      </c>
      <c r="AE94" s="333">
        <f>20*LOG10((E94*G94/(C94*S94))*Acs*Am)</f>
        <v/>
      </c>
      <c r="AF94" s="334">
        <f>(F94+H94-(D94+T94))*radconv</f>
        <v/>
      </c>
      <c r="AH94">
        <f>SUM((U95&lt;0)*(U94&gt;0))*A94</f>
        <v/>
      </c>
      <c r="AI94">
        <f>IF(AH94&gt;0,W94,0)</f>
        <v/>
      </c>
    </row>
    <row r="95">
      <c r="A95" s="335" t="n">
        <v>1905.5</v>
      </c>
      <c r="B95" s="352">
        <f>A95/1000</f>
        <v/>
      </c>
      <c r="C95" s="1047">
        <f>SQRT(1+(A95/pole1)^2)</f>
        <v/>
      </c>
      <c r="D95" s="1048">
        <f>ATAN(A95/pole1)</f>
        <v/>
      </c>
      <c r="E95" s="1048">
        <f>SQRT(1+(A95/Zero1)^2)</f>
        <v/>
      </c>
      <c r="F95" s="1049">
        <f>ATAN(A95/Zero1)</f>
        <v/>
      </c>
      <c r="G95" s="1048">
        <f>IF(VIN_nom&gt;Vout, 1, SQRT(1+(A95/z_RHP)^2))</f>
        <v/>
      </c>
      <c r="H95" s="1049">
        <f>IF(VIN_nom&gt;Vout, 0, -ATAN(A95/z_RHP))</f>
        <v/>
      </c>
      <c r="I95" s="1047">
        <f>SQRT(1+(A95/Pole2)^2)</f>
        <v/>
      </c>
      <c r="J95" s="1050">
        <f>ATAN(A95/Pole2)</f>
        <v/>
      </c>
      <c r="K95" s="1056">
        <f>SQRT(1+(A95/Zero2)^2)</f>
        <v/>
      </c>
      <c r="L95" s="1057">
        <f>ATAN(A95/Zero2)</f>
        <v/>
      </c>
      <c r="M95" s="1047">
        <f>SQRT(1+(A95/pole4)^2)</f>
        <v/>
      </c>
      <c r="N95" s="1057">
        <f>ATAN(A95/pole4)</f>
        <v/>
      </c>
      <c r="O95" s="1058">
        <f>IF(VOUT_setting=1,1,SQRT(1+(A95*zterm1)^2))</f>
        <v/>
      </c>
      <c r="P95" s="1059">
        <f>IF(VOUT_setting=1,0,ATAN(((A95*zterm1))))</f>
        <v/>
      </c>
      <c r="Q95" s="1056">
        <f>IF(VOUT_setting=1,1,SQRT((1+Afbr-$Q$5*(A95)^2)^2+(A95*$Q$4)^2))</f>
        <v/>
      </c>
      <c r="R95" s="1060">
        <f>IF(VOUT_setting=1,0,ATAN(A95*$Q$4/(1+Afbr-$Q$5*(A95)^2)))</f>
        <v/>
      </c>
      <c r="S95" s="1054">
        <f>SQRT((1-(Z95/pterm2))^2+(A95/pterm1)^2)</f>
        <v/>
      </c>
      <c r="T95" s="1055">
        <f>IF((ATAN((A95/pterm1)/(1-A95^2/pterm2))&gt;0),ATAN((A95/pterm1)/(1-A95^2/pterm2)),PI()+ATAN((A95/pterm1)/(1-A95^2/pterm2)))</f>
        <v/>
      </c>
      <c r="U95" s="331">
        <f>20*LOG10(((E95*K95*G95*O95)/(C95*I95*S95*M95*Q95))*Adc)</f>
        <v/>
      </c>
      <c r="V95" s="332">
        <f>((F95+L95+H95+P95)-(D95+J95+T95+N95+R95))*radconv</f>
        <v/>
      </c>
      <c r="W95" s="334">
        <f>IF(V95&gt;0,V95,V95+180)</f>
        <v/>
      </c>
      <c r="Y95" s="307">
        <f>IF(U95&lt;0,A95,1000000000)</f>
        <v/>
      </c>
      <c r="Z95" s="307">
        <f>A95^2</f>
        <v/>
      </c>
      <c r="AB95" s="333">
        <f>20*LOG10((K95/(I95*M95))*AEA)</f>
        <v/>
      </c>
      <c r="AC95" s="334">
        <f>(L95-(J95+N95))*radconv</f>
        <v/>
      </c>
      <c r="AE95" s="333">
        <f>20*LOG10((E95*G95/(C95*S95))*Acs*Am)</f>
        <v/>
      </c>
      <c r="AF95" s="334">
        <f>(F95+H95-(D95+T95))*radconv</f>
        <v/>
      </c>
      <c r="AH95">
        <f>SUM((U96&lt;0)*(U95&gt;0))*A95</f>
        <v/>
      </c>
      <c r="AI95">
        <f>IF(AH95&gt;0,W95,0)</f>
        <v/>
      </c>
    </row>
    <row r="96">
      <c r="A96" s="335" t="n">
        <v>2089.3</v>
      </c>
      <c r="B96" s="352">
        <f>A96/1000</f>
        <v/>
      </c>
      <c r="C96" s="1047">
        <f>SQRT(1+(A96/pole1)^2)</f>
        <v/>
      </c>
      <c r="D96" s="1048">
        <f>ATAN(A96/pole1)</f>
        <v/>
      </c>
      <c r="E96" s="1048">
        <f>SQRT(1+(A96/Zero1)^2)</f>
        <v/>
      </c>
      <c r="F96" s="1049">
        <f>ATAN(A96/Zero1)</f>
        <v/>
      </c>
      <c r="G96" s="1048">
        <f>IF(VIN_nom&gt;Vout, 1, SQRT(1+(A96/z_RHP)^2))</f>
        <v/>
      </c>
      <c r="H96" s="1049">
        <f>IF(VIN_nom&gt;Vout, 0, -ATAN(A96/z_RHP))</f>
        <v/>
      </c>
      <c r="I96" s="1047">
        <f>SQRT(1+(A96/Pole2)^2)</f>
        <v/>
      </c>
      <c r="J96" s="1050">
        <f>ATAN(A96/Pole2)</f>
        <v/>
      </c>
      <c r="K96" s="1056">
        <f>SQRT(1+(A96/Zero2)^2)</f>
        <v/>
      </c>
      <c r="L96" s="1057">
        <f>ATAN(A96/Zero2)</f>
        <v/>
      </c>
      <c r="M96" s="1047">
        <f>SQRT(1+(A96/pole4)^2)</f>
        <v/>
      </c>
      <c r="N96" s="1057">
        <f>ATAN(A96/pole4)</f>
        <v/>
      </c>
      <c r="O96" s="1058">
        <f>IF(VOUT_setting=1,1,SQRT(1+(A96*zterm1)^2))</f>
        <v/>
      </c>
      <c r="P96" s="1059">
        <f>IF(VOUT_setting=1,0,ATAN(((A96*zterm1))))</f>
        <v/>
      </c>
      <c r="Q96" s="1056">
        <f>IF(VOUT_setting=1,1,SQRT((1+Afbr-$Q$5*(A96)^2)^2+(A96*$Q$4)^2))</f>
        <v/>
      </c>
      <c r="R96" s="1060">
        <f>IF(VOUT_setting=1,0,ATAN(A96*$Q$4/(1+Afbr-$Q$5*(A96)^2)))</f>
        <v/>
      </c>
      <c r="S96" s="1054">
        <f>SQRT((1-(Z96/pterm2))^2+(A96/pterm1)^2)</f>
        <v/>
      </c>
      <c r="T96" s="1055">
        <f>IF((ATAN((A96/pterm1)/(1-A96^2/pterm2))&gt;0),ATAN((A96/pterm1)/(1-A96^2/pterm2)),PI()+ATAN((A96/pterm1)/(1-A96^2/pterm2)))</f>
        <v/>
      </c>
      <c r="U96" s="331">
        <f>20*LOG10(((E96*K96*G96*O96)/(C96*I96*S96*M96*Q96))*Adc)</f>
        <v/>
      </c>
      <c r="V96" s="332">
        <f>((F96+L96+H96+P96)-(D96+J96+T96+N96+R96))*radconv</f>
        <v/>
      </c>
      <c r="W96" s="334">
        <f>IF(V96&gt;0,V96,V96+180)</f>
        <v/>
      </c>
      <c r="Y96" s="307">
        <f>IF(U96&lt;0,A96,1000000000)</f>
        <v/>
      </c>
      <c r="Z96" s="307">
        <f>A96^2</f>
        <v/>
      </c>
      <c r="AB96" s="333">
        <f>20*LOG10((K96/(I96*M96))*AEA)</f>
        <v/>
      </c>
      <c r="AC96" s="334">
        <f>(L96-(J96+N96))*radconv</f>
        <v/>
      </c>
      <c r="AE96" s="333">
        <f>20*LOG10((E96*G96/(C96*S96))*Acs*Am)</f>
        <v/>
      </c>
      <c r="AF96" s="334">
        <f>(F96+H96-(D96+T96))*radconv</f>
        <v/>
      </c>
      <c r="AH96">
        <f>SUM((U97&lt;0)*(U96&gt;0))*A96</f>
        <v/>
      </c>
      <c r="AI96">
        <f>IF(AH96&gt;0,W96,0)</f>
        <v/>
      </c>
    </row>
    <row r="97">
      <c r="A97" s="335" t="n">
        <v>2290.9</v>
      </c>
      <c r="B97" s="352">
        <f>A97/1000</f>
        <v/>
      </c>
      <c r="C97" s="1047">
        <f>SQRT(1+(A97/pole1)^2)</f>
        <v/>
      </c>
      <c r="D97" s="1048">
        <f>ATAN(A97/pole1)</f>
        <v/>
      </c>
      <c r="E97" s="1048">
        <f>SQRT(1+(A97/Zero1)^2)</f>
        <v/>
      </c>
      <c r="F97" s="1049">
        <f>ATAN(A97/Zero1)</f>
        <v/>
      </c>
      <c r="G97" s="1048">
        <f>IF(VIN_nom&gt;Vout, 1, SQRT(1+(A97/z_RHP)^2))</f>
        <v/>
      </c>
      <c r="H97" s="1049">
        <f>IF(VIN_nom&gt;Vout, 0, -ATAN(A97/z_RHP))</f>
        <v/>
      </c>
      <c r="I97" s="1047">
        <f>SQRT(1+(A97/Pole2)^2)</f>
        <v/>
      </c>
      <c r="J97" s="1050">
        <f>ATAN(A97/Pole2)</f>
        <v/>
      </c>
      <c r="K97" s="1056">
        <f>SQRT(1+(A97/Zero2)^2)</f>
        <v/>
      </c>
      <c r="L97" s="1057">
        <f>ATAN(A97/Zero2)</f>
        <v/>
      </c>
      <c r="M97" s="1047">
        <f>SQRT(1+(A97/pole4)^2)</f>
        <v/>
      </c>
      <c r="N97" s="1057">
        <f>ATAN(A97/pole4)</f>
        <v/>
      </c>
      <c r="O97" s="1058">
        <f>IF(VOUT_setting=1,1,SQRT(1+(A97*zterm1)^2))</f>
        <v/>
      </c>
      <c r="P97" s="1059">
        <f>IF(VOUT_setting=1,0,ATAN(((A97*zterm1))))</f>
        <v/>
      </c>
      <c r="Q97" s="1056">
        <f>IF(VOUT_setting=1,1,SQRT((1+Afbr-$Q$5*(A97)^2)^2+(A97*$Q$4)^2))</f>
        <v/>
      </c>
      <c r="R97" s="1060">
        <f>IF(VOUT_setting=1,0,ATAN(A97*$Q$4/(1+Afbr-$Q$5*(A97)^2)))</f>
        <v/>
      </c>
      <c r="S97" s="1054">
        <f>SQRT((1-(Z97/pterm2))^2+(A97/pterm1)^2)</f>
        <v/>
      </c>
      <c r="T97" s="1055">
        <f>IF((ATAN((A97/pterm1)/(1-A97^2/pterm2))&gt;0),ATAN((A97/pterm1)/(1-A97^2/pterm2)),PI()+ATAN((A97/pterm1)/(1-A97^2/pterm2)))</f>
        <v/>
      </c>
      <c r="U97" s="331">
        <f>20*LOG10(((E97*K97*G97*O97)/(C97*I97*S97*M97*Q97))*Adc)</f>
        <v/>
      </c>
      <c r="V97" s="332">
        <f>((F97+L97+H97+P97)-(D97+J97+T97+N97+R97))*radconv</f>
        <v/>
      </c>
      <c r="W97" s="334">
        <f>IF(V97&gt;0,V97,V97+180)</f>
        <v/>
      </c>
      <c r="Y97" s="307">
        <f>IF(U97&lt;0,A97,1000000000)</f>
        <v/>
      </c>
      <c r="Z97" s="307">
        <f>A97^2</f>
        <v/>
      </c>
      <c r="AB97" s="333">
        <f>20*LOG10((K97/(I97*M97))*AEA)</f>
        <v/>
      </c>
      <c r="AC97" s="334">
        <f>(L97-(J97+N97))*radconv</f>
        <v/>
      </c>
      <c r="AE97" s="333">
        <f>20*LOG10((E97*G97/(C97*S97))*Acs*Am)</f>
        <v/>
      </c>
      <c r="AF97" s="334">
        <f>(F97+H97-(D97+T97))*radconv</f>
        <v/>
      </c>
      <c r="AH97">
        <f>SUM((U98&lt;0)*(U97&gt;0))*A97</f>
        <v/>
      </c>
      <c r="AI97">
        <f>IF(AH97&gt;0,W97,0)</f>
        <v/>
      </c>
    </row>
    <row r="98">
      <c r="A98" s="335" t="n">
        <v>2511.9</v>
      </c>
      <c r="B98" s="352">
        <f>A98/1000</f>
        <v/>
      </c>
      <c r="C98" s="1047">
        <f>SQRT(1+(A98/pole1)^2)</f>
        <v/>
      </c>
      <c r="D98" s="1048">
        <f>ATAN(A98/pole1)</f>
        <v/>
      </c>
      <c r="E98" s="1048">
        <f>SQRT(1+(A98/Zero1)^2)</f>
        <v/>
      </c>
      <c r="F98" s="1049">
        <f>ATAN(A98/Zero1)</f>
        <v/>
      </c>
      <c r="G98" s="1048">
        <f>IF(VIN_nom&gt;Vout, 1, SQRT(1+(A98/z_RHP)^2))</f>
        <v/>
      </c>
      <c r="H98" s="1049">
        <f>IF(VIN_nom&gt;Vout, 0, -ATAN(A98/z_RHP))</f>
        <v/>
      </c>
      <c r="I98" s="1047">
        <f>SQRT(1+(A98/Pole2)^2)</f>
        <v/>
      </c>
      <c r="J98" s="1050">
        <f>ATAN(A98/Pole2)</f>
        <v/>
      </c>
      <c r="K98" s="1056">
        <f>SQRT(1+(A98/Zero2)^2)</f>
        <v/>
      </c>
      <c r="L98" s="1057">
        <f>ATAN(A98/Zero2)</f>
        <v/>
      </c>
      <c r="M98" s="1047">
        <f>SQRT(1+(A98/pole4)^2)</f>
        <v/>
      </c>
      <c r="N98" s="1057">
        <f>ATAN(A98/pole4)</f>
        <v/>
      </c>
      <c r="O98" s="1058">
        <f>IF(VOUT_setting=1,1,SQRT(1+(A98*zterm1)^2))</f>
        <v/>
      </c>
      <c r="P98" s="1059">
        <f>IF(VOUT_setting=1,0,ATAN(((A98*zterm1))))</f>
        <v/>
      </c>
      <c r="Q98" s="1056">
        <f>IF(VOUT_setting=1,1,SQRT((1+Afbr-$Q$5*(A98)^2)^2+(A98*$Q$4)^2))</f>
        <v/>
      </c>
      <c r="R98" s="1060">
        <f>IF(VOUT_setting=1,0,ATAN(A98*$Q$4/(1+Afbr-$Q$5*(A98)^2)))</f>
        <v/>
      </c>
      <c r="S98" s="1054">
        <f>SQRT((1-(Z98/pterm2))^2+(A98/pterm1)^2)</f>
        <v/>
      </c>
      <c r="T98" s="1055">
        <f>IF((ATAN((A98/pterm1)/(1-A98^2/pterm2))&gt;0),ATAN((A98/pterm1)/(1-A98^2/pterm2)),PI()+ATAN((A98/pterm1)/(1-A98^2/pterm2)))</f>
        <v/>
      </c>
      <c r="U98" s="331">
        <f>20*LOG10(((E98*K98*G98*O98)/(C98*I98*S98*M98*Q98))*Adc)</f>
        <v/>
      </c>
      <c r="V98" s="332">
        <f>((F98+L98+H98+P98)-(D98+J98+T98+N98+R98))*radconv</f>
        <v/>
      </c>
      <c r="W98" s="334">
        <f>IF(V98&gt;0,V98,V98+180)</f>
        <v/>
      </c>
      <c r="Y98" s="307">
        <f>IF(U98&lt;0,A98,1000000000)</f>
        <v/>
      </c>
      <c r="Z98" s="307">
        <f>A98^2</f>
        <v/>
      </c>
      <c r="AB98" s="333">
        <f>20*LOG10((K98/(I98*M98))*AEA)</f>
        <v/>
      </c>
      <c r="AC98" s="334">
        <f>(L98-(J98+N98))*radconv</f>
        <v/>
      </c>
      <c r="AE98" s="333">
        <f>20*LOG10((E98*G98/(C98*S98))*Acs*Am)</f>
        <v/>
      </c>
      <c r="AF98" s="334">
        <f>(F98+H98-(D98+T98))*radconv</f>
        <v/>
      </c>
      <c r="AH98">
        <f>SUM((U99&lt;0)*(U98&gt;0))*A98</f>
        <v/>
      </c>
      <c r="AI98">
        <f>IF(AH98&gt;0,W98,0)</f>
        <v/>
      </c>
    </row>
    <row r="99">
      <c r="A99" s="335" t="n">
        <v>2754.2</v>
      </c>
      <c r="B99" s="352">
        <f>A99/1000</f>
        <v/>
      </c>
      <c r="C99" s="1047">
        <f>SQRT(1+(A99/pole1)^2)</f>
        <v/>
      </c>
      <c r="D99" s="1048">
        <f>ATAN(A99/pole1)</f>
        <v/>
      </c>
      <c r="E99" s="1048">
        <f>SQRT(1+(A99/Zero1)^2)</f>
        <v/>
      </c>
      <c r="F99" s="1049">
        <f>ATAN(A99/Zero1)</f>
        <v/>
      </c>
      <c r="G99" s="1048">
        <f>IF(VIN_nom&gt;Vout, 1, SQRT(1+(A99/z_RHP)^2))</f>
        <v/>
      </c>
      <c r="H99" s="1049">
        <f>IF(VIN_nom&gt;Vout, 0, -ATAN(A99/z_RHP))</f>
        <v/>
      </c>
      <c r="I99" s="1047">
        <f>SQRT(1+(A99/Pole2)^2)</f>
        <v/>
      </c>
      <c r="J99" s="1050">
        <f>ATAN(A99/Pole2)</f>
        <v/>
      </c>
      <c r="K99" s="1056">
        <f>SQRT(1+(A99/Zero2)^2)</f>
        <v/>
      </c>
      <c r="L99" s="1057">
        <f>ATAN(A99/Zero2)</f>
        <v/>
      </c>
      <c r="M99" s="1047">
        <f>SQRT(1+(A99/pole4)^2)</f>
        <v/>
      </c>
      <c r="N99" s="1057">
        <f>ATAN(A99/pole4)</f>
        <v/>
      </c>
      <c r="O99" s="1058">
        <f>IF(VOUT_setting=1,1,SQRT(1+(A99*zterm1)^2))</f>
        <v/>
      </c>
      <c r="P99" s="1059">
        <f>IF(VOUT_setting=1,0,ATAN(((A99*zterm1))))</f>
        <v/>
      </c>
      <c r="Q99" s="1056">
        <f>IF(VOUT_setting=1,1,SQRT((1+Afbr-$Q$5*(A99)^2)^2+(A99*$Q$4)^2))</f>
        <v/>
      </c>
      <c r="R99" s="1060">
        <f>IF(VOUT_setting=1,0,ATAN(A99*$Q$4/(1+Afbr-$Q$5*(A99)^2)))</f>
        <v/>
      </c>
      <c r="S99" s="1054">
        <f>SQRT((1-(Z99/pterm2))^2+(A99/pterm1)^2)</f>
        <v/>
      </c>
      <c r="T99" s="1055">
        <f>IF((ATAN((A99/pterm1)/(1-A99^2/pterm2))&gt;0),ATAN((A99/pterm1)/(1-A99^2/pterm2)),PI()+ATAN((A99/pterm1)/(1-A99^2/pterm2)))</f>
        <v/>
      </c>
      <c r="U99" s="331">
        <f>20*LOG10(((E99*K99*G99*O99)/(C99*I99*S99*M99*Q99))*Adc)</f>
        <v/>
      </c>
      <c r="V99" s="332">
        <f>((F99+L99+H99+P99)-(D99+J99+T99+N99+R99))*radconv</f>
        <v/>
      </c>
      <c r="W99" s="334">
        <f>IF(V99&gt;0,V99,V99+180)</f>
        <v/>
      </c>
      <c r="Y99" s="307">
        <f>IF(U99&lt;0,A99,1000000000)</f>
        <v/>
      </c>
      <c r="Z99" s="307">
        <f>A99^2</f>
        <v/>
      </c>
      <c r="AB99" s="333">
        <f>20*LOG10((K99/(I99*M99))*AEA)</f>
        <v/>
      </c>
      <c r="AC99" s="334">
        <f>(L99-(J99+N99))*radconv</f>
        <v/>
      </c>
      <c r="AE99" s="333">
        <f>20*LOG10((E99*G99/(C99*S99))*Acs*Am)</f>
        <v/>
      </c>
      <c r="AF99" s="334">
        <f>(F99+H99-(D99+T99))*radconv</f>
        <v/>
      </c>
      <c r="AH99">
        <f>SUM((U100&lt;0)*(U99&gt;0))*A99</f>
        <v/>
      </c>
      <c r="AI99">
        <f>IF(AH99&gt;0,W99,0)</f>
        <v/>
      </c>
    </row>
    <row r="100">
      <c r="A100" s="335" t="n">
        <v>3020</v>
      </c>
      <c r="B100" s="352">
        <f>A100/1000</f>
        <v/>
      </c>
      <c r="C100" s="1047">
        <f>SQRT(1+(A100/pole1)^2)</f>
        <v/>
      </c>
      <c r="D100" s="1048">
        <f>ATAN(A100/pole1)</f>
        <v/>
      </c>
      <c r="E100" s="1048">
        <f>SQRT(1+(A100/Zero1)^2)</f>
        <v/>
      </c>
      <c r="F100" s="1049">
        <f>ATAN(A100/Zero1)</f>
        <v/>
      </c>
      <c r="G100" s="1048">
        <f>IF(VIN_nom&gt;Vout, 1, SQRT(1+(A100/z_RHP)^2))</f>
        <v/>
      </c>
      <c r="H100" s="1049">
        <f>IF(VIN_nom&gt;Vout, 0, -ATAN(A100/z_RHP))</f>
        <v/>
      </c>
      <c r="I100" s="1047">
        <f>SQRT(1+(A100/Pole2)^2)</f>
        <v/>
      </c>
      <c r="J100" s="1050">
        <f>ATAN(A100/Pole2)</f>
        <v/>
      </c>
      <c r="K100" s="1056">
        <f>SQRT(1+(A100/Zero2)^2)</f>
        <v/>
      </c>
      <c r="L100" s="1057">
        <f>ATAN(A100/Zero2)</f>
        <v/>
      </c>
      <c r="M100" s="1047">
        <f>SQRT(1+(A100/pole4)^2)</f>
        <v/>
      </c>
      <c r="N100" s="1057">
        <f>ATAN(A100/pole4)</f>
        <v/>
      </c>
      <c r="O100" s="1058">
        <f>IF(VOUT_setting=1,1,SQRT(1+(A100*zterm1)^2))</f>
        <v/>
      </c>
      <c r="P100" s="1059">
        <f>IF(VOUT_setting=1,0,ATAN(((A100*zterm1))))</f>
        <v/>
      </c>
      <c r="Q100" s="1056">
        <f>IF(VOUT_setting=1,1,SQRT((1+Afbr-$Q$5*(A100)^2)^2+(A100*$Q$4)^2))</f>
        <v/>
      </c>
      <c r="R100" s="1060">
        <f>IF(VOUT_setting=1,0,ATAN(A100*$Q$4/(1+Afbr-$Q$5*(A100)^2)))</f>
        <v/>
      </c>
      <c r="S100" s="1054">
        <f>SQRT((1-(Z100/pterm2))^2+(A100/pterm1)^2)</f>
        <v/>
      </c>
      <c r="T100" s="1055">
        <f>IF((ATAN((A100/pterm1)/(1-A100^2/pterm2))&gt;0),ATAN((A100/pterm1)/(1-A100^2/pterm2)),PI()+ATAN((A100/pterm1)/(1-A100^2/pterm2)))</f>
        <v/>
      </c>
      <c r="U100" s="331">
        <f>20*LOG10(((E100*K100*G100*O100)/(C100*I100*S100*M100*Q100))*Adc)</f>
        <v/>
      </c>
      <c r="V100" s="332">
        <f>((F100+L100+H100+P100)-(D100+J100+T100+N100+R100))*radconv</f>
        <v/>
      </c>
      <c r="W100" s="334">
        <f>IF(V100&gt;0,V100,V100+180)</f>
        <v/>
      </c>
      <c r="Y100" s="307">
        <f>IF(U100&lt;0,A100,1000000000)</f>
        <v/>
      </c>
      <c r="Z100" s="307">
        <f>A100^2</f>
        <v/>
      </c>
      <c r="AB100" s="333">
        <f>20*LOG10((K100/(I100*M100))*AEA)</f>
        <v/>
      </c>
      <c r="AC100" s="334">
        <f>(L100-(J100+N100))*radconv</f>
        <v/>
      </c>
      <c r="AE100" s="333">
        <f>20*LOG10((E100*G100/(C100*S100))*Acs*Am)</f>
        <v/>
      </c>
      <c r="AF100" s="334">
        <f>(F100+H100-(D100+T100))*radconv</f>
        <v/>
      </c>
      <c r="AH100">
        <f>SUM((U101&lt;0)*(U100&gt;0))*A100</f>
        <v/>
      </c>
      <c r="AI100">
        <f>IF(AH100&gt;0,W100,0)</f>
        <v/>
      </c>
    </row>
    <row r="101">
      <c r="A101" s="335" t="n">
        <v>3311.3</v>
      </c>
      <c r="B101" s="352">
        <f>A101/1000</f>
        <v/>
      </c>
      <c r="C101" s="1047">
        <f>SQRT(1+(A101/pole1)^2)</f>
        <v/>
      </c>
      <c r="D101" s="1048">
        <f>ATAN(A101/pole1)</f>
        <v/>
      </c>
      <c r="E101" s="1048">
        <f>SQRT(1+(A101/Zero1)^2)</f>
        <v/>
      </c>
      <c r="F101" s="1049">
        <f>ATAN(A101/Zero1)</f>
        <v/>
      </c>
      <c r="G101" s="1048">
        <f>IF(VIN_nom&gt;Vout, 1, SQRT(1+(A101/z_RHP)^2))</f>
        <v/>
      </c>
      <c r="H101" s="1049">
        <f>IF(VIN_nom&gt;Vout, 0, -ATAN(A101/z_RHP))</f>
        <v/>
      </c>
      <c r="I101" s="1047">
        <f>SQRT(1+(A101/Pole2)^2)</f>
        <v/>
      </c>
      <c r="J101" s="1050">
        <f>ATAN(A101/Pole2)</f>
        <v/>
      </c>
      <c r="K101" s="1056">
        <f>SQRT(1+(A101/Zero2)^2)</f>
        <v/>
      </c>
      <c r="L101" s="1057">
        <f>ATAN(A101/Zero2)</f>
        <v/>
      </c>
      <c r="M101" s="1047">
        <f>SQRT(1+(A101/pole4)^2)</f>
        <v/>
      </c>
      <c r="N101" s="1057">
        <f>ATAN(A101/pole4)</f>
        <v/>
      </c>
      <c r="O101" s="1058">
        <f>IF(VOUT_setting=1,1,SQRT(1+(A101*zterm1)^2))</f>
        <v/>
      </c>
      <c r="P101" s="1059">
        <f>IF(VOUT_setting=1,0,ATAN(((A101*zterm1))))</f>
        <v/>
      </c>
      <c r="Q101" s="1056">
        <f>IF(VOUT_setting=1,1,SQRT((1+Afbr-$Q$5*(A101)^2)^2+(A101*$Q$4)^2))</f>
        <v/>
      </c>
      <c r="R101" s="1060">
        <f>IF(VOUT_setting=1,0,ATAN(A101*$Q$4/(1+Afbr-$Q$5*(A101)^2)))</f>
        <v/>
      </c>
      <c r="S101" s="1054">
        <f>SQRT((1-(Z101/pterm2))^2+(A101/pterm1)^2)</f>
        <v/>
      </c>
      <c r="T101" s="1055">
        <f>IF((ATAN((A101/pterm1)/(1-A101^2/pterm2))&gt;0),ATAN((A101/pterm1)/(1-A101^2/pterm2)),PI()+ATAN((A101/pterm1)/(1-A101^2/pterm2)))</f>
        <v/>
      </c>
      <c r="U101" s="331">
        <f>20*LOG10(((E101*K101*G101*O101)/(C101*I101*S101*M101*Q101))*Adc)</f>
        <v/>
      </c>
      <c r="V101" s="332">
        <f>((F101+L101+H101+P101)-(D101+J101+T101+N101+R101))*radconv</f>
        <v/>
      </c>
      <c r="W101" s="334">
        <f>IF(V101&gt;0,V101,V101+180)</f>
        <v/>
      </c>
      <c r="Y101" s="307">
        <f>IF(U101&lt;0,A101,1000000000)</f>
        <v/>
      </c>
      <c r="Z101" s="307">
        <f>A101^2</f>
        <v/>
      </c>
      <c r="AB101" s="333">
        <f>20*LOG10((K101/(I101*M101))*AEA)</f>
        <v/>
      </c>
      <c r="AC101" s="334">
        <f>(L101-(J101+N101))*radconv</f>
        <v/>
      </c>
      <c r="AE101" s="333">
        <f>20*LOG10((E101*G101/(C101*S101))*Acs*Am)</f>
        <v/>
      </c>
      <c r="AF101" s="334">
        <f>(F101+H101-(D101+T101))*radconv</f>
        <v/>
      </c>
      <c r="AH101">
        <f>SUM((U102&lt;0)*(U101&gt;0))*A101</f>
        <v/>
      </c>
      <c r="AI101">
        <f>IF(AH101&gt;0,W101,0)</f>
        <v/>
      </c>
    </row>
    <row r="102">
      <c r="A102" s="335" t="n">
        <v>3630.8</v>
      </c>
      <c r="B102" s="352">
        <f>A102/1000</f>
        <v/>
      </c>
      <c r="C102" s="1047">
        <f>SQRT(1+(A102/pole1)^2)</f>
        <v/>
      </c>
      <c r="D102" s="1048">
        <f>ATAN(A102/pole1)</f>
        <v/>
      </c>
      <c r="E102" s="1048">
        <f>SQRT(1+(A102/Zero1)^2)</f>
        <v/>
      </c>
      <c r="F102" s="1049">
        <f>ATAN(A102/Zero1)</f>
        <v/>
      </c>
      <c r="G102" s="1048">
        <f>IF(VIN_nom&gt;Vout, 1, SQRT(1+(A102/z_RHP)^2))</f>
        <v/>
      </c>
      <c r="H102" s="1049">
        <f>IF(VIN_nom&gt;Vout, 0, -ATAN(A102/z_RHP))</f>
        <v/>
      </c>
      <c r="I102" s="1047">
        <f>SQRT(1+(A102/Pole2)^2)</f>
        <v/>
      </c>
      <c r="J102" s="1050">
        <f>ATAN(A102/Pole2)</f>
        <v/>
      </c>
      <c r="K102" s="1056">
        <f>SQRT(1+(A102/Zero2)^2)</f>
        <v/>
      </c>
      <c r="L102" s="1057">
        <f>ATAN(A102/Zero2)</f>
        <v/>
      </c>
      <c r="M102" s="1047">
        <f>SQRT(1+(A102/pole4)^2)</f>
        <v/>
      </c>
      <c r="N102" s="1057">
        <f>ATAN(A102/pole4)</f>
        <v/>
      </c>
      <c r="O102" s="1058">
        <f>IF(VOUT_setting=1,1,SQRT(1+(A102*zterm1)^2))</f>
        <v/>
      </c>
      <c r="P102" s="1059">
        <f>IF(VOUT_setting=1,0,ATAN(((A102*zterm1))))</f>
        <v/>
      </c>
      <c r="Q102" s="1056">
        <f>IF(VOUT_setting=1,1,SQRT((1+Afbr-$Q$5*(A102)^2)^2+(A102*$Q$4)^2))</f>
        <v/>
      </c>
      <c r="R102" s="1060">
        <f>IF(VOUT_setting=1,0,ATAN(A102*$Q$4/(1+Afbr-$Q$5*(A102)^2)))</f>
        <v/>
      </c>
      <c r="S102" s="1054">
        <f>SQRT((1-(Z102/pterm2))^2+(A102/pterm1)^2)</f>
        <v/>
      </c>
      <c r="T102" s="1055">
        <f>IF((ATAN((A102/pterm1)/(1-A102^2/pterm2))&gt;0),ATAN((A102/pterm1)/(1-A102^2/pterm2)),PI()+ATAN((A102/pterm1)/(1-A102^2/pterm2)))</f>
        <v/>
      </c>
      <c r="U102" s="331">
        <f>20*LOG10(((E102*K102*G102*O102)/(C102*I102*S102*M102*Q102))*Adc)</f>
        <v/>
      </c>
      <c r="V102" s="332">
        <f>((F102+L102+H102+P102)-(D102+J102+T102+N102+R102))*radconv</f>
        <v/>
      </c>
      <c r="W102" s="334">
        <f>IF(V102&gt;0,V102,V102+180)</f>
        <v/>
      </c>
      <c r="Y102" s="307">
        <f>IF(U102&lt;0,A102,1000000000)</f>
        <v/>
      </c>
      <c r="Z102" s="307">
        <f>A102^2</f>
        <v/>
      </c>
      <c r="AB102" s="333">
        <f>20*LOG10((K102/(I102*M102))*AEA)</f>
        <v/>
      </c>
      <c r="AC102" s="334">
        <f>(L102-(J102+N102))*radconv</f>
        <v/>
      </c>
      <c r="AE102" s="333">
        <f>20*LOG10((E102*G102/(C102*S102))*Acs*Am)</f>
        <v/>
      </c>
      <c r="AF102" s="334">
        <f>(F102+H102-(D102+T102))*radconv</f>
        <v/>
      </c>
      <c r="AH102">
        <f>SUM((U103&lt;0)*(U102&gt;0))*A102</f>
        <v/>
      </c>
      <c r="AI102">
        <f>IF(AH102&gt;0,W102,0)</f>
        <v/>
      </c>
    </row>
    <row r="103">
      <c r="A103" s="335" t="n">
        <v>3981.1</v>
      </c>
      <c r="B103" s="352">
        <f>A103/1000</f>
        <v/>
      </c>
      <c r="C103" s="1047">
        <f>SQRT(1+(A103/pole1)^2)</f>
        <v/>
      </c>
      <c r="D103" s="1048">
        <f>ATAN(A103/pole1)</f>
        <v/>
      </c>
      <c r="E103" s="1048">
        <f>SQRT(1+(A103/Zero1)^2)</f>
        <v/>
      </c>
      <c r="F103" s="1049">
        <f>ATAN(A103/Zero1)</f>
        <v/>
      </c>
      <c r="G103" s="1048">
        <f>IF(VIN_nom&gt;Vout, 1, SQRT(1+(A103/z_RHP)^2))</f>
        <v/>
      </c>
      <c r="H103" s="1049">
        <f>IF(VIN_nom&gt;Vout, 0, -ATAN(A103/z_RHP))</f>
        <v/>
      </c>
      <c r="I103" s="1047">
        <f>SQRT(1+(A103/Pole2)^2)</f>
        <v/>
      </c>
      <c r="J103" s="1050">
        <f>ATAN(A103/Pole2)</f>
        <v/>
      </c>
      <c r="K103" s="1056">
        <f>SQRT(1+(A103/Zero2)^2)</f>
        <v/>
      </c>
      <c r="L103" s="1057">
        <f>ATAN(A103/Zero2)</f>
        <v/>
      </c>
      <c r="M103" s="1047">
        <f>SQRT(1+(A103/pole4)^2)</f>
        <v/>
      </c>
      <c r="N103" s="1057">
        <f>ATAN(A103/pole4)</f>
        <v/>
      </c>
      <c r="O103" s="1058">
        <f>IF(VOUT_setting=1,1,SQRT(1+(A103*zterm1)^2))</f>
        <v/>
      </c>
      <c r="P103" s="1059">
        <f>IF(VOUT_setting=1,0,ATAN(((A103*zterm1))))</f>
        <v/>
      </c>
      <c r="Q103" s="1056">
        <f>IF(VOUT_setting=1,1,SQRT((1+Afbr-$Q$5*(A103)^2)^2+(A103*$Q$4)^2))</f>
        <v/>
      </c>
      <c r="R103" s="1060">
        <f>IF(VOUT_setting=1,0,ATAN(A103*$Q$4/(1+Afbr-$Q$5*(A103)^2)))</f>
        <v/>
      </c>
      <c r="S103" s="1054">
        <f>SQRT((1-(Z103/pterm2))^2+(A103/pterm1)^2)</f>
        <v/>
      </c>
      <c r="T103" s="1055">
        <f>IF((ATAN((A103/pterm1)/(1-A103^2/pterm2))&gt;0),ATAN((A103/pterm1)/(1-A103^2/pterm2)),PI()+ATAN((A103/pterm1)/(1-A103^2/pterm2)))</f>
        <v/>
      </c>
      <c r="U103" s="331">
        <f>20*LOG10(((E103*K103*G103*O103)/(C103*I103*S103*M103*Q103))*Adc)</f>
        <v/>
      </c>
      <c r="V103" s="332">
        <f>((F103+L103+H103+P103)-(D103+J103+T103+N103+R103))*radconv</f>
        <v/>
      </c>
      <c r="W103" s="334">
        <f>IF(V103&gt;0,V103,V103+180)</f>
        <v/>
      </c>
      <c r="Y103" s="307">
        <f>IF(U103&lt;0,A103,1000000000)</f>
        <v/>
      </c>
      <c r="Z103" s="307">
        <f>A103^2</f>
        <v/>
      </c>
      <c r="AB103" s="333">
        <f>20*LOG10((K103/(I103*M103))*AEA)</f>
        <v/>
      </c>
      <c r="AC103" s="334">
        <f>(L103-(J103+N103))*radconv</f>
        <v/>
      </c>
      <c r="AE103" s="333">
        <f>20*LOG10((E103*G103/(C103*S103))*Acs*Am)</f>
        <v/>
      </c>
      <c r="AF103" s="334">
        <f>(F103+H103-(D103+T103))*radconv</f>
        <v/>
      </c>
      <c r="AH103">
        <f>SUM((U104&lt;0)*(U103&gt;0))*A103</f>
        <v/>
      </c>
      <c r="AI103">
        <f>IF(AH103&gt;0,W103,0)</f>
        <v/>
      </c>
    </row>
    <row r="104">
      <c r="A104" s="335" t="n">
        <v>4365.2</v>
      </c>
      <c r="B104" s="352">
        <f>A104/1000</f>
        <v/>
      </c>
      <c r="C104" s="1047">
        <f>SQRT(1+(A104/pole1)^2)</f>
        <v/>
      </c>
      <c r="D104" s="1048">
        <f>ATAN(A104/pole1)</f>
        <v/>
      </c>
      <c r="E104" s="1048">
        <f>SQRT(1+(A104/Zero1)^2)</f>
        <v/>
      </c>
      <c r="F104" s="1049">
        <f>ATAN(A104/Zero1)</f>
        <v/>
      </c>
      <c r="G104" s="1048">
        <f>IF(VIN_nom&gt;Vout, 1, SQRT(1+(A104/z_RHP)^2))</f>
        <v/>
      </c>
      <c r="H104" s="1049">
        <f>IF(VIN_nom&gt;Vout, 0, -ATAN(A104/z_RHP))</f>
        <v/>
      </c>
      <c r="I104" s="1047">
        <f>SQRT(1+(A104/Pole2)^2)</f>
        <v/>
      </c>
      <c r="J104" s="1050">
        <f>ATAN(A104/Pole2)</f>
        <v/>
      </c>
      <c r="K104" s="1056">
        <f>SQRT(1+(A104/Zero2)^2)</f>
        <v/>
      </c>
      <c r="L104" s="1057">
        <f>ATAN(A104/Zero2)</f>
        <v/>
      </c>
      <c r="M104" s="1047">
        <f>SQRT(1+(A104/pole4)^2)</f>
        <v/>
      </c>
      <c r="N104" s="1057">
        <f>ATAN(A104/pole4)</f>
        <v/>
      </c>
      <c r="O104" s="1058">
        <f>IF(VOUT_setting=1,1,SQRT(1+(A104*zterm1)^2))</f>
        <v/>
      </c>
      <c r="P104" s="1059">
        <f>IF(VOUT_setting=1,0,ATAN(((A104*zterm1))))</f>
        <v/>
      </c>
      <c r="Q104" s="1056">
        <f>IF(VOUT_setting=1,1,SQRT((1+Afbr-$Q$5*(A104)^2)^2+(A104*$Q$4)^2))</f>
        <v/>
      </c>
      <c r="R104" s="1060">
        <f>IF(VOUT_setting=1,0,ATAN(A104*$Q$4/(1+Afbr-$Q$5*(A104)^2)))</f>
        <v/>
      </c>
      <c r="S104" s="1054">
        <f>SQRT((1-(Z104/pterm2))^2+(A104/pterm1)^2)</f>
        <v/>
      </c>
      <c r="T104" s="1055">
        <f>IF((ATAN((A104/pterm1)/(1-A104^2/pterm2))&gt;0),ATAN((A104/pterm1)/(1-A104^2/pterm2)),PI()+ATAN((A104/pterm1)/(1-A104^2/pterm2)))</f>
        <v/>
      </c>
      <c r="U104" s="331">
        <f>20*LOG10(((E104*K104*G104*O104)/(C104*I104*S104*M104*Q104))*Adc)</f>
        <v/>
      </c>
      <c r="V104" s="332">
        <f>((F104+L104+H104+P104)-(D104+J104+T104+N104+R104))*radconv</f>
        <v/>
      </c>
      <c r="W104" s="334">
        <f>IF(V104&gt;0,V104,V104+180)</f>
        <v/>
      </c>
      <c r="Y104" s="307">
        <f>IF(U104&lt;0,A104,1000000000)</f>
        <v/>
      </c>
      <c r="Z104" s="307">
        <f>A104^2</f>
        <v/>
      </c>
      <c r="AB104" s="333">
        <f>20*LOG10((K104/(I104*M104))*AEA)</f>
        <v/>
      </c>
      <c r="AC104" s="334">
        <f>(L104-(J104+N104))*radconv</f>
        <v/>
      </c>
      <c r="AE104" s="333">
        <f>20*LOG10((E104*G104/(C104*S104))*Acs*Am)</f>
        <v/>
      </c>
      <c r="AF104" s="334">
        <f>(F104+H104-(D104+T104))*radconv</f>
        <v/>
      </c>
      <c r="AH104">
        <f>SUM((U105&lt;0)*(U104&gt;0))*A104</f>
        <v/>
      </c>
      <c r="AI104">
        <f>IF(AH104&gt;0,W104,0)</f>
        <v/>
      </c>
    </row>
    <row r="105">
      <c r="A105" s="335" t="n">
        <v>4786.3</v>
      </c>
      <c r="B105" s="352">
        <f>A105/1000</f>
        <v/>
      </c>
      <c r="C105" s="1047">
        <f>SQRT(1+(A105/pole1)^2)</f>
        <v/>
      </c>
      <c r="D105" s="1048">
        <f>ATAN(A105/pole1)</f>
        <v/>
      </c>
      <c r="E105" s="1048">
        <f>SQRT(1+(A105/Zero1)^2)</f>
        <v/>
      </c>
      <c r="F105" s="1049">
        <f>ATAN(A105/Zero1)</f>
        <v/>
      </c>
      <c r="G105" s="1048">
        <f>IF(VIN_nom&gt;Vout, 1, SQRT(1+(A105/z_RHP)^2))</f>
        <v/>
      </c>
      <c r="H105" s="1049">
        <f>IF(VIN_nom&gt;Vout, 0, -ATAN(A105/z_RHP))</f>
        <v/>
      </c>
      <c r="I105" s="1047">
        <f>SQRT(1+(A105/Pole2)^2)</f>
        <v/>
      </c>
      <c r="J105" s="1050">
        <f>ATAN(A105/Pole2)</f>
        <v/>
      </c>
      <c r="K105" s="1056">
        <f>SQRT(1+(A105/Zero2)^2)</f>
        <v/>
      </c>
      <c r="L105" s="1057">
        <f>ATAN(A105/Zero2)</f>
        <v/>
      </c>
      <c r="M105" s="1047">
        <f>SQRT(1+(A105/pole4)^2)</f>
        <v/>
      </c>
      <c r="N105" s="1057">
        <f>ATAN(A105/pole4)</f>
        <v/>
      </c>
      <c r="O105" s="1058">
        <f>IF(VOUT_setting=1,1,SQRT(1+(A105*zterm1)^2))</f>
        <v/>
      </c>
      <c r="P105" s="1059">
        <f>IF(VOUT_setting=1,0,ATAN(((A105*zterm1))))</f>
        <v/>
      </c>
      <c r="Q105" s="1056">
        <f>IF(VOUT_setting=1,1,SQRT((1+Afbr-$Q$5*(A105)^2)^2+(A105*$Q$4)^2))</f>
        <v/>
      </c>
      <c r="R105" s="1060">
        <f>IF(VOUT_setting=1,0,ATAN(A105*$Q$4/(1+Afbr-$Q$5*(A105)^2)))</f>
        <v/>
      </c>
      <c r="S105" s="1054">
        <f>SQRT((1-(Z105/pterm2))^2+(A105/pterm1)^2)</f>
        <v/>
      </c>
      <c r="T105" s="1055">
        <f>IF((ATAN((A105/pterm1)/(1-A105^2/pterm2))&gt;0),ATAN((A105/pterm1)/(1-A105^2/pterm2)),PI()+ATAN((A105/pterm1)/(1-A105^2/pterm2)))</f>
        <v/>
      </c>
      <c r="U105" s="331">
        <f>20*LOG10(((E105*K105*G105*O105)/(C105*I105*S105*M105*Q105))*Adc)</f>
        <v/>
      </c>
      <c r="V105" s="332">
        <f>((F105+L105+H105+P105)-(D105+J105+T105+N105+R105))*radconv</f>
        <v/>
      </c>
      <c r="W105" s="334">
        <f>IF(V105&gt;0,V105,V105+180)</f>
        <v/>
      </c>
      <c r="Y105" s="307">
        <f>IF(U105&lt;0,A105,1000000000)</f>
        <v/>
      </c>
      <c r="Z105" s="307">
        <f>A105^2</f>
        <v/>
      </c>
      <c r="AB105" s="333">
        <f>20*LOG10((K105/(I105*M105))*AEA)</f>
        <v/>
      </c>
      <c r="AC105" s="334">
        <f>(L105-(J105+N105))*radconv</f>
        <v/>
      </c>
      <c r="AE105" s="333">
        <f>20*LOG10((E105*G105/(C105*S105))*Acs*Am)</f>
        <v/>
      </c>
      <c r="AF105" s="334">
        <f>(F105+H105-(D105+T105))*radconv</f>
        <v/>
      </c>
      <c r="AH105">
        <f>SUM((U106&lt;0)*(U105&gt;0))*A105</f>
        <v/>
      </c>
      <c r="AI105">
        <f>IF(AH105&gt;0,W105,0)</f>
        <v/>
      </c>
    </row>
    <row r="106">
      <c r="A106" s="335" t="n">
        <v>5248.1</v>
      </c>
      <c r="B106" s="352">
        <f>A106/1000</f>
        <v/>
      </c>
      <c r="C106" s="1047">
        <f>SQRT(1+(A106/pole1)^2)</f>
        <v/>
      </c>
      <c r="D106" s="1048">
        <f>ATAN(A106/pole1)</f>
        <v/>
      </c>
      <c r="E106" s="1048">
        <f>SQRT(1+(A106/Zero1)^2)</f>
        <v/>
      </c>
      <c r="F106" s="1049">
        <f>ATAN(A106/Zero1)</f>
        <v/>
      </c>
      <c r="G106" s="1048">
        <f>IF(VIN_nom&gt;Vout, 1, SQRT(1+(A106/z_RHP)^2))</f>
        <v/>
      </c>
      <c r="H106" s="1049">
        <f>IF(VIN_nom&gt;Vout, 0, -ATAN(A106/z_RHP))</f>
        <v/>
      </c>
      <c r="I106" s="1047">
        <f>SQRT(1+(A106/Pole2)^2)</f>
        <v/>
      </c>
      <c r="J106" s="1050">
        <f>ATAN(A106/Pole2)</f>
        <v/>
      </c>
      <c r="K106" s="1056">
        <f>SQRT(1+(A106/Zero2)^2)</f>
        <v/>
      </c>
      <c r="L106" s="1057">
        <f>ATAN(A106/Zero2)</f>
        <v/>
      </c>
      <c r="M106" s="1047">
        <f>SQRT(1+(A106/pole4)^2)</f>
        <v/>
      </c>
      <c r="N106" s="1057">
        <f>ATAN(A106/pole4)</f>
        <v/>
      </c>
      <c r="O106" s="1058">
        <f>IF(VOUT_setting=1,1,SQRT(1+(A106*zterm1)^2))</f>
        <v/>
      </c>
      <c r="P106" s="1059">
        <f>IF(VOUT_setting=1,0,ATAN(((A106*zterm1))))</f>
        <v/>
      </c>
      <c r="Q106" s="1056">
        <f>IF(VOUT_setting=1,1,SQRT((1+Afbr-$Q$5*(A106)^2)^2+(A106*$Q$4)^2))</f>
        <v/>
      </c>
      <c r="R106" s="1060">
        <f>IF(VOUT_setting=1,0,ATAN(A106*$Q$4/(1+Afbr-$Q$5*(A106)^2)))</f>
        <v/>
      </c>
      <c r="S106" s="1054">
        <f>SQRT((1-(Z106/pterm2))^2+(A106/pterm1)^2)</f>
        <v/>
      </c>
      <c r="T106" s="1055">
        <f>IF((ATAN((A106/pterm1)/(1-A106^2/pterm2))&gt;0),ATAN((A106/pterm1)/(1-A106^2/pterm2)),PI()+ATAN((A106/pterm1)/(1-A106^2/pterm2)))</f>
        <v/>
      </c>
      <c r="U106" s="331">
        <f>20*LOG10(((E106*K106*G106*O106)/(C106*I106*S106*M106*Q106))*Adc)</f>
        <v/>
      </c>
      <c r="V106" s="332">
        <f>((F106+L106+H106+P106)-(D106+J106+T106+N106+R106))*radconv</f>
        <v/>
      </c>
      <c r="W106" s="334">
        <f>IF(V106&gt;0,V106,V106+180)</f>
        <v/>
      </c>
      <c r="Y106" s="307">
        <f>IF(U106&lt;0,A106,1000000000)</f>
        <v/>
      </c>
      <c r="Z106" s="307">
        <f>A106^2</f>
        <v/>
      </c>
      <c r="AB106" s="333">
        <f>20*LOG10((K106/(I106*M106))*AEA)</f>
        <v/>
      </c>
      <c r="AC106" s="334">
        <f>(L106-(J106+N106))*radconv</f>
        <v/>
      </c>
      <c r="AE106" s="333">
        <f>20*LOG10((E106*G106/(C106*S106))*Acs*Am)</f>
        <v/>
      </c>
      <c r="AF106" s="334">
        <f>(F106+H106-(D106+T106))*radconv</f>
        <v/>
      </c>
      <c r="AH106">
        <f>SUM((U107&lt;0)*(U106&gt;0))*A106</f>
        <v/>
      </c>
      <c r="AI106">
        <f>IF(AH106&gt;0,W106,0)</f>
        <v/>
      </c>
    </row>
    <row r="107">
      <c r="A107" s="335" t="n">
        <v>5370.3</v>
      </c>
      <c r="B107" s="352">
        <f>A107/1000</f>
        <v/>
      </c>
      <c r="C107" s="1047">
        <f>SQRT(1+(A107/pole1)^2)</f>
        <v/>
      </c>
      <c r="D107" s="1048">
        <f>ATAN(A107/pole1)</f>
        <v/>
      </c>
      <c r="E107" s="1048">
        <f>SQRT(1+(A107/Zero1)^2)</f>
        <v/>
      </c>
      <c r="F107" s="1049">
        <f>ATAN(A107/Zero1)</f>
        <v/>
      </c>
      <c r="G107" s="1048">
        <f>IF(VIN_nom&gt;Vout, 1, SQRT(1+(A107/z_RHP)^2))</f>
        <v/>
      </c>
      <c r="H107" s="1049">
        <f>IF(VIN_nom&gt;Vout, 0, -ATAN(A107/z_RHP))</f>
        <v/>
      </c>
      <c r="I107" s="1047">
        <f>SQRT(1+(A107/Pole2)^2)</f>
        <v/>
      </c>
      <c r="J107" s="1050">
        <f>ATAN(A107/Pole2)</f>
        <v/>
      </c>
      <c r="K107" s="1056">
        <f>SQRT(1+(A107/Zero2)^2)</f>
        <v/>
      </c>
      <c r="L107" s="1057">
        <f>ATAN(A107/Zero2)</f>
        <v/>
      </c>
      <c r="M107" s="1047">
        <f>SQRT(1+(A107/pole4)^2)</f>
        <v/>
      </c>
      <c r="N107" s="1057">
        <f>ATAN(A107/pole4)</f>
        <v/>
      </c>
      <c r="O107" s="1058">
        <f>IF(VOUT_setting=1,1,SQRT(1+(A107*zterm1)^2))</f>
        <v/>
      </c>
      <c r="P107" s="1059">
        <f>IF(VOUT_setting=1,0,ATAN(((A107*zterm1))))</f>
        <v/>
      </c>
      <c r="Q107" s="1056">
        <f>IF(VOUT_setting=1,1,SQRT((1+Afbr-$Q$5*(A107)^2)^2+(A107*$Q$4)^2))</f>
        <v/>
      </c>
      <c r="R107" s="1060">
        <f>IF(VOUT_setting=1,0,ATAN(A107*$Q$4/(1+Afbr-$Q$5*(A107)^2)))</f>
        <v/>
      </c>
      <c r="S107" s="1054">
        <f>SQRT((1-(Z107/pterm2))^2+(A107/pterm1)^2)</f>
        <v/>
      </c>
      <c r="T107" s="1055">
        <f>IF((ATAN((A107/pterm1)/(1-A107^2/pterm2))&gt;0),ATAN((A107/pterm1)/(1-A107^2/pterm2)),PI()+ATAN((A107/pterm1)/(1-A107^2/pterm2)))</f>
        <v/>
      </c>
      <c r="U107" s="331">
        <f>20*LOG10(((E107*K107*G107*O107)/(C107*I107*S107*M107*Q107))*Adc)</f>
        <v/>
      </c>
      <c r="V107" s="332">
        <f>((F107+L107+H107+P107)-(D107+J107+T107+N107+R107))*radconv</f>
        <v/>
      </c>
      <c r="W107" s="334">
        <f>IF(V107&gt;0,V107,V107+180)</f>
        <v/>
      </c>
      <c r="Y107" s="307">
        <f>IF(U107&lt;0,A107,1000000000)</f>
        <v/>
      </c>
      <c r="Z107" s="307">
        <f>A107^2</f>
        <v/>
      </c>
      <c r="AB107" s="333">
        <f>20*LOG10((K107/(I107*M107))*AEA)</f>
        <v/>
      </c>
      <c r="AC107" s="334">
        <f>(L107-(J107+N107))*radconv</f>
        <v/>
      </c>
      <c r="AE107" s="333">
        <f>20*LOG10((E107*G107/(C107*S107))*Acs*Am)</f>
        <v/>
      </c>
      <c r="AF107" s="334">
        <f>(F107+H107-(D107+T107))*radconv</f>
        <v/>
      </c>
      <c r="AH107">
        <f>SUM((U108&lt;0)*(U107&gt;0))*A107</f>
        <v/>
      </c>
      <c r="AI107">
        <f>IF(AH107&gt;0,W107,0)</f>
        <v/>
      </c>
    </row>
    <row r="108">
      <c r="A108" s="335" t="n">
        <v>5432.85</v>
      </c>
      <c r="B108" s="352">
        <f>A108/1000</f>
        <v/>
      </c>
      <c r="C108" s="1047">
        <f>SQRT(1+(A108/pole1)^2)</f>
        <v/>
      </c>
      <c r="D108" s="1048">
        <f>ATAN(A108/pole1)</f>
        <v/>
      </c>
      <c r="E108" s="1048">
        <f>SQRT(1+(A108/Zero1)^2)</f>
        <v/>
      </c>
      <c r="F108" s="1049">
        <f>ATAN(A108/Zero1)</f>
        <v/>
      </c>
      <c r="G108" s="1048">
        <f>IF(VIN_nom&gt;Vout, 1, SQRT(1+(A108/z_RHP)^2))</f>
        <v/>
      </c>
      <c r="H108" s="1049">
        <f>IF(VIN_nom&gt;Vout, 0, -ATAN(A108/z_RHP))</f>
        <v/>
      </c>
      <c r="I108" s="1047">
        <f>SQRT(1+(A108/Pole2)^2)</f>
        <v/>
      </c>
      <c r="J108" s="1050">
        <f>ATAN(A108/Pole2)</f>
        <v/>
      </c>
      <c r="K108" s="1056">
        <f>SQRT(1+(A108/Zero2)^2)</f>
        <v/>
      </c>
      <c r="L108" s="1057">
        <f>ATAN(A108/Zero2)</f>
        <v/>
      </c>
      <c r="M108" s="1047">
        <f>SQRT(1+(A108/pole4)^2)</f>
        <v/>
      </c>
      <c r="N108" s="1057">
        <f>ATAN(A108/pole4)</f>
        <v/>
      </c>
      <c r="O108" s="1058">
        <f>IF(VOUT_setting=1,1,SQRT(1+(A108*zterm1)^2))</f>
        <v/>
      </c>
      <c r="P108" s="1059">
        <f>IF(VOUT_setting=1,0,ATAN(((A108*zterm1))))</f>
        <v/>
      </c>
      <c r="Q108" s="1056">
        <f>IF(VOUT_setting=1,1,SQRT((1+Afbr-$Q$5*(A108)^2)^2+(A108*$Q$4)^2))</f>
        <v/>
      </c>
      <c r="R108" s="1060">
        <f>IF(VOUT_setting=1,0,ATAN(A108*$Q$4/(1+Afbr-$Q$5*(A108)^2)))</f>
        <v/>
      </c>
      <c r="S108" s="1054">
        <f>SQRT((1-(Z108/pterm2))^2+(A108/pterm1)^2)</f>
        <v/>
      </c>
      <c r="T108" s="1055">
        <f>IF((ATAN((A108/pterm1)/(1-A108^2/pterm2))&gt;0),ATAN((A108/pterm1)/(1-A108^2/pterm2)),PI()+ATAN((A108/pterm1)/(1-A108^2/pterm2)))</f>
        <v/>
      </c>
      <c r="U108" s="331">
        <f>20*LOG10(((E108*K108*G108*O108)/(C108*I108*S108*M108*Q108))*Adc)</f>
        <v/>
      </c>
      <c r="V108" s="332">
        <f>((F108+L108+H108+P108)-(D108+J108+T108+N108+R108))*radconv</f>
        <v/>
      </c>
      <c r="W108" s="334">
        <f>IF(V108&gt;0,V108,V108+180)</f>
        <v/>
      </c>
      <c r="Y108" s="307">
        <f>IF(U108&lt;0,A108,1000000000)</f>
        <v/>
      </c>
      <c r="Z108" s="307">
        <f>A108^2</f>
        <v/>
      </c>
      <c r="AB108" s="333">
        <f>20*LOG10((K108/(I108*M108))*AEA)</f>
        <v/>
      </c>
      <c r="AC108" s="334">
        <f>(L108-(J108+N108))*radconv</f>
        <v/>
      </c>
      <c r="AE108" s="333">
        <f>20*LOG10((E108*G108/(C108*S108))*Acs*Am)</f>
        <v/>
      </c>
      <c r="AF108" s="334">
        <f>(F108+H108-(D108+T108))*radconv</f>
        <v/>
      </c>
      <c r="AH108">
        <f>SUM((U109&lt;0)*(U108&gt;0))*A108</f>
        <v/>
      </c>
      <c r="AI108">
        <f>IF(AH108&gt;0,W108,0)</f>
        <v/>
      </c>
    </row>
    <row r="109">
      <c r="A109" s="335" t="n">
        <v>5495.4</v>
      </c>
      <c r="B109" s="352">
        <f>A109/1000</f>
        <v/>
      </c>
      <c r="C109" s="1047">
        <f>SQRT(1+(A109/pole1)^2)</f>
        <v/>
      </c>
      <c r="D109" s="1048">
        <f>ATAN(A109/pole1)</f>
        <v/>
      </c>
      <c r="E109" s="1048">
        <f>SQRT(1+(A109/Zero1)^2)</f>
        <v/>
      </c>
      <c r="F109" s="1049">
        <f>ATAN(A109/Zero1)</f>
        <v/>
      </c>
      <c r="G109" s="1048">
        <f>IF(VIN_nom&gt;Vout, 1, SQRT(1+(A109/z_RHP)^2))</f>
        <v/>
      </c>
      <c r="H109" s="1049">
        <f>IF(VIN_nom&gt;Vout, 0, -ATAN(A109/z_RHP))</f>
        <v/>
      </c>
      <c r="I109" s="1047">
        <f>SQRT(1+(A109/Pole2)^2)</f>
        <v/>
      </c>
      <c r="J109" s="1050">
        <f>ATAN(A109/Pole2)</f>
        <v/>
      </c>
      <c r="K109" s="1056">
        <f>SQRT(1+(A109/Zero2)^2)</f>
        <v/>
      </c>
      <c r="L109" s="1057">
        <f>ATAN(A109/Zero2)</f>
        <v/>
      </c>
      <c r="M109" s="1047">
        <f>SQRT(1+(A109/pole4)^2)</f>
        <v/>
      </c>
      <c r="N109" s="1057">
        <f>ATAN(A109/pole4)</f>
        <v/>
      </c>
      <c r="O109" s="1058">
        <f>IF(VOUT_setting=1,1,SQRT(1+(A109*zterm1)^2))</f>
        <v/>
      </c>
      <c r="P109" s="1059">
        <f>IF(VOUT_setting=1,0,ATAN(((A109*zterm1))))</f>
        <v/>
      </c>
      <c r="Q109" s="1056">
        <f>IF(VOUT_setting=1,1,SQRT((1+Afbr-$Q$5*(A109)^2)^2+(A109*$Q$4)^2))</f>
        <v/>
      </c>
      <c r="R109" s="1060">
        <f>IF(VOUT_setting=1,0,ATAN(A109*$Q$4/(1+Afbr-$Q$5*(A109)^2)))</f>
        <v/>
      </c>
      <c r="S109" s="1054">
        <f>SQRT((1-(Z109/pterm2))^2+(A109/pterm1)^2)</f>
        <v/>
      </c>
      <c r="T109" s="1055">
        <f>IF((ATAN((A109/pterm1)/(1-A109^2/pterm2))&gt;0),ATAN((A109/pterm1)/(1-A109^2/pterm2)),PI()+ATAN((A109/pterm1)/(1-A109^2/pterm2)))</f>
        <v/>
      </c>
      <c r="U109" s="331">
        <f>20*LOG10(((E109*K109*G109*O109)/(C109*I109*S109*M109*Q109))*Adc)</f>
        <v/>
      </c>
      <c r="V109" s="332">
        <f>((F109+L109+H109+P109)-(D109+J109+T109+N109+R109))*radconv</f>
        <v/>
      </c>
      <c r="W109" s="334">
        <f>IF(V109&gt;0,V109,V109+180)</f>
        <v/>
      </c>
      <c r="Y109" s="307">
        <f>IF(U109&lt;0,A109,1000000000)</f>
        <v/>
      </c>
      <c r="Z109" s="307">
        <f>A109^2</f>
        <v/>
      </c>
      <c r="AB109" s="333">
        <f>20*LOG10((K109/(I109*M109))*AEA)</f>
        <v/>
      </c>
      <c r="AC109" s="334">
        <f>(L109-(J109+N109))*radconv</f>
        <v/>
      </c>
      <c r="AE109" s="333">
        <f>20*LOG10((E109*G109/(C109*S109))*Acs*Am)</f>
        <v/>
      </c>
      <c r="AF109" s="334">
        <f>(F109+H109-(D109+T109))*radconv</f>
        <v/>
      </c>
      <c r="AH109">
        <f>SUM((U110&lt;0)*(U109&gt;0))*A109</f>
        <v/>
      </c>
      <c r="AI109">
        <f>IF(AH109&gt;0,W109,0)</f>
        <v/>
      </c>
    </row>
    <row r="110">
      <c r="A110" s="335" t="n">
        <v>5559.4</v>
      </c>
      <c r="B110" s="352">
        <f>A110/1000</f>
        <v/>
      </c>
      <c r="C110" s="1047">
        <f>SQRT(1+(A110/pole1)^2)</f>
        <v/>
      </c>
      <c r="D110" s="1048">
        <f>ATAN(A110/pole1)</f>
        <v/>
      </c>
      <c r="E110" s="1048">
        <f>SQRT(1+(A110/Zero1)^2)</f>
        <v/>
      </c>
      <c r="F110" s="1049">
        <f>ATAN(A110/Zero1)</f>
        <v/>
      </c>
      <c r="G110" s="1048">
        <f>IF(VIN_nom&gt;Vout, 1, SQRT(1+(A110/z_RHP)^2))</f>
        <v/>
      </c>
      <c r="H110" s="1049">
        <f>IF(VIN_nom&gt;Vout, 0, -ATAN(A110/z_RHP))</f>
        <v/>
      </c>
      <c r="I110" s="1047">
        <f>SQRT(1+(A110/Pole2)^2)</f>
        <v/>
      </c>
      <c r="J110" s="1050">
        <f>ATAN(A110/Pole2)</f>
        <v/>
      </c>
      <c r="K110" s="1056">
        <f>SQRT(1+(A110/Zero2)^2)</f>
        <v/>
      </c>
      <c r="L110" s="1057">
        <f>ATAN(A110/Zero2)</f>
        <v/>
      </c>
      <c r="M110" s="1047">
        <f>SQRT(1+(A110/pole4)^2)</f>
        <v/>
      </c>
      <c r="N110" s="1057">
        <f>ATAN(A110/pole4)</f>
        <v/>
      </c>
      <c r="O110" s="1058">
        <f>IF(VOUT_setting=1,1,SQRT(1+(A110*zterm1)^2))</f>
        <v/>
      </c>
      <c r="P110" s="1059">
        <f>IF(VOUT_setting=1,0,ATAN(((A110*zterm1))))</f>
        <v/>
      </c>
      <c r="Q110" s="1056">
        <f>IF(VOUT_setting=1,1,SQRT((1+Afbr-$Q$5*(A110)^2)^2+(A110*$Q$4)^2))</f>
        <v/>
      </c>
      <c r="R110" s="1060">
        <f>IF(VOUT_setting=1,0,ATAN(A110*$Q$4/(1+Afbr-$Q$5*(A110)^2)))</f>
        <v/>
      </c>
      <c r="S110" s="1054">
        <f>SQRT((1-(Z110/pterm2))^2+(A110/pterm1)^2)</f>
        <v/>
      </c>
      <c r="T110" s="1055">
        <f>IF((ATAN((A110/pterm1)/(1-A110^2/pterm2))&gt;0),ATAN((A110/pterm1)/(1-A110^2/pterm2)),PI()+ATAN((A110/pterm1)/(1-A110^2/pterm2)))</f>
        <v/>
      </c>
      <c r="U110" s="331">
        <f>20*LOG10(((E110*K110*G110*O110)/(C110*I110*S110*M110*Q110))*Adc)</f>
        <v/>
      </c>
      <c r="V110" s="332">
        <f>((F110+L110+H110+P110)-(D110+J110+T110+N110+R110))*radconv</f>
        <v/>
      </c>
      <c r="W110" s="334">
        <f>IF(V110&gt;0,V110,V110+180)</f>
        <v/>
      </c>
      <c r="Y110" s="307">
        <f>IF(U110&lt;0,A110,1000000000)</f>
        <v/>
      </c>
      <c r="Z110" s="307">
        <f>A110^2</f>
        <v/>
      </c>
      <c r="AB110" s="333">
        <f>20*LOG10((K110/(I110*M110))*AEA)</f>
        <v/>
      </c>
      <c r="AC110" s="334">
        <f>(L110-(J110+N110))*radconv</f>
        <v/>
      </c>
      <c r="AE110" s="333">
        <f>20*LOG10((E110*G110/(C110*S110))*Acs*Am)</f>
        <v/>
      </c>
      <c r="AF110" s="334">
        <f>(F110+H110-(D110+T110))*radconv</f>
        <v/>
      </c>
      <c r="AH110">
        <f>SUM((U111&lt;0)*(U110&gt;0))*A110</f>
        <v/>
      </c>
      <c r="AI110">
        <f>IF(AH110&gt;0,W110,0)</f>
        <v/>
      </c>
    </row>
    <row r="111">
      <c r="A111" s="335" t="n">
        <v>5623.4</v>
      </c>
      <c r="B111" s="352">
        <f>A111/1000</f>
        <v/>
      </c>
      <c r="C111" s="1047">
        <f>SQRT(1+(A111/pole1)^2)</f>
        <v/>
      </c>
      <c r="D111" s="1048">
        <f>ATAN(A111/pole1)</f>
        <v/>
      </c>
      <c r="E111" s="1048">
        <f>SQRT(1+(A111/Zero1)^2)</f>
        <v/>
      </c>
      <c r="F111" s="1049">
        <f>ATAN(A111/Zero1)</f>
        <v/>
      </c>
      <c r="G111" s="1048">
        <f>IF(VIN_nom&gt;Vout, 1, SQRT(1+(A111/z_RHP)^2))</f>
        <v/>
      </c>
      <c r="H111" s="1049">
        <f>IF(VIN_nom&gt;Vout, 0, -ATAN(A111/z_RHP))</f>
        <v/>
      </c>
      <c r="I111" s="1047">
        <f>SQRT(1+(A111/Pole2)^2)</f>
        <v/>
      </c>
      <c r="J111" s="1050">
        <f>ATAN(A111/Pole2)</f>
        <v/>
      </c>
      <c r="K111" s="1056">
        <f>SQRT(1+(A111/Zero2)^2)</f>
        <v/>
      </c>
      <c r="L111" s="1057">
        <f>ATAN(A111/Zero2)</f>
        <v/>
      </c>
      <c r="M111" s="1047">
        <f>SQRT(1+(A111/pole4)^2)</f>
        <v/>
      </c>
      <c r="N111" s="1057">
        <f>ATAN(A111/pole4)</f>
        <v/>
      </c>
      <c r="O111" s="1058">
        <f>IF(VOUT_setting=1,1,SQRT(1+(A111*zterm1)^2))</f>
        <v/>
      </c>
      <c r="P111" s="1059">
        <f>IF(VOUT_setting=1,0,ATAN(((A111*zterm1))))</f>
        <v/>
      </c>
      <c r="Q111" s="1056">
        <f>IF(VOUT_setting=1,1,SQRT((1+Afbr-$Q$5*(A111)^2)^2+(A111*$Q$4)^2))</f>
        <v/>
      </c>
      <c r="R111" s="1060">
        <f>IF(VOUT_setting=1,0,ATAN(A111*$Q$4/(1+Afbr-$Q$5*(A111)^2)))</f>
        <v/>
      </c>
      <c r="S111" s="1054">
        <f>SQRT((1-(Z111/pterm2))^2+(A111/pterm1)^2)</f>
        <v/>
      </c>
      <c r="T111" s="1055">
        <f>IF((ATAN((A111/pterm1)/(1-A111^2/pterm2))&gt;0),ATAN((A111/pterm1)/(1-A111^2/pterm2)),PI()+ATAN((A111/pterm1)/(1-A111^2/pterm2)))</f>
        <v/>
      </c>
      <c r="U111" s="331">
        <f>20*LOG10(((E111*K111*G111*O111)/(C111*I111*S111*M111*Q111))*Adc)</f>
        <v/>
      </c>
      <c r="V111" s="332">
        <f>((F111+L111+H111+P111)-(D111+J111+T111+N111+R111))*radconv</f>
        <v/>
      </c>
      <c r="W111" s="334">
        <f>IF(V111&gt;0,V111,V111+180)</f>
        <v/>
      </c>
      <c r="Y111" s="307">
        <f>IF(U111&lt;0,A111,1000000000)</f>
        <v/>
      </c>
      <c r="Z111" s="307">
        <f>A111^2</f>
        <v/>
      </c>
      <c r="AB111" s="333">
        <f>20*LOG10((K111/(I111*M111))*AEA)</f>
        <v/>
      </c>
      <c r="AC111" s="334">
        <f>(L111-(J111+N111))*radconv</f>
        <v/>
      </c>
      <c r="AE111" s="333">
        <f>20*LOG10((E111*G111/(C111*S111))*Acs*Am)</f>
        <v/>
      </c>
      <c r="AF111" s="334">
        <f>(F111+H111-(D111+T111))*radconv</f>
        <v/>
      </c>
      <c r="AH111">
        <f>SUM((U112&lt;0)*(U111&gt;0))*A111</f>
        <v/>
      </c>
      <c r="AI111">
        <f>IF(AH111&gt;0,W111,0)</f>
        <v/>
      </c>
    </row>
    <row r="112">
      <c r="A112" s="335" t="n">
        <v>5688.9</v>
      </c>
      <c r="B112" s="352">
        <f>A112/1000</f>
        <v/>
      </c>
      <c r="C112" s="1047">
        <f>SQRT(1+(A112/pole1)^2)</f>
        <v/>
      </c>
      <c r="D112" s="1048">
        <f>ATAN(A112/pole1)</f>
        <v/>
      </c>
      <c r="E112" s="1048">
        <f>SQRT(1+(A112/Zero1)^2)</f>
        <v/>
      </c>
      <c r="F112" s="1049">
        <f>ATAN(A112/Zero1)</f>
        <v/>
      </c>
      <c r="G112" s="1048">
        <f>IF(VIN_nom&gt;Vout, 1, SQRT(1+(A112/z_RHP)^2))</f>
        <v/>
      </c>
      <c r="H112" s="1049">
        <f>IF(VIN_nom&gt;Vout, 0, -ATAN(A112/z_RHP))</f>
        <v/>
      </c>
      <c r="I112" s="1047">
        <f>SQRT(1+(A112/Pole2)^2)</f>
        <v/>
      </c>
      <c r="J112" s="1050">
        <f>ATAN(A112/Pole2)</f>
        <v/>
      </c>
      <c r="K112" s="1056">
        <f>SQRT(1+(A112/Zero2)^2)</f>
        <v/>
      </c>
      <c r="L112" s="1057">
        <f>ATAN(A112/Zero2)</f>
        <v/>
      </c>
      <c r="M112" s="1047">
        <f>SQRT(1+(A112/pole4)^2)</f>
        <v/>
      </c>
      <c r="N112" s="1057">
        <f>ATAN(A112/pole4)</f>
        <v/>
      </c>
      <c r="O112" s="1058">
        <f>IF(VOUT_setting=1,1,SQRT(1+(A112*zterm1)^2))</f>
        <v/>
      </c>
      <c r="P112" s="1059">
        <f>IF(VOUT_setting=1,0,ATAN(((A112*zterm1))))</f>
        <v/>
      </c>
      <c r="Q112" s="1056">
        <f>IF(VOUT_setting=1,1,SQRT((1+Afbr-$Q$5*(A112)^2)^2+(A112*$Q$4)^2))</f>
        <v/>
      </c>
      <c r="R112" s="1060">
        <f>IF(VOUT_setting=1,0,ATAN(A112*$Q$4/(1+Afbr-$Q$5*(A112)^2)))</f>
        <v/>
      </c>
      <c r="S112" s="1054">
        <f>SQRT((1-(Z112/pterm2))^2+(A112/pterm1)^2)</f>
        <v/>
      </c>
      <c r="T112" s="1055">
        <f>IF((ATAN((A112/pterm1)/(1-A112^2/pterm2))&gt;0),ATAN((A112/pterm1)/(1-A112^2/pterm2)),PI()+ATAN((A112/pterm1)/(1-A112^2/pterm2)))</f>
        <v/>
      </c>
      <c r="U112" s="331">
        <f>20*LOG10(((E112*K112*G112*O112)/(C112*I112*S112*M112*Q112))*Adc)</f>
        <v/>
      </c>
      <c r="V112" s="332">
        <f>((F112+L112+H112+P112)-(D112+J112+T112+N112+R112))*radconv</f>
        <v/>
      </c>
      <c r="W112" s="334">
        <f>IF(V112&gt;0,V112,V112+180)</f>
        <v/>
      </c>
      <c r="Y112" s="307">
        <f>IF(U112&lt;0,A112,1000000000)</f>
        <v/>
      </c>
      <c r="Z112" s="307">
        <f>A112^2</f>
        <v/>
      </c>
      <c r="AB112" s="333">
        <f>20*LOG10((K112/(I112*M112))*AEA)</f>
        <v/>
      </c>
      <c r="AC112" s="334">
        <f>(L112-(J112+N112))*radconv</f>
        <v/>
      </c>
      <c r="AE112" s="333">
        <f>20*LOG10((E112*G112/(C112*S112))*Acs*Am)</f>
        <v/>
      </c>
      <c r="AF112" s="334">
        <f>(F112+H112-(D112+T112))*radconv</f>
        <v/>
      </c>
      <c r="AH112">
        <f>SUM((U113&lt;0)*(U112&gt;0))*A112</f>
        <v/>
      </c>
      <c r="AI112">
        <f>IF(AH112&gt;0,W112,0)</f>
        <v/>
      </c>
    </row>
    <row r="113">
      <c r="A113" s="335" t="n">
        <v>5754.4</v>
      </c>
      <c r="B113" s="352">
        <f>A113/1000</f>
        <v/>
      </c>
      <c r="C113" s="1047">
        <f>SQRT(1+(A113/pole1)^2)</f>
        <v/>
      </c>
      <c r="D113" s="1048">
        <f>ATAN(A113/pole1)</f>
        <v/>
      </c>
      <c r="E113" s="1048">
        <f>SQRT(1+(A113/Zero1)^2)</f>
        <v/>
      </c>
      <c r="F113" s="1049">
        <f>ATAN(A113/Zero1)</f>
        <v/>
      </c>
      <c r="G113" s="1048">
        <f>IF(VIN_nom&gt;Vout, 1, SQRT(1+(A113/z_RHP)^2))</f>
        <v/>
      </c>
      <c r="H113" s="1049">
        <f>IF(VIN_nom&gt;Vout, 0, -ATAN(A113/z_RHP))</f>
        <v/>
      </c>
      <c r="I113" s="1047">
        <f>SQRT(1+(A113/Pole2)^2)</f>
        <v/>
      </c>
      <c r="J113" s="1050">
        <f>ATAN(A113/Pole2)</f>
        <v/>
      </c>
      <c r="K113" s="1056">
        <f>SQRT(1+(A113/Zero2)^2)</f>
        <v/>
      </c>
      <c r="L113" s="1057">
        <f>ATAN(A113/Zero2)</f>
        <v/>
      </c>
      <c r="M113" s="1047">
        <f>SQRT(1+(A113/pole4)^2)</f>
        <v/>
      </c>
      <c r="N113" s="1057">
        <f>ATAN(A113/pole4)</f>
        <v/>
      </c>
      <c r="O113" s="1058">
        <f>IF(VOUT_setting=1,1,SQRT(1+(A113*zterm1)^2))</f>
        <v/>
      </c>
      <c r="P113" s="1059">
        <f>IF(VOUT_setting=1,0,ATAN(((A113*zterm1))))</f>
        <v/>
      </c>
      <c r="Q113" s="1056">
        <f>IF(VOUT_setting=1,1,SQRT((1+Afbr-$Q$5*(A113)^2)^2+(A113*$Q$4)^2))</f>
        <v/>
      </c>
      <c r="R113" s="1060">
        <f>IF(VOUT_setting=1,0,ATAN(A113*$Q$4/(1+Afbr-$Q$5*(A113)^2)))</f>
        <v/>
      </c>
      <c r="S113" s="1054">
        <f>SQRT((1-(Z113/pterm2))^2+(A113/pterm1)^2)</f>
        <v/>
      </c>
      <c r="T113" s="1055">
        <f>IF((ATAN((A113/pterm1)/(1-A113^2/pterm2))&gt;0),ATAN((A113/pterm1)/(1-A113^2/pterm2)),PI()+ATAN((A113/pterm1)/(1-A113^2/pterm2)))</f>
        <v/>
      </c>
      <c r="U113" s="331">
        <f>20*LOG10(((E113*K113*G113*O113)/(C113*I113*S113*M113*Q113))*Adc)</f>
        <v/>
      </c>
      <c r="V113" s="332">
        <f>((F113+L113+H113+P113)-(D113+J113+T113+N113+R113))*radconv</f>
        <v/>
      </c>
      <c r="W113" s="334">
        <f>IF(V113&gt;0,V113,V113+180)</f>
        <v/>
      </c>
      <c r="Y113" s="307">
        <f>IF(U113&lt;0,A113,1000000000)</f>
        <v/>
      </c>
      <c r="Z113" s="307">
        <f>A113^2</f>
        <v/>
      </c>
      <c r="AB113" s="333">
        <f>20*LOG10((K113/(I113*M113))*AEA)</f>
        <v/>
      </c>
      <c r="AC113" s="334">
        <f>(L113-(J113+N113))*radconv</f>
        <v/>
      </c>
      <c r="AE113" s="333">
        <f>20*LOG10((E113*G113/(C113*S113))*Acs*Am)</f>
        <v/>
      </c>
      <c r="AF113" s="334">
        <f>(F113+H113-(D113+T113))*radconv</f>
        <v/>
      </c>
      <c r="AH113">
        <f>SUM((U114&lt;0)*(U113&gt;0))*A113</f>
        <v/>
      </c>
      <c r="AI113">
        <f>IF(AH113&gt;0,W113,0)</f>
        <v/>
      </c>
    </row>
    <row r="114">
      <c r="A114" s="335" t="n">
        <v>5821.4</v>
      </c>
      <c r="B114" s="352">
        <f>A114/1000</f>
        <v/>
      </c>
      <c r="C114" s="1047">
        <f>SQRT(1+(A114/pole1)^2)</f>
        <v/>
      </c>
      <c r="D114" s="1048">
        <f>ATAN(A114/pole1)</f>
        <v/>
      </c>
      <c r="E114" s="1048">
        <f>SQRT(1+(A114/Zero1)^2)</f>
        <v/>
      </c>
      <c r="F114" s="1049">
        <f>ATAN(A114/Zero1)</f>
        <v/>
      </c>
      <c r="G114" s="1048">
        <f>IF(VIN_nom&gt;Vout, 1, SQRT(1+(A114/z_RHP)^2))</f>
        <v/>
      </c>
      <c r="H114" s="1049">
        <f>IF(VIN_nom&gt;Vout, 0, -ATAN(A114/z_RHP))</f>
        <v/>
      </c>
      <c r="I114" s="1047">
        <f>SQRT(1+(A114/Pole2)^2)</f>
        <v/>
      </c>
      <c r="J114" s="1050">
        <f>ATAN(A114/Pole2)</f>
        <v/>
      </c>
      <c r="K114" s="1056">
        <f>SQRT(1+(A114/Zero2)^2)</f>
        <v/>
      </c>
      <c r="L114" s="1057">
        <f>ATAN(A114/Zero2)</f>
        <v/>
      </c>
      <c r="M114" s="1047">
        <f>SQRT(1+(A114/pole4)^2)</f>
        <v/>
      </c>
      <c r="N114" s="1057">
        <f>ATAN(A114/pole4)</f>
        <v/>
      </c>
      <c r="O114" s="1058">
        <f>IF(VOUT_setting=1,1,SQRT(1+(A114*zterm1)^2))</f>
        <v/>
      </c>
      <c r="P114" s="1059">
        <f>IF(VOUT_setting=1,0,ATAN(((A114*zterm1))))</f>
        <v/>
      </c>
      <c r="Q114" s="1056">
        <f>IF(VOUT_setting=1,1,SQRT((1+Afbr-$Q$5*(A114)^2)^2+(A114*$Q$4)^2))</f>
        <v/>
      </c>
      <c r="R114" s="1060">
        <f>IF(VOUT_setting=1,0,ATAN(A114*$Q$4/(1+Afbr-$Q$5*(A114)^2)))</f>
        <v/>
      </c>
      <c r="S114" s="1054">
        <f>SQRT((1-(Z114/pterm2))^2+(A114/pterm1)^2)</f>
        <v/>
      </c>
      <c r="T114" s="1055">
        <f>IF((ATAN((A114/pterm1)/(1-A114^2/pterm2))&gt;0),ATAN((A114/pterm1)/(1-A114^2/pterm2)),PI()+ATAN((A114/pterm1)/(1-A114^2/pterm2)))</f>
        <v/>
      </c>
      <c r="U114" s="331">
        <f>20*LOG10(((E114*K114*G114*O114)/(C114*I114*S114*M114*Q114))*Adc)</f>
        <v/>
      </c>
      <c r="V114" s="332">
        <f>((F114+L114+H114+P114)-(D114+J114+T114+N114+R114))*radconv</f>
        <v/>
      </c>
      <c r="W114" s="334">
        <f>IF(V114&gt;0,V114,V114+180)</f>
        <v/>
      </c>
      <c r="Y114" s="307">
        <f>IF(U114&lt;0,A114,1000000000)</f>
        <v/>
      </c>
      <c r="Z114" s="307">
        <f>A114^2</f>
        <v/>
      </c>
      <c r="AB114" s="333">
        <f>20*LOG10((K114/(I114*M114))*AEA)</f>
        <v/>
      </c>
      <c r="AC114" s="334">
        <f>(L114-(J114+N114))*radconv</f>
        <v/>
      </c>
      <c r="AE114" s="333">
        <f>20*LOG10((E114*G114/(C114*S114))*Acs*Am)</f>
        <v/>
      </c>
      <c r="AF114" s="334">
        <f>(F114+H114-(D114+T114))*radconv</f>
        <v/>
      </c>
      <c r="AH114">
        <f>SUM((U115&lt;0)*(U114&gt;0))*A114</f>
        <v/>
      </c>
      <c r="AI114">
        <f>IF(AH114&gt;0,W114,0)</f>
        <v/>
      </c>
    </row>
    <row r="115">
      <c r="A115" s="335" t="n">
        <v>5888.4</v>
      </c>
      <c r="B115" s="352">
        <f>A115/1000</f>
        <v/>
      </c>
      <c r="C115" s="1047">
        <f>SQRT(1+(A115/pole1)^2)</f>
        <v/>
      </c>
      <c r="D115" s="1048">
        <f>ATAN(A115/pole1)</f>
        <v/>
      </c>
      <c r="E115" s="1048">
        <f>SQRT(1+(A115/Zero1)^2)</f>
        <v/>
      </c>
      <c r="F115" s="1049">
        <f>ATAN(A115/Zero1)</f>
        <v/>
      </c>
      <c r="G115" s="1048">
        <f>IF(VIN_nom&gt;Vout, 1, SQRT(1+(A115/z_RHP)^2))</f>
        <v/>
      </c>
      <c r="H115" s="1049">
        <f>IF(VIN_nom&gt;Vout, 0, -ATAN(A115/z_RHP))</f>
        <v/>
      </c>
      <c r="I115" s="1047">
        <f>SQRT(1+(A115/Pole2)^2)</f>
        <v/>
      </c>
      <c r="J115" s="1050">
        <f>ATAN(A115/Pole2)</f>
        <v/>
      </c>
      <c r="K115" s="1056">
        <f>SQRT(1+(A115/Zero2)^2)</f>
        <v/>
      </c>
      <c r="L115" s="1057">
        <f>ATAN(A115/Zero2)</f>
        <v/>
      </c>
      <c r="M115" s="1047">
        <f>SQRT(1+(A115/pole4)^2)</f>
        <v/>
      </c>
      <c r="N115" s="1057">
        <f>ATAN(A115/pole4)</f>
        <v/>
      </c>
      <c r="O115" s="1058">
        <f>IF(VOUT_setting=1,1,SQRT(1+(A115*zterm1)^2))</f>
        <v/>
      </c>
      <c r="P115" s="1059">
        <f>IF(VOUT_setting=1,0,ATAN(((A115*zterm1))))</f>
        <v/>
      </c>
      <c r="Q115" s="1056">
        <f>IF(VOUT_setting=1,1,SQRT((1+Afbr-$Q$5*(A115)^2)^2+(A115*$Q$4)^2))</f>
        <v/>
      </c>
      <c r="R115" s="1060">
        <f>IF(VOUT_setting=1,0,ATAN(A115*$Q$4/(1+Afbr-$Q$5*(A115)^2)))</f>
        <v/>
      </c>
      <c r="S115" s="1054">
        <f>SQRT((1-(Z115/pterm2))^2+(A115/pterm1)^2)</f>
        <v/>
      </c>
      <c r="T115" s="1055">
        <f>IF((ATAN((A115/pterm1)/(1-A115^2/pterm2))&gt;0),ATAN((A115/pterm1)/(1-A115^2/pterm2)),PI()+ATAN((A115/pterm1)/(1-A115^2/pterm2)))</f>
        <v/>
      </c>
      <c r="U115" s="331">
        <f>20*LOG10(((E115*K115*G115*O115)/(C115*I115*S115*M115*Q115))*Adc)</f>
        <v/>
      </c>
      <c r="V115" s="332">
        <f>((F115+L115+H115+P115)-(D115+J115+T115+N115+R115))*radconv</f>
        <v/>
      </c>
      <c r="W115" s="334">
        <f>IF(V115&gt;0,V115,V115+180)</f>
        <v/>
      </c>
      <c r="Y115" s="307">
        <f>IF(U115&lt;0,A115,1000000000)</f>
        <v/>
      </c>
      <c r="Z115" s="307">
        <f>A115^2</f>
        <v/>
      </c>
      <c r="AB115" s="333">
        <f>20*LOG10((K115/(I115*M115))*AEA)</f>
        <v/>
      </c>
      <c r="AC115" s="334">
        <f>(L115-(J115+N115))*radconv</f>
        <v/>
      </c>
      <c r="AE115" s="333">
        <f>20*LOG10((E115*G115/(C115*S115))*Acs*Am)</f>
        <v/>
      </c>
      <c r="AF115" s="334">
        <f>(F115+H115-(D115+T115))*radconv</f>
        <v/>
      </c>
      <c r="AH115">
        <f>SUM((U116&lt;0)*(U115&gt;0))*A115</f>
        <v/>
      </c>
      <c r="AI115">
        <f>IF(AH115&gt;0,W115,0)</f>
        <v/>
      </c>
    </row>
    <row r="116">
      <c r="A116" s="335" t="n">
        <v>5957</v>
      </c>
      <c r="B116" s="352">
        <f>A116/1000</f>
        <v/>
      </c>
      <c r="C116" s="1047">
        <f>SQRT(1+(A116/pole1)^2)</f>
        <v/>
      </c>
      <c r="D116" s="1048">
        <f>ATAN(A116/pole1)</f>
        <v/>
      </c>
      <c r="E116" s="1048">
        <f>SQRT(1+(A116/Zero1)^2)</f>
        <v/>
      </c>
      <c r="F116" s="1049">
        <f>ATAN(A116/Zero1)</f>
        <v/>
      </c>
      <c r="G116" s="1048">
        <f>IF(VIN_nom&gt;Vout, 1, SQRT(1+(A116/z_RHP)^2))</f>
        <v/>
      </c>
      <c r="H116" s="1049">
        <f>IF(VIN_nom&gt;Vout, 0, -ATAN(A116/z_RHP))</f>
        <v/>
      </c>
      <c r="I116" s="1047">
        <f>SQRT(1+(A116/Pole2)^2)</f>
        <v/>
      </c>
      <c r="J116" s="1050">
        <f>ATAN(A116/Pole2)</f>
        <v/>
      </c>
      <c r="K116" s="1056">
        <f>SQRT(1+(A116/Zero2)^2)</f>
        <v/>
      </c>
      <c r="L116" s="1057">
        <f>ATAN(A116/Zero2)</f>
        <v/>
      </c>
      <c r="M116" s="1047">
        <f>SQRT(1+(A116/pole4)^2)</f>
        <v/>
      </c>
      <c r="N116" s="1057">
        <f>ATAN(A116/pole4)</f>
        <v/>
      </c>
      <c r="O116" s="1058">
        <f>IF(VOUT_setting=1,1,SQRT(1+(A116*zterm1)^2))</f>
        <v/>
      </c>
      <c r="P116" s="1059">
        <f>IF(VOUT_setting=1,0,ATAN(((A116*zterm1))))</f>
        <v/>
      </c>
      <c r="Q116" s="1056">
        <f>IF(VOUT_setting=1,1,SQRT((1+Afbr-$Q$5*(A116)^2)^2+(A116*$Q$4)^2))</f>
        <v/>
      </c>
      <c r="R116" s="1060">
        <f>IF(VOUT_setting=1,0,ATAN(A116*$Q$4/(1+Afbr-$Q$5*(A116)^2)))</f>
        <v/>
      </c>
      <c r="S116" s="1054">
        <f>SQRT((1-(Z116/pterm2))^2+(A116/pterm1)^2)</f>
        <v/>
      </c>
      <c r="T116" s="1055">
        <f>IF((ATAN((A116/pterm1)/(1-A116^2/pterm2))&gt;0),ATAN((A116/pterm1)/(1-A116^2/pterm2)),PI()+ATAN((A116/pterm1)/(1-A116^2/pterm2)))</f>
        <v/>
      </c>
      <c r="U116" s="331">
        <f>20*LOG10(((E116*K116*G116*O116)/(C116*I116*S116*M116*Q116))*Adc)</f>
        <v/>
      </c>
      <c r="V116" s="332">
        <f>((F116+L116+H116+P116)-(D116+J116+T116+N116+R116))*radconv</f>
        <v/>
      </c>
      <c r="W116" s="334">
        <f>IF(V116&gt;0,V116,V116+180)</f>
        <v/>
      </c>
      <c r="Y116" s="307">
        <f>IF(U116&lt;0,A116,1000000000)</f>
        <v/>
      </c>
      <c r="Z116" s="307">
        <f>A116^2</f>
        <v/>
      </c>
      <c r="AB116" s="333">
        <f>20*LOG10((K116/(I116*M116))*AEA)</f>
        <v/>
      </c>
      <c r="AC116" s="334">
        <f>(L116-(J116+N116))*radconv</f>
        <v/>
      </c>
      <c r="AE116" s="333">
        <f>20*LOG10((E116*G116/(C116*S116))*Acs*Am)</f>
        <v/>
      </c>
      <c r="AF116" s="334">
        <f>(F116+H116-(D116+T116))*radconv</f>
        <v/>
      </c>
      <c r="AH116">
        <f>SUM((U117&lt;0)*(U116&gt;0))*A116</f>
        <v/>
      </c>
      <c r="AI116">
        <f>IF(AH116&gt;0,W116,0)</f>
        <v/>
      </c>
    </row>
    <row r="117">
      <c r="A117" s="335" t="n">
        <v>6025.6</v>
      </c>
      <c r="B117" s="352">
        <f>A117/1000</f>
        <v/>
      </c>
      <c r="C117" s="1047">
        <f>SQRT(1+(A117/pole1)^2)</f>
        <v/>
      </c>
      <c r="D117" s="1048">
        <f>ATAN(A117/pole1)</f>
        <v/>
      </c>
      <c r="E117" s="1048">
        <f>SQRT(1+(A117/Zero1)^2)</f>
        <v/>
      </c>
      <c r="F117" s="1049">
        <f>ATAN(A117/Zero1)</f>
        <v/>
      </c>
      <c r="G117" s="1048">
        <f>IF(VIN_nom&gt;Vout, 1, SQRT(1+(A117/z_RHP)^2))</f>
        <v/>
      </c>
      <c r="H117" s="1049">
        <f>IF(VIN_nom&gt;Vout, 0, -ATAN(A117/z_RHP))</f>
        <v/>
      </c>
      <c r="I117" s="1047">
        <f>SQRT(1+(A117/Pole2)^2)</f>
        <v/>
      </c>
      <c r="J117" s="1050">
        <f>ATAN(A117/Pole2)</f>
        <v/>
      </c>
      <c r="K117" s="1056">
        <f>SQRT(1+(A117/Zero2)^2)</f>
        <v/>
      </c>
      <c r="L117" s="1057">
        <f>ATAN(A117/Zero2)</f>
        <v/>
      </c>
      <c r="M117" s="1047">
        <f>SQRT(1+(A117/pole4)^2)</f>
        <v/>
      </c>
      <c r="N117" s="1057">
        <f>ATAN(A117/pole4)</f>
        <v/>
      </c>
      <c r="O117" s="1058">
        <f>IF(VOUT_setting=1,1,SQRT(1+(A117*zterm1)^2))</f>
        <v/>
      </c>
      <c r="P117" s="1059">
        <f>IF(VOUT_setting=1,0,ATAN(((A117*zterm1))))</f>
        <v/>
      </c>
      <c r="Q117" s="1056">
        <f>IF(VOUT_setting=1,1,SQRT((1+Afbr-$Q$5*(A117)^2)^2+(A117*$Q$4)^2))</f>
        <v/>
      </c>
      <c r="R117" s="1060">
        <f>IF(VOUT_setting=1,0,ATAN(A117*$Q$4/(1+Afbr-$Q$5*(A117)^2)))</f>
        <v/>
      </c>
      <c r="S117" s="1054">
        <f>SQRT((1-(Z117/pterm2))^2+(A117/pterm1)^2)</f>
        <v/>
      </c>
      <c r="T117" s="1055">
        <f>IF((ATAN((A117/pterm1)/(1-A117^2/pterm2))&gt;0),ATAN((A117/pterm1)/(1-A117^2/pterm2)),PI()+ATAN((A117/pterm1)/(1-A117^2/pterm2)))</f>
        <v/>
      </c>
      <c r="U117" s="331">
        <f>20*LOG10(((E117*K117*G117*O117)/(C117*I117*S117*M117*Q117))*Adc)</f>
        <v/>
      </c>
      <c r="V117" s="332">
        <f>((F117+L117+H117+P117)-(D117+J117+T117+N117+R117))*radconv</f>
        <v/>
      </c>
      <c r="W117" s="334">
        <f>IF(V117&gt;0,V117,V117+180)</f>
        <v/>
      </c>
      <c r="Y117" s="307">
        <f>IF(U117&lt;0,A117,1000000000)</f>
        <v/>
      </c>
      <c r="Z117" s="307">
        <f>A117^2</f>
        <v/>
      </c>
      <c r="AB117" s="333">
        <f>20*LOG10((K117/(I117*M117))*AEA)</f>
        <v/>
      </c>
      <c r="AC117" s="334">
        <f>(L117-(J117+N117))*radconv</f>
        <v/>
      </c>
      <c r="AE117" s="333">
        <f>20*LOG10((E117*G117/(C117*S117))*Acs*Am)</f>
        <v/>
      </c>
      <c r="AF117" s="334">
        <f>(F117+H117-(D117+T117))*radconv</f>
        <v/>
      </c>
      <c r="AH117">
        <f>SUM((U118&lt;0)*(U117&gt;0))*A117</f>
        <v/>
      </c>
      <c r="AI117">
        <f>IF(AH117&gt;0,W117,0)</f>
        <v/>
      </c>
    </row>
    <row r="118">
      <c r="A118" s="335" t="n">
        <v>6095.8</v>
      </c>
      <c r="B118" s="352">
        <f>A118/1000</f>
        <v/>
      </c>
      <c r="C118" s="1047">
        <f>SQRT(1+(A118/pole1)^2)</f>
        <v/>
      </c>
      <c r="D118" s="1048">
        <f>ATAN(A118/pole1)</f>
        <v/>
      </c>
      <c r="E118" s="1048">
        <f>SQRT(1+(A118/Zero1)^2)</f>
        <v/>
      </c>
      <c r="F118" s="1049">
        <f>ATAN(A118/Zero1)</f>
        <v/>
      </c>
      <c r="G118" s="1048">
        <f>IF(VIN_nom&gt;Vout, 1, SQRT(1+(A118/z_RHP)^2))</f>
        <v/>
      </c>
      <c r="H118" s="1049">
        <f>IF(VIN_nom&gt;Vout, 0, -ATAN(A118/z_RHP))</f>
        <v/>
      </c>
      <c r="I118" s="1047">
        <f>SQRT(1+(A118/Pole2)^2)</f>
        <v/>
      </c>
      <c r="J118" s="1050">
        <f>ATAN(A118/Pole2)</f>
        <v/>
      </c>
      <c r="K118" s="1056">
        <f>SQRT(1+(A118/Zero2)^2)</f>
        <v/>
      </c>
      <c r="L118" s="1057">
        <f>ATAN(A118/Zero2)</f>
        <v/>
      </c>
      <c r="M118" s="1047">
        <f>SQRT(1+(A118/pole4)^2)</f>
        <v/>
      </c>
      <c r="N118" s="1057">
        <f>ATAN(A118/pole4)</f>
        <v/>
      </c>
      <c r="O118" s="1058">
        <f>IF(VOUT_setting=1,1,SQRT(1+(A118*zterm1)^2))</f>
        <v/>
      </c>
      <c r="P118" s="1059">
        <f>IF(VOUT_setting=1,0,ATAN(((A118*zterm1))))</f>
        <v/>
      </c>
      <c r="Q118" s="1056">
        <f>IF(VOUT_setting=1,1,SQRT((1+Afbr-$Q$5*(A118)^2)^2+(A118*$Q$4)^2))</f>
        <v/>
      </c>
      <c r="R118" s="1060">
        <f>IF(VOUT_setting=1,0,ATAN(A118*$Q$4/(1+Afbr-$Q$5*(A118)^2)))</f>
        <v/>
      </c>
      <c r="S118" s="1054">
        <f>SQRT((1-(Z118/pterm2))^2+(A118/pterm1)^2)</f>
        <v/>
      </c>
      <c r="T118" s="1055">
        <f>IF((ATAN((A118/pterm1)/(1-A118^2/pterm2))&gt;0),ATAN((A118/pterm1)/(1-A118^2/pterm2)),PI()+ATAN((A118/pterm1)/(1-A118^2/pterm2)))</f>
        <v/>
      </c>
      <c r="U118" s="331">
        <f>20*LOG10(((E118*K118*G118*O118)/(C118*I118*S118*M118*Q118))*Adc)</f>
        <v/>
      </c>
      <c r="V118" s="332">
        <f>((F118+L118+H118+P118)-(D118+J118+T118+N118+R118))*radconv</f>
        <v/>
      </c>
      <c r="W118" s="334">
        <f>IF(V118&gt;0,V118,V118+180)</f>
        <v/>
      </c>
      <c r="Y118" s="307">
        <f>IF(U118&lt;0,A118,1000000000)</f>
        <v/>
      </c>
      <c r="Z118" s="307">
        <f>A118^2</f>
        <v/>
      </c>
      <c r="AB118" s="333">
        <f>20*LOG10((K118/(I118*M118))*AEA)</f>
        <v/>
      </c>
      <c r="AC118" s="334">
        <f>(L118-(J118+N118))*radconv</f>
        <v/>
      </c>
      <c r="AE118" s="333">
        <f>20*LOG10((E118*G118/(C118*S118))*Acs*Am)</f>
        <v/>
      </c>
      <c r="AF118" s="334">
        <f>(F118+H118-(D118+T118))*radconv</f>
        <v/>
      </c>
      <c r="AH118">
        <f>SUM((U119&lt;0)*(U118&gt;0))*A118</f>
        <v/>
      </c>
      <c r="AI118">
        <f>IF(AH118&gt;0,W118,0)</f>
        <v/>
      </c>
    </row>
    <row r="119">
      <c r="A119" s="335" t="n">
        <v>6166</v>
      </c>
      <c r="B119" s="352">
        <f>A119/1000</f>
        <v/>
      </c>
      <c r="C119" s="1047">
        <f>SQRT(1+(A119/pole1)^2)</f>
        <v/>
      </c>
      <c r="D119" s="1048">
        <f>ATAN(A119/pole1)</f>
        <v/>
      </c>
      <c r="E119" s="1048">
        <f>SQRT(1+(A119/Zero1)^2)</f>
        <v/>
      </c>
      <c r="F119" s="1049">
        <f>ATAN(A119/Zero1)</f>
        <v/>
      </c>
      <c r="G119" s="1048">
        <f>IF(VIN_nom&gt;Vout, 1, SQRT(1+(A119/z_RHP)^2))</f>
        <v/>
      </c>
      <c r="H119" s="1049">
        <f>IF(VIN_nom&gt;Vout, 0, -ATAN(A119/z_RHP))</f>
        <v/>
      </c>
      <c r="I119" s="1047">
        <f>SQRT(1+(A119/Pole2)^2)</f>
        <v/>
      </c>
      <c r="J119" s="1050">
        <f>ATAN(A119/Pole2)</f>
        <v/>
      </c>
      <c r="K119" s="1056">
        <f>SQRT(1+(A119/Zero2)^2)</f>
        <v/>
      </c>
      <c r="L119" s="1057">
        <f>ATAN(A119/Zero2)</f>
        <v/>
      </c>
      <c r="M119" s="1047">
        <f>SQRT(1+(A119/pole4)^2)</f>
        <v/>
      </c>
      <c r="N119" s="1057">
        <f>ATAN(A119/pole4)</f>
        <v/>
      </c>
      <c r="O119" s="1058">
        <f>IF(VOUT_setting=1,1,SQRT(1+(A119*zterm1)^2))</f>
        <v/>
      </c>
      <c r="P119" s="1059">
        <f>IF(VOUT_setting=1,0,ATAN(((A119*zterm1))))</f>
        <v/>
      </c>
      <c r="Q119" s="1056">
        <f>IF(VOUT_setting=1,1,SQRT((1+Afbr-$Q$5*(A119)^2)^2+(A119*$Q$4)^2))</f>
        <v/>
      </c>
      <c r="R119" s="1060">
        <f>IF(VOUT_setting=1,0,ATAN(A119*$Q$4/(1+Afbr-$Q$5*(A119)^2)))</f>
        <v/>
      </c>
      <c r="S119" s="1054">
        <f>SQRT((1-(Z119/pterm2))^2+(A119/pterm1)^2)</f>
        <v/>
      </c>
      <c r="T119" s="1055">
        <f>IF((ATAN((A119/pterm1)/(1-A119^2/pterm2))&gt;0),ATAN((A119/pterm1)/(1-A119^2/pterm2)),PI()+ATAN((A119/pterm1)/(1-A119^2/pterm2)))</f>
        <v/>
      </c>
      <c r="U119" s="331">
        <f>20*LOG10(((E119*K119*G119*O119)/(C119*I119*S119*M119*Q119))*Adc)</f>
        <v/>
      </c>
      <c r="V119" s="332">
        <f>((F119+L119+H119+P119)-(D119+J119+T119+N119+R119))*radconv</f>
        <v/>
      </c>
      <c r="W119" s="334">
        <f>IF(V119&gt;0,V119,V119+180)</f>
        <v/>
      </c>
      <c r="Y119" s="307">
        <f>IF(U119&lt;0,A119,1000000000)</f>
        <v/>
      </c>
      <c r="Z119" s="307">
        <f>A119^2</f>
        <v/>
      </c>
      <c r="AB119" s="333">
        <f>20*LOG10((K119/(I119*M119))*AEA)</f>
        <v/>
      </c>
      <c r="AC119" s="334">
        <f>(L119-(J119+N119))*radconv</f>
        <v/>
      </c>
      <c r="AE119" s="333">
        <f>20*LOG10((E119*G119/(C119*S119))*Acs*Am)</f>
        <v/>
      </c>
      <c r="AF119" s="334">
        <f>(F119+H119-(D119+T119))*radconv</f>
        <v/>
      </c>
      <c r="AH119">
        <f>SUM((U120&lt;0)*(U119&gt;0))*A119</f>
        <v/>
      </c>
      <c r="AI119">
        <f>IF(AH119&gt;0,W119,0)</f>
        <v/>
      </c>
    </row>
    <row r="120">
      <c r="A120" s="335" t="n">
        <v>6237.8</v>
      </c>
      <c r="B120" s="352">
        <f>A120/1000</f>
        <v/>
      </c>
      <c r="C120" s="1047">
        <f>SQRT(1+(A120/pole1)^2)</f>
        <v/>
      </c>
      <c r="D120" s="1048">
        <f>ATAN(A120/pole1)</f>
        <v/>
      </c>
      <c r="E120" s="1048">
        <f>SQRT(1+(A120/Zero1)^2)</f>
        <v/>
      </c>
      <c r="F120" s="1049">
        <f>ATAN(A120/Zero1)</f>
        <v/>
      </c>
      <c r="G120" s="1048">
        <f>IF(VIN_nom&gt;Vout, 1, SQRT(1+(A120/z_RHP)^2))</f>
        <v/>
      </c>
      <c r="H120" s="1049">
        <f>IF(VIN_nom&gt;Vout, 0, -ATAN(A120/z_RHP))</f>
        <v/>
      </c>
      <c r="I120" s="1047">
        <f>SQRT(1+(A120/Pole2)^2)</f>
        <v/>
      </c>
      <c r="J120" s="1050">
        <f>ATAN(A120/Pole2)</f>
        <v/>
      </c>
      <c r="K120" s="1056">
        <f>SQRT(1+(A120/Zero2)^2)</f>
        <v/>
      </c>
      <c r="L120" s="1057">
        <f>ATAN(A120/Zero2)</f>
        <v/>
      </c>
      <c r="M120" s="1047">
        <f>SQRT(1+(A120/pole4)^2)</f>
        <v/>
      </c>
      <c r="N120" s="1057">
        <f>ATAN(A120/pole4)</f>
        <v/>
      </c>
      <c r="O120" s="1058">
        <f>IF(VOUT_setting=1,1,SQRT(1+(A120*zterm1)^2))</f>
        <v/>
      </c>
      <c r="P120" s="1059">
        <f>IF(VOUT_setting=1,0,ATAN(((A120*zterm1))))</f>
        <v/>
      </c>
      <c r="Q120" s="1056">
        <f>IF(VOUT_setting=1,1,SQRT((1+Afbr-$Q$5*(A120)^2)^2+(A120*$Q$4)^2))</f>
        <v/>
      </c>
      <c r="R120" s="1060">
        <f>IF(VOUT_setting=1,0,ATAN(A120*$Q$4/(1+Afbr-$Q$5*(A120)^2)))</f>
        <v/>
      </c>
      <c r="S120" s="1054">
        <f>SQRT((1-(Z120/pterm2))^2+(A120/pterm1)^2)</f>
        <v/>
      </c>
      <c r="T120" s="1055">
        <f>IF((ATAN((A120/pterm1)/(1-A120^2/pterm2))&gt;0),ATAN((A120/pterm1)/(1-A120^2/pterm2)),PI()+ATAN((A120/pterm1)/(1-A120^2/pterm2)))</f>
        <v/>
      </c>
      <c r="U120" s="331">
        <f>20*LOG10(((E120*K120*G120*O120)/(C120*I120*S120*M120*Q120))*Adc)</f>
        <v/>
      </c>
      <c r="V120" s="332">
        <f>((F120+L120+H120+P120)-(D120+J120+T120+N120+R120))*radconv</f>
        <v/>
      </c>
      <c r="W120" s="334">
        <f>IF(V120&gt;0,V120,V120+180)</f>
        <v/>
      </c>
      <c r="Y120" s="307">
        <f>IF(U120&lt;0,A120,1000000000)</f>
        <v/>
      </c>
      <c r="Z120" s="307">
        <f>A120^2</f>
        <v/>
      </c>
      <c r="AB120" s="333">
        <f>20*LOG10((K120/(I120*M120))*AEA)</f>
        <v/>
      </c>
      <c r="AC120" s="334">
        <f>(L120-(J120+N120))*radconv</f>
        <v/>
      </c>
      <c r="AE120" s="333">
        <f>20*LOG10((E120*G120/(C120*S120))*Acs*Am)</f>
        <v/>
      </c>
      <c r="AF120" s="334">
        <f>(F120+H120-(D120+T120))*radconv</f>
        <v/>
      </c>
      <c r="AH120">
        <f>SUM((U121&lt;0)*(U120&gt;0))*A120</f>
        <v/>
      </c>
      <c r="AI120">
        <f>IF(AH120&gt;0,W120,0)</f>
        <v/>
      </c>
    </row>
    <row r="121">
      <c r="A121" s="335" t="n">
        <v>6309.6</v>
      </c>
      <c r="B121" s="352">
        <f>A121/1000</f>
        <v/>
      </c>
      <c r="C121" s="1047">
        <f>SQRT(1+(A121/pole1)^2)</f>
        <v/>
      </c>
      <c r="D121" s="1048">
        <f>ATAN(A121/pole1)</f>
        <v/>
      </c>
      <c r="E121" s="1048">
        <f>SQRT(1+(A121/Zero1)^2)</f>
        <v/>
      </c>
      <c r="F121" s="1049">
        <f>ATAN(A121/Zero1)</f>
        <v/>
      </c>
      <c r="G121" s="1048">
        <f>IF(VIN_nom&gt;Vout, 1, SQRT(1+(A121/z_RHP)^2))</f>
        <v/>
      </c>
      <c r="H121" s="1049">
        <f>IF(VIN_nom&gt;Vout, 0, -ATAN(A121/z_RHP))</f>
        <v/>
      </c>
      <c r="I121" s="1047">
        <f>SQRT(1+(A121/Pole2)^2)</f>
        <v/>
      </c>
      <c r="J121" s="1050">
        <f>ATAN(A121/Pole2)</f>
        <v/>
      </c>
      <c r="K121" s="1056">
        <f>SQRT(1+(A121/Zero2)^2)</f>
        <v/>
      </c>
      <c r="L121" s="1057">
        <f>ATAN(A121/Zero2)</f>
        <v/>
      </c>
      <c r="M121" s="1047">
        <f>SQRT(1+(A121/pole4)^2)</f>
        <v/>
      </c>
      <c r="N121" s="1057">
        <f>ATAN(A121/pole4)</f>
        <v/>
      </c>
      <c r="O121" s="1058">
        <f>IF(VOUT_setting=1,1,SQRT(1+(A121*zterm1)^2))</f>
        <v/>
      </c>
      <c r="P121" s="1059">
        <f>IF(VOUT_setting=1,0,ATAN(((A121*zterm1))))</f>
        <v/>
      </c>
      <c r="Q121" s="1056">
        <f>IF(VOUT_setting=1,1,SQRT((1+Afbr-$Q$5*(A121)^2)^2+(A121*$Q$4)^2))</f>
        <v/>
      </c>
      <c r="R121" s="1060">
        <f>IF(VOUT_setting=1,0,ATAN(A121*$Q$4/(1+Afbr-$Q$5*(A121)^2)))</f>
        <v/>
      </c>
      <c r="S121" s="1054">
        <f>SQRT((1-(Z121/pterm2))^2+(A121/pterm1)^2)</f>
        <v/>
      </c>
      <c r="T121" s="1055">
        <f>IF((ATAN((A121/pterm1)/(1-A121^2/pterm2))&gt;0),ATAN((A121/pterm1)/(1-A121^2/pterm2)),PI()+ATAN((A121/pterm1)/(1-A121^2/pterm2)))</f>
        <v/>
      </c>
      <c r="U121" s="331">
        <f>20*LOG10(((E121*K121*G121*O121)/(C121*I121*S121*M121*Q121))*Adc)</f>
        <v/>
      </c>
      <c r="V121" s="332">
        <f>((F121+L121+H121+P121)-(D121+J121+T121+N121+R121))*radconv</f>
        <v/>
      </c>
      <c r="W121" s="334">
        <f>IF(V121&gt;0,V121,V121+180)</f>
        <v/>
      </c>
      <c r="Y121" s="307">
        <f>IF(U121&lt;0,A121,1000000000)</f>
        <v/>
      </c>
      <c r="Z121" s="307">
        <f>A121^2</f>
        <v/>
      </c>
      <c r="AB121" s="333">
        <f>20*LOG10((K121/(I121*M121))*AEA)</f>
        <v/>
      </c>
      <c r="AC121" s="334">
        <f>(L121-(J121+N121))*radconv</f>
        <v/>
      </c>
      <c r="AE121" s="333">
        <f>20*LOG10((E121*G121/(C121*S121))*Acs*Am)</f>
        <v/>
      </c>
      <c r="AF121" s="334">
        <f>(F121+H121-(D121+T121))*radconv</f>
        <v/>
      </c>
      <c r="AH121">
        <f>SUM((U122&lt;0)*(U121&gt;0))*A121</f>
        <v/>
      </c>
      <c r="AI121">
        <f>IF(AH121&gt;0,W121,0)</f>
        <v/>
      </c>
    </row>
    <row r="122">
      <c r="A122" s="335" t="n">
        <v>6383.05</v>
      </c>
      <c r="B122" s="352">
        <f>A122/1000</f>
        <v/>
      </c>
      <c r="C122" s="1047">
        <f>SQRT(1+(A122/pole1)^2)</f>
        <v/>
      </c>
      <c r="D122" s="1048">
        <f>ATAN(A122/pole1)</f>
        <v/>
      </c>
      <c r="E122" s="1048">
        <f>SQRT(1+(A122/Zero1)^2)</f>
        <v/>
      </c>
      <c r="F122" s="1049">
        <f>ATAN(A122/Zero1)</f>
        <v/>
      </c>
      <c r="G122" s="1048">
        <f>IF(VIN_nom&gt;Vout, 1, SQRT(1+(A122/z_RHP)^2))</f>
        <v/>
      </c>
      <c r="H122" s="1049">
        <f>IF(VIN_nom&gt;Vout, 0, -ATAN(A122/z_RHP))</f>
        <v/>
      </c>
      <c r="I122" s="1047">
        <f>SQRT(1+(A122/Pole2)^2)</f>
        <v/>
      </c>
      <c r="J122" s="1050">
        <f>ATAN(A122/Pole2)</f>
        <v/>
      </c>
      <c r="K122" s="1056">
        <f>SQRT(1+(A122/Zero2)^2)</f>
        <v/>
      </c>
      <c r="L122" s="1057">
        <f>ATAN(A122/Zero2)</f>
        <v/>
      </c>
      <c r="M122" s="1047">
        <f>SQRT(1+(A122/pole4)^2)</f>
        <v/>
      </c>
      <c r="N122" s="1057">
        <f>ATAN(A122/pole4)</f>
        <v/>
      </c>
      <c r="O122" s="1058">
        <f>IF(VOUT_setting=1,1,SQRT(1+(A122*zterm1)^2))</f>
        <v/>
      </c>
      <c r="P122" s="1059">
        <f>IF(VOUT_setting=1,0,ATAN(((A122*zterm1))))</f>
        <v/>
      </c>
      <c r="Q122" s="1056">
        <f>IF(VOUT_setting=1,1,SQRT((1+Afbr-$Q$5*(A122)^2)^2+(A122*$Q$4)^2))</f>
        <v/>
      </c>
      <c r="R122" s="1060">
        <f>IF(VOUT_setting=1,0,ATAN(A122*$Q$4/(1+Afbr-$Q$5*(A122)^2)))</f>
        <v/>
      </c>
      <c r="S122" s="1054">
        <f>SQRT((1-(Z122/pterm2))^2+(A122/pterm1)^2)</f>
        <v/>
      </c>
      <c r="T122" s="1055">
        <f>IF((ATAN((A122/pterm1)/(1-A122^2/pterm2))&gt;0),ATAN((A122/pterm1)/(1-A122^2/pterm2)),PI()+ATAN((A122/pterm1)/(1-A122^2/pterm2)))</f>
        <v/>
      </c>
      <c r="U122" s="331">
        <f>20*LOG10(((E122*K122*G122*O122)/(C122*I122*S122*M122*Q122))*Adc)</f>
        <v/>
      </c>
      <c r="V122" s="332">
        <f>((F122+L122+H122+P122)-(D122+J122+T122+N122+R122))*radconv</f>
        <v/>
      </c>
      <c r="W122" s="334">
        <f>IF(V122&gt;0,V122,V122+180)</f>
        <v/>
      </c>
      <c r="Y122" s="307">
        <f>IF(U122&lt;0,A122,1000000000)</f>
        <v/>
      </c>
      <c r="Z122" s="307">
        <f>A122^2</f>
        <v/>
      </c>
      <c r="AB122" s="333">
        <f>20*LOG10((K122/(I122*M122))*AEA)</f>
        <v/>
      </c>
      <c r="AC122" s="334">
        <f>(L122-(J122+N122))*radconv</f>
        <v/>
      </c>
      <c r="AE122" s="333">
        <f>20*LOG10((E122*G122/(C122*S122))*Acs*Am)</f>
        <v/>
      </c>
      <c r="AF122" s="334">
        <f>(F122+H122-(D122+T122))*radconv</f>
        <v/>
      </c>
      <c r="AH122">
        <f>SUM((U123&lt;0)*(U122&gt;0))*A122</f>
        <v/>
      </c>
      <c r="AI122">
        <f>IF(AH122&gt;0,W122,0)</f>
        <v/>
      </c>
    </row>
    <row r="123">
      <c r="A123" s="335" t="n">
        <v>6456.5</v>
      </c>
      <c r="B123" s="352">
        <f>A123/1000</f>
        <v/>
      </c>
      <c r="C123" s="1047">
        <f>SQRT(1+(A123/pole1)^2)</f>
        <v/>
      </c>
      <c r="D123" s="1048">
        <f>ATAN(A123/pole1)</f>
        <v/>
      </c>
      <c r="E123" s="1048">
        <f>SQRT(1+(A123/Zero1)^2)</f>
        <v/>
      </c>
      <c r="F123" s="1049">
        <f>ATAN(A123/Zero1)</f>
        <v/>
      </c>
      <c r="G123" s="1048">
        <f>IF(VIN_nom&gt;Vout, 1, SQRT(1+(A123/z_RHP)^2))</f>
        <v/>
      </c>
      <c r="H123" s="1049">
        <f>IF(VIN_nom&gt;Vout, 0, -ATAN(A123/z_RHP))</f>
        <v/>
      </c>
      <c r="I123" s="1047">
        <f>SQRT(1+(A123/Pole2)^2)</f>
        <v/>
      </c>
      <c r="J123" s="1050">
        <f>ATAN(A123/Pole2)</f>
        <v/>
      </c>
      <c r="K123" s="1056">
        <f>SQRT(1+(A123/Zero2)^2)</f>
        <v/>
      </c>
      <c r="L123" s="1057">
        <f>ATAN(A123/Zero2)</f>
        <v/>
      </c>
      <c r="M123" s="1047">
        <f>SQRT(1+(A123/pole4)^2)</f>
        <v/>
      </c>
      <c r="N123" s="1057">
        <f>ATAN(A123/pole4)</f>
        <v/>
      </c>
      <c r="O123" s="1058">
        <f>IF(VOUT_setting=1,1,SQRT(1+(A123*zterm1)^2))</f>
        <v/>
      </c>
      <c r="P123" s="1059">
        <f>IF(VOUT_setting=1,0,ATAN(((A123*zterm1))))</f>
        <v/>
      </c>
      <c r="Q123" s="1056">
        <f>IF(VOUT_setting=1,1,SQRT((1+Afbr-$Q$5*(A123)^2)^2+(A123*$Q$4)^2))</f>
        <v/>
      </c>
      <c r="R123" s="1060">
        <f>IF(VOUT_setting=1,0,ATAN(A123*$Q$4/(1+Afbr-$Q$5*(A123)^2)))</f>
        <v/>
      </c>
      <c r="S123" s="1054">
        <f>SQRT((1-(Z123/pterm2))^2+(A123/pterm1)^2)</f>
        <v/>
      </c>
      <c r="T123" s="1055">
        <f>IF((ATAN((A123/pterm1)/(1-A123^2/pterm2))&gt;0),ATAN((A123/pterm1)/(1-A123^2/pterm2)),PI()+ATAN((A123/pterm1)/(1-A123^2/pterm2)))</f>
        <v/>
      </c>
      <c r="U123" s="331">
        <f>20*LOG10(((E123*K123*G123*O123)/(C123*I123*S123*M123*Q123))*Adc)</f>
        <v/>
      </c>
      <c r="V123" s="332">
        <f>((F123+L123+H123+P123)-(D123+J123+T123+N123+R123))*radconv</f>
        <v/>
      </c>
      <c r="W123" s="334">
        <f>IF(V123&gt;0,V123,V123+180)</f>
        <v/>
      </c>
      <c r="Y123" s="307">
        <f>IF(U123&lt;0,A123,1000000000)</f>
        <v/>
      </c>
      <c r="Z123" s="307">
        <f>A123^2</f>
        <v/>
      </c>
      <c r="AB123" s="333">
        <f>20*LOG10((K123/(I123*M123))*AEA)</f>
        <v/>
      </c>
      <c r="AC123" s="334">
        <f>(L123-(J123+N123))*radconv</f>
        <v/>
      </c>
      <c r="AE123" s="333">
        <f>20*LOG10((E123*G123/(C123*S123))*Acs*Am)</f>
        <v/>
      </c>
      <c r="AF123" s="334">
        <f>(F123+H123-(D123+T123))*radconv</f>
        <v/>
      </c>
      <c r="AH123">
        <f>SUM((U124&lt;0)*(U123&gt;0))*A123</f>
        <v/>
      </c>
      <c r="AI123">
        <f>IF(AH123&gt;0,W123,0)</f>
        <v/>
      </c>
    </row>
    <row r="124">
      <c r="A124" s="335" t="n">
        <v>6531.7</v>
      </c>
      <c r="B124" s="352">
        <f>A124/1000</f>
        <v/>
      </c>
      <c r="C124" s="1047">
        <f>SQRT(1+(A124/pole1)^2)</f>
        <v/>
      </c>
      <c r="D124" s="1048">
        <f>ATAN(A124/pole1)</f>
        <v/>
      </c>
      <c r="E124" s="1048">
        <f>SQRT(1+(A124/Zero1)^2)</f>
        <v/>
      </c>
      <c r="F124" s="1049">
        <f>ATAN(A124/Zero1)</f>
        <v/>
      </c>
      <c r="G124" s="1048">
        <f>IF(VIN_nom&gt;Vout, 1, SQRT(1+(A124/z_RHP)^2))</f>
        <v/>
      </c>
      <c r="H124" s="1049">
        <f>IF(VIN_nom&gt;Vout, 0, -ATAN(A124/z_RHP))</f>
        <v/>
      </c>
      <c r="I124" s="1047">
        <f>SQRT(1+(A124/Pole2)^2)</f>
        <v/>
      </c>
      <c r="J124" s="1050">
        <f>ATAN(A124/Pole2)</f>
        <v/>
      </c>
      <c r="K124" s="1056">
        <f>SQRT(1+(A124/Zero2)^2)</f>
        <v/>
      </c>
      <c r="L124" s="1057">
        <f>ATAN(A124/Zero2)</f>
        <v/>
      </c>
      <c r="M124" s="1047">
        <f>SQRT(1+(A124/pole4)^2)</f>
        <v/>
      </c>
      <c r="N124" s="1057">
        <f>ATAN(A124/pole4)</f>
        <v/>
      </c>
      <c r="O124" s="1058">
        <f>IF(VOUT_setting=1,1,SQRT(1+(A124*zterm1)^2))</f>
        <v/>
      </c>
      <c r="P124" s="1059">
        <f>IF(VOUT_setting=1,0,ATAN(((A124*zterm1))))</f>
        <v/>
      </c>
      <c r="Q124" s="1056">
        <f>IF(VOUT_setting=1,1,SQRT((1+Afbr-$Q$5*(A124)^2)^2+(A124*$Q$4)^2))</f>
        <v/>
      </c>
      <c r="R124" s="1060">
        <f>IF(VOUT_setting=1,0,ATAN(A124*$Q$4/(1+Afbr-$Q$5*(A124)^2)))</f>
        <v/>
      </c>
      <c r="S124" s="1054">
        <f>SQRT((1-(Z124/pterm2))^2+(A124/pterm1)^2)</f>
        <v/>
      </c>
      <c r="T124" s="1055">
        <f>IF((ATAN((A124/pterm1)/(1-A124^2/pterm2))&gt;0),ATAN((A124/pterm1)/(1-A124^2/pterm2)),PI()+ATAN((A124/pterm1)/(1-A124^2/pterm2)))</f>
        <v/>
      </c>
      <c r="U124" s="331">
        <f>20*LOG10(((E124*K124*G124*O124)/(C124*I124*S124*M124*Q124))*Adc)</f>
        <v/>
      </c>
      <c r="V124" s="332">
        <f>((F124+L124+H124+P124)-(D124+J124+T124+N124+R124))*radconv</f>
        <v/>
      </c>
      <c r="W124" s="334">
        <f>IF(V124&gt;0,V124,V124+180)</f>
        <v/>
      </c>
      <c r="Y124" s="307">
        <f>IF(U124&lt;0,A124,1000000000)</f>
        <v/>
      </c>
      <c r="Z124" s="307">
        <f>A124^2</f>
        <v/>
      </c>
      <c r="AB124" s="333">
        <f>20*LOG10((K124/(I124*M124))*AEA)</f>
        <v/>
      </c>
      <c r="AC124" s="334">
        <f>(L124-(J124+N124))*radconv</f>
        <v/>
      </c>
      <c r="AE124" s="333">
        <f>20*LOG10((E124*G124/(C124*S124))*Acs*Am)</f>
        <v/>
      </c>
      <c r="AF124" s="334">
        <f>(F124+H124-(D124+T124))*radconv</f>
        <v/>
      </c>
      <c r="AH124">
        <f>SUM((U125&lt;0)*(U124&gt;0))*A124</f>
        <v/>
      </c>
      <c r="AI124">
        <f>IF(AH124&gt;0,W124,0)</f>
        <v/>
      </c>
    </row>
    <row r="125">
      <c r="A125" s="335" t="n">
        <v>6606.9</v>
      </c>
      <c r="B125" s="352">
        <f>A125/1000</f>
        <v/>
      </c>
      <c r="C125" s="1047">
        <f>SQRT(1+(A125/pole1)^2)</f>
        <v/>
      </c>
      <c r="D125" s="1048">
        <f>ATAN(A125/pole1)</f>
        <v/>
      </c>
      <c r="E125" s="1048">
        <f>SQRT(1+(A125/Zero1)^2)</f>
        <v/>
      </c>
      <c r="F125" s="1049">
        <f>ATAN(A125/Zero1)</f>
        <v/>
      </c>
      <c r="G125" s="1048">
        <f>IF(VIN_nom&gt;Vout, 1, SQRT(1+(A125/z_RHP)^2))</f>
        <v/>
      </c>
      <c r="H125" s="1049">
        <f>IF(VIN_nom&gt;Vout, 0, -ATAN(A125/z_RHP))</f>
        <v/>
      </c>
      <c r="I125" s="1047">
        <f>SQRT(1+(A125/Pole2)^2)</f>
        <v/>
      </c>
      <c r="J125" s="1050">
        <f>ATAN(A125/Pole2)</f>
        <v/>
      </c>
      <c r="K125" s="1056">
        <f>SQRT(1+(A125/Zero2)^2)</f>
        <v/>
      </c>
      <c r="L125" s="1057">
        <f>ATAN(A125/Zero2)</f>
        <v/>
      </c>
      <c r="M125" s="1047">
        <f>SQRT(1+(A125/pole4)^2)</f>
        <v/>
      </c>
      <c r="N125" s="1057">
        <f>ATAN(A125/pole4)</f>
        <v/>
      </c>
      <c r="O125" s="1058">
        <f>IF(VOUT_setting=1,1,SQRT(1+(A125*zterm1)^2))</f>
        <v/>
      </c>
      <c r="P125" s="1059">
        <f>IF(VOUT_setting=1,0,ATAN(((A125*zterm1))))</f>
        <v/>
      </c>
      <c r="Q125" s="1056">
        <f>IF(VOUT_setting=1,1,SQRT((1+Afbr-$Q$5*(A125)^2)^2+(A125*$Q$4)^2))</f>
        <v/>
      </c>
      <c r="R125" s="1060">
        <f>IF(VOUT_setting=1,0,ATAN(A125*$Q$4/(1+Afbr-$Q$5*(A125)^2)))</f>
        <v/>
      </c>
      <c r="S125" s="1054">
        <f>SQRT((1-(Z125/pterm2))^2+(A125/pterm1)^2)</f>
        <v/>
      </c>
      <c r="T125" s="1055">
        <f>IF((ATAN((A125/pterm1)/(1-A125^2/pterm2))&gt;0),ATAN((A125/pterm1)/(1-A125^2/pterm2)),PI()+ATAN((A125/pterm1)/(1-A125^2/pterm2)))</f>
        <v/>
      </c>
      <c r="U125" s="331">
        <f>20*LOG10(((E125*K125*G125*O125)/(C125*I125*S125*M125*Q125))*Adc)</f>
        <v/>
      </c>
      <c r="V125" s="332">
        <f>((F125+L125+H125+P125)-(D125+J125+T125+N125+R125))*radconv</f>
        <v/>
      </c>
      <c r="W125" s="334">
        <f>IF(V125&gt;0,V125,V125+180)</f>
        <v/>
      </c>
      <c r="Y125" s="307">
        <f>IF(U125&lt;0,A125,1000000000)</f>
        <v/>
      </c>
      <c r="Z125" s="307">
        <f>A125^2</f>
        <v/>
      </c>
      <c r="AB125" s="333">
        <f>20*LOG10((K125/(I125*M125))*AEA)</f>
        <v/>
      </c>
      <c r="AC125" s="334">
        <f>(L125-(J125+N125))*radconv</f>
        <v/>
      </c>
      <c r="AE125" s="333">
        <f>20*LOG10((E125*G125/(C125*S125))*Acs*Am)</f>
        <v/>
      </c>
      <c r="AF125" s="334">
        <f>(F125+H125-(D125+T125))*radconv</f>
        <v/>
      </c>
      <c r="AH125">
        <f>SUM((U126&lt;0)*(U125&gt;0))*A125</f>
        <v/>
      </c>
      <c r="AI125">
        <f>IF(AH125&gt;0,W125,0)</f>
        <v/>
      </c>
    </row>
    <row r="126">
      <c r="A126" s="335" t="n">
        <v>6683.85</v>
      </c>
      <c r="B126" s="352">
        <f>A126/1000</f>
        <v/>
      </c>
      <c r="C126" s="1047">
        <f>SQRT(1+(A126/pole1)^2)</f>
        <v/>
      </c>
      <c r="D126" s="1048">
        <f>ATAN(A126/pole1)</f>
        <v/>
      </c>
      <c r="E126" s="1048">
        <f>SQRT(1+(A126/Zero1)^2)</f>
        <v/>
      </c>
      <c r="F126" s="1049">
        <f>ATAN(A126/Zero1)</f>
        <v/>
      </c>
      <c r="G126" s="1048">
        <f>IF(VIN_nom&gt;Vout, 1, SQRT(1+(A126/z_RHP)^2))</f>
        <v/>
      </c>
      <c r="H126" s="1049">
        <f>IF(VIN_nom&gt;Vout, 0, -ATAN(A126/z_RHP))</f>
        <v/>
      </c>
      <c r="I126" s="1047">
        <f>SQRT(1+(A126/Pole2)^2)</f>
        <v/>
      </c>
      <c r="J126" s="1050">
        <f>ATAN(A126/Pole2)</f>
        <v/>
      </c>
      <c r="K126" s="1056">
        <f>SQRT(1+(A126/Zero2)^2)</f>
        <v/>
      </c>
      <c r="L126" s="1057">
        <f>ATAN(A126/Zero2)</f>
        <v/>
      </c>
      <c r="M126" s="1047">
        <f>SQRT(1+(A126/pole4)^2)</f>
        <v/>
      </c>
      <c r="N126" s="1057">
        <f>ATAN(A126/pole4)</f>
        <v/>
      </c>
      <c r="O126" s="1058">
        <f>IF(VOUT_setting=1,1,SQRT(1+(A126*zterm1)^2))</f>
        <v/>
      </c>
      <c r="P126" s="1059">
        <f>IF(VOUT_setting=1,0,ATAN(((A126*zterm1))))</f>
        <v/>
      </c>
      <c r="Q126" s="1056">
        <f>IF(VOUT_setting=1,1,SQRT((1+Afbr-$Q$5*(A126)^2)^2+(A126*$Q$4)^2))</f>
        <v/>
      </c>
      <c r="R126" s="1060">
        <f>IF(VOUT_setting=1,0,ATAN(A126*$Q$4/(1+Afbr-$Q$5*(A126)^2)))</f>
        <v/>
      </c>
      <c r="S126" s="1054">
        <f>SQRT((1-(Z126/pterm2))^2+(A126/pterm1)^2)</f>
        <v/>
      </c>
      <c r="T126" s="1055">
        <f>IF((ATAN((A126/pterm1)/(1-A126^2/pterm2))&gt;0),ATAN((A126/pterm1)/(1-A126^2/pterm2)),PI()+ATAN((A126/pterm1)/(1-A126^2/pterm2)))</f>
        <v/>
      </c>
      <c r="U126" s="331">
        <f>20*LOG10(((E126*K126*G126*O126)/(C126*I126*S126*M126*Q126))*Adc)</f>
        <v/>
      </c>
      <c r="V126" s="332">
        <f>((F126+L126+H126+P126)-(D126+J126+T126+N126+R126))*radconv</f>
        <v/>
      </c>
      <c r="W126" s="334">
        <f>IF(V126&gt;0,V126,V126+180)</f>
        <v/>
      </c>
      <c r="Y126" s="307">
        <f>IF(U126&lt;0,A126,1000000000)</f>
        <v/>
      </c>
      <c r="Z126" s="307">
        <f>A126^2</f>
        <v/>
      </c>
      <c r="AB126" s="333">
        <f>20*LOG10((K126/(I126*M126))*AEA)</f>
        <v/>
      </c>
      <c r="AC126" s="334">
        <f>(L126-(J126+N126))*radconv</f>
        <v/>
      </c>
      <c r="AE126" s="333">
        <f>20*LOG10((E126*G126/(C126*S126))*Acs*Am)</f>
        <v/>
      </c>
      <c r="AF126" s="334">
        <f>(F126+H126-(D126+T126))*radconv</f>
        <v/>
      </c>
      <c r="AH126">
        <f>SUM((U127&lt;0)*(U126&gt;0))*A126</f>
        <v/>
      </c>
      <c r="AI126">
        <f>IF(AH126&gt;0,W126,0)</f>
        <v/>
      </c>
    </row>
    <row r="127">
      <c r="A127" s="335" t="n">
        <v>6760.8</v>
      </c>
      <c r="B127" s="352">
        <f>A127/1000</f>
        <v/>
      </c>
      <c r="C127" s="1047">
        <f>SQRT(1+(A127/pole1)^2)</f>
        <v/>
      </c>
      <c r="D127" s="1048">
        <f>ATAN(A127/pole1)</f>
        <v/>
      </c>
      <c r="E127" s="1048">
        <f>SQRT(1+(A127/Zero1)^2)</f>
        <v/>
      </c>
      <c r="F127" s="1049">
        <f>ATAN(A127/Zero1)</f>
        <v/>
      </c>
      <c r="G127" s="1048">
        <f>IF(VIN_nom&gt;Vout, 1, SQRT(1+(A127/z_RHP)^2))</f>
        <v/>
      </c>
      <c r="H127" s="1049">
        <f>IF(VIN_nom&gt;Vout, 0, -ATAN(A127/z_RHP))</f>
        <v/>
      </c>
      <c r="I127" s="1047">
        <f>SQRT(1+(A127/Pole2)^2)</f>
        <v/>
      </c>
      <c r="J127" s="1050">
        <f>ATAN(A127/Pole2)</f>
        <v/>
      </c>
      <c r="K127" s="1056">
        <f>SQRT(1+(A127/Zero2)^2)</f>
        <v/>
      </c>
      <c r="L127" s="1057">
        <f>ATAN(A127/Zero2)</f>
        <v/>
      </c>
      <c r="M127" s="1047">
        <f>SQRT(1+(A127/pole4)^2)</f>
        <v/>
      </c>
      <c r="N127" s="1057">
        <f>ATAN(A127/pole4)</f>
        <v/>
      </c>
      <c r="O127" s="1058">
        <f>IF(VOUT_setting=1,1,SQRT(1+(A127*zterm1)^2))</f>
        <v/>
      </c>
      <c r="P127" s="1059">
        <f>IF(VOUT_setting=1,0,ATAN(((A127*zterm1))))</f>
        <v/>
      </c>
      <c r="Q127" s="1056">
        <f>IF(VOUT_setting=1,1,SQRT((1+Afbr-$Q$5*(A127)^2)^2+(A127*$Q$4)^2))</f>
        <v/>
      </c>
      <c r="R127" s="1060">
        <f>IF(VOUT_setting=1,0,ATAN(A127*$Q$4/(1+Afbr-$Q$5*(A127)^2)))</f>
        <v/>
      </c>
      <c r="S127" s="1054">
        <f>SQRT((1-(Z127/pterm2))^2+(A127/pterm1)^2)</f>
        <v/>
      </c>
      <c r="T127" s="1055">
        <f>IF((ATAN((A127/pterm1)/(1-A127^2/pterm2))&gt;0),ATAN((A127/pterm1)/(1-A127^2/pterm2)),PI()+ATAN((A127/pterm1)/(1-A127^2/pterm2)))</f>
        <v/>
      </c>
      <c r="U127" s="331">
        <f>20*LOG10(((E127*K127*G127*O127)/(C127*I127*S127*M127*Q127))*Adc)</f>
        <v/>
      </c>
      <c r="V127" s="332">
        <f>((F127+L127+H127+P127)-(D127+J127+T127+N127+R127))*radconv</f>
        <v/>
      </c>
      <c r="W127" s="334">
        <f>IF(V127&gt;0,V127,V127+180)</f>
        <v/>
      </c>
      <c r="Y127" s="307">
        <f>IF(U127&lt;0,A127,1000000000)</f>
        <v/>
      </c>
      <c r="Z127" s="307">
        <f>A127^2</f>
        <v/>
      </c>
      <c r="AB127" s="333">
        <f>20*LOG10((K127/(I127*M127))*AEA)</f>
        <v/>
      </c>
      <c r="AC127" s="334">
        <f>(L127-(J127+N127))*radconv</f>
        <v/>
      </c>
      <c r="AE127" s="333">
        <f>20*LOG10((E127*G127/(C127*S127))*Acs*Am)</f>
        <v/>
      </c>
      <c r="AF127" s="334">
        <f>(F127+H127-(D127+T127))*radconv</f>
        <v/>
      </c>
      <c r="AH127">
        <f>SUM((U128&lt;0)*(U127&gt;0))*A127</f>
        <v/>
      </c>
      <c r="AI127">
        <f>IF(AH127&gt;0,W127,0)</f>
        <v/>
      </c>
    </row>
    <row r="128">
      <c r="A128" s="335" t="n">
        <v>6839.55</v>
      </c>
      <c r="B128" s="352">
        <f>A128/1000</f>
        <v/>
      </c>
      <c r="C128" s="1047">
        <f>SQRT(1+(A128/pole1)^2)</f>
        <v/>
      </c>
      <c r="D128" s="1048">
        <f>ATAN(A128/pole1)</f>
        <v/>
      </c>
      <c r="E128" s="1048">
        <f>SQRT(1+(A128/Zero1)^2)</f>
        <v/>
      </c>
      <c r="F128" s="1049">
        <f>ATAN(A128/Zero1)</f>
        <v/>
      </c>
      <c r="G128" s="1048">
        <f>IF(VIN_nom&gt;Vout, 1, SQRT(1+(A128/z_RHP)^2))</f>
        <v/>
      </c>
      <c r="H128" s="1049">
        <f>IF(VIN_nom&gt;Vout, 0, -ATAN(A128/z_RHP))</f>
        <v/>
      </c>
      <c r="I128" s="1047">
        <f>SQRT(1+(A128/Pole2)^2)</f>
        <v/>
      </c>
      <c r="J128" s="1050">
        <f>ATAN(A128/Pole2)</f>
        <v/>
      </c>
      <c r="K128" s="1056">
        <f>SQRT(1+(A128/Zero2)^2)</f>
        <v/>
      </c>
      <c r="L128" s="1057">
        <f>ATAN(A128/Zero2)</f>
        <v/>
      </c>
      <c r="M128" s="1047">
        <f>SQRT(1+(A128/pole4)^2)</f>
        <v/>
      </c>
      <c r="N128" s="1057">
        <f>ATAN(A128/pole4)</f>
        <v/>
      </c>
      <c r="O128" s="1058">
        <f>IF(VOUT_setting=1,1,SQRT(1+(A128*zterm1)^2))</f>
        <v/>
      </c>
      <c r="P128" s="1059">
        <f>IF(VOUT_setting=1,0,ATAN(((A128*zterm1))))</f>
        <v/>
      </c>
      <c r="Q128" s="1056">
        <f>IF(VOUT_setting=1,1,SQRT((1+Afbr-$Q$5*(A128)^2)^2+(A128*$Q$4)^2))</f>
        <v/>
      </c>
      <c r="R128" s="1060">
        <f>IF(VOUT_setting=1,0,ATAN(A128*$Q$4/(1+Afbr-$Q$5*(A128)^2)))</f>
        <v/>
      </c>
      <c r="S128" s="1054">
        <f>SQRT((1-(Z128/pterm2))^2+(A128/pterm1)^2)</f>
        <v/>
      </c>
      <c r="T128" s="1055">
        <f>IF((ATAN((A128/pterm1)/(1-A128^2/pterm2))&gt;0),ATAN((A128/pterm1)/(1-A128^2/pterm2)),PI()+ATAN((A128/pterm1)/(1-A128^2/pterm2)))</f>
        <v/>
      </c>
      <c r="U128" s="331">
        <f>20*LOG10(((E128*K128*G128*O128)/(C128*I128*S128*M128*Q128))*Adc)</f>
        <v/>
      </c>
      <c r="V128" s="332">
        <f>((F128+L128+H128+P128)-(D128+J128+T128+N128+R128))*radconv</f>
        <v/>
      </c>
      <c r="W128" s="334">
        <f>IF(V128&gt;0,V128,V128+180)</f>
        <v/>
      </c>
      <c r="Y128" s="307">
        <f>IF(U128&lt;0,A128,1000000000)</f>
        <v/>
      </c>
      <c r="Z128" s="307">
        <f>A128^2</f>
        <v/>
      </c>
      <c r="AB128" s="333">
        <f>20*LOG10((K128/(I128*M128))*AEA)</f>
        <v/>
      </c>
      <c r="AC128" s="334">
        <f>(L128-(J128+N128))*radconv</f>
        <v/>
      </c>
      <c r="AE128" s="333">
        <f>20*LOG10((E128*G128/(C128*S128))*Acs*Am)</f>
        <v/>
      </c>
      <c r="AF128" s="334">
        <f>(F128+H128-(D128+T128))*radconv</f>
        <v/>
      </c>
      <c r="AH128">
        <f>SUM((U129&lt;0)*(U128&gt;0))*A128</f>
        <v/>
      </c>
      <c r="AI128">
        <f>IF(AH128&gt;0,W128,0)</f>
        <v/>
      </c>
    </row>
    <row r="129">
      <c r="A129" s="335" t="n">
        <v>6918.3</v>
      </c>
      <c r="B129" s="352">
        <f>A129/1000</f>
        <v/>
      </c>
      <c r="C129" s="1047">
        <f>SQRT(1+(A129/pole1)^2)</f>
        <v/>
      </c>
      <c r="D129" s="1048">
        <f>ATAN(A129/pole1)</f>
        <v/>
      </c>
      <c r="E129" s="1048">
        <f>SQRT(1+(A129/Zero1)^2)</f>
        <v/>
      </c>
      <c r="F129" s="1049">
        <f>ATAN(A129/Zero1)</f>
        <v/>
      </c>
      <c r="G129" s="1048">
        <f>IF(VIN_nom&gt;Vout, 1, SQRT(1+(A129/z_RHP)^2))</f>
        <v/>
      </c>
      <c r="H129" s="1049">
        <f>IF(VIN_nom&gt;Vout, 0, -ATAN(A129/z_RHP))</f>
        <v/>
      </c>
      <c r="I129" s="1047">
        <f>SQRT(1+(A129/Pole2)^2)</f>
        <v/>
      </c>
      <c r="J129" s="1050">
        <f>ATAN(A129/Pole2)</f>
        <v/>
      </c>
      <c r="K129" s="1056">
        <f>SQRT(1+(A129/Zero2)^2)</f>
        <v/>
      </c>
      <c r="L129" s="1057">
        <f>ATAN(A129/Zero2)</f>
        <v/>
      </c>
      <c r="M129" s="1047">
        <f>SQRT(1+(A129/pole4)^2)</f>
        <v/>
      </c>
      <c r="N129" s="1057">
        <f>ATAN(A129/pole4)</f>
        <v/>
      </c>
      <c r="O129" s="1058">
        <f>IF(VOUT_setting=1,1,SQRT(1+(A129*zterm1)^2))</f>
        <v/>
      </c>
      <c r="P129" s="1059">
        <f>IF(VOUT_setting=1,0,ATAN(((A129*zterm1))))</f>
        <v/>
      </c>
      <c r="Q129" s="1056">
        <f>IF(VOUT_setting=1,1,SQRT((1+Afbr-$Q$5*(A129)^2)^2+(A129*$Q$4)^2))</f>
        <v/>
      </c>
      <c r="R129" s="1060">
        <f>IF(VOUT_setting=1,0,ATAN(A129*$Q$4/(1+Afbr-$Q$5*(A129)^2)))</f>
        <v/>
      </c>
      <c r="S129" s="1054">
        <f>SQRT((1-(Z129/pterm2))^2+(A129/pterm1)^2)</f>
        <v/>
      </c>
      <c r="T129" s="1055">
        <f>IF((ATAN((A129/pterm1)/(1-A129^2/pterm2))&gt;0),ATAN((A129/pterm1)/(1-A129^2/pterm2)),PI()+ATAN((A129/pterm1)/(1-A129^2/pterm2)))</f>
        <v/>
      </c>
      <c r="U129" s="331">
        <f>20*LOG10(((E129*K129*G129*O129)/(C129*I129*S129*M129*Q129))*Adc)</f>
        <v/>
      </c>
      <c r="V129" s="332">
        <f>((F129+L129+H129+P129)-(D129+J129+T129+N129+R129))*radconv</f>
        <v/>
      </c>
      <c r="W129" s="334">
        <f>IF(V129&gt;0,V129,V129+180)</f>
        <v/>
      </c>
      <c r="Y129" s="307">
        <f>IF(U129&lt;0,A129,1000000000)</f>
        <v/>
      </c>
      <c r="Z129" s="307">
        <f>A129^2</f>
        <v/>
      </c>
      <c r="AB129" s="333">
        <f>20*LOG10((K129/(I129*M129))*AEA)</f>
        <v/>
      </c>
      <c r="AC129" s="334">
        <f>(L129-(J129+N129))*radconv</f>
        <v/>
      </c>
      <c r="AE129" s="333">
        <f>20*LOG10((E129*G129/(C129*S129))*Acs*Am)</f>
        <v/>
      </c>
      <c r="AF129" s="334">
        <f>(F129+H129-(D129+T129))*radconv</f>
        <v/>
      </c>
      <c r="AH129">
        <f>SUM((U130&lt;0)*(U129&gt;0))*A129</f>
        <v/>
      </c>
      <c r="AI129">
        <f>IF(AH129&gt;0,W129,0)</f>
        <v/>
      </c>
    </row>
    <row r="130">
      <c r="A130" s="335" t="n">
        <v>6998.9</v>
      </c>
      <c r="B130" s="352">
        <f>A130/1000</f>
        <v/>
      </c>
      <c r="C130" s="1047">
        <f>SQRT(1+(A130/pole1)^2)</f>
        <v/>
      </c>
      <c r="D130" s="1048">
        <f>ATAN(A130/pole1)</f>
        <v/>
      </c>
      <c r="E130" s="1048">
        <f>SQRT(1+(A130/Zero1)^2)</f>
        <v/>
      </c>
      <c r="F130" s="1049">
        <f>ATAN(A130/Zero1)</f>
        <v/>
      </c>
      <c r="G130" s="1048">
        <f>IF(VIN_nom&gt;Vout, 1, SQRT(1+(A130/z_RHP)^2))</f>
        <v/>
      </c>
      <c r="H130" s="1049">
        <f>IF(VIN_nom&gt;Vout, 0, -ATAN(A130/z_RHP))</f>
        <v/>
      </c>
      <c r="I130" s="1047">
        <f>SQRT(1+(A130/Pole2)^2)</f>
        <v/>
      </c>
      <c r="J130" s="1050">
        <f>ATAN(A130/Pole2)</f>
        <v/>
      </c>
      <c r="K130" s="1056">
        <f>SQRT(1+(A130/Zero2)^2)</f>
        <v/>
      </c>
      <c r="L130" s="1057">
        <f>ATAN(A130/Zero2)</f>
        <v/>
      </c>
      <c r="M130" s="1047">
        <f>SQRT(1+(A130/pole4)^2)</f>
        <v/>
      </c>
      <c r="N130" s="1057">
        <f>ATAN(A130/pole4)</f>
        <v/>
      </c>
      <c r="O130" s="1058">
        <f>IF(VOUT_setting=1,1,SQRT(1+(A130*zterm1)^2))</f>
        <v/>
      </c>
      <c r="P130" s="1059">
        <f>IF(VOUT_setting=1,0,ATAN(((A130*zterm1))))</f>
        <v/>
      </c>
      <c r="Q130" s="1056">
        <f>IF(VOUT_setting=1,1,SQRT((1+Afbr-$Q$5*(A130)^2)^2+(A130*$Q$4)^2))</f>
        <v/>
      </c>
      <c r="R130" s="1060">
        <f>IF(VOUT_setting=1,0,ATAN(A130*$Q$4/(1+Afbr-$Q$5*(A130)^2)))</f>
        <v/>
      </c>
      <c r="S130" s="1054">
        <f>SQRT((1-(Z130/pterm2))^2+(A130/pterm1)^2)</f>
        <v/>
      </c>
      <c r="T130" s="1055">
        <f>IF((ATAN((A130/pterm1)/(1-A130^2/pterm2))&gt;0),ATAN((A130/pterm1)/(1-A130^2/pterm2)),PI()+ATAN((A130/pterm1)/(1-A130^2/pterm2)))</f>
        <v/>
      </c>
      <c r="U130" s="331">
        <f>20*LOG10(((E130*K130*G130*O130)/(C130*I130*S130*M130*Q130))*Adc)</f>
        <v/>
      </c>
      <c r="V130" s="332">
        <f>((F130+L130+H130+P130)-(D130+J130+T130+N130+R130))*radconv</f>
        <v/>
      </c>
      <c r="W130" s="334">
        <f>IF(V130&gt;0,V130,V130+180)</f>
        <v/>
      </c>
      <c r="Y130" s="307">
        <f>IF(U130&lt;0,A130,1000000000)</f>
        <v/>
      </c>
      <c r="Z130" s="307">
        <f>A130^2</f>
        <v/>
      </c>
      <c r="AB130" s="333">
        <f>20*LOG10((K130/(I130*M130))*AEA)</f>
        <v/>
      </c>
      <c r="AC130" s="334">
        <f>(L130-(J130+N130))*radconv</f>
        <v/>
      </c>
      <c r="AE130" s="333">
        <f>20*LOG10((E130*G130/(C130*S130))*Acs*Am)</f>
        <v/>
      </c>
      <c r="AF130" s="334">
        <f>(F130+H130-(D130+T130))*radconv</f>
        <v/>
      </c>
      <c r="AH130">
        <f>SUM((U131&lt;0)*(U130&gt;0))*A130</f>
        <v/>
      </c>
      <c r="AI130">
        <f>IF(AH130&gt;0,W130,0)</f>
        <v/>
      </c>
    </row>
    <row r="131">
      <c r="A131" s="335" t="n">
        <v>7079.5</v>
      </c>
      <c r="B131" s="352">
        <f>A131/1000</f>
        <v/>
      </c>
      <c r="C131" s="1047">
        <f>SQRT(1+(A131/pole1)^2)</f>
        <v/>
      </c>
      <c r="D131" s="1048">
        <f>ATAN(A131/pole1)</f>
        <v/>
      </c>
      <c r="E131" s="1048">
        <f>SQRT(1+(A131/Zero1)^2)</f>
        <v/>
      </c>
      <c r="F131" s="1049">
        <f>ATAN(A131/Zero1)</f>
        <v/>
      </c>
      <c r="G131" s="1048">
        <f>IF(VIN_nom&gt;Vout, 1, SQRT(1+(A131/z_RHP)^2))</f>
        <v/>
      </c>
      <c r="H131" s="1049">
        <f>IF(VIN_nom&gt;Vout, 0, -ATAN(A131/z_RHP))</f>
        <v/>
      </c>
      <c r="I131" s="1047">
        <f>SQRT(1+(A131/Pole2)^2)</f>
        <v/>
      </c>
      <c r="J131" s="1050">
        <f>ATAN(A131/Pole2)</f>
        <v/>
      </c>
      <c r="K131" s="1056">
        <f>SQRT(1+(A131/Zero2)^2)</f>
        <v/>
      </c>
      <c r="L131" s="1057">
        <f>ATAN(A131/Zero2)</f>
        <v/>
      </c>
      <c r="M131" s="1047">
        <f>SQRT(1+(A131/pole4)^2)</f>
        <v/>
      </c>
      <c r="N131" s="1057">
        <f>ATAN(A131/pole4)</f>
        <v/>
      </c>
      <c r="O131" s="1058">
        <f>IF(VOUT_setting=1,1,SQRT(1+(A131*zterm1)^2))</f>
        <v/>
      </c>
      <c r="P131" s="1059">
        <f>IF(VOUT_setting=1,0,ATAN(((A131*zterm1))))</f>
        <v/>
      </c>
      <c r="Q131" s="1056">
        <f>IF(VOUT_setting=1,1,SQRT((1+Afbr-$Q$5*(A131)^2)^2+(A131*$Q$4)^2))</f>
        <v/>
      </c>
      <c r="R131" s="1060">
        <f>IF(VOUT_setting=1,0,ATAN(A131*$Q$4/(1+Afbr-$Q$5*(A131)^2)))</f>
        <v/>
      </c>
      <c r="S131" s="1054">
        <f>SQRT((1-(Z131/pterm2))^2+(A131/pterm1)^2)</f>
        <v/>
      </c>
      <c r="T131" s="1055">
        <f>IF((ATAN((A131/pterm1)/(1-A131^2/pterm2))&gt;0),ATAN((A131/pterm1)/(1-A131^2/pterm2)),PI()+ATAN((A131/pterm1)/(1-A131^2/pterm2)))</f>
        <v/>
      </c>
      <c r="U131" s="331">
        <f>20*LOG10(((E131*K131*G131*O131)/(C131*I131*S131*M131*Q131))*Adc)</f>
        <v/>
      </c>
      <c r="V131" s="332">
        <f>((F131+L131+H131+P131)-(D131+J131+T131+N131+R131))*radconv</f>
        <v/>
      </c>
      <c r="W131" s="334">
        <f>IF(V131&gt;0,V131,V131+180)</f>
        <v/>
      </c>
      <c r="Y131" s="307">
        <f>IF(U131&lt;0,A131,1000000000)</f>
        <v/>
      </c>
      <c r="Z131" s="307">
        <f>A131^2</f>
        <v/>
      </c>
      <c r="AB131" s="333">
        <f>20*LOG10((K131/(I131*M131))*AEA)</f>
        <v/>
      </c>
      <c r="AC131" s="334">
        <f>(L131-(J131+N131))*radconv</f>
        <v/>
      </c>
      <c r="AE131" s="333">
        <f>20*LOG10((E131*G131/(C131*S131))*Acs*Am)</f>
        <v/>
      </c>
      <c r="AF131" s="334">
        <f>(F131+H131-(D131+T131))*radconv</f>
        <v/>
      </c>
      <c r="AH131">
        <f>SUM((U132&lt;0)*(U131&gt;0))*A131</f>
        <v/>
      </c>
      <c r="AI131">
        <f>IF(AH131&gt;0,W131,0)</f>
        <v/>
      </c>
    </row>
    <row r="132">
      <c r="A132" s="335" t="n">
        <v>7161.95</v>
      </c>
      <c r="B132" s="352">
        <f>A132/1000</f>
        <v/>
      </c>
      <c r="C132" s="1047">
        <f>SQRT(1+(A132/pole1)^2)</f>
        <v/>
      </c>
      <c r="D132" s="1048">
        <f>ATAN(A132/pole1)</f>
        <v/>
      </c>
      <c r="E132" s="1048">
        <f>SQRT(1+(A132/Zero1)^2)</f>
        <v/>
      </c>
      <c r="F132" s="1049">
        <f>ATAN(A132/Zero1)</f>
        <v/>
      </c>
      <c r="G132" s="1048">
        <f>IF(VIN_nom&gt;Vout, 1, SQRT(1+(A132/z_RHP)^2))</f>
        <v/>
      </c>
      <c r="H132" s="1049">
        <f>IF(VIN_nom&gt;Vout, 0, -ATAN(A132/z_RHP))</f>
        <v/>
      </c>
      <c r="I132" s="1047">
        <f>SQRT(1+(A132/Pole2)^2)</f>
        <v/>
      </c>
      <c r="J132" s="1050">
        <f>ATAN(A132/Pole2)</f>
        <v/>
      </c>
      <c r="K132" s="1056">
        <f>SQRT(1+(A132/Zero2)^2)</f>
        <v/>
      </c>
      <c r="L132" s="1057">
        <f>ATAN(A132/Zero2)</f>
        <v/>
      </c>
      <c r="M132" s="1047">
        <f>SQRT(1+(A132/pole4)^2)</f>
        <v/>
      </c>
      <c r="N132" s="1057">
        <f>ATAN(A132/pole4)</f>
        <v/>
      </c>
      <c r="O132" s="1058">
        <f>IF(VOUT_setting=1,1,SQRT(1+(A132*zterm1)^2))</f>
        <v/>
      </c>
      <c r="P132" s="1059">
        <f>IF(VOUT_setting=1,0,ATAN(((A132*zterm1))))</f>
        <v/>
      </c>
      <c r="Q132" s="1056">
        <f>IF(VOUT_setting=1,1,SQRT((1+Afbr-$Q$5*(A132)^2)^2+(A132*$Q$4)^2))</f>
        <v/>
      </c>
      <c r="R132" s="1060">
        <f>IF(VOUT_setting=1,0,ATAN(A132*$Q$4/(1+Afbr-$Q$5*(A132)^2)))</f>
        <v/>
      </c>
      <c r="S132" s="1054">
        <f>SQRT((1-(Z132/pterm2))^2+(A132/pterm1)^2)</f>
        <v/>
      </c>
      <c r="T132" s="1055">
        <f>IF((ATAN((A132/pterm1)/(1-A132^2/pterm2))&gt;0),ATAN((A132/pterm1)/(1-A132^2/pterm2)),PI()+ATAN((A132/pterm1)/(1-A132^2/pterm2)))</f>
        <v/>
      </c>
      <c r="U132" s="331">
        <f>20*LOG10(((E132*K132*G132*O132)/(C132*I132*S132*M132*Q132))*Adc)</f>
        <v/>
      </c>
      <c r="V132" s="332">
        <f>((F132+L132+H132+P132)-(D132+J132+T132+N132+R132))*radconv</f>
        <v/>
      </c>
      <c r="W132" s="334">
        <f>IF(V132&gt;0,V132,V132+180)</f>
        <v/>
      </c>
      <c r="Y132" s="307">
        <f>IF(U132&lt;0,A132,1000000000)</f>
        <v/>
      </c>
      <c r="Z132" s="307">
        <f>A132^2</f>
        <v/>
      </c>
      <c r="AB132" s="333">
        <f>20*LOG10((K132/(I132*M132))*AEA)</f>
        <v/>
      </c>
      <c r="AC132" s="334">
        <f>(L132-(J132+N132))*radconv</f>
        <v/>
      </c>
      <c r="AE132" s="333">
        <f>20*LOG10((E132*G132/(C132*S132))*Acs*Am)</f>
        <v/>
      </c>
      <c r="AF132" s="334">
        <f>(F132+H132-(D132+T132))*radconv</f>
        <v/>
      </c>
      <c r="AH132">
        <f>SUM((U133&lt;0)*(U132&gt;0))*A132</f>
        <v/>
      </c>
      <c r="AI132">
        <f>IF(AH132&gt;0,W132,0)</f>
        <v/>
      </c>
    </row>
    <row r="133">
      <c r="A133" s="335" t="n">
        <v>7244.4</v>
      </c>
      <c r="B133" s="352">
        <f>A133/1000</f>
        <v/>
      </c>
      <c r="C133" s="1047">
        <f>SQRT(1+(A133/pole1)^2)</f>
        <v/>
      </c>
      <c r="D133" s="1048">
        <f>ATAN(A133/pole1)</f>
        <v/>
      </c>
      <c r="E133" s="1048">
        <f>SQRT(1+(A133/Zero1)^2)</f>
        <v/>
      </c>
      <c r="F133" s="1049">
        <f>ATAN(A133/Zero1)</f>
        <v/>
      </c>
      <c r="G133" s="1048">
        <f>IF(VIN_nom&gt;Vout, 1, SQRT(1+(A133/z_RHP)^2))</f>
        <v/>
      </c>
      <c r="H133" s="1049">
        <f>IF(VIN_nom&gt;Vout, 0, -ATAN(A133/z_RHP))</f>
        <v/>
      </c>
      <c r="I133" s="1047">
        <f>SQRT(1+(A133/Pole2)^2)</f>
        <v/>
      </c>
      <c r="J133" s="1050">
        <f>ATAN(A133/Pole2)</f>
        <v/>
      </c>
      <c r="K133" s="1056">
        <f>SQRT(1+(A133/Zero2)^2)</f>
        <v/>
      </c>
      <c r="L133" s="1057">
        <f>ATAN(A133/Zero2)</f>
        <v/>
      </c>
      <c r="M133" s="1047">
        <f>SQRT(1+(A133/pole4)^2)</f>
        <v/>
      </c>
      <c r="N133" s="1057">
        <f>ATAN(A133/pole4)</f>
        <v/>
      </c>
      <c r="O133" s="1058">
        <f>IF(VOUT_setting=1,1,SQRT(1+(A133*zterm1)^2))</f>
        <v/>
      </c>
      <c r="P133" s="1059">
        <f>IF(VOUT_setting=1,0,ATAN(((A133*zterm1))))</f>
        <v/>
      </c>
      <c r="Q133" s="1056">
        <f>IF(VOUT_setting=1,1,SQRT((1+Afbr-$Q$5*(A133)^2)^2+(A133*$Q$4)^2))</f>
        <v/>
      </c>
      <c r="R133" s="1060">
        <f>IF(VOUT_setting=1,0,ATAN(A133*$Q$4/(1+Afbr-$Q$5*(A133)^2)))</f>
        <v/>
      </c>
      <c r="S133" s="1054">
        <f>SQRT((1-(Z133/pterm2))^2+(A133/pterm1)^2)</f>
        <v/>
      </c>
      <c r="T133" s="1055">
        <f>IF((ATAN((A133/pterm1)/(1-A133^2/pterm2))&gt;0),ATAN((A133/pterm1)/(1-A133^2/pterm2)),PI()+ATAN((A133/pterm1)/(1-A133^2/pterm2)))</f>
        <v/>
      </c>
      <c r="U133" s="331">
        <f>20*LOG10(((E133*K133*G133*O133)/(C133*I133*S133*M133*Q133))*Adc)</f>
        <v/>
      </c>
      <c r="V133" s="332">
        <f>((F133+L133+H133+P133)-(D133+J133+T133+N133+R133))*radconv</f>
        <v/>
      </c>
      <c r="W133" s="334">
        <f>IF(V133&gt;0,V133,V133+180)</f>
        <v/>
      </c>
      <c r="Y133" s="307">
        <f>IF(U133&lt;0,A133,1000000000)</f>
        <v/>
      </c>
      <c r="Z133" s="307">
        <f>A133^2</f>
        <v/>
      </c>
      <c r="AB133" s="333">
        <f>20*LOG10((K133/(I133*M133))*AEA)</f>
        <v/>
      </c>
      <c r="AC133" s="334">
        <f>(L133-(J133+N133))*radconv</f>
        <v/>
      </c>
      <c r="AE133" s="333">
        <f>20*LOG10((E133*G133/(C133*S133))*Acs*Am)</f>
        <v/>
      </c>
      <c r="AF133" s="334">
        <f>(F133+H133-(D133+T133))*radconv</f>
        <v/>
      </c>
      <c r="AH133">
        <f>SUM((U134&lt;0)*(U133&gt;0))*A133</f>
        <v/>
      </c>
      <c r="AI133">
        <f>IF(AH133&gt;0,W133,0)</f>
        <v/>
      </c>
    </row>
    <row r="134">
      <c r="A134" s="335" t="n">
        <v>7328.75</v>
      </c>
      <c r="B134" s="352">
        <f>A134/1000</f>
        <v/>
      </c>
      <c r="C134" s="1047">
        <f>SQRT(1+(A134/pole1)^2)</f>
        <v/>
      </c>
      <c r="D134" s="1048">
        <f>ATAN(A134/pole1)</f>
        <v/>
      </c>
      <c r="E134" s="1048">
        <f>SQRT(1+(A134/Zero1)^2)</f>
        <v/>
      </c>
      <c r="F134" s="1049">
        <f>ATAN(A134/Zero1)</f>
        <v/>
      </c>
      <c r="G134" s="1048">
        <f>IF(VIN_nom&gt;Vout, 1, SQRT(1+(A134/z_RHP)^2))</f>
        <v/>
      </c>
      <c r="H134" s="1049">
        <f>IF(VIN_nom&gt;Vout, 0, -ATAN(A134/z_RHP))</f>
        <v/>
      </c>
      <c r="I134" s="1047">
        <f>SQRT(1+(A134/Pole2)^2)</f>
        <v/>
      </c>
      <c r="J134" s="1050">
        <f>ATAN(A134/Pole2)</f>
        <v/>
      </c>
      <c r="K134" s="1056">
        <f>SQRT(1+(A134/Zero2)^2)</f>
        <v/>
      </c>
      <c r="L134" s="1057">
        <f>ATAN(A134/Zero2)</f>
        <v/>
      </c>
      <c r="M134" s="1047">
        <f>SQRT(1+(A134/pole4)^2)</f>
        <v/>
      </c>
      <c r="N134" s="1057">
        <f>ATAN(A134/pole4)</f>
        <v/>
      </c>
      <c r="O134" s="1058">
        <f>IF(VOUT_setting=1,1,SQRT(1+(A134*zterm1)^2))</f>
        <v/>
      </c>
      <c r="P134" s="1059">
        <f>IF(VOUT_setting=1,0,ATAN(((A134*zterm1))))</f>
        <v/>
      </c>
      <c r="Q134" s="1056">
        <f>IF(VOUT_setting=1,1,SQRT((1+Afbr-$Q$5*(A134)^2)^2+(A134*$Q$4)^2))</f>
        <v/>
      </c>
      <c r="R134" s="1060">
        <f>IF(VOUT_setting=1,0,ATAN(A134*$Q$4/(1+Afbr-$Q$5*(A134)^2)))</f>
        <v/>
      </c>
      <c r="S134" s="1054">
        <f>SQRT((1-(Z134/pterm2))^2+(A134/pterm1)^2)</f>
        <v/>
      </c>
      <c r="T134" s="1055">
        <f>IF((ATAN((A134/pterm1)/(1-A134^2/pterm2))&gt;0),ATAN((A134/pterm1)/(1-A134^2/pterm2)),PI()+ATAN((A134/pterm1)/(1-A134^2/pterm2)))</f>
        <v/>
      </c>
      <c r="U134" s="331">
        <f>20*LOG10(((E134*K134*G134*O134)/(C134*I134*S134*M134*Q134))*Adc)</f>
        <v/>
      </c>
      <c r="V134" s="332">
        <f>((F134+L134+H134+P134)-(D134+J134+T134+N134+R134))*radconv</f>
        <v/>
      </c>
      <c r="W134" s="334">
        <f>IF(V134&gt;0,V134,V134+180)</f>
        <v/>
      </c>
      <c r="Y134" s="307">
        <f>IF(U134&lt;0,A134,1000000000)</f>
        <v/>
      </c>
      <c r="Z134" s="307">
        <f>A134^2</f>
        <v/>
      </c>
      <c r="AB134" s="333">
        <f>20*LOG10((K134/(I134*M134))*AEA)</f>
        <v/>
      </c>
      <c r="AC134" s="334">
        <f>(L134-(J134+N134))*radconv</f>
        <v/>
      </c>
      <c r="AE134" s="333">
        <f>20*LOG10((E134*G134/(C134*S134))*Acs*Am)</f>
        <v/>
      </c>
      <c r="AF134" s="334">
        <f>(F134+H134-(D134+T134))*radconv</f>
        <v/>
      </c>
      <c r="AH134">
        <f>SUM((U135&lt;0)*(U134&gt;0))*A134</f>
        <v/>
      </c>
      <c r="AI134">
        <f>IF(AH134&gt;0,W134,0)</f>
        <v/>
      </c>
    </row>
    <row r="135">
      <c r="A135" s="335" t="n">
        <v>7413.1</v>
      </c>
      <c r="B135" s="352">
        <f>A135/1000</f>
        <v/>
      </c>
      <c r="C135" s="1047">
        <f>SQRT(1+(A135/pole1)^2)</f>
        <v/>
      </c>
      <c r="D135" s="1048">
        <f>ATAN(A135/pole1)</f>
        <v/>
      </c>
      <c r="E135" s="1048">
        <f>SQRT(1+(A135/Zero1)^2)</f>
        <v/>
      </c>
      <c r="F135" s="1049">
        <f>ATAN(A135/Zero1)</f>
        <v/>
      </c>
      <c r="G135" s="1048">
        <f>IF(VIN_nom&gt;Vout, 1, SQRT(1+(A135/z_RHP)^2))</f>
        <v/>
      </c>
      <c r="H135" s="1049">
        <f>IF(VIN_nom&gt;Vout, 0, -ATAN(A135/z_RHP))</f>
        <v/>
      </c>
      <c r="I135" s="1047">
        <f>SQRT(1+(A135/Pole2)^2)</f>
        <v/>
      </c>
      <c r="J135" s="1050">
        <f>ATAN(A135/Pole2)</f>
        <v/>
      </c>
      <c r="K135" s="1056">
        <f>SQRT(1+(A135/Zero2)^2)</f>
        <v/>
      </c>
      <c r="L135" s="1057">
        <f>ATAN(A135/Zero2)</f>
        <v/>
      </c>
      <c r="M135" s="1047">
        <f>SQRT(1+(A135/pole4)^2)</f>
        <v/>
      </c>
      <c r="N135" s="1057">
        <f>ATAN(A135/pole4)</f>
        <v/>
      </c>
      <c r="O135" s="1058">
        <f>IF(VOUT_setting=1,1,SQRT(1+(A135*zterm1)^2))</f>
        <v/>
      </c>
      <c r="P135" s="1059">
        <f>IF(VOUT_setting=1,0,ATAN(((A135*zterm1))))</f>
        <v/>
      </c>
      <c r="Q135" s="1056">
        <f>IF(VOUT_setting=1,1,SQRT((1+Afbr-$Q$5*(A135)^2)^2+(A135*$Q$4)^2))</f>
        <v/>
      </c>
      <c r="R135" s="1060">
        <f>IF(VOUT_setting=1,0,ATAN(A135*$Q$4/(1+Afbr-$Q$5*(A135)^2)))</f>
        <v/>
      </c>
      <c r="S135" s="1054">
        <f>SQRT((1-(Z135/pterm2))^2+(A135/pterm1)^2)</f>
        <v/>
      </c>
      <c r="T135" s="1055">
        <f>IF((ATAN((A135/pterm1)/(1-A135^2/pterm2))&gt;0),ATAN((A135/pterm1)/(1-A135^2/pterm2)),PI()+ATAN((A135/pterm1)/(1-A135^2/pterm2)))</f>
        <v/>
      </c>
      <c r="U135" s="331">
        <f>20*LOG10(((E135*K135*G135*O135)/(C135*I135*S135*M135*Q135))*Adc)</f>
        <v/>
      </c>
      <c r="V135" s="332">
        <f>((F135+L135+H135+P135)-(D135+J135+T135+N135+R135))*radconv</f>
        <v/>
      </c>
      <c r="W135" s="334">
        <f>IF(V135&gt;0,V135,V135+180)</f>
        <v/>
      </c>
      <c r="Y135" s="307">
        <f>IF(U135&lt;0,A135,1000000000)</f>
        <v/>
      </c>
      <c r="Z135" s="307">
        <f>A135^2</f>
        <v/>
      </c>
      <c r="AB135" s="333">
        <f>20*LOG10((K135/(I135*M135))*AEA)</f>
        <v/>
      </c>
      <c r="AC135" s="334">
        <f>(L135-(J135+N135))*radconv</f>
        <v/>
      </c>
      <c r="AE135" s="333">
        <f>20*LOG10((E135*G135/(C135*S135))*Acs*Am)</f>
        <v/>
      </c>
      <c r="AF135" s="334">
        <f>(F135+H135-(D135+T135))*radconv</f>
        <v/>
      </c>
      <c r="AH135">
        <f>SUM((U136&lt;0)*(U135&gt;0))*A135</f>
        <v/>
      </c>
      <c r="AI135">
        <f>IF(AH135&gt;0,W135,0)</f>
        <v/>
      </c>
    </row>
    <row r="136">
      <c r="A136" s="335" t="n">
        <v>7499.45</v>
      </c>
      <c r="B136" s="352">
        <f>A136/1000</f>
        <v/>
      </c>
      <c r="C136" s="1047">
        <f>SQRT(1+(A136/pole1)^2)</f>
        <v/>
      </c>
      <c r="D136" s="1048">
        <f>ATAN(A136/pole1)</f>
        <v/>
      </c>
      <c r="E136" s="1048">
        <f>SQRT(1+(A136/Zero1)^2)</f>
        <v/>
      </c>
      <c r="F136" s="1049">
        <f>ATAN(A136/Zero1)</f>
        <v/>
      </c>
      <c r="G136" s="1048">
        <f>IF(VIN_nom&gt;Vout, 1, SQRT(1+(A136/z_RHP)^2))</f>
        <v/>
      </c>
      <c r="H136" s="1049">
        <f>IF(VIN_nom&gt;Vout, 0, -ATAN(A136/z_RHP))</f>
        <v/>
      </c>
      <c r="I136" s="1047">
        <f>SQRT(1+(A136/Pole2)^2)</f>
        <v/>
      </c>
      <c r="J136" s="1050">
        <f>ATAN(A136/Pole2)</f>
        <v/>
      </c>
      <c r="K136" s="1056">
        <f>SQRT(1+(A136/Zero2)^2)</f>
        <v/>
      </c>
      <c r="L136" s="1057">
        <f>ATAN(A136/Zero2)</f>
        <v/>
      </c>
      <c r="M136" s="1047">
        <f>SQRT(1+(A136/pole4)^2)</f>
        <v/>
      </c>
      <c r="N136" s="1057">
        <f>ATAN(A136/pole4)</f>
        <v/>
      </c>
      <c r="O136" s="1058">
        <f>IF(VOUT_setting=1,1,SQRT(1+(A136*zterm1)^2))</f>
        <v/>
      </c>
      <c r="P136" s="1059">
        <f>IF(VOUT_setting=1,0,ATAN(((A136*zterm1))))</f>
        <v/>
      </c>
      <c r="Q136" s="1056">
        <f>IF(VOUT_setting=1,1,SQRT((1+Afbr-$Q$5*(A136)^2)^2+(A136*$Q$4)^2))</f>
        <v/>
      </c>
      <c r="R136" s="1060">
        <f>IF(VOUT_setting=1,0,ATAN(A136*$Q$4/(1+Afbr-$Q$5*(A136)^2)))</f>
        <v/>
      </c>
      <c r="S136" s="1054">
        <f>SQRT((1-(Z136/pterm2))^2+(A136/pterm1)^2)</f>
        <v/>
      </c>
      <c r="T136" s="1055">
        <f>IF((ATAN((A136/pterm1)/(1-A136^2/pterm2))&gt;0),ATAN((A136/pterm1)/(1-A136^2/pterm2)),PI()+ATAN((A136/pterm1)/(1-A136^2/pterm2)))</f>
        <v/>
      </c>
      <c r="U136" s="331">
        <f>20*LOG10(((E136*K136*G136*O136)/(C136*I136*S136*M136*Q136))*Adc)</f>
        <v/>
      </c>
      <c r="V136" s="332">
        <f>((F136+L136+H136+P136)-(D136+J136+T136+N136+R136))*radconv</f>
        <v/>
      </c>
      <c r="W136" s="334">
        <f>IF(V136&gt;0,V136,V136+180)</f>
        <v/>
      </c>
      <c r="Y136" s="307">
        <f>IF(U136&lt;0,A136,1000000000)</f>
        <v/>
      </c>
      <c r="Z136" s="307">
        <f>A136^2</f>
        <v/>
      </c>
      <c r="AB136" s="333">
        <f>20*LOG10((K136/(I136*M136))*AEA)</f>
        <v/>
      </c>
      <c r="AC136" s="334">
        <f>(L136-(J136+N136))*radconv</f>
        <v/>
      </c>
      <c r="AE136" s="333">
        <f>20*LOG10((E136*G136/(C136*S136))*Acs*Am)</f>
        <v/>
      </c>
      <c r="AF136" s="334">
        <f>(F136+H136-(D136+T136))*radconv</f>
        <v/>
      </c>
      <c r="AH136">
        <f>SUM((U137&lt;0)*(U136&gt;0))*A136</f>
        <v/>
      </c>
      <c r="AI136">
        <f>IF(AH136&gt;0,W136,0)</f>
        <v/>
      </c>
    </row>
    <row r="137">
      <c r="A137" s="335" t="n">
        <v>7585.8</v>
      </c>
      <c r="B137" s="352">
        <f>A137/1000</f>
        <v/>
      </c>
      <c r="C137" s="1047">
        <f>SQRT(1+(A137/pole1)^2)</f>
        <v/>
      </c>
      <c r="D137" s="1048">
        <f>ATAN(A137/pole1)</f>
        <v/>
      </c>
      <c r="E137" s="1048">
        <f>SQRT(1+(A137/Zero1)^2)</f>
        <v/>
      </c>
      <c r="F137" s="1049">
        <f>ATAN(A137/Zero1)</f>
        <v/>
      </c>
      <c r="G137" s="1048">
        <f>IF(VIN_nom&gt;Vout, 1, SQRT(1+(A137/z_RHP)^2))</f>
        <v/>
      </c>
      <c r="H137" s="1049">
        <f>IF(VIN_nom&gt;Vout, 0, -ATAN(A137/z_RHP))</f>
        <v/>
      </c>
      <c r="I137" s="1047">
        <f>SQRT(1+(A137/Pole2)^2)</f>
        <v/>
      </c>
      <c r="J137" s="1050">
        <f>ATAN(A137/Pole2)</f>
        <v/>
      </c>
      <c r="K137" s="1056">
        <f>SQRT(1+(A137/Zero2)^2)</f>
        <v/>
      </c>
      <c r="L137" s="1057">
        <f>ATAN(A137/Zero2)</f>
        <v/>
      </c>
      <c r="M137" s="1047">
        <f>SQRT(1+(A137/pole4)^2)</f>
        <v/>
      </c>
      <c r="N137" s="1057">
        <f>ATAN(A137/pole4)</f>
        <v/>
      </c>
      <c r="O137" s="1058">
        <f>IF(VOUT_setting=1,1,SQRT(1+(A137*zterm1)^2))</f>
        <v/>
      </c>
      <c r="P137" s="1059">
        <f>IF(VOUT_setting=1,0,ATAN(((A137*zterm1))))</f>
        <v/>
      </c>
      <c r="Q137" s="1056">
        <f>IF(VOUT_setting=1,1,SQRT((1+Afbr-$Q$5*(A137)^2)^2+(A137*$Q$4)^2))</f>
        <v/>
      </c>
      <c r="R137" s="1060">
        <f>IF(VOUT_setting=1,0,ATAN(A137*$Q$4/(1+Afbr-$Q$5*(A137)^2)))</f>
        <v/>
      </c>
      <c r="S137" s="1054">
        <f>SQRT((1-(Z137/pterm2))^2+(A137/pterm1)^2)</f>
        <v/>
      </c>
      <c r="T137" s="1055">
        <f>IF((ATAN((A137/pterm1)/(1-A137^2/pterm2))&gt;0),ATAN((A137/pterm1)/(1-A137^2/pterm2)),PI()+ATAN((A137/pterm1)/(1-A137^2/pterm2)))</f>
        <v/>
      </c>
      <c r="U137" s="331">
        <f>20*LOG10(((E137*K137*G137*O137)/(C137*I137*S137*M137*Q137))*Adc)</f>
        <v/>
      </c>
      <c r="V137" s="332">
        <f>((F137+L137+H137+P137)-(D137+J137+T137+N137+R137))*radconv</f>
        <v/>
      </c>
      <c r="W137" s="334">
        <f>IF(V137&gt;0,V137,V137+180)</f>
        <v/>
      </c>
      <c r="Y137" s="307">
        <f>IF(U137&lt;0,A137,1000000000)</f>
        <v/>
      </c>
      <c r="Z137" s="307">
        <f>A137^2</f>
        <v/>
      </c>
      <c r="AB137" s="333">
        <f>20*LOG10((K137/(I137*M137))*AEA)</f>
        <v/>
      </c>
      <c r="AC137" s="334">
        <f>(L137-(J137+N137))*radconv</f>
        <v/>
      </c>
      <c r="AE137" s="333">
        <f>20*LOG10((E137*G137/(C137*S137))*Acs*Am)</f>
        <v/>
      </c>
      <c r="AF137" s="334">
        <f>(F137+H137-(D137+T137))*radconv</f>
        <v/>
      </c>
      <c r="AH137">
        <f>SUM((U138&lt;0)*(U137&gt;0))*A137</f>
        <v/>
      </c>
      <c r="AI137">
        <f>IF(AH137&gt;0,W137,0)</f>
        <v/>
      </c>
    </row>
    <row r="138">
      <c r="A138" s="335" t="n">
        <v>7674.15</v>
      </c>
      <c r="B138" s="352">
        <f>A138/1000</f>
        <v/>
      </c>
      <c r="C138" s="1047">
        <f>SQRT(1+(A138/pole1)^2)</f>
        <v/>
      </c>
      <c r="D138" s="1048">
        <f>ATAN(A138/pole1)</f>
        <v/>
      </c>
      <c r="E138" s="1048">
        <f>SQRT(1+(A138/Zero1)^2)</f>
        <v/>
      </c>
      <c r="F138" s="1049">
        <f>ATAN(A138/Zero1)</f>
        <v/>
      </c>
      <c r="G138" s="1048">
        <f>IF(VIN_nom&gt;Vout, 1, SQRT(1+(A138/z_RHP)^2))</f>
        <v/>
      </c>
      <c r="H138" s="1049">
        <f>IF(VIN_nom&gt;Vout, 0, -ATAN(A138/z_RHP))</f>
        <v/>
      </c>
      <c r="I138" s="1047">
        <f>SQRT(1+(A138/Pole2)^2)</f>
        <v/>
      </c>
      <c r="J138" s="1050">
        <f>ATAN(A138/Pole2)</f>
        <v/>
      </c>
      <c r="K138" s="1056">
        <f>SQRT(1+(A138/Zero2)^2)</f>
        <v/>
      </c>
      <c r="L138" s="1057">
        <f>ATAN(A138/Zero2)</f>
        <v/>
      </c>
      <c r="M138" s="1047">
        <f>SQRT(1+(A138/pole4)^2)</f>
        <v/>
      </c>
      <c r="N138" s="1057">
        <f>ATAN(A138/pole4)</f>
        <v/>
      </c>
      <c r="O138" s="1058">
        <f>IF(VOUT_setting=1,1,SQRT(1+(A138*zterm1)^2))</f>
        <v/>
      </c>
      <c r="P138" s="1059">
        <f>IF(VOUT_setting=1,0,ATAN(((A138*zterm1))))</f>
        <v/>
      </c>
      <c r="Q138" s="1056">
        <f>IF(VOUT_setting=1,1,SQRT((1+Afbr-$Q$5*(A138)^2)^2+(A138*$Q$4)^2))</f>
        <v/>
      </c>
      <c r="R138" s="1060">
        <f>IF(VOUT_setting=1,0,ATAN(A138*$Q$4/(1+Afbr-$Q$5*(A138)^2)))</f>
        <v/>
      </c>
      <c r="S138" s="1054">
        <f>SQRT((1-(Z138/pterm2))^2+(A138/pterm1)^2)</f>
        <v/>
      </c>
      <c r="T138" s="1055">
        <f>IF((ATAN((A138/pterm1)/(1-A138^2/pterm2))&gt;0),ATAN((A138/pterm1)/(1-A138^2/pterm2)),PI()+ATAN((A138/pterm1)/(1-A138^2/pterm2)))</f>
        <v/>
      </c>
      <c r="U138" s="331">
        <f>20*LOG10(((E138*K138*G138*O138)/(C138*I138*S138*M138*Q138))*Adc)</f>
        <v/>
      </c>
      <c r="V138" s="332">
        <f>((F138+L138+H138+P138)-(D138+J138+T138+N138+R138))*radconv</f>
        <v/>
      </c>
      <c r="W138" s="334">
        <f>IF(V138&gt;0,V138,V138+180)</f>
        <v/>
      </c>
      <c r="Y138" s="307">
        <f>IF(U138&lt;0,A138,1000000000)</f>
        <v/>
      </c>
      <c r="Z138" s="307">
        <f>A138^2</f>
        <v/>
      </c>
      <c r="AB138" s="333">
        <f>20*LOG10((K138/(I138*M138))*AEA)</f>
        <v/>
      </c>
      <c r="AC138" s="334">
        <f>(L138-(J138+N138))*radconv</f>
        <v/>
      </c>
      <c r="AE138" s="333">
        <f>20*LOG10((E138*G138/(C138*S138))*Acs*Am)</f>
        <v/>
      </c>
      <c r="AF138" s="334">
        <f>(F138+H138-(D138+T138))*radconv</f>
        <v/>
      </c>
      <c r="AH138">
        <f>SUM((U139&lt;0)*(U138&gt;0))*A138</f>
        <v/>
      </c>
      <c r="AI138">
        <f>IF(AH138&gt;0,W138,0)</f>
        <v/>
      </c>
    </row>
    <row r="139">
      <c r="A139" s="335" t="n">
        <v>7762.5</v>
      </c>
      <c r="B139" s="352">
        <f>A139/1000</f>
        <v/>
      </c>
      <c r="C139" s="1047">
        <f>SQRT(1+(A139/pole1)^2)</f>
        <v/>
      </c>
      <c r="D139" s="1048">
        <f>ATAN(A139/pole1)</f>
        <v/>
      </c>
      <c r="E139" s="1048">
        <f>SQRT(1+(A139/Zero1)^2)</f>
        <v/>
      </c>
      <c r="F139" s="1049">
        <f>ATAN(A139/Zero1)</f>
        <v/>
      </c>
      <c r="G139" s="1048">
        <f>IF(VIN_nom&gt;Vout, 1, SQRT(1+(A139/z_RHP)^2))</f>
        <v/>
      </c>
      <c r="H139" s="1049">
        <f>IF(VIN_nom&gt;Vout, 0, -ATAN(A139/z_RHP))</f>
        <v/>
      </c>
      <c r="I139" s="1047">
        <f>SQRT(1+(A139/Pole2)^2)</f>
        <v/>
      </c>
      <c r="J139" s="1050">
        <f>ATAN(A139/Pole2)</f>
        <v/>
      </c>
      <c r="K139" s="1056">
        <f>SQRT(1+(A139/Zero2)^2)</f>
        <v/>
      </c>
      <c r="L139" s="1057">
        <f>ATAN(A139/Zero2)</f>
        <v/>
      </c>
      <c r="M139" s="1047">
        <f>SQRT(1+(A139/pole4)^2)</f>
        <v/>
      </c>
      <c r="N139" s="1057">
        <f>ATAN(A139/pole4)</f>
        <v/>
      </c>
      <c r="O139" s="1058">
        <f>IF(VOUT_setting=1,1,SQRT(1+(A139*zterm1)^2))</f>
        <v/>
      </c>
      <c r="P139" s="1059">
        <f>IF(VOUT_setting=1,0,ATAN(((A139*zterm1))))</f>
        <v/>
      </c>
      <c r="Q139" s="1056">
        <f>IF(VOUT_setting=1,1,SQRT((1+Afbr-$Q$5*(A139)^2)^2+(A139*$Q$4)^2))</f>
        <v/>
      </c>
      <c r="R139" s="1060">
        <f>IF(VOUT_setting=1,0,ATAN(A139*$Q$4/(1+Afbr-$Q$5*(A139)^2)))</f>
        <v/>
      </c>
      <c r="S139" s="1054">
        <f>SQRT((1-(Z139/pterm2))^2+(A139/pterm1)^2)</f>
        <v/>
      </c>
      <c r="T139" s="1055">
        <f>IF((ATAN((A139/pterm1)/(1-A139^2/pterm2))&gt;0),ATAN((A139/pterm1)/(1-A139^2/pterm2)),PI()+ATAN((A139/pterm1)/(1-A139^2/pterm2)))</f>
        <v/>
      </c>
      <c r="U139" s="331">
        <f>20*LOG10(((E139*K139*G139*O139)/(C139*I139*S139*M139*Q139))*Adc)</f>
        <v/>
      </c>
      <c r="V139" s="332">
        <f>((F139+L139+H139+P139)-(D139+J139+T139+N139+R139))*radconv</f>
        <v/>
      </c>
      <c r="W139" s="334">
        <f>IF(V139&gt;0,V139,V139+180)</f>
        <v/>
      </c>
      <c r="Y139" s="307">
        <f>IF(U139&lt;0,A139,1000000000)</f>
        <v/>
      </c>
      <c r="Z139" s="307">
        <f>A139^2</f>
        <v/>
      </c>
      <c r="AB139" s="333">
        <f>20*LOG10((K139/(I139*M139))*AEA)</f>
        <v/>
      </c>
      <c r="AC139" s="334">
        <f>(L139-(J139+N139))*radconv</f>
        <v/>
      </c>
      <c r="AE139" s="333">
        <f>20*LOG10((E139*G139/(C139*S139))*Acs*Am)</f>
        <v/>
      </c>
      <c r="AF139" s="334">
        <f>(F139+H139-(D139+T139))*radconv</f>
        <v/>
      </c>
      <c r="AH139">
        <f>SUM((U140&lt;0)*(U139&gt;0))*A139</f>
        <v/>
      </c>
      <c r="AI139">
        <f>IF(AH139&gt;0,W139,0)</f>
        <v/>
      </c>
    </row>
    <row r="140">
      <c r="A140" s="335" t="n">
        <v>7852.9</v>
      </c>
      <c r="B140" s="352">
        <f>A140/1000</f>
        <v/>
      </c>
      <c r="C140" s="1047">
        <f>SQRT(1+(A140/pole1)^2)</f>
        <v/>
      </c>
      <c r="D140" s="1048">
        <f>ATAN(A140/pole1)</f>
        <v/>
      </c>
      <c r="E140" s="1048">
        <f>SQRT(1+(A140/Zero1)^2)</f>
        <v/>
      </c>
      <c r="F140" s="1049">
        <f>ATAN(A140/Zero1)</f>
        <v/>
      </c>
      <c r="G140" s="1048">
        <f>IF(VIN_nom&gt;Vout, 1, SQRT(1+(A140/z_RHP)^2))</f>
        <v/>
      </c>
      <c r="H140" s="1049">
        <f>IF(VIN_nom&gt;Vout, 0, -ATAN(A140/z_RHP))</f>
        <v/>
      </c>
      <c r="I140" s="1047">
        <f>SQRT(1+(A140/Pole2)^2)</f>
        <v/>
      </c>
      <c r="J140" s="1050">
        <f>ATAN(A140/Pole2)</f>
        <v/>
      </c>
      <c r="K140" s="1056">
        <f>SQRT(1+(A140/Zero2)^2)</f>
        <v/>
      </c>
      <c r="L140" s="1057">
        <f>ATAN(A140/Zero2)</f>
        <v/>
      </c>
      <c r="M140" s="1047">
        <f>SQRT(1+(A140/pole4)^2)</f>
        <v/>
      </c>
      <c r="N140" s="1057">
        <f>ATAN(A140/pole4)</f>
        <v/>
      </c>
      <c r="O140" s="1058">
        <f>IF(VOUT_setting=1,1,SQRT(1+(A140*zterm1)^2))</f>
        <v/>
      </c>
      <c r="P140" s="1059">
        <f>IF(VOUT_setting=1,0,ATAN(((A140*zterm1))))</f>
        <v/>
      </c>
      <c r="Q140" s="1056">
        <f>IF(VOUT_setting=1,1,SQRT((1+Afbr-$Q$5*(A140)^2)^2+(A140*$Q$4)^2))</f>
        <v/>
      </c>
      <c r="R140" s="1060">
        <f>IF(VOUT_setting=1,0,ATAN(A140*$Q$4/(1+Afbr-$Q$5*(A140)^2)))</f>
        <v/>
      </c>
      <c r="S140" s="1054">
        <f>SQRT((1-(Z140/pterm2))^2+(A140/pterm1)^2)</f>
        <v/>
      </c>
      <c r="T140" s="1055">
        <f>IF((ATAN((A140/pterm1)/(1-A140^2/pterm2))&gt;0),ATAN((A140/pterm1)/(1-A140^2/pterm2)),PI()+ATAN((A140/pterm1)/(1-A140^2/pterm2)))</f>
        <v/>
      </c>
      <c r="U140" s="331">
        <f>20*LOG10(((E140*K140*G140*O140)/(C140*I140*S140*M140*Q140))*Adc)</f>
        <v/>
      </c>
      <c r="V140" s="332">
        <f>((F140+L140+H140+P140)-(D140+J140+T140+N140+R140))*radconv</f>
        <v/>
      </c>
      <c r="W140" s="334">
        <f>IF(V140&gt;0,V140,V140+180)</f>
        <v/>
      </c>
      <c r="Y140" s="307">
        <f>IF(U140&lt;0,A140,1000000000)</f>
        <v/>
      </c>
      <c r="Z140" s="307">
        <f>A140^2</f>
        <v/>
      </c>
      <c r="AB140" s="333">
        <f>20*LOG10((K140/(I140*M140))*AEA)</f>
        <v/>
      </c>
      <c r="AC140" s="334">
        <f>(L140-(J140+N140))*radconv</f>
        <v/>
      </c>
      <c r="AE140" s="333">
        <f>20*LOG10((E140*G140/(C140*S140))*Acs*Am)</f>
        <v/>
      </c>
      <c r="AF140" s="334">
        <f>(F140+H140-(D140+T140))*radconv</f>
        <v/>
      </c>
      <c r="AH140">
        <f>SUM((U141&lt;0)*(U140&gt;0))*A140</f>
        <v/>
      </c>
      <c r="AI140">
        <f>IF(AH140&gt;0,W140,0)</f>
        <v/>
      </c>
    </row>
    <row r="141">
      <c r="A141" s="335" t="n">
        <v>7943.3</v>
      </c>
      <c r="B141" s="352">
        <f>A141/1000</f>
        <v/>
      </c>
      <c r="C141" s="1047">
        <f>SQRT(1+(A141/pole1)^2)</f>
        <v/>
      </c>
      <c r="D141" s="1048">
        <f>ATAN(A141/pole1)</f>
        <v/>
      </c>
      <c r="E141" s="1048">
        <f>SQRT(1+(A141/Zero1)^2)</f>
        <v/>
      </c>
      <c r="F141" s="1049">
        <f>ATAN(A141/Zero1)</f>
        <v/>
      </c>
      <c r="G141" s="1048">
        <f>IF(VIN_nom&gt;Vout, 1, SQRT(1+(A141/z_RHP)^2))</f>
        <v/>
      </c>
      <c r="H141" s="1049">
        <f>IF(VIN_nom&gt;Vout, 0, -ATAN(A141/z_RHP))</f>
        <v/>
      </c>
      <c r="I141" s="1047">
        <f>SQRT(1+(A141/Pole2)^2)</f>
        <v/>
      </c>
      <c r="J141" s="1050">
        <f>ATAN(A141/Pole2)</f>
        <v/>
      </c>
      <c r="K141" s="1056">
        <f>SQRT(1+(A141/Zero2)^2)</f>
        <v/>
      </c>
      <c r="L141" s="1057">
        <f>ATAN(A141/Zero2)</f>
        <v/>
      </c>
      <c r="M141" s="1047">
        <f>SQRT(1+(A141/pole4)^2)</f>
        <v/>
      </c>
      <c r="N141" s="1057">
        <f>ATAN(A141/pole4)</f>
        <v/>
      </c>
      <c r="O141" s="1058">
        <f>IF(VOUT_setting=1,1,SQRT(1+(A141*zterm1)^2))</f>
        <v/>
      </c>
      <c r="P141" s="1059">
        <f>IF(VOUT_setting=1,0,ATAN(((A141*zterm1))))</f>
        <v/>
      </c>
      <c r="Q141" s="1056">
        <f>IF(VOUT_setting=1,1,SQRT((1+Afbr-$Q$5*(A141)^2)^2+(A141*$Q$4)^2))</f>
        <v/>
      </c>
      <c r="R141" s="1060">
        <f>IF(VOUT_setting=1,0,ATAN(A141*$Q$4/(1+Afbr-$Q$5*(A141)^2)))</f>
        <v/>
      </c>
      <c r="S141" s="1054">
        <f>SQRT((1-(Z141/pterm2))^2+(A141/pterm1)^2)</f>
        <v/>
      </c>
      <c r="T141" s="1055">
        <f>IF((ATAN((A141/pterm1)/(1-A141^2/pterm2))&gt;0),ATAN((A141/pterm1)/(1-A141^2/pterm2)),PI()+ATAN((A141/pterm1)/(1-A141^2/pterm2)))</f>
        <v/>
      </c>
      <c r="U141" s="331">
        <f>20*LOG10(((E141*K141*G141*O141)/(C141*I141*S141*M141*Q141))*Adc)</f>
        <v/>
      </c>
      <c r="V141" s="332">
        <f>((F141+L141+H141+P141)-(D141+J141+T141+N141+R141))*radconv</f>
        <v/>
      </c>
      <c r="W141" s="334">
        <f>IF(V141&gt;0,V141,V141+180)</f>
        <v/>
      </c>
      <c r="Y141" s="307">
        <f>IF(U141&lt;0,A141,1000000000)</f>
        <v/>
      </c>
      <c r="Z141" s="307">
        <f>A141^2</f>
        <v/>
      </c>
      <c r="AB141" s="333">
        <f>20*LOG10((K141/(I141*M141))*AEA)</f>
        <v/>
      </c>
      <c r="AC141" s="334">
        <f>(L141-(J141+N141))*radconv</f>
        <v/>
      </c>
      <c r="AE141" s="333">
        <f>20*LOG10((E141*G141/(C141*S141))*Acs*Am)</f>
        <v/>
      </c>
      <c r="AF141" s="334">
        <f>(F141+H141-(D141+T141))*radconv</f>
        <v/>
      </c>
      <c r="AH141">
        <f>SUM((U142&lt;0)*(U141&gt;0))*A141</f>
        <v/>
      </c>
      <c r="AI141">
        <f>IF(AH141&gt;0,W141,0)</f>
        <v/>
      </c>
    </row>
    <row r="142">
      <c r="A142" s="335" t="n">
        <v>8035.8</v>
      </c>
      <c r="B142" s="352">
        <f>A142/1000</f>
        <v/>
      </c>
      <c r="C142" s="1047">
        <f>SQRT(1+(A142/pole1)^2)</f>
        <v/>
      </c>
      <c r="D142" s="1048">
        <f>ATAN(A142/pole1)</f>
        <v/>
      </c>
      <c r="E142" s="1048">
        <f>SQRT(1+(A142/Zero1)^2)</f>
        <v/>
      </c>
      <c r="F142" s="1049">
        <f>ATAN(A142/Zero1)</f>
        <v/>
      </c>
      <c r="G142" s="1048">
        <f>IF(VIN_nom&gt;Vout, 1, SQRT(1+(A142/z_RHP)^2))</f>
        <v/>
      </c>
      <c r="H142" s="1049">
        <f>IF(VIN_nom&gt;Vout, 0, -ATAN(A142/z_RHP))</f>
        <v/>
      </c>
      <c r="I142" s="1047">
        <f>SQRT(1+(A142/Pole2)^2)</f>
        <v/>
      </c>
      <c r="J142" s="1050">
        <f>ATAN(A142/Pole2)</f>
        <v/>
      </c>
      <c r="K142" s="1056">
        <f>SQRT(1+(A142/Zero2)^2)</f>
        <v/>
      </c>
      <c r="L142" s="1057">
        <f>ATAN(A142/Zero2)</f>
        <v/>
      </c>
      <c r="M142" s="1047">
        <f>SQRT(1+(A142/pole4)^2)</f>
        <v/>
      </c>
      <c r="N142" s="1057">
        <f>ATAN(A142/pole4)</f>
        <v/>
      </c>
      <c r="O142" s="1058">
        <f>IF(VOUT_setting=1,1,SQRT(1+(A142*zterm1)^2))</f>
        <v/>
      </c>
      <c r="P142" s="1059">
        <f>IF(VOUT_setting=1,0,ATAN(((A142*zterm1))))</f>
        <v/>
      </c>
      <c r="Q142" s="1056">
        <f>IF(VOUT_setting=1,1,SQRT((1+Afbr-$Q$5*(A142)^2)^2+(A142*$Q$4)^2))</f>
        <v/>
      </c>
      <c r="R142" s="1060">
        <f>IF(VOUT_setting=1,0,ATAN(A142*$Q$4/(1+Afbr-$Q$5*(A142)^2)))</f>
        <v/>
      </c>
      <c r="S142" s="1054">
        <f>SQRT((1-(Z142/pterm2))^2+(A142/pterm1)^2)</f>
        <v/>
      </c>
      <c r="T142" s="1055">
        <f>IF((ATAN((A142/pterm1)/(1-A142^2/pterm2))&gt;0),ATAN((A142/pterm1)/(1-A142^2/pterm2)),PI()+ATAN((A142/pterm1)/(1-A142^2/pterm2)))</f>
        <v/>
      </c>
      <c r="U142" s="331">
        <f>20*LOG10(((E142*K142*G142*O142)/(C142*I142*S142*M142*Q142))*Adc)</f>
        <v/>
      </c>
      <c r="V142" s="332">
        <f>((F142+L142+H142+P142)-(D142+J142+T142+N142+R142))*radconv</f>
        <v/>
      </c>
      <c r="W142" s="334">
        <f>IF(V142&gt;0,V142,V142+180)</f>
        <v/>
      </c>
      <c r="Y142" s="307">
        <f>IF(U142&lt;0,A142,1000000000)</f>
        <v/>
      </c>
      <c r="Z142" s="307">
        <f>A142^2</f>
        <v/>
      </c>
      <c r="AB142" s="333">
        <f>20*LOG10((K142/(I142*M142))*AEA)</f>
        <v/>
      </c>
      <c r="AC142" s="334">
        <f>(L142-(J142+N142))*radconv</f>
        <v/>
      </c>
      <c r="AE142" s="333">
        <f>20*LOG10((E142*G142/(C142*S142))*Acs*Am)</f>
        <v/>
      </c>
      <c r="AF142" s="334">
        <f>(F142+H142-(D142+T142))*radconv</f>
        <v/>
      </c>
      <c r="AH142">
        <f>SUM((U143&lt;0)*(U142&gt;0))*A142</f>
        <v/>
      </c>
      <c r="AI142">
        <f>IF(AH142&gt;0,W142,0)</f>
        <v/>
      </c>
    </row>
    <row r="143">
      <c r="A143" s="335" t="n">
        <v>8128.3</v>
      </c>
      <c r="B143" s="352">
        <f>A143/1000</f>
        <v/>
      </c>
      <c r="C143" s="1047">
        <f>SQRT(1+(A143/pole1)^2)</f>
        <v/>
      </c>
      <c r="D143" s="1048">
        <f>ATAN(A143/pole1)</f>
        <v/>
      </c>
      <c r="E143" s="1048">
        <f>SQRT(1+(A143/Zero1)^2)</f>
        <v/>
      </c>
      <c r="F143" s="1049">
        <f>ATAN(A143/Zero1)</f>
        <v/>
      </c>
      <c r="G143" s="1048">
        <f>IF(VIN_nom&gt;Vout, 1, SQRT(1+(A143/z_RHP)^2))</f>
        <v/>
      </c>
      <c r="H143" s="1049">
        <f>IF(VIN_nom&gt;Vout, 0, -ATAN(A143/z_RHP))</f>
        <v/>
      </c>
      <c r="I143" s="1047">
        <f>SQRT(1+(A143/Pole2)^2)</f>
        <v/>
      </c>
      <c r="J143" s="1050">
        <f>ATAN(A143/Pole2)</f>
        <v/>
      </c>
      <c r="K143" s="1056">
        <f>SQRT(1+(A143/Zero2)^2)</f>
        <v/>
      </c>
      <c r="L143" s="1057">
        <f>ATAN(A143/Zero2)</f>
        <v/>
      </c>
      <c r="M143" s="1047">
        <f>SQRT(1+(A143/pole4)^2)</f>
        <v/>
      </c>
      <c r="N143" s="1057">
        <f>ATAN(A143/pole4)</f>
        <v/>
      </c>
      <c r="O143" s="1058">
        <f>IF(VOUT_setting=1,1,SQRT(1+(A143*zterm1)^2))</f>
        <v/>
      </c>
      <c r="P143" s="1059">
        <f>IF(VOUT_setting=1,0,ATAN(((A143*zterm1))))</f>
        <v/>
      </c>
      <c r="Q143" s="1056">
        <f>IF(VOUT_setting=1,1,SQRT((1+Afbr-$Q$5*(A143)^2)^2+(A143*$Q$4)^2))</f>
        <v/>
      </c>
      <c r="R143" s="1060">
        <f>IF(VOUT_setting=1,0,ATAN(A143*$Q$4/(1+Afbr-$Q$5*(A143)^2)))</f>
        <v/>
      </c>
      <c r="S143" s="1054">
        <f>SQRT((1-(Z143/pterm2))^2+(A143/pterm1)^2)</f>
        <v/>
      </c>
      <c r="T143" s="1055">
        <f>IF((ATAN((A143/pterm1)/(1-A143^2/pterm2))&gt;0),ATAN((A143/pterm1)/(1-A143^2/pterm2)),PI()+ATAN((A143/pterm1)/(1-A143^2/pterm2)))</f>
        <v/>
      </c>
      <c r="U143" s="331">
        <f>20*LOG10(((E143*K143*G143*O143)/(C143*I143*S143*M143*Q143))*Adc)</f>
        <v/>
      </c>
      <c r="V143" s="332">
        <f>((F143+L143+H143+P143)-(D143+J143+T143+N143+R143))*radconv</f>
        <v/>
      </c>
      <c r="W143" s="334">
        <f>IF(V143&gt;0,V143,V143+180)</f>
        <v/>
      </c>
      <c r="Y143" s="307">
        <f>IF(U143&lt;0,A143,1000000000)</f>
        <v/>
      </c>
      <c r="Z143" s="307">
        <f>A143^2</f>
        <v/>
      </c>
      <c r="AB143" s="333">
        <f>20*LOG10((K143/(I143*M143))*AEA)</f>
        <v/>
      </c>
      <c r="AC143" s="334">
        <f>(L143-(J143+N143))*radconv</f>
        <v/>
      </c>
      <c r="AE143" s="333">
        <f>20*LOG10((E143*G143/(C143*S143))*Acs*Am)</f>
        <v/>
      </c>
      <c r="AF143" s="334">
        <f>(F143+H143-(D143+T143))*radconv</f>
        <v/>
      </c>
      <c r="AH143">
        <f>SUM((U144&lt;0)*(U143&gt;0))*A143</f>
        <v/>
      </c>
      <c r="AI143">
        <f>IF(AH143&gt;0,W143,0)</f>
        <v/>
      </c>
    </row>
    <row r="144">
      <c r="A144" s="335" t="n">
        <v>8222.950000000001</v>
      </c>
      <c r="B144" s="352">
        <f>A144/1000</f>
        <v/>
      </c>
      <c r="C144" s="1047">
        <f>SQRT(1+(A144/pole1)^2)</f>
        <v/>
      </c>
      <c r="D144" s="1048">
        <f>ATAN(A144/pole1)</f>
        <v/>
      </c>
      <c r="E144" s="1048">
        <f>SQRT(1+(A144/Zero1)^2)</f>
        <v/>
      </c>
      <c r="F144" s="1049">
        <f>ATAN(A144/Zero1)</f>
        <v/>
      </c>
      <c r="G144" s="1048">
        <f>IF(VIN_nom&gt;Vout, 1, SQRT(1+(A144/z_RHP)^2))</f>
        <v/>
      </c>
      <c r="H144" s="1049">
        <f>IF(VIN_nom&gt;Vout, 0, -ATAN(A144/z_RHP))</f>
        <v/>
      </c>
      <c r="I144" s="1047">
        <f>SQRT(1+(A144/Pole2)^2)</f>
        <v/>
      </c>
      <c r="J144" s="1050">
        <f>ATAN(A144/Pole2)</f>
        <v/>
      </c>
      <c r="K144" s="1056">
        <f>SQRT(1+(A144/Zero2)^2)</f>
        <v/>
      </c>
      <c r="L144" s="1057">
        <f>ATAN(A144/Zero2)</f>
        <v/>
      </c>
      <c r="M144" s="1047">
        <f>SQRT(1+(A144/pole4)^2)</f>
        <v/>
      </c>
      <c r="N144" s="1057">
        <f>ATAN(A144/pole4)</f>
        <v/>
      </c>
      <c r="O144" s="1058">
        <f>IF(VOUT_setting=1,1,SQRT(1+(A144*zterm1)^2))</f>
        <v/>
      </c>
      <c r="P144" s="1059">
        <f>IF(VOUT_setting=1,0,ATAN(((A144*zterm1))))</f>
        <v/>
      </c>
      <c r="Q144" s="1056">
        <f>IF(VOUT_setting=1,1,SQRT((1+Afbr-$Q$5*(A144)^2)^2+(A144*$Q$4)^2))</f>
        <v/>
      </c>
      <c r="R144" s="1060">
        <f>IF(VOUT_setting=1,0,ATAN(A144*$Q$4/(1+Afbr-$Q$5*(A144)^2)))</f>
        <v/>
      </c>
      <c r="S144" s="1054">
        <f>SQRT((1-(Z144/pterm2))^2+(A144/pterm1)^2)</f>
        <v/>
      </c>
      <c r="T144" s="1055">
        <f>IF((ATAN((A144/pterm1)/(1-A144^2/pterm2))&gt;0),ATAN((A144/pterm1)/(1-A144^2/pterm2)),PI()+ATAN((A144/pterm1)/(1-A144^2/pterm2)))</f>
        <v/>
      </c>
      <c r="U144" s="331">
        <f>20*LOG10(((E144*K144*G144*O144)/(C144*I144*S144*M144*Q144))*Adc)</f>
        <v/>
      </c>
      <c r="V144" s="332">
        <f>((F144+L144+H144+P144)-(D144+J144+T144+N144+R144))*radconv</f>
        <v/>
      </c>
      <c r="W144" s="334">
        <f>IF(V144&gt;0,V144,V144+180)</f>
        <v/>
      </c>
      <c r="Y144" s="307">
        <f>IF(U144&lt;0,A144,1000000000)</f>
        <v/>
      </c>
      <c r="Z144" s="307">
        <f>A144^2</f>
        <v/>
      </c>
      <c r="AB144" s="333">
        <f>20*LOG10((K144/(I144*M144))*AEA)</f>
        <v/>
      </c>
      <c r="AC144" s="334">
        <f>(L144-(J144+N144))*radconv</f>
        <v/>
      </c>
      <c r="AE144" s="333">
        <f>20*LOG10((E144*G144/(C144*S144))*Acs*Am)</f>
        <v/>
      </c>
      <c r="AF144" s="334">
        <f>(F144+H144-(D144+T144))*radconv</f>
        <v/>
      </c>
      <c r="AH144">
        <f>SUM((U145&lt;0)*(U144&gt;0))*A144</f>
        <v/>
      </c>
      <c r="AI144">
        <f>IF(AH144&gt;0,W144,0)</f>
        <v/>
      </c>
    </row>
    <row r="145">
      <c r="A145" s="335" t="n">
        <v>8270.275000000001</v>
      </c>
      <c r="B145" s="352">
        <f>A145/1000</f>
        <v/>
      </c>
      <c r="C145" s="1047">
        <f>SQRT(1+(A145/pole1)^2)</f>
        <v/>
      </c>
      <c r="D145" s="1048">
        <f>ATAN(A145/pole1)</f>
        <v/>
      </c>
      <c r="E145" s="1048">
        <f>SQRT(1+(A145/Zero1)^2)</f>
        <v/>
      </c>
      <c r="F145" s="1049">
        <f>ATAN(A145/Zero1)</f>
        <v/>
      </c>
      <c r="G145" s="1048">
        <f>IF(VIN_nom&gt;Vout, 1, SQRT(1+(A145/z_RHP)^2))</f>
        <v/>
      </c>
      <c r="H145" s="1049">
        <f>IF(VIN_nom&gt;Vout, 0, -ATAN(A145/z_RHP))</f>
        <v/>
      </c>
      <c r="I145" s="1047">
        <f>SQRT(1+(A145/Pole2)^2)</f>
        <v/>
      </c>
      <c r="J145" s="1050">
        <f>ATAN(A145/Pole2)</f>
        <v/>
      </c>
      <c r="K145" s="1056">
        <f>SQRT(1+(A145/Zero2)^2)</f>
        <v/>
      </c>
      <c r="L145" s="1057">
        <f>ATAN(A145/Zero2)</f>
        <v/>
      </c>
      <c r="M145" s="1047">
        <f>SQRT(1+(A145/pole4)^2)</f>
        <v/>
      </c>
      <c r="N145" s="1057">
        <f>ATAN(A145/pole4)</f>
        <v/>
      </c>
      <c r="O145" s="1058">
        <f>IF(VOUT_setting=1,1,SQRT(1+(A145*zterm1)^2))</f>
        <v/>
      </c>
      <c r="P145" s="1059">
        <f>IF(VOUT_setting=1,0,ATAN(((A145*zterm1))))</f>
        <v/>
      </c>
      <c r="Q145" s="1056">
        <f>IF(VOUT_setting=1,1,SQRT((1+Afbr-$Q$5*(A145)^2)^2+(A145*$Q$4)^2))</f>
        <v/>
      </c>
      <c r="R145" s="1060">
        <f>IF(VOUT_setting=1,0,ATAN(A145*$Q$4/(1+Afbr-$Q$5*(A145)^2)))</f>
        <v/>
      </c>
      <c r="S145" s="1054">
        <f>SQRT((1-(Z145/pterm2))^2+(A145/pterm1)^2)</f>
        <v/>
      </c>
      <c r="T145" s="1055">
        <f>IF((ATAN((A145/pterm1)/(1-A145^2/pterm2))&gt;0),ATAN((A145/pterm1)/(1-A145^2/pterm2)),PI()+ATAN((A145/pterm1)/(1-A145^2/pterm2)))</f>
        <v/>
      </c>
      <c r="U145" s="331">
        <f>20*LOG10(((E145*K145*G145*O145)/(C145*I145*S145*M145*Q145))*Adc)</f>
        <v/>
      </c>
      <c r="V145" s="332">
        <f>((F145+L145+H145+P145)-(D145+J145+T145+N145+R145))*radconv</f>
        <v/>
      </c>
      <c r="W145" s="334">
        <f>IF(V145&gt;0,V145,V145+180)</f>
        <v/>
      </c>
      <c r="Y145" s="307">
        <f>IF(U145&lt;0,A145,1000000000)</f>
        <v/>
      </c>
      <c r="Z145" s="307">
        <f>A145^2</f>
        <v/>
      </c>
      <c r="AB145" s="333">
        <f>20*LOG10((K145/(I145*M145))*AEA)</f>
        <v/>
      </c>
      <c r="AC145" s="334">
        <f>(L145-(J145+N145))*radconv</f>
        <v/>
      </c>
      <c r="AE145" s="333">
        <f>20*LOG10((E145*G145/(C145*S145))*Acs*Am)</f>
        <v/>
      </c>
      <c r="AF145" s="334">
        <f>(F145+H145-(D145+T145))*radconv</f>
        <v/>
      </c>
      <c r="AH145">
        <f>SUM((U146&lt;0)*(U145&gt;0))*A145</f>
        <v/>
      </c>
      <c r="AI145">
        <f>IF(AH145&gt;0,W145,0)</f>
        <v/>
      </c>
    </row>
    <row r="146">
      <c r="A146" s="335" t="n">
        <v>8317.6</v>
      </c>
      <c r="B146" s="352">
        <f>A146/1000</f>
        <v/>
      </c>
      <c r="C146" s="1047">
        <f>SQRT(1+(A146/pole1)^2)</f>
        <v/>
      </c>
      <c r="D146" s="1048">
        <f>ATAN(A146/pole1)</f>
        <v/>
      </c>
      <c r="E146" s="1048">
        <f>SQRT(1+(A146/Zero1)^2)</f>
        <v/>
      </c>
      <c r="F146" s="1049">
        <f>ATAN(A146/Zero1)</f>
        <v/>
      </c>
      <c r="G146" s="1048">
        <f>IF(VIN_nom&gt;Vout, 1, SQRT(1+(A146/z_RHP)^2))</f>
        <v/>
      </c>
      <c r="H146" s="1049">
        <f>IF(VIN_nom&gt;Vout, 0, -ATAN(A146/z_RHP))</f>
        <v/>
      </c>
      <c r="I146" s="1047">
        <f>SQRT(1+(A146/Pole2)^2)</f>
        <v/>
      </c>
      <c r="J146" s="1050">
        <f>ATAN(A146/Pole2)</f>
        <v/>
      </c>
      <c r="K146" s="1056">
        <f>SQRT(1+(A146/Zero2)^2)</f>
        <v/>
      </c>
      <c r="L146" s="1057">
        <f>ATAN(A146/Zero2)</f>
        <v/>
      </c>
      <c r="M146" s="1047">
        <f>SQRT(1+(A146/pole4)^2)</f>
        <v/>
      </c>
      <c r="N146" s="1057">
        <f>ATAN(A146/pole4)</f>
        <v/>
      </c>
      <c r="O146" s="1058">
        <f>IF(VOUT_setting=1,1,SQRT(1+(A146*zterm1)^2))</f>
        <v/>
      </c>
      <c r="P146" s="1059">
        <f>IF(VOUT_setting=1,0,ATAN(((A146*zterm1))))</f>
        <v/>
      </c>
      <c r="Q146" s="1056">
        <f>IF(VOUT_setting=1,1,SQRT((1+Afbr-$Q$5*(A146)^2)^2+(A146*$Q$4)^2))</f>
        <v/>
      </c>
      <c r="R146" s="1060">
        <f>IF(VOUT_setting=1,0,ATAN(A146*$Q$4/(1+Afbr-$Q$5*(A146)^2)))</f>
        <v/>
      </c>
      <c r="S146" s="1054">
        <f>SQRT((1-(Z146/pterm2))^2+(A146/pterm1)^2)</f>
        <v/>
      </c>
      <c r="T146" s="1055">
        <f>IF((ATAN((A146/pterm1)/(1-A146^2/pterm2))&gt;0),ATAN((A146/pterm1)/(1-A146^2/pterm2)),PI()+ATAN((A146/pterm1)/(1-A146^2/pterm2)))</f>
        <v/>
      </c>
      <c r="U146" s="331">
        <f>20*LOG10(((E146*K146*G146*O146)/(C146*I146*S146*M146*Q146))*Adc)</f>
        <v/>
      </c>
      <c r="V146" s="332">
        <f>((F146+L146+H146+P146)-(D146+J146+T146+N146+R146))*radconv</f>
        <v/>
      </c>
      <c r="W146" s="334">
        <f>IF(V146&gt;0,V146,V146+180)</f>
        <v/>
      </c>
      <c r="Y146" s="307">
        <f>IF(U146&lt;0,A146,1000000000)</f>
        <v/>
      </c>
      <c r="Z146" s="307">
        <f>A146^2</f>
        <v/>
      </c>
      <c r="AB146" s="333">
        <f>20*LOG10((K146/(I146*M146))*AEA)</f>
        <v/>
      </c>
      <c r="AC146" s="334">
        <f>(L146-(J146+N146))*radconv</f>
        <v/>
      </c>
      <c r="AE146" s="333">
        <f>20*LOG10((E146*G146/(C146*S146))*Acs*Am)</f>
        <v/>
      </c>
      <c r="AF146" s="334">
        <f>(F146+H146-(D146+T146))*radconv</f>
        <v/>
      </c>
      <c r="AH146">
        <f>SUM((U147&lt;0)*(U146&gt;0))*A146</f>
        <v/>
      </c>
      <c r="AI146">
        <f>IF(AH146&gt;0,W146,0)</f>
        <v/>
      </c>
    </row>
    <row r="147">
      <c r="A147" s="335" t="n">
        <v>8366.049999999999</v>
      </c>
      <c r="B147" s="352">
        <f>A147/1000</f>
        <v/>
      </c>
      <c r="C147" s="1047">
        <f>SQRT(1+(A147/pole1)^2)</f>
        <v/>
      </c>
      <c r="D147" s="1048">
        <f>ATAN(A147/pole1)</f>
        <v/>
      </c>
      <c r="E147" s="1048">
        <f>SQRT(1+(A147/Zero1)^2)</f>
        <v/>
      </c>
      <c r="F147" s="1049">
        <f>ATAN(A147/Zero1)</f>
        <v/>
      </c>
      <c r="G147" s="1048">
        <f>IF(VIN_nom&gt;Vout, 1, SQRT(1+(A147/z_RHP)^2))</f>
        <v/>
      </c>
      <c r="H147" s="1049">
        <f>IF(VIN_nom&gt;Vout, 0, -ATAN(A147/z_RHP))</f>
        <v/>
      </c>
      <c r="I147" s="1047">
        <f>SQRT(1+(A147/Pole2)^2)</f>
        <v/>
      </c>
      <c r="J147" s="1050">
        <f>ATAN(A147/Pole2)</f>
        <v/>
      </c>
      <c r="K147" s="1056">
        <f>SQRT(1+(A147/Zero2)^2)</f>
        <v/>
      </c>
      <c r="L147" s="1057">
        <f>ATAN(A147/Zero2)</f>
        <v/>
      </c>
      <c r="M147" s="1047">
        <f>SQRT(1+(A147/pole4)^2)</f>
        <v/>
      </c>
      <c r="N147" s="1057">
        <f>ATAN(A147/pole4)</f>
        <v/>
      </c>
      <c r="O147" s="1058">
        <f>IF(VOUT_setting=1,1,SQRT(1+(A147*zterm1)^2))</f>
        <v/>
      </c>
      <c r="P147" s="1059">
        <f>IF(VOUT_setting=1,0,ATAN(((A147*zterm1))))</f>
        <v/>
      </c>
      <c r="Q147" s="1056">
        <f>IF(VOUT_setting=1,1,SQRT((1+Afbr-$Q$5*(A147)^2)^2+(A147*$Q$4)^2))</f>
        <v/>
      </c>
      <c r="R147" s="1060">
        <f>IF(VOUT_setting=1,0,ATAN(A147*$Q$4/(1+Afbr-$Q$5*(A147)^2)))</f>
        <v/>
      </c>
      <c r="S147" s="1054">
        <f>SQRT((1-(Z147/pterm2))^2+(A147/pterm1)^2)</f>
        <v/>
      </c>
      <c r="T147" s="1055">
        <f>IF((ATAN((A147/pterm1)/(1-A147^2/pterm2))&gt;0),ATAN((A147/pterm1)/(1-A147^2/pterm2)),PI()+ATAN((A147/pterm1)/(1-A147^2/pterm2)))</f>
        <v/>
      </c>
      <c r="U147" s="331">
        <f>20*LOG10(((E147*K147*G147*O147)/(C147*I147*S147*M147*Q147))*Adc)</f>
        <v/>
      </c>
      <c r="V147" s="332">
        <f>((F147+L147+H147+P147)-(D147+J147+T147+N147+R147))*radconv</f>
        <v/>
      </c>
      <c r="W147" s="334">
        <f>IF(V147&gt;0,V147,V147+180)</f>
        <v/>
      </c>
      <c r="Y147" s="307">
        <f>IF(U147&lt;0,A147,1000000000)</f>
        <v/>
      </c>
      <c r="Z147" s="307">
        <f>A147^2</f>
        <v/>
      </c>
      <c r="AB147" s="333">
        <f>20*LOG10((K147/(I147*M147))*AEA)</f>
        <v/>
      </c>
      <c r="AC147" s="334">
        <f>(L147-(J147+N147))*radconv</f>
        <v/>
      </c>
      <c r="AE147" s="333">
        <f>20*LOG10((E147*G147/(C147*S147))*Acs*Am)</f>
        <v/>
      </c>
      <c r="AF147" s="334">
        <f>(F147+H147-(D147+T147))*radconv</f>
        <v/>
      </c>
      <c r="AH147">
        <f>SUM((U148&lt;0)*(U147&gt;0))*A147</f>
        <v/>
      </c>
      <c r="AI147">
        <f>IF(AH147&gt;0,W147,0)</f>
        <v/>
      </c>
    </row>
    <row r="148">
      <c r="A148" s="338" t="n">
        <v>8414.5</v>
      </c>
      <c r="B148" s="352">
        <f>A148/1000</f>
        <v/>
      </c>
      <c r="C148" s="1047">
        <f>SQRT(1+(A148/pole1)^2)</f>
        <v/>
      </c>
      <c r="D148" s="1048">
        <f>ATAN(A148/pole1)</f>
        <v/>
      </c>
      <c r="E148" s="1048">
        <f>SQRT(1+(A148/Zero1)^2)</f>
        <v/>
      </c>
      <c r="F148" s="1049">
        <f>ATAN(A148/Zero1)</f>
        <v/>
      </c>
      <c r="G148" s="1048">
        <f>IF(VIN_nom&gt;Vout, 1, SQRT(1+(A148/z_RHP)^2))</f>
        <v/>
      </c>
      <c r="H148" s="1049">
        <f>IF(VIN_nom&gt;Vout, 0, -ATAN(A148/z_RHP))</f>
        <v/>
      </c>
      <c r="I148" s="1047">
        <f>SQRT(1+(A148/Pole2)^2)</f>
        <v/>
      </c>
      <c r="J148" s="1050">
        <f>ATAN(A148/Pole2)</f>
        <v/>
      </c>
      <c r="K148" s="1056">
        <f>SQRT(1+(A148/Zero2)^2)</f>
        <v/>
      </c>
      <c r="L148" s="1057">
        <f>ATAN(A148/Zero2)</f>
        <v/>
      </c>
      <c r="M148" s="1047">
        <f>SQRT(1+(A148/pole4)^2)</f>
        <v/>
      </c>
      <c r="N148" s="1057">
        <f>ATAN(A148/pole4)</f>
        <v/>
      </c>
      <c r="O148" s="1058">
        <f>IF(VOUT_setting=1,1,SQRT(1+(A148*zterm1)^2))</f>
        <v/>
      </c>
      <c r="P148" s="1059">
        <f>IF(VOUT_setting=1,0,ATAN(((A148*zterm1))))</f>
        <v/>
      </c>
      <c r="Q148" s="1056">
        <f>IF(VOUT_setting=1,1,SQRT((1+Afbr-$Q$5*(A148)^2)^2+(A148*$Q$4)^2))</f>
        <v/>
      </c>
      <c r="R148" s="1060">
        <f>IF(VOUT_setting=1,0,ATAN(A148*$Q$4/(1+Afbr-$Q$5*(A148)^2)))</f>
        <v/>
      </c>
      <c r="S148" s="1054">
        <f>SQRT((1-(Z148/pterm2))^2+(A148/pterm1)^2)</f>
        <v/>
      </c>
      <c r="T148" s="1055">
        <f>IF((ATAN((A148/pterm1)/(1-A148^2/pterm2))&gt;0),ATAN((A148/pterm1)/(1-A148^2/pterm2)),PI()+ATAN((A148/pterm1)/(1-A148^2/pterm2)))</f>
        <v/>
      </c>
      <c r="U148" s="331">
        <f>20*LOG10(((E148*K148*G148*O148)/(C148*I148*S148*M148*Q148))*Adc)</f>
        <v/>
      </c>
      <c r="V148" s="332">
        <f>((F148+L148+H148+P148)-(D148+J148+T148+N148+R148))*radconv</f>
        <v/>
      </c>
      <c r="W148" s="334">
        <f>IF(V148&gt;0,V148,V148+180)</f>
        <v/>
      </c>
      <c r="Y148" s="307">
        <f>IF(U148&lt;0,A148,1000000000)</f>
        <v/>
      </c>
      <c r="Z148" s="307">
        <f>A148^2</f>
        <v/>
      </c>
      <c r="AB148" s="333">
        <f>20*LOG10((K148/(I148*M148))*AEA)</f>
        <v/>
      </c>
      <c r="AC148" s="334">
        <f>(L148-(J148+N148))*radconv</f>
        <v/>
      </c>
      <c r="AE148" s="333">
        <f>20*LOG10((E148*G148/(C148*S148))*Acs*Am)</f>
        <v/>
      </c>
      <c r="AF148" s="334">
        <f>(F148+H148-(D148+T148))*radconv</f>
        <v/>
      </c>
      <c r="AH148">
        <f>SUM((U149&lt;0)*(U148&gt;0))*A148</f>
        <v/>
      </c>
      <c r="AI148">
        <f>IF(AH148&gt;0,W148,0)</f>
        <v/>
      </c>
    </row>
    <row r="149">
      <c r="A149" s="338" t="n">
        <v>8462.950000000001</v>
      </c>
      <c r="B149" s="352">
        <f>A149/1000</f>
        <v/>
      </c>
      <c r="C149" s="1047">
        <f>SQRT(1+(A149/pole1)^2)</f>
        <v/>
      </c>
      <c r="D149" s="1048">
        <f>ATAN(A149/pole1)</f>
        <v/>
      </c>
      <c r="E149" s="1048">
        <f>SQRT(1+(A149/Zero1)^2)</f>
        <v/>
      </c>
      <c r="F149" s="1049">
        <f>ATAN(A149/Zero1)</f>
        <v/>
      </c>
      <c r="G149" s="1048">
        <f>IF(VIN_nom&gt;Vout, 1, SQRT(1+(A149/z_RHP)^2))</f>
        <v/>
      </c>
      <c r="H149" s="1049">
        <f>IF(VIN_nom&gt;Vout, 0, -ATAN(A149/z_RHP))</f>
        <v/>
      </c>
      <c r="I149" s="1047">
        <f>SQRT(1+(A149/Pole2)^2)</f>
        <v/>
      </c>
      <c r="J149" s="1050">
        <f>ATAN(A149/Pole2)</f>
        <v/>
      </c>
      <c r="K149" s="1056">
        <f>SQRT(1+(A149/Zero2)^2)</f>
        <v/>
      </c>
      <c r="L149" s="1057">
        <f>ATAN(A149/Zero2)</f>
        <v/>
      </c>
      <c r="M149" s="1047">
        <f>SQRT(1+(A149/pole4)^2)</f>
        <v/>
      </c>
      <c r="N149" s="1057">
        <f>ATAN(A149/pole4)</f>
        <v/>
      </c>
      <c r="O149" s="1058">
        <f>IF(VOUT_setting=1,1,SQRT(1+(A149*zterm1)^2))</f>
        <v/>
      </c>
      <c r="P149" s="1059">
        <f>IF(VOUT_setting=1,0,ATAN(((A149*zterm1))))</f>
        <v/>
      </c>
      <c r="Q149" s="1056">
        <f>IF(VOUT_setting=1,1,SQRT((1+Afbr-$Q$5*(A149)^2)^2+(A149*$Q$4)^2))</f>
        <v/>
      </c>
      <c r="R149" s="1060">
        <f>IF(VOUT_setting=1,0,ATAN(A149*$Q$4/(1+Afbr-$Q$5*(A149)^2)))</f>
        <v/>
      </c>
      <c r="S149" s="1054">
        <f>SQRT((1-(Z149/pterm2))^2+(A149/pterm1)^2)</f>
        <v/>
      </c>
      <c r="T149" s="1055">
        <f>IF((ATAN((A149/pterm1)/(1-A149^2/pterm2))&gt;0),ATAN((A149/pterm1)/(1-A149^2/pterm2)),PI()+ATAN((A149/pterm1)/(1-A149^2/pterm2)))</f>
        <v/>
      </c>
      <c r="U149" s="331">
        <f>20*LOG10(((E149*K149*G149*O149)/(C149*I149*S149*M149*Q149))*Adc)</f>
        <v/>
      </c>
      <c r="V149" s="332">
        <f>((F149+L149+H149+P149)-(D149+J149+T149+N149+R149))*radconv</f>
        <v/>
      </c>
      <c r="W149" s="334">
        <f>IF(V149&gt;0,V149,V149+180)</f>
        <v/>
      </c>
      <c r="Y149" s="307">
        <f>IF(U149&lt;0,A149,1000000000)</f>
        <v/>
      </c>
      <c r="Z149" s="307">
        <f>A149^2</f>
        <v/>
      </c>
      <c r="AB149" s="333">
        <f>20*LOG10((K149/(I149*M149))*AEA)</f>
        <v/>
      </c>
      <c r="AC149" s="334">
        <f>(L149-(J149+N149))*radconv</f>
        <v/>
      </c>
      <c r="AE149" s="333">
        <f>20*LOG10((E149*G149/(C149*S149))*Acs*Am)</f>
        <v/>
      </c>
      <c r="AF149" s="334">
        <f>(F149+H149-(D149+T149))*radconv</f>
        <v/>
      </c>
      <c r="AH149">
        <f>SUM((U150&lt;0)*(U149&gt;0))*A149</f>
        <v/>
      </c>
      <c r="AI149">
        <f>IF(AH149&gt;0,W149,0)</f>
        <v/>
      </c>
    </row>
    <row r="150">
      <c r="A150" s="338" t="n">
        <v>8511.4</v>
      </c>
      <c r="B150" s="352">
        <f>A150/1000</f>
        <v/>
      </c>
      <c r="C150" s="1047">
        <f>SQRT(1+(A150/pole1)^2)</f>
        <v/>
      </c>
      <c r="D150" s="1048">
        <f>ATAN(A150/pole1)</f>
        <v/>
      </c>
      <c r="E150" s="1048">
        <f>SQRT(1+(A150/Zero1)^2)</f>
        <v/>
      </c>
      <c r="F150" s="1049">
        <f>ATAN(A150/Zero1)</f>
        <v/>
      </c>
      <c r="G150" s="1048">
        <f>IF(VIN_nom&gt;Vout, 1, SQRT(1+(A150/z_RHP)^2))</f>
        <v/>
      </c>
      <c r="H150" s="1049">
        <f>IF(VIN_nom&gt;Vout, 0, -ATAN(A150/z_RHP))</f>
        <v/>
      </c>
      <c r="I150" s="1047">
        <f>SQRT(1+(A150/Pole2)^2)</f>
        <v/>
      </c>
      <c r="J150" s="1050">
        <f>ATAN(A150/Pole2)</f>
        <v/>
      </c>
      <c r="K150" s="1056">
        <f>SQRT(1+(A150/Zero2)^2)</f>
        <v/>
      </c>
      <c r="L150" s="1057">
        <f>ATAN(A150/Zero2)</f>
        <v/>
      </c>
      <c r="M150" s="1047">
        <f>SQRT(1+(A150/pole4)^2)</f>
        <v/>
      </c>
      <c r="N150" s="1057">
        <f>ATAN(A150/pole4)</f>
        <v/>
      </c>
      <c r="O150" s="1058">
        <f>IF(VOUT_setting=1,1,SQRT(1+(A150*zterm1)^2))</f>
        <v/>
      </c>
      <c r="P150" s="1059">
        <f>IF(VOUT_setting=1,0,ATAN(((A150*zterm1))))</f>
        <v/>
      </c>
      <c r="Q150" s="1056">
        <f>IF(VOUT_setting=1,1,SQRT((1+Afbr-$Q$5*(A150)^2)^2+(A150*$Q$4)^2))</f>
        <v/>
      </c>
      <c r="R150" s="1060">
        <f>IF(VOUT_setting=1,0,ATAN(A150*$Q$4/(1+Afbr-$Q$5*(A150)^2)))</f>
        <v/>
      </c>
      <c r="S150" s="1054">
        <f>SQRT((1-(Z150/pterm2))^2+(A150/pterm1)^2)</f>
        <v/>
      </c>
      <c r="T150" s="1055">
        <f>IF((ATAN((A150/pterm1)/(1-A150^2/pterm2))&gt;0),ATAN((A150/pterm1)/(1-A150^2/pterm2)),PI()+ATAN((A150/pterm1)/(1-A150^2/pterm2)))</f>
        <v/>
      </c>
      <c r="U150" s="331">
        <f>20*LOG10(((E150*K150*G150*O150)/(C150*I150*S150*M150*Q150))*Adc)</f>
        <v/>
      </c>
      <c r="V150" s="332">
        <f>((F150+L150+H150+P150)-(D150+J150+T150+N150+R150))*radconv</f>
        <v/>
      </c>
      <c r="W150" s="334">
        <f>IF(V150&gt;0,V150,V150+180)</f>
        <v/>
      </c>
      <c r="Y150" s="307">
        <f>IF(U150&lt;0,A150,1000000000)</f>
        <v/>
      </c>
      <c r="Z150" s="307">
        <f>A150^2</f>
        <v/>
      </c>
      <c r="AB150" s="333">
        <f>20*LOG10((K150/(I150*M150))*AEA)</f>
        <v/>
      </c>
      <c r="AC150" s="334">
        <f>(L150-(J150+N150))*radconv</f>
        <v/>
      </c>
      <c r="AE150" s="333">
        <f>20*LOG10((E150*G150/(C150*S150))*Acs*Am)</f>
        <v/>
      </c>
      <c r="AF150" s="334">
        <f>(F150+H150-(D150+T150))*radconv</f>
        <v/>
      </c>
      <c r="AH150">
        <f>SUM((U151&lt;0)*(U150&gt;0))*A150</f>
        <v/>
      </c>
      <c r="AI150">
        <f>IF(AH150&gt;0,W150,0)</f>
        <v/>
      </c>
    </row>
    <row r="151">
      <c r="A151" s="338" t="n">
        <v>8560.950000000001</v>
      </c>
      <c r="B151" s="352">
        <f>A151/1000</f>
        <v/>
      </c>
      <c r="C151" s="1047">
        <f>SQRT(1+(A151/pole1)^2)</f>
        <v/>
      </c>
      <c r="D151" s="1048">
        <f>ATAN(A151/pole1)</f>
        <v/>
      </c>
      <c r="E151" s="1048">
        <f>SQRT(1+(A151/Zero1)^2)</f>
        <v/>
      </c>
      <c r="F151" s="1049">
        <f>ATAN(A151/Zero1)</f>
        <v/>
      </c>
      <c r="G151" s="1048">
        <f>IF(VIN_nom&gt;Vout, 1, SQRT(1+(A151/z_RHP)^2))</f>
        <v/>
      </c>
      <c r="H151" s="1049">
        <f>IF(VIN_nom&gt;Vout, 0, -ATAN(A151/z_RHP))</f>
        <v/>
      </c>
      <c r="I151" s="1047">
        <f>SQRT(1+(A151/Pole2)^2)</f>
        <v/>
      </c>
      <c r="J151" s="1050">
        <f>ATAN(A151/Pole2)</f>
        <v/>
      </c>
      <c r="K151" s="1056">
        <f>SQRT(1+(A151/Zero2)^2)</f>
        <v/>
      </c>
      <c r="L151" s="1057">
        <f>ATAN(A151/Zero2)</f>
        <v/>
      </c>
      <c r="M151" s="1047">
        <f>SQRT(1+(A151/pole4)^2)</f>
        <v/>
      </c>
      <c r="N151" s="1057">
        <f>ATAN(A151/pole4)</f>
        <v/>
      </c>
      <c r="O151" s="1058">
        <f>IF(VOUT_setting=1,1,SQRT(1+(A151*zterm1)^2))</f>
        <v/>
      </c>
      <c r="P151" s="1059">
        <f>IF(VOUT_setting=1,0,ATAN(((A151*zterm1))))</f>
        <v/>
      </c>
      <c r="Q151" s="1056">
        <f>IF(VOUT_setting=1,1,SQRT((1+Afbr-$Q$5*(A151)^2)^2+(A151*$Q$4)^2))</f>
        <v/>
      </c>
      <c r="R151" s="1060">
        <f>IF(VOUT_setting=1,0,ATAN(A151*$Q$4/(1+Afbr-$Q$5*(A151)^2)))</f>
        <v/>
      </c>
      <c r="S151" s="1054">
        <f>SQRT((1-(Z151/pterm2))^2+(A151/pterm1)^2)</f>
        <v/>
      </c>
      <c r="T151" s="1055">
        <f>IF((ATAN((A151/pterm1)/(1-A151^2/pterm2))&gt;0),ATAN((A151/pterm1)/(1-A151^2/pterm2)),PI()+ATAN((A151/pterm1)/(1-A151^2/pterm2)))</f>
        <v/>
      </c>
      <c r="U151" s="331">
        <f>20*LOG10(((E151*K151*G151*O151)/(C151*I151*S151*M151*Q151))*Adc)</f>
        <v/>
      </c>
      <c r="V151" s="332">
        <f>((F151+L151+H151+P151)-(D151+J151+T151+N151+R151))*radconv</f>
        <v/>
      </c>
      <c r="W151" s="334">
        <f>IF(V151&gt;0,V151,V151+180)</f>
        <v/>
      </c>
      <c r="Y151" s="307">
        <f>IF(U151&lt;0,A151,1000000000)</f>
        <v/>
      </c>
      <c r="Z151" s="307">
        <f>A151^2</f>
        <v/>
      </c>
      <c r="AB151" s="333">
        <f>20*LOG10((K151/(I151*M151))*AEA)</f>
        <v/>
      </c>
      <c r="AC151" s="334">
        <f>(L151-(J151+N151))*radconv</f>
        <v/>
      </c>
      <c r="AE151" s="333">
        <f>20*LOG10((E151*G151/(C151*S151))*Acs*Am)</f>
        <v/>
      </c>
      <c r="AF151" s="334">
        <f>(F151+H151-(D151+T151))*radconv</f>
        <v/>
      </c>
      <c r="AH151">
        <f>SUM((U152&lt;0)*(U151&gt;0))*A151</f>
        <v/>
      </c>
      <c r="AI151">
        <f>IF(AH151&gt;0,W151,0)</f>
        <v/>
      </c>
    </row>
    <row r="152">
      <c r="A152" s="338" t="n">
        <v>8610.5</v>
      </c>
      <c r="B152" s="352">
        <f>A152/1000</f>
        <v/>
      </c>
      <c r="C152" s="1047">
        <f>SQRT(1+(A152/pole1)^2)</f>
        <v/>
      </c>
      <c r="D152" s="1048">
        <f>ATAN(A152/pole1)</f>
        <v/>
      </c>
      <c r="E152" s="1048">
        <f>SQRT(1+(A152/Zero1)^2)</f>
        <v/>
      </c>
      <c r="F152" s="1049">
        <f>ATAN(A152/Zero1)</f>
        <v/>
      </c>
      <c r="G152" s="1048">
        <f>IF(VIN_nom&gt;Vout, 1, SQRT(1+(A152/z_RHP)^2))</f>
        <v/>
      </c>
      <c r="H152" s="1049">
        <f>IF(VIN_nom&gt;Vout, 0, -ATAN(A152/z_RHP))</f>
        <v/>
      </c>
      <c r="I152" s="1047">
        <f>SQRT(1+(A152/Pole2)^2)</f>
        <v/>
      </c>
      <c r="J152" s="1050">
        <f>ATAN(A152/Pole2)</f>
        <v/>
      </c>
      <c r="K152" s="1056">
        <f>SQRT(1+(A152/Zero2)^2)</f>
        <v/>
      </c>
      <c r="L152" s="1057">
        <f>ATAN(A152/Zero2)</f>
        <v/>
      </c>
      <c r="M152" s="1047">
        <f>SQRT(1+(A152/pole4)^2)</f>
        <v/>
      </c>
      <c r="N152" s="1057">
        <f>ATAN(A152/pole4)</f>
        <v/>
      </c>
      <c r="O152" s="1058">
        <f>IF(VOUT_setting=1,1,SQRT(1+(A152*zterm1)^2))</f>
        <v/>
      </c>
      <c r="P152" s="1059">
        <f>IF(VOUT_setting=1,0,ATAN(((A152*zterm1))))</f>
        <v/>
      </c>
      <c r="Q152" s="1056">
        <f>IF(VOUT_setting=1,1,SQRT((1+Afbr-$Q$5*(A152)^2)^2+(A152*$Q$4)^2))</f>
        <v/>
      </c>
      <c r="R152" s="1060">
        <f>IF(VOUT_setting=1,0,ATAN(A152*$Q$4/(1+Afbr-$Q$5*(A152)^2)))</f>
        <v/>
      </c>
      <c r="S152" s="1054">
        <f>SQRT((1-(Z152/pterm2))^2+(A152/pterm1)^2)</f>
        <v/>
      </c>
      <c r="T152" s="1055">
        <f>IF((ATAN((A152/pterm1)/(1-A152^2/pterm2))&gt;0),ATAN((A152/pterm1)/(1-A152^2/pterm2)),PI()+ATAN((A152/pterm1)/(1-A152^2/pterm2)))</f>
        <v/>
      </c>
      <c r="U152" s="331">
        <f>20*LOG10(((E152*K152*G152*O152)/(C152*I152*S152*M152*Q152))*Adc)</f>
        <v/>
      </c>
      <c r="V152" s="332">
        <f>((F152+L152+H152+P152)-(D152+J152+T152+N152+R152))*radconv</f>
        <v/>
      </c>
      <c r="W152" s="334">
        <f>IF(V152&gt;0,V152,V152+180)</f>
        <v/>
      </c>
      <c r="Y152" s="307">
        <f>IF(U152&lt;0,A152,1000000000)</f>
        <v/>
      </c>
      <c r="Z152" s="307">
        <f>A152^2</f>
        <v/>
      </c>
      <c r="AB152" s="333">
        <f>20*LOG10((K152/(I152*M152))*AEA)</f>
        <v/>
      </c>
      <c r="AC152" s="334">
        <f>(L152-(J152+N152))*radconv</f>
        <v/>
      </c>
      <c r="AE152" s="333">
        <f>20*LOG10((E152*G152/(C152*S152))*Acs*Am)</f>
        <v/>
      </c>
      <c r="AF152" s="334">
        <f>(F152+H152-(D152+T152))*radconv</f>
        <v/>
      </c>
      <c r="AH152">
        <f>SUM((U153&lt;0)*(U152&gt;0))*A152</f>
        <v/>
      </c>
      <c r="AI152">
        <f>IF(AH152&gt;0,W152,0)</f>
        <v/>
      </c>
    </row>
    <row r="153">
      <c r="A153" s="338" t="n">
        <v>8660.049999999999</v>
      </c>
      <c r="B153" s="352">
        <f>A153/1000</f>
        <v/>
      </c>
      <c r="C153" s="1047">
        <f>SQRT(1+(A153/pole1)^2)</f>
        <v/>
      </c>
      <c r="D153" s="1048">
        <f>ATAN(A153/pole1)</f>
        <v/>
      </c>
      <c r="E153" s="1048">
        <f>SQRT(1+(A153/Zero1)^2)</f>
        <v/>
      </c>
      <c r="F153" s="1049">
        <f>ATAN(A153/Zero1)</f>
        <v/>
      </c>
      <c r="G153" s="1048">
        <f>IF(VIN_nom&gt;Vout, 1, SQRT(1+(A153/z_RHP)^2))</f>
        <v/>
      </c>
      <c r="H153" s="1049">
        <f>IF(VIN_nom&gt;Vout, 0, -ATAN(A153/z_RHP))</f>
        <v/>
      </c>
      <c r="I153" s="1047">
        <f>SQRT(1+(A153/Pole2)^2)</f>
        <v/>
      </c>
      <c r="J153" s="1050">
        <f>ATAN(A153/Pole2)</f>
        <v/>
      </c>
      <c r="K153" s="1056">
        <f>SQRT(1+(A153/Zero2)^2)</f>
        <v/>
      </c>
      <c r="L153" s="1057">
        <f>ATAN(A153/Zero2)</f>
        <v/>
      </c>
      <c r="M153" s="1047">
        <f>SQRT(1+(A153/pole4)^2)</f>
        <v/>
      </c>
      <c r="N153" s="1057">
        <f>ATAN(A153/pole4)</f>
        <v/>
      </c>
      <c r="O153" s="1058">
        <f>IF(VOUT_setting=1,1,SQRT(1+(A153*zterm1)^2))</f>
        <v/>
      </c>
      <c r="P153" s="1059">
        <f>IF(VOUT_setting=1,0,ATAN(((A153*zterm1))))</f>
        <v/>
      </c>
      <c r="Q153" s="1056">
        <f>IF(VOUT_setting=1,1,SQRT((1+Afbr-$Q$5*(A153)^2)^2+(A153*$Q$4)^2))</f>
        <v/>
      </c>
      <c r="R153" s="1060">
        <f>IF(VOUT_setting=1,0,ATAN(A153*$Q$4/(1+Afbr-$Q$5*(A153)^2)))</f>
        <v/>
      </c>
      <c r="S153" s="1054">
        <f>SQRT((1-(Z153/pterm2))^2+(A153/pterm1)^2)</f>
        <v/>
      </c>
      <c r="T153" s="1055">
        <f>IF((ATAN((A153/pterm1)/(1-A153^2/pterm2))&gt;0),ATAN((A153/pterm1)/(1-A153^2/pterm2)),PI()+ATAN((A153/pterm1)/(1-A153^2/pterm2)))</f>
        <v/>
      </c>
      <c r="U153" s="331">
        <f>20*LOG10(((E153*K153*G153*O153)/(C153*I153*S153*M153*Q153))*Adc)</f>
        <v/>
      </c>
      <c r="V153" s="332">
        <f>((F153+L153+H153+P153)-(D153+J153+T153+N153+R153))*radconv</f>
        <v/>
      </c>
      <c r="W153" s="334">
        <f>IF(V153&gt;0,V153,V153+180)</f>
        <v/>
      </c>
      <c r="Y153" s="307">
        <f>IF(U153&lt;0,A153,1000000000)</f>
        <v/>
      </c>
      <c r="Z153" s="307">
        <f>A153^2</f>
        <v/>
      </c>
      <c r="AB153" s="333">
        <f>20*LOG10((K153/(I153*M153))*AEA)</f>
        <v/>
      </c>
      <c r="AC153" s="334">
        <f>(L153-(J153+N153))*radconv</f>
        <v/>
      </c>
      <c r="AE153" s="333">
        <f>20*LOG10((E153*G153/(C153*S153))*Acs*Am)</f>
        <v/>
      </c>
      <c r="AF153" s="334">
        <f>(F153+H153-(D153+T153))*radconv</f>
        <v/>
      </c>
      <c r="AH153">
        <f>SUM((U154&lt;0)*(U153&gt;0))*A153</f>
        <v/>
      </c>
      <c r="AI153">
        <f>IF(AH153&gt;0,W153,0)</f>
        <v/>
      </c>
    </row>
    <row r="154">
      <c r="A154" s="338" t="n">
        <v>8709.6</v>
      </c>
      <c r="B154" s="352">
        <f>A154/1000</f>
        <v/>
      </c>
      <c r="C154" s="1047">
        <f>SQRT(1+(A154/pole1)^2)</f>
        <v/>
      </c>
      <c r="D154" s="1048">
        <f>ATAN(A154/pole1)</f>
        <v/>
      </c>
      <c r="E154" s="1048">
        <f>SQRT(1+(A154/Zero1)^2)</f>
        <v/>
      </c>
      <c r="F154" s="1049">
        <f>ATAN(A154/Zero1)</f>
        <v/>
      </c>
      <c r="G154" s="1048">
        <f>IF(VIN_nom&gt;Vout, 1, SQRT(1+(A154/z_RHP)^2))</f>
        <v/>
      </c>
      <c r="H154" s="1049">
        <f>IF(VIN_nom&gt;Vout, 0, -ATAN(A154/z_RHP))</f>
        <v/>
      </c>
      <c r="I154" s="1047">
        <f>SQRT(1+(A154/Pole2)^2)</f>
        <v/>
      </c>
      <c r="J154" s="1050">
        <f>ATAN(A154/Pole2)</f>
        <v/>
      </c>
      <c r="K154" s="1056">
        <f>SQRT(1+(A154/Zero2)^2)</f>
        <v/>
      </c>
      <c r="L154" s="1057">
        <f>ATAN(A154/Zero2)</f>
        <v/>
      </c>
      <c r="M154" s="1047">
        <f>SQRT(1+(A154/pole4)^2)</f>
        <v/>
      </c>
      <c r="N154" s="1057">
        <f>ATAN(A154/pole4)</f>
        <v/>
      </c>
      <c r="O154" s="1058">
        <f>IF(VOUT_setting=1,1,SQRT(1+(A154*zterm1)^2))</f>
        <v/>
      </c>
      <c r="P154" s="1059">
        <f>IF(VOUT_setting=1,0,ATAN(((A154*zterm1))))</f>
        <v/>
      </c>
      <c r="Q154" s="1056">
        <f>IF(VOUT_setting=1,1,SQRT((1+Afbr-$Q$5*(A154)^2)^2+(A154*$Q$4)^2))</f>
        <v/>
      </c>
      <c r="R154" s="1060">
        <f>IF(VOUT_setting=1,0,ATAN(A154*$Q$4/(1+Afbr-$Q$5*(A154)^2)))</f>
        <v/>
      </c>
      <c r="S154" s="1054">
        <f>SQRT((1-(Z154/pterm2))^2+(A154/pterm1)^2)</f>
        <v/>
      </c>
      <c r="T154" s="1055">
        <f>IF((ATAN((A154/pterm1)/(1-A154^2/pterm2))&gt;0),ATAN((A154/pterm1)/(1-A154^2/pterm2)),PI()+ATAN((A154/pterm1)/(1-A154^2/pterm2)))</f>
        <v/>
      </c>
      <c r="U154" s="331">
        <f>20*LOG10(((E154*K154*G154*O154)/(C154*I154*S154*M154*Q154))*Adc)</f>
        <v/>
      </c>
      <c r="V154" s="332">
        <f>((F154+L154+H154+P154)-(D154+J154+T154+N154+R154))*radconv</f>
        <v/>
      </c>
      <c r="W154" s="334">
        <f>IF(V154&gt;0,V154,V154+180)</f>
        <v/>
      </c>
      <c r="Y154" s="307">
        <f>IF(U154&lt;0,A154,1000000000)</f>
        <v/>
      </c>
      <c r="Z154" s="307">
        <f>A154^2</f>
        <v/>
      </c>
      <c r="AB154" s="333">
        <f>20*LOG10((K154/(I154*M154))*AEA)</f>
        <v/>
      </c>
      <c r="AC154" s="334">
        <f>(L154-(J154+N154))*radconv</f>
        <v/>
      </c>
      <c r="AE154" s="333">
        <f>20*LOG10((E154*G154/(C154*S154))*Acs*Am)</f>
        <v/>
      </c>
      <c r="AF154" s="334">
        <f>(F154+H154-(D154+T154))*radconv</f>
        <v/>
      </c>
      <c r="AH154">
        <f>SUM((U155&lt;0)*(U154&gt;0))*A154</f>
        <v/>
      </c>
      <c r="AI154">
        <f>IF(AH154&gt;0,W154,0)</f>
        <v/>
      </c>
    </row>
    <row r="155">
      <c r="A155" s="338" t="n">
        <v>8760.325000000001</v>
      </c>
      <c r="B155" s="352">
        <f>A155/1000</f>
        <v/>
      </c>
      <c r="C155" s="1047">
        <f>SQRT(1+(A155/pole1)^2)</f>
        <v/>
      </c>
      <c r="D155" s="1048">
        <f>ATAN(A155/pole1)</f>
        <v/>
      </c>
      <c r="E155" s="1048">
        <f>SQRT(1+(A155/Zero1)^2)</f>
        <v/>
      </c>
      <c r="F155" s="1049">
        <f>ATAN(A155/Zero1)</f>
        <v/>
      </c>
      <c r="G155" s="1048">
        <f>IF(VIN_nom&gt;Vout, 1, SQRT(1+(A155/z_RHP)^2))</f>
        <v/>
      </c>
      <c r="H155" s="1049">
        <f>IF(VIN_nom&gt;Vout, 0, -ATAN(A155/z_RHP))</f>
        <v/>
      </c>
      <c r="I155" s="1047">
        <f>SQRT(1+(A155/Pole2)^2)</f>
        <v/>
      </c>
      <c r="J155" s="1050">
        <f>ATAN(A155/Pole2)</f>
        <v/>
      </c>
      <c r="K155" s="1056">
        <f>SQRT(1+(A155/Zero2)^2)</f>
        <v/>
      </c>
      <c r="L155" s="1057">
        <f>ATAN(A155/Zero2)</f>
        <v/>
      </c>
      <c r="M155" s="1047">
        <f>SQRT(1+(A155/pole4)^2)</f>
        <v/>
      </c>
      <c r="N155" s="1057">
        <f>ATAN(A155/pole4)</f>
        <v/>
      </c>
      <c r="O155" s="1058">
        <f>IF(VOUT_setting=1,1,SQRT(1+(A155*zterm1)^2))</f>
        <v/>
      </c>
      <c r="P155" s="1059">
        <f>IF(VOUT_setting=1,0,ATAN(((A155*zterm1))))</f>
        <v/>
      </c>
      <c r="Q155" s="1056">
        <f>IF(VOUT_setting=1,1,SQRT((1+Afbr-$Q$5*(A155)^2)^2+(A155*$Q$4)^2))</f>
        <v/>
      </c>
      <c r="R155" s="1060">
        <f>IF(VOUT_setting=1,0,ATAN(A155*$Q$4/(1+Afbr-$Q$5*(A155)^2)))</f>
        <v/>
      </c>
      <c r="S155" s="1054">
        <f>SQRT((1-(Z155/pterm2))^2+(A155/pterm1)^2)</f>
        <v/>
      </c>
      <c r="T155" s="1055">
        <f>IF((ATAN((A155/pterm1)/(1-A155^2/pterm2))&gt;0),ATAN((A155/pterm1)/(1-A155^2/pterm2)),PI()+ATAN((A155/pterm1)/(1-A155^2/pterm2)))</f>
        <v/>
      </c>
      <c r="U155" s="331">
        <f>20*LOG10(((E155*K155*G155*O155)/(C155*I155*S155*M155*Q155))*Adc)</f>
        <v/>
      </c>
      <c r="V155" s="332">
        <f>((F155+L155+H155+P155)-(D155+J155+T155+N155+R155))*radconv</f>
        <v/>
      </c>
      <c r="W155" s="334">
        <f>IF(V155&gt;0,V155,V155+180)</f>
        <v/>
      </c>
      <c r="Y155" s="307">
        <f>IF(U155&lt;0,A155,1000000000)</f>
        <v/>
      </c>
      <c r="Z155" s="307">
        <f>A155^2</f>
        <v/>
      </c>
      <c r="AB155" s="333">
        <f>20*LOG10((K155/(I155*M155))*AEA)</f>
        <v/>
      </c>
      <c r="AC155" s="334">
        <f>(L155-(J155+N155))*radconv</f>
        <v/>
      </c>
      <c r="AE155" s="333">
        <f>20*LOG10((E155*G155/(C155*S155))*Acs*Am)</f>
        <v/>
      </c>
      <c r="AF155" s="334">
        <f>(F155+H155-(D155+T155))*radconv</f>
        <v/>
      </c>
      <c r="AH155">
        <f>SUM((U156&lt;0)*(U155&gt;0))*A155</f>
        <v/>
      </c>
      <c r="AI155">
        <f>IF(AH155&gt;0,W155,0)</f>
        <v/>
      </c>
    </row>
    <row r="156">
      <c r="A156" s="338" t="n">
        <v>8811.049999999999</v>
      </c>
      <c r="B156" s="352">
        <f>A156/1000</f>
        <v/>
      </c>
      <c r="C156" s="1047">
        <f>SQRT(1+(A156/pole1)^2)</f>
        <v/>
      </c>
      <c r="D156" s="1048">
        <f>ATAN(A156/pole1)</f>
        <v/>
      </c>
      <c r="E156" s="1048">
        <f>SQRT(1+(A156/Zero1)^2)</f>
        <v/>
      </c>
      <c r="F156" s="1049">
        <f>ATAN(A156/Zero1)</f>
        <v/>
      </c>
      <c r="G156" s="1048">
        <f>IF(VIN_nom&gt;Vout, 1, SQRT(1+(A156/z_RHP)^2))</f>
        <v/>
      </c>
      <c r="H156" s="1049">
        <f>IF(VIN_nom&gt;Vout, 0, -ATAN(A156/z_RHP))</f>
        <v/>
      </c>
      <c r="I156" s="1047">
        <f>SQRT(1+(A156/Pole2)^2)</f>
        <v/>
      </c>
      <c r="J156" s="1050">
        <f>ATAN(A156/Pole2)</f>
        <v/>
      </c>
      <c r="K156" s="1056">
        <f>SQRT(1+(A156/Zero2)^2)</f>
        <v/>
      </c>
      <c r="L156" s="1057">
        <f>ATAN(A156/Zero2)</f>
        <v/>
      </c>
      <c r="M156" s="1047">
        <f>SQRT(1+(A156/pole4)^2)</f>
        <v/>
      </c>
      <c r="N156" s="1057">
        <f>ATAN(A156/pole4)</f>
        <v/>
      </c>
      <c r="O156" s="1058">
        <f>IF(VOUT_setting=1,1,SQRT(1+(A156*zterm1)^2))</f>
        <v/>
      </c>
      <c r="P156" s="1059">
        <f>IF(VOUT_setting=1,0,ATAN(((A156*zterm1))))</f>
        <v/>
      </c>
      <c r="Q156" s="1056">
        <f>IF(VOUT_setting=1,1,SQRT((1+Afbr-$Q$5*(A156)^2)^2+(A156*$Q$4)^2))</f>
        <v/>
      </c>
      <c r="R156" s="1060">
        <f>IF(VOUT_setting=1,0,ATAN(A156*$Q$4/(1+Afbr-$Q$5*(A156)^2)))</f>
        <v/>
      </c>
      <c r="S156" s="1054">
        <f>SQRT((1-(Z156/pterm2))^2+(A156/pterm1)^2)</f>
        <v/>
      </c>
      <c r="T156" s="1055">
        <f>IF((ATAN((A156/pterm1)/(1-A156^2/pterm2))&gt;0),ATAN((A156/pterm1)/(1-A156^2/pterm2)),PI()+ATAN((A156/pterm1)/(1-A156^2/pterm2)))</f>
        <v/>
      </c>
      <c r="U156" s="331">
        <f>20*LOG10(((E156*K156*G156*O156)/(C156*I156*S156*M156*Q156))*Adc)</f>
        <v/>
      </c>
      <c r="V156" s="332">
        <f>((F156+L156+H156+P156)-(D156+J156+T156+N156+R156))*radconv</f>
        <v/>
      </c>
      <c r="W156" s="334">
        <f>IF(V156&gt;0,V156,V156+180)</f>
        <v/>
      </c>
      <c r="Y156" s="307">
        <f>IF(U156&lt;0,A156,1000000000)</f>
        <v/>
      </c>
      <c r="Z156" s="307">
        <f>A156^2</f>
        <v/>
      </c>
      <c r="AB156" s="333">
        <f>20*LOG10((K156/(I156*M156))*AEA)</f>
        <v/>
      </c>
      <c r="AC156" s="334">
        <f>(L156-(J156+N156))*radconv</f>
        <v/>
      </c>
      <c r="AE156" s="333">
        <f>20*LOG10((E156*G156/(C156*S156))*Acs*Am)</f>
        <v/>
      </c>
      <c r="AF156" s="334">
        <f>(F156+H156-(D156+T156))*radconv</f>
        <v/>
      </c>
      <c r="AH156">
        <f>SUM((U157&lt;0)*(U156&gt;0))*A156</f>
        <v/>
      </c>
      <c r="AI156">
        <f>IF(AH156&gt;0,W156,0)</f>
        <v/>
      </c>
    </row>
    <row r="157">
      <c r="A157" s="338" t="n">
        <v>8861.775</v>
      </c>
      <c r="B157" s="352">
        <f>A157/1000</f>
        <v/>
      </c>
      <c r="C157" s="1047">
        <f>SQRT(1+(A157/pole1)^2)</f>
        <v/>
      </c>
      <c r="D157" s="1048">
        <f>ATAN(A157/pole1)</f>
        <v/>
      </c>
      <c r="E157" s="1048">
        <f>SQRT(1+(A157/Zero1)^2)</f>
        <v/>
      </c>
      <c r="F157" s="1049">
        <f>ATAN(A157/Zero1)</f>
        <v/>
      </c>
      <c r="G157" s="1048">
        <f>IF(VIN_nom&gt;Vout, 1, SQRT(1+(A157/z_RHP)^2))</f>
        <v/>
      </c>
      <c r="H157" s="1049">
        <f>IF(VIN_nom&gt;Vout, 0, -ATAN(A157/z_RHP))</f>
        <v/>
      </c>
      <c r="I157" s="1047">
        <f>SQRT(1+(A157/Pole2)^2)</f>
        <v/>
      </c>
      <c r="J157" s="1050">
        <f>ATAN(A157/Pole2)</f>
        <v/>
      </c>
      <c r="K157" s="1056">
        <f>SQRT(1+(A157/Zero2)^2)</f>
        <v/>
      </c>
      <c r="L157" s="1057">
        <f>ATAN(A157/Zero2)</f>
        <v/>
      </c>
      <c r="M157" s="1047">
        <f>SQRT(1+(A157/pole4)^2)</f>
        <v/>
      </c>
      <c r="N157" s="1057">
        <f>ATAN(A157/pole4)</f>
        <v/>
      </c>
      <c r="O157" s="1058">
        <f>IF(VOUT_setting=1,1,SQRT(1+(A157*zterm1)^2))</f>
        <v/>
      </c>
      <c r="P157" s="1059">
        <f>IF(VOUT_setting=1,0,ATAN(((A157*zterm1))))</f>
        <v/>
      </c>
      <c r="Q157" s="1056">
        <f>IF(VOUT_setting=1,1,SQRT((1+Afbr-$Q$5*(A157)^2)^2+(A157*$Q$4)^2))</f>
        <v/>
      </c>
      <c r="R157" s="1060">
        <f>IF(VOUT_setting=1,0,ATAN(A157*$Q$4/(1+Afbr-$Q$5*(A157)^2)))</f>
        <v/>
      </c>
      <c r="S157" s="1054">
        <f>SQRT((1-(Z157/pterm2))^2+(A157/pterm1)^2)</f>
        <v/>
      </c>
      <c r="T157" s="1055">
        <f>IF((ATAN((A157/pterm1)/(1-A157^2/pterm2))&gt;0),ATAN((A157/pterm1)/(1-A157^2/pterm2)),PI()+ATAN((A157/pterm1)/(1-A157^2/pterm2)))</f>
        <v/>
      </c>
      <c r="U157" s="331">
        <f>20*LOG10(((E157*K157*G157*O157)/(C157*I157*S157*M157*Q157))*Adc)</f>
        <v/>
      </c>
      <c r="V157" s="332">
        <f>((F157+L157+H157+P157)-(D157+J157+T157+N157+R157))*radconv</f>
        <v/>
      </c>
      <c r="W157" s="334">
        <f>IF(V157&gt;0,V157,V157+180)</f>
        <v/>
      </c>
      <c r="Y157" s="307">
        <f>IF(U157&lt;0,A157,1000000000)</f>
        <v/>
      </c>
      <c r="Z157" s="307">
        <f>A157^2</f>
        <v/>
      </c>
      <c r="AB157" s="333">
        <f>20*LOG10((K157/(I157*M157))*AEA)</f>
        <v/>
      </c>
      <c r="AC157" s="334">
        <f>(L157-(J157+N157))*radconv</f>
        <v/>
      </c>
      <c r="AE157" s="333">
        <f>20*LOG10((E157*G157/(C157*S157))*Acs*Am)</f>
        <v/>
      </c>
      <c r="AF157" s="334">
        <f>(F157+H157-(D157+T157))*radconv</f>
        <v/>
      </c>
      <c r="AH157">
        <f>SUM((U158&lt;0)*(U157&gt;0))*A157</f>
        <v/>
      </c>
      <c r="AI157">
        <f>IF(AH157&gt;0,W157,0)</f>
        <v/>
      </c>
    </row>
    <row r="158">
      <c r="A158" s="335" t="n">
        <v>8912.5</v>
      </c>
      <c r="B158" s="352">
        <f>A158/1000</f>
        <v/>
      </c>
      <c r="C158" s="1047">
        <f>SQRT(1+(A158/pole1)^2)</f>
        <v/>
      </c>
      <c r="D158" s="1048">
        <f>ATAN(A158/pole1)</f>
        <v/>
      </c>
      <c r="E158" s="1048">
        <f>SQRT(1+(A158/Zero1)^2)</f>
        <v/>
      </c>
      <c r="F158" s="1049">
        <f>ATAN(A158/Zero1)</f>
        <v/>
      </c>
      <c r="G158" s="1048">
        <f>IF(VIN_nom&gt;Vout, 1, SQRT(1+(A158/z_RHP)^2))</f>
        <v/>
      </c>
      <c r="H158" s="1049">
        <f>IF(VIN_nom&gt;Vout, 0, -ATAN(A158/z_RHP))</f>
        <v/>
      </c>
      <c r="I158" s="1047">
        <f>SQRT(1+(A158/Pole2)^2)</f>
        <v/>
      </c>
      <c r="J158" s="1050">
        <f>ATAN(A158/Pole2)</f>
        <v/>
      </c>
      <c r="K158" s="1056">
        <f>SQRT(1+(A158/Zero2)^2)</f>
        <v/>
      </c>
      <c r="L158" s="1057">
        <f>ATAN(A158/Zero2)</f>
        <v/>
      </c>
      <c r="M158" s="1047">
        <f>SQRT(1+(A158/pole4)^2)</f>
        <v/>
      </c>
      <c r="N158" s="1057">
        <f>ATAN(A158/pole4)</f>
        <v/>
      </c>
      <c r="O158" s="1058">
        <f>IF(VOUT_setting=1,1,SQRT(1+(A158*zterm1)^2))</f>
        <v/>
      </c>
      <c r="P158" s="1059">
        <f>IF(VOUT_setting=1,0,ATAN(((A158*zterm1))))</f>
        <v/>
      </c>
      <c r="Q158" s="1056">
        <f>IF(VOUT_setting=1,1,SQRT((1+Afbr-$Q$5*(A158)^2)^2+(A158*$Q$4)^2))</f>
        <v/>
      </c>
      <c r="R158" s="1060">
        <f>IF(VOUT_setting=1,0,ATAN(A158*$Q$4/(1+Afbr-$Q$5*(A158)^2)))</f>
        <v/>
      </c>
      <c r="S158" s="1054">
        <f>SQRT((1-(Z158/pterm2))^2+(A158/pterm1)^2)</f>
        <v/>
      </c>
      <c r="T158" s="1055">
        <f>IF((ATAN((A158/pterm1)/(1-A158^2/pterm2))&gt;0),ATAN((A158/pterm1)/(1-A158^2/pterm2)),PI()+ATAN((A158/pterm1)/(1-A158^2/pterm2)))</f>
        <v/>
      </c>
      <c r="U158" s="331">
        <f>20*LOG10(((E158*K158*G158*O158)/(C158*I158*S158*M158*Q158))*Adc)</f>
        <v/>
      </c>
      <c r="V158" s="332">
        <f>((F158+L158+H158+P158)-(D158+J158+T158+N158+R158))*radconv</f>
        <v/>
      </c>
      <c r="W158" s="334">
        <f>IF(V158&gt;0,V158,V158+180)</f>
        <v/>
      </c>
      <c r="Y158" s="307">
        <f>IF(U158&lt;0,A158,1000000000)</f>
        <v/>
      </c>
      <c r="Z158" s="307">
        <f>A158^2</f>
        <v/>
      </c>
      <c r="AB158" s="333">
        <f>20*LOG10((K158/(I158*M158))*AEA)</f>
        <v/>
      </c>
      <c r="AC158" s="334">
        <f>(L158-(J158+N158))*radconv</f>
        <v/>
      </c>
      <c r="AE158" s="333">
        <f>20*LOG10((E158*G158/(C158*S158))*Acs*Am)</f>
        <v/>
      </c>
      <c r="AF158" s="334">
        <f>(F158+H158-(D158+T158))*radconv</f>
        <v/>
      </c>
      <c r="AH158">
        <f>SUM((U159&lt;0)*(U158&gt;0))*A158</f>
        <v/>
      </c>
      <c r="AI158">
        <f>IF(AH158&gt;0,W158,0)</f>
        <v/>
      </c>
    </row>
    <row r="159">
      <c r="A159" s="335" t="n">
        <v>8964.4</v>
      </c>
      <c r="B159" s="352">
        <f>A159/1000</f>
        <v/>
      </c>
      <c r="C159" s="1047">
        <f>SQRT(1+(A159/pole1)^2)</f>
        <v/>
      </c>
      <c r="D159" s="1048">
        <f>ATAN(A159/pole1)</f>
        <v/>
      </c>
      <c r="E159" s="1048">
        <f>SQRT(1+(A159/Zero1)^2)</f>
        <v/>
      </c>
      <c r="F159" s="1049">
        <f>ATAN(A159/Zero1)</f>
        <v/>
      </c>
      <c r="G159" s="1048">
        <f>IF(VIN_nom&gt;Vout, 1, SQRT(1+(A159/z_RHP)^2))</f>
        <v/>
      </c>
      <c r="H159" s="1049">
        <f>IF(VIN_nom&gt;Vout, 0, -ATAN(A159/z_RHP))</f>
        <v/>
      </c>
      <c r="I159" s="1047">
        <f>SQRT(1+(A159/Pole2)^2)</f>
        <v/>
      </c>
      <c r="J159" s="1050">
        <f>ATAN(A159/Pole2)</f>
        <v/>
      </c>
      <c r="K159" s="1056">
        <f>SQRT(1+(A159/Zero2)^2)</f>
        <v/>
      </c>
      <c r="L159" s="1057">
        <f>ATAN(A159/Zero2)</f>
        <v/>
      </c>
      <c r="M159" s="1047">
        <f>SQRT(1+(A159/pole4)^2)</f>
        <v/>
      </c>
      <c r="N159" s="1057">
        <f>ATAN(A159/pole4)</f>
        <v/>
      </c>
      <c r="O159" s="1058">
        <f>IF(VOUT_setting=1,1,SQRT(1+(A159*zterm1)^2))</f>
        <v/>
      </c>
      <c r="P159" s="1059">
        <f>IF(VOUT_setting=1,0,ATAN(((A159*zterm1))))</f>
        <v/>
      </c>
      <c r="Q159" s="1056">
        <f>IF(VOUT_setting=1,1,SQRT((1+Afbr-$Q$5*(A159)^2)^2+(A159*$Q$4)^2))</f>
        <v/>
      </c>
      <c r="R159" s="1060">
        <f>IF(VOUT_setting=1,0,ATAN(A159*$Q$4/(1+Afbr-$Q$5*(A159)^2)))</f>
        <v/>
      </c>
      <c r="S159" s="1054">
        <f>SQRT((1-(Z159/pterm2))^2+(A159/pterm1)^2)</f>
        <v/>
      </c>
      <c r="T159" s="1055">
        <f>IF((ATAN((A159/pterm1)/(1-A159^2/pterm2))&gt;0),ATAN((A159/pterm1)/(1-A159^2/pterm2)),PI()+ATAN((A159/pterm1)/(1-A159^2/pterm2)))</f>
        <v/>
      </c>
      <c r="U159" s="331">
        <f>20*LOG10(((E159*K159*G159*O159)/(C159*I159*S159*M159*Q159))*Adc)</f>
        <v/>
      </c>
      <c r="V159" s="332">
        <f>((F159+L159+H159+P159)-(D159+J159+T159+N159+R159))*radconv</f>
        <v/>
      </c>
      <c r="W159" s="334">
        <f>IF(V159&gt;0,V159,V159+180)</f>
        <v/>
      </c>
      <c r="Y159" s="307">
        <f>IF(U159&lt;0,A159,1000000000)</f>
        <v/>
      </c>
      <c r="Z159" s="307">
        <f>A159^2</f>
        <v/>
      </c>
      <c r="AB159" s="333">
        <f>20*LOG10((K159/(I159*M159))*AEA)</f>
        <v/>
      </c>
      <c r="AC159" s="334">
        <f>(L159-(J159+N159))*radconv</f>
        <v/>
      </c>
      <c r="AE159" s="333">
        <f>20*LOG10((E159*G159/(C159*S159))*Acs*Am)</f>
        <v/>
      </c>
      <c r="AF159" s="334">
        <f>(F159+H159-(D159+T159))*radconv</f>
        <v/>
      </c>
      <c r="AH159">
        <f>SUM((U160&lt;0)*(U159&gt;0))*A159</f>
        <v/>
      </c>
      <c r="AI159">
        <f>IF(AH159&gt;0,W159,0)</f>
        <v/>
      </c>
    </row>
    <row r="160">
      <c r="A160" s="335" t="n">
        <v>9016.299999999999</v>
      </c>
      <c r="B160" s="352">
        <f>A160/1000</f>
        <v/>
      </c>
      <c r="C160" s="1047">
        <f>SQRT(1+(A160/pole1)^2)</f>
        <v/>
      </c>
      <c r="D160" s="1048">
        <f>ATAN(A160/pole1)</f>
        <v/>
      </c>
      <c r="E160" s="1048">
        <f>SQRT(1+(A160/Zero1)^2)</f>
        <v/>
      </c>
      <c r="F160" s="1049">
        <f>ATAN(A160/Zero1)</f>
        <v/>
      </c>
      <c r="G160" s="1048">
        <f>IF(VIN_nom&gt;Vout, 1, SQRT(1+(A160/z_RHP)^2))</f>
        <v/>
      </c>
      <c r="H160" s="1049">
        <f>IF(VIN_nom&gt;Vout, 0, -ATAN(A160/z_RHP))</f>
        <v/>
      </c>
      <c r="I160" s="1047">
        <f>SQRT(1+(A160/Pole2)^2)</f>
        <v/>
      </c>
      <c r="J160" s="1050">
        <f>ATAN(A160/Pole2)</f>
        <v/>
      </c>
      <c r="K160" s="1056">
        <f>SQRT(1+(A160/Zero2)^2)</f>
        <v/>
      </c>
      <c r="L160" s="1057">
        <f>ATAN(A160/Zero2)</f>
        <v/>
      </c>
      <c r="M160" s="1047">
        <f>SQRT(1+(A160/pole4)^2)</f>
        <v/>
      </c>
      <c r="N160" s="1057">
        <f>ATAN(A160/pole4)</f>
        <v/>
      </c>
      <c r="O160" s="1058">
        <f>IF(VOUT_setting=1,1,SQRT(1+(A160*zterm1)^2))</f>
        <v/>
      </c>
      <c r="P160" s="1059">
        <f>IF(VOUT_setting=1,0,ATAN(((A160*zterm1))))</f>
        <v/>
      </c>
      <c r="Q160" s="1056">
        <f>IF(VOUT_setting=1,1,SQRT((1+Afbr-$Q$5*(A160)^2)^2+(A160*$Q$4)^2))</f>
        <v/>
      </c>
      <c r="R160" s="1060">
        <f>IF(VOUT_setting=1,0,ATAN(A160*$Q$4/(1+Afbr-$Q$5*(A160)^2)))</f>
        <v/>
      </c>
      <c r="S160" s="1054">
        <f>SQRT((1-(Z160/pterm2))^2+(A160/pterm1)^2)</f>
        <v/>
      </c>
      <c r="T160" s="1055">
        <f>IF((ATAN((A160/pterm1)/(1-A160^2/pterm2))&gt;0),ATAN((A160/pterm1)/(1-A160^2/pterm2)),PI()+ATAN((A160/pterm1)/(1-A160^2/pterm2)))</f>
        <v/>
      </c>
      <c r="U160" s="331">
        <f>20*LOG10(((E160*K160*G160*O160)/(C160*I160*S160*M160*Q160))*Adc)</f>
        <v/>
      </c>
      <c r="V160" s="332">
        <f>((F160+L160+H160+P160)-(D160+J160+T160+N160+R160))*radconv</f>
        <v/>
      </c>
      <c r="W160" s="334">
        <f>IF(V160&gt;0,V160,V160+180)</f>
        <v/>
      </c>
      <c r="Y160" s="307">
        <f>IF(U160&lt;0,A160,1000000000)</f>
        <v/>
      </c>
      <c r="Z160" s="307">
        <f>A160^2</f>
        <v/>
      </c>
      <c r="AB160" s="333">
        <f>20*LOG10((K160/(I160*M160))*AEA)</f>
        <v/>
      </c>
      <c r="AC160" s="334">
        <f>(L160-(J160+N160))*radconv</f>
        <v/>
      </c>
      <c r="AE160" s="333">
        <f>20*LOG10((E160*G160/(C160*S160))*Acs*Am)</f>
        <v/>
      </c>
      <c r="AF160" s="334">
        <f>(F160+H160-(D160+T160))*radconv</f>
        <v/>
      </c>
      <c r="AH160">
        <f>SUM((U161&lt;0)*(U160&gt;0))*A160</f>
        <v/>
      </c>
      <c r="AI160">
        <f>IF(AH160&gt;0,W160,0)</f>
        <v/>
      </c>
    </row>
    <row r="161">
      <c r="A161" s="335" t="n">
        <v>9068.200000000001</v>
      </c>
      <c r="B161" s="352">
        <f>A161/1000</f>
        <v/>
      </c>
      <c r="C161" s="1047">
        <f>SQRT(1+(A161/pole1)^2)</f>
        <v/>
      </c>
      <c r="D161" s="1048">
        <f>ATAN(A161/pole1)</f>
        <v/>
      </c>
      <c r="E161" s="1048">
        <f>SQRT(1+(A161/Zero1)^2)</f>
        <v/>
      </c>
      <c r="F161" s="1049">
        <f>ATAN(A161/Zero1)</f>
        <v/>
      </c>
      <c r="G161" s="1048">
        <f>IF(VIN_nom&gt;Vout, 1, SQRT(1+(A161/z_RHP)^2))</f>
        <v/>
      </c>
      <c r="H161" s="1049">
        <f>IF(VIN_nom&gt;Vout, 0, -ATAN(A161/z_RHP))</f>
        <v/>
      </c>
      <c r="I161" s="1047">
        <f>SQRT(1+(A161/Pole2)^2)</f>
        <v/>
      </c>
      <c r="J161" s="1050">
        <f>ATAN(A161/Pole2)</f>
        <v/>
      </c>
      <c r="K161" s="1056">
        <f>SQRT(1+(A161/Zero2)^2)</f>
        <v/>
      </c>
      <c r="L161" s="1057">
        <f>ATAN(A161/Zero2)</f>
        <v/>
      </c>
      <c r="M161" s="1047">
        <f>SQRT(1+(A161/pole4)^2)</f>
        <v/>
      </c>
      <c r="N161" s="1057">
        <f>ATAN(A161/pole4)</f>
        <v/>
      </c>
      <c r="O161" s="1058">
        <f>IF(VOUT_setting=1,1,SQRT(1+(A161*zterm1)^2))</f>
        <v/>
      </c>
      <c r="P161" s="1059">
        <f>IF(VOUT_setting=1,0,ATAN(((A161*zterm1))))</f>
        <v/>
      </c>
      <c r="Q161" s="1056">
        <f>IF(VOUT_setting=1,1,SQRT((1+Afbr-$Q$5*(A161)^2)^2+(A161*$Q$4)^2))</f>
        <v/>
      </c>
      <c r="R161" s="1060">
        <f>IF(VOUT_setting=1,0,ATAN(A161*$Q$4/(1+Afbr-$Q$5*(A161)^2)))</f>
        <v/>
      </c>
      <c r="S161" s="1054">
        <f>SQRT((1-(Z161/pterm2))^2+(A161/pterm1)^2)</f>
        <v/>
      </c>
      <c r="T161" s="1055">
        <f>IF((ATAN((A161/pterm1)/(1-A161^2/pterm2))&gt;0),ATAN((A161/pterm1)/(1-A161^2/pterm2)),PI()+ATAN((A161/pterm1)/(1-A161^2/pterm2)))</f>
        <v/>
      </c>
      <c r="U161" s="331">
        <f>20*LOG10(((E161*K161*G161*O161)/(C161*I161*S161*M161*Q161))*Adc)</f>
        <v/>
      </c>
      <c r="V161" s="332">
        <f>((F161+L161+H161+P161)-(D161+J161+T161+N161+R161))*radconv</f>
        <v/>
      </c>
      <c r="W161" s="334">
        <f>IF(V161&gt;0,V161,V161+180)</f>
        <v/>
      </c>
      <c r="Y161" s="307">
        <f>IF(U161&lt;0,A161,1000000000)</f>
        <v/>
      </c>
      <c r="Z161" s="307">
        <f>A161^2</f>
        <v/>
      </c>
      <c r="AB161" s="333">
        <f>20*LOG10((K161/(I161*M161))*AEA)</f>
        <v/>
      </c>
      <c r="AC161" s="334">
        <f>(L161-(J161+N161))*radconv</f>
        <v/>
      </c>
      <c r="AE161" s="333">
        <f>20*LOG10((E161*G161/(C161*S161))*Acs*Am)</f>
        <v/>
      </c>
      <c r="AF161" s="334">
        <f>(F161+H161-(D161+T161))*radconv</f>
        <v/>
      </c>
      <c r="AH161">
        <f>SUM((U162&lt;0)*(U161&gt;0))*A161</f>
        <v/>
      </c>
      <c r="AI161">
        <f>IF(AH161&gt;0,W161,0)</f>
        <v/>
      </c>
    </row>
    <row r="162">
      <c r="A162" s="335" t="n">
        <v>9120.1</v>
      </c>
      <c r="B162" s="352">
        <f>A162/1000</f>
        <v/>
      </c>
      <c r="C162" s="1047">
        <f>SQRT(1+(A162/pole1)^2)</f>
        <v/>
      </c>
      <c r="D162" s="1048">
        <f>ATAN(A162/pole1)</f>
        <v/>
      </c>
      <c r="E162" s="1048">
        <f>SQRT(1+(A162/Zero1)^2)</f>
        <v/>
      </c>
      <c r="F162" s="1049">
        <f>ATAN(A162/Zero1)</f>
        <v/>
      </c>
      <c r="G162" s="1048">
        <f>IF(VIN_nom&gt;Vout, 1, SQRT(1+(A162/z_RHP)^2))</f>
        <v/>
      </c>
      <c r="H162" s="1049">
        <f>IF(VIN_nom&gt;Vout, 0, -ATAN(A162/z_RHP))</f>
        <v/>
      </c>
      <c r="I162" s="1047">
        <f>SQRT(1+(A162/Pole2)^2)</f>
        <v/>
      </c>
      <c r="J162" s="1050">
        <f>ATAN(A162/Pole2)</f>
        <v/>
      </c>
      <c r="K162" s="1056">
        <f>SQRT(1+(A162/Zero2)^2)</f>
        <v/>
      </c>
      <c r="L162" s="1057">
        <f>ATAN(A162/Zero2)</f>
        <v/>
      </c>
      <c r="M162" s="1047">
        <f>SQRT(1+(A162/pole4)^2)</f>
        <v/>
      </c>
      <c r="N162" s="1057">
        <f>ATAN(A162/pole4)</f>
        <v/>
      </c>
      <c r="O162" s="1058">
        <f>IF(VOUT_setting=1,1,SQRT(1+(A162*zterm1)^2))</f>
        <v/>
      </c>
      <c r="P162" s="1059">
        <f>IF(VOUT_setting=1,0,ATAN(((A162*zterm1))))</f>
        <v/>
      </c>
      <c r="Q162" s="1056">
        <f>IF(VOUT_setting=1,1,SQRT((1+Afbr-$Q$5*(A162)^2)^2+(A162*$Q$4)^2))</f>
        <v/>
      </c>
      <c r="R162" s="1060">
        <f>IF(VOUT_setting=1,0,ATAN(A162*$Q$4/(1+Afbr-$Q$5*(A162)^2)))</f>
        <v/>
      </c>
      <c r="S162" s="1054">
        <f>SQRT((1-(Z162/pterm2))^2+(A162/pterm1)^2)</f>
        <v/>
      </c>
      <c r="T162" s="1055">
        <f>IF((ATAN((A162/pterm1)/(1-A162^2/pterm2))&gt;0),ATAN((A162/pterm1)/(1-A162^2/pterm2)),PI()+ATAN((A162/pterm1)/(1-A162^2/pterm2)))</f>
        <v/>
      </c>
      <c r="U162" s="331">
        <f>20*LOG10(((E162*K162*G162*O162)/(C162*I162*S162*M162*Q162))*Adc)</f>
        <v/>
      </c>
      <c r="V162" s="332">
        <f>((F162+L162+H162+P162)-(D162+J162+T162+N162+R162))*radconv</f>
        <v/>
      </c>
      <c r="W162" s="334">
        <f>IF(V162&gt;0,V162,V162+180)</f>
        <v/>
      </c>
      <c r="Y162" s="307">
        <f>IF(U162&lt;0,A162,1000000000)</f>
        <v/>
      </c>
      <c r="Z162" s="307">
        <f>A162^2</f>
        <v/>
      </c>
      <c r="AB162" s="333">
        <f>20*LOG10((K162/(I162*M162))*AEA)</f>
        <v/>
      </c>
      <c r="AC162" s="334">
        <f>(L162-(J162+N162))*radconv</f>
        <v/>
      </c>
      <c r="AE162" s="333">
        <f>20*LOG10((E162*G162/(C162*S162))*Acs*Am)</f>
        <v/>
      </c>
      <c r="AF162" s="334">
        <f>(F162+H162-(D162+T162))*radconv</f>
        <v/>
      </c>
      <c r="AH162">
        <f>SUM((U163&lt;0)*(U162&gt;0))*A162</f>
        <v/>
      </c>
      <c r="AI162">
        <f>IF(AH162&gt;0,W162,0)</f>
        <v/>
      </c>
    </row>
    <row r="163">
      <c r="A163" s="335" t="n">
        <v>9173.200000000001</v>
      </c>
      <c r="B163" s="352">
        <f>A163/1000</f>
        <v/>
      </c>
      <c r="C163" s="1047">
        <f>SQRT(1+(A163/pole1)^2)</f>
        <v/>
      </c>
      <c r="D163" s="1048">
        <f>ATAN(A163/pole1)</f>
        <v/>
      </c>
      <c r="E163" s="1048">
        <f>SQRT(1+(A163/Zero1)^2)</f>
        <v/>
      </c>
      <c r="F163" s="1049">
        <f>ATAN(A163/Zero1)</f>
        <v/>
      </c>
      <c r="G163" s="1048">
        <f>IF(VIN_nom&gt;Vout, 1, SQRT(1+(A163/z_RHP)^2))</f>
        <v/>
      </c>
      <c r="H163" s="1049">
        <f>IF(VIN_nom&gt;Vout, 0, -ATAN(A163/z_RHP))</f>
        <v/>
      </c>
      <c r="I163" s="1047">
        <f>SQRT(1+(A163/Pole2)^2)</f>
        <v/>
      </c>
      <c r="J163" s="1050">
        <f>ATAN(A163/Pole2)</f>
        <v/>
      </c>
      <c r="K163" s="1056">
        <f>SQRT(1+(A163/Zero2)^2)</f>
        <v/>
      </c>
      <c r="L163" s="1057">
        <f>ATAN(A163/Zero2)</f>
        <v/>
      </c>
      <c r="M163" s="1047">
        <f>SQRT(1+(A163/pole4)^2)</f>
        <v/>
      </c>
      <c r="N163" s="1057">
        <f>ATAN(A163/pole4)</f>
        <v/>
      </c>
      <c r="O163" s="1058">
        <f>IF(VOUT_setting=1,1,SQRT(1+(A163*zterm1)^2))</f>
        <v/>
      </c>
      <c r="P163" s="1059">
        <f>IF(VOUT_setting=1,0,ATAN(((A163*zterm1))))</f>
        <v/>
      </c>
      <c r="Q163" s="1056">
        <f>IF(VOUT_setting=1,1,SQRT((1+Afbr-$Q$5*(A163)^2)^2+(A163*$Q$4)^2))</f>
        <v/>
      </c>
      <c r="R163" s="1060">
        <f>IF(VOUT_setting=1,0,ATAN(A163*$Q$4/(1+Afbr-$Q$5*(A163)^2)))</f>
        <v/>
      </c>
      <c r="S163" s="1054">
        <f>SQRT((1-(Z163/pterm2))^2+(A163/pterm1)^2)</f>
        <v/>
      </c>
      <c r="T163" s="1055">
        <f>IF((ATAN((A163/pterm1)/(1-A163^2/pterm2))&gt;0),ATAN((A163/pterm1)/(1-A163^2/pterm2)),PI()+ATAN((A163/pterm1)/(1-A163^2/pterm2)))</f>
        <v/>
      </c>
      <c r="U163" s="331">
        <f>20*LOG10(((E163*K163*G163*O163)/(C163*I163*S163*M163*Q163))*Adc)</f>
        <v/>
      </c>
      <c r="V163" s="332">
        <f>((F163+L163+H163+P163)-(D163+J163+T163+N163+R163))*radconv</f>
        <v/>
      </c>
      <c r="W163" s="334">
        <f>IF(V163&gt;0,V163,V163+180)</f>
        <v/>
      </c>
      <c r="Y163" s="307">
        <f>IF(U163&lt;0,A163,1000000000)</f>
        <v/>
      </c>
      <c r="Z163" s="307">
        <f>A163^2</f>
        <v/>
      </c>
      <c r="AB163" s="333">
        <f>20*LOG10((K163/(I163*M163))*AEA)</f>
        <v/>
      </c>
      <c r="AC163" s="334">
        <f>(L163-(J163+N163))*radconv</f>
        <v/>
      </c>
      <c r="AE163" s="333">
        <f>20*LOG10((E163*G163/(C163*S163))*Acs*Am)</f>
        <v/>
      </c>
      <c r="AF163" s="334">
        <f>(F163+H163-(D163+T163))*radconv</f>
        <v/>
      </c>
      <c r="AH163">
        <f>SUM((U164&lt;0)*(U163&gt;0))*A163</f>
        <v/>
      </c>
      <c r="AI163">
        <f>IF(AH163&gt;0,W163,0)</f>
        <v/>
      </c>
    </row>
    <row r="164">
      <c r="A164" s="335" t="n">
        <v>9226.299999999999</v>
      </c>
      <c r="B164" s="352">
        <f>A164/1000</f>
        <v/>
      </c>
      <c r="C164" s="1047">
        <f>SQRT(1+(A164/pole1)^2)</f>
        <v/>
      </c>
      <c r="D164" s="1048">
        <f>ATAN(A164/pole1)</f>
        <v/>
      </c>
      <c r="E164" s="1048">
        <f>SQRT(1+(A164/Zero1)^2)</f>
        <v/>
      </c>
      <c r="F164" s="1049">
        <f>ATAN(A164/Zero1)</f>
        <v/>
      </c>
      <c r="G164" s="1048">
        <f>IF(VIN_nom&gt;Vout, 1, SQRT(1+(A164/z_RHP)^2))</f>
        <v/>
      </c>
      <c r="H164" s="1049">
        <f>IF(VIN_nom&gt;Vout, 0, -ATAN(A164/z_RHP))</f>
        <v/>
      </c>
      <c r="I164" s="1047">
        <f>SQRT(1+(A164/Pole2)^2)</f>
        <v/>
      </c>
      <c r="J164" s="1050">
        <f>ATAN(A164/Pole2)</f>
        <v/>
      </c>
      <c r="K164" s="1056">
        <f>SQRT(1+(A164/Zero2)^2)</f>
        <v/>
      </c>
      <c r="L164" s="1057">
        <f>ATAN(A164/Zero2)</f>
        <v/>
      </c>
      <c r="M164" s="1047">
        <f>SQRT(1+(A164/pole4)^2)</f>
        <v/>
      </c>
      <c r="N164" s="1057">
        <f>ATAN(A164/pole4)</f>
        <v/>
      </c>
      <c r="O164" s="1058">
        <f>IF(VOUT_setting=1,1,SQRT(1+(A164*zterm1)^2))</f>
        <v/>
      </c>
      <c r="P164" s="1059">
        <f>IF(VOUT_setting=1,0,ATAN(((A164*zterm1))))</f>
        <v/>
      </c>
      <c r="Q164" s="1056">
        <f>IF(VOUT_setting=1,1,SQRT((1+Afbr-$Q$5*(A164)^2)^2+(A164*$Q$4)^2))</f>
        <v/>
      </c>
      <c r="R164" s="1060">
        <f>IF(VOUT_setting=1,0,ATAN(A164*$Q$4/(1+Afbr-$Q$5*(A164)^2)))</f>
        <v/>
      </c>
      <c r="S164" s="1054">
        <f>SQRT((1-(Z164/pterm2))^2+(A164/pterm1)^2)</f>
        <v/>
      </c>
      <c r="T164" s="1055">
        <f>IF((ATAN((A164/pterm1)/(1-A164^2/pterm2))&gt;0),ATAN((A164/pterm1)/(1-A164^2/pterm2)),PI()+ATAN((A164/pterm1)/(1-A164^2/pterm2)))</f>
        <v/>
      </c>
      <c r="U164" s="331">
        <f>20*LOG10(((E164*K164*G164*O164)/(C164*I164*S164*M164*Q164))*Adc)</f>
        <v/>
      </c>
      <c r="V164" s="332">
        <f>((F164+L164+H164+P164)-(D164+J164+T164+N164+R164))*radconv</f>
        <v/>
      </c>
      <c r="W164" s="334">
        <f>IF(V164&gt;0,V164,V164+180)</f>
        <v/>
      </c>
      <c r="Y164" s="307">
        <f>IF(U164&lt;0,A164,1000000000)</f>
        <v/>
      </c>
      <c r="Z164" s="307">
        <f>A164^2</f>
        <v/>
      </c>
      <c r="AB164" s="333">
        <f>20*LOG10((K164/(I164*M164))*AEA)</f>
        <v/>
      </c>
      <c r="AC164" s="334">
        <f>(L164-(J164+N164))*radconv</f>
        <v/>
      </c>
      <c r="AE164" s="333">
        <f>20*LOG10((E164*G164/(C164*S164))*Acs*Am)</f>
        <v/>
      </c>
      <c r="AF164" s="334">
        <f>(F164+H164-(D164+T164))*radconv</f>
        <v/>
      </c>
      <c r="AH164">
        <f>SUM((U165&lt;0)*(U164&gt;0))*A164</f>
        <v/>
      </c>
      <c r="AI164">
        <f>IF(AH164&gt;0,W164,0)</f>
        <v/>
      </c>
    </row>
    <row r="165">
      <c r="A165" s="335" t="n">
        <v>9279.4</v>
      </c>
      <c r="B165" s="352">
        <f>A165/1000</f>
        <v/>
      </c>
      <c r="C165" s="1047">
        <f>SQRT(1+(A165/pole1)^2)</f>
        <v/>
      </c>
      <c r="D165" s="1048">
        <f>ATAN(A165/pole1)</f>
        <v/>
      </c>
      <c r="E165" s="1048">
        <f>SQRT(1+(A165/Zero1)^2)</f>
        <v/>
      </c>
      <c r="F165" s="1049">
        <f>ATAN(A165/Zero1)</f>
        <v/>
      </c>
      <c r="G165" s="1048">
        <f>IF(VIN_nom&gt;Vout, 1, SQRT(1+(A165/z_RHP)^2))</f>
        <v/>
      </c>
      <c r="H165" s="1049">
        <f>IF(VIN_nom&gt;Vout, 0, -ATAN(A165/z_RHP))</f>
        <v/>
      </c>
      <c r="I165" s="1047">
        <f>SQRT(1+(A165/Pole2)^2)</f>
        <v/>
      </c>
      <c r="J165" s="1050">
        <f>ATAN(A165/Pole2)</f>
        <v/>
      </c>
      <c r="K165" s="1056">
        <f>SQRT(1+(A165/Zero2)^2)</f>
        <v/>
      </c>
      <c r="L165" s="1057">
        <f>ATAN(A165/Zero2)</f>
        <v/>
      </c>
      <c r="M165" s="1047">
        <f>SQRT(1+(A165/pole4)^2)</f>
        <v/>
      </c>
      <c r="N165" s="1057">
        <f>ATAN(A165/pole4)</f>
        <v/>
      </c>
      <c r="O165" s="1058">
        <f>IF(VOUT_setting=1,1,SQRT(1+(A165*zterm1)^2))</f>
        <v/>
      </c>
      <c r="P165" s="1059">
        <f>IF(VOUT_setting=1,0,ATAN(((A165*zterm1))))</f>
        <v/>
      </c>
      <c r="Q165" s="1056">
        <f>IF(VOUT_setting=1,1,SQRT((1+Afbr-$Q$5*(A165)^2)^2+(A165*$Q$4)^2))</f>
        <v/>
      </c>
      <c r="R165" s="1060">
        <f>IF(VOUT_setting=1,0,ATAN(A165*$Q$4/(1+Afbr-$Q$5*(A165)^2)))</f>
        <v/>
      </c>
      <c r="S165" s="1054">
        <f>SQRT((1-(Z165/pterm2))^2+(A165/pterm1)^2)</f>
        <v/>
      </c>
      <c r="T165" s="1055">
        <f>IF((ATAN((A165/pterm1)/(1-A165^2/pterm2))&gt;0),ATAN((A165/pterm1)/(1-A165^2/pterm2)),PI()+ATAN((A165/pterm1)/(1-A165^2/pterm2)))</f>
        <v/>
      </c>
      <c r="U165" s="331">
        <f>20*LOG10(((E165*K165*G165*O165)/(C165*I165*S165*M165*Q165))*Adc)</f>
        <v/>
      </c>
      <c r="V165" s="332">
        <f>((F165+L165+H165+P165)-(D165+J165+T165+N165+R165))*radconv</f>
        <v/>
      </c>
      <c r="W165" s="334">
        <f>IF(V165&gt;0,V165,V165+180)</f>
        <v/>
      </c>
      <c r="Y165" s="307">
        <f>IF(U165&lt;0,A165,1000000000)</f>
        <v/>
      </c>
      <c r="Z165" s="307">
        <f>A165^2</f>
        <v/>
      </c>
      <c r="AB165" s="333">
        <f>20*LOG10((K165/(I165*M165))*AEA)</f>
        <v/>
      </c>
      <c r="AC165" s="334">
        <f>(L165-(J165+N165))*radconv</f>
        <v/>
      </c>
      <c r="AE165" s="333">
        <f>20*LOG10((E165*G165/(C165*S165))*Acs*Am)</f>
        <v/>
      </c>
      <c r="AF165" s="334">
        <f>(F165+H165-(D165+T165))*radconv</f>
        <v/>
      </c>
      <c r="AH165">
        <f>SUM((U166&lt;0)*(U165&gt;0))*A165</f>
        <v/>
      </c>
      <c r="AI165">
        <f>IF(AH165&gt;0,W165,0)</f>
        <v/>
      </c>
    </row>
    <row r="166">
      <c r="A166" s="335" t="n">
        <v>9332.5</v>
      </c>
      <c r="B166" s="352">
        <f>A166/1000</f>
        <v/>
      </c>
      <c r="C166" s="1047">
        <f>SQRT(1+(A166/pole1)^2)</f>
        <v/>
      </c>
      <c r="D166" s="1048">
        <f>ATAN(A166/pole1)</f>
        <v/>
      </c>
      <c r="E166" s="1048">
        <f>SQRT(1+(A166/Zero1)^2)</f>
        <v/>
      </c>
      <c r="F166" s="1049">
        <f>ATAN(A166/Zero1)</f>
        <v/>
      </c>
      <c r="G166" s="1048">
        <f>IF(VIN_nom&gt;Vout, 1, SQRT(1+(A166/z_RHP)^2))</f>
        <v/>
      </c>
      <c r="H166" s="1049">
        <f>IF(VIN_nom&gt;Vout, 0, -ATAN(A166/z_RHP))</f>
        <v/>
      </c>
      <c r="I166" s="1047">
        <f>SQRT(1+(A166/Pole2)^2)</f>
        <v/>
      </c>
      <c r="J166" s="1050">
        <f>ATAN(A166/Pole2)</f>
        <v/>
      </c>
      <c r="K166" s="1056">
        <f>SQRT(1+(A166/Zero2)^2)</f>
        <v/>
      </c>
      <c r="L166" s="1057">
        <f>ATAN(A166/Zero2)</f>
        <v/>
      </c>
      <c r="M166" s="1047">
        <f>SQRT(1+(A166/pole4)^2)</f>
        <v/>
      </c>
      <c r="N166" s="1057">
        <f>ATAN(A166/pole4)</f>
        <v/>
      </c>
      <c r="O166" s="1058">
        <f>IF(VOUT_setting=1,1,SQRT(1+(A166*zterm1)^2))</f>
        <v/>
      </c>
      <c r="P166" s="1059">
        <f>IF(VOUT_setting=1,0,ATAN(((A166*zterm1))))</f>
        <v/>
      </c>
      <c r="Q166" s="1056">
        <f>IF(VOUT_setting=1,1,SQRT((1+Afbr-$Q$5*(A166)^2)^2+(A166*$Q$4)^2))</f>
        <v/>
      </c>
      <c r="R166" s="1060">
        <f>IF(VOUT_setting=1,0,ATAN(A166*$Q$4/(1+Afbr-$Q$5*(A166)^2)))</f>
        <v/>
      </c>
      <c r="S166" s="1054">
        <f>SQRT((1-(Z166/pterm2))^2+(A166/pterm1)^2)</f>
        <v/>
      </c>
      <c r="T166" s="1055">
        <f>IF((ATAN((A166/pterm1)/(1-A166^2/pterm2))&gt;0),ATAN((A166/pterm1)/(1-A166^2/pterm2)),PI()+ATAN((A166/pterm1)/(1-A166^2/pterm2)))</f>
        <v/>
      </c>
      <c r="U166" s="331">
        <f>20*LOG10(((E166*K166*G166*O166)/(C166*I166*S166*M166*Q166))*Adc)</f>
        <v/>
      </c>
      <c r="V166" s="332">
        <f>((F166+L166+H166+P166)-(D166+J166+T166+N166+R166))*radconv</f>
        <v/>
      </c>
      <c r="W166" s="334">
        <f>IF(V166&gt;0,V166,V166+180)</f>
        <v/>
      </c>
      <c r="Y166" s="307">
        <f>IF(U166&lt;0,A166,1000000000)</f>
        <v/>
      </c>
      <c r="Z166" s="307">
        <f>A166^2</f>
        <v/>
      </c>
      <c r="AB166" s="333">
        <f>20*LOG10((K166/(I166*M166))*AEA)</f>
        <v/>
      </c>
      <c r="AC166" s="334">
        <f>(L166-(J166+N166))*radconv</f>
        <v/>
      </c>
      <c r="AE166" s="333">
        <f>20*LOG10((E166*G166/(C166*S166))*Acs*Am)</f>
        <v/>
      </c>
      <c r="AF166" s="334">
        <f>(F166+H166-(D166+T166))*radconv</f>
        <v/>
      </c>
      <c r="AH166">
        <f>SUM((U167&lt;0)*(U166&gt;0))*A166</f>
        <v/>
      </c>
      <c r="AI166">
        <f>IF(AH166&gt;0,W166,0)</f>
        <v/>
      </c>
    </row>
    <row r="167">
      <c r="A167" s="335" t="n">
        <v>9386.85</v>
      </c>
      <c r="B167" s="352">
        <f>A167/1000</f>
        <v/>
      </c>
      <c r="C167" s="1047">
        <f>SQRT(1+(A167/pole1)^2)</f>
        <v/>
      </c>
      <c r="D167" s="1048">
        <f>ATAN(A167/pole1)</f>
        <v/>
      </c>
      <c r="E167" s="1048">
        <f>SQRT(1+(A167/Zero1)^2)</f>
        <v/>
      </c>
      <c r="F167" s="1049">
        <f>ATAN(A167/Zero1)</f>
        <v/>
      </c>
      <c r="G167" s="1048">
        <f>IF(VIN_nom&gt;Vout, 1, SQRT(1+(A167/z_RHP)^2))</f>
        <v/>
      </c>
      <c r="H167" s="1049">
        <f>IF(VIN_nom&gt;Vout, 0, -ATAN(A167/z_RHP))</f>
        <v/>
      </c>
      <c r="I167" s="1047">
        <f>SQRT(1+(A167/Pole2)^2)</f>
        <v/>
      </c>
      <c r="J167" s="1050">
        <f>ATAN(A167/Pole2)</f>
        <v/>
      </c>
      <c r="K167" s="1056">
        <f>SQRT(1+(A167/Zero2)^2)</f>
        <v/>
      </c>
      <c r="L167" s="1057">
        <f>ATAN(A167/Zero2)</f>
        <v/>
      </c>
      <c r="M167" s="1047">
        <f>SQRT(1+(A167/pole4)^2)</f>
        <v/>
      </c>
      <c r="N167" s="1057">
        <f>ATAN(A167/pole4)</f>
        <v/>
      </c>
      <c r="O167" s="1058">
        <f>IF(VOUT_setting=1,1,SQRT(1+(A167*zterm1)^2))</f>
        <v/>
      </c>
      <c r="P167" s="1059">
        <f>IF(VOUT_setting=1,0,ATAN(((A167*zterm1))))</f>
        <v/>
      </c>
      <c r="Q167" s="1056">
        <f>IF(VOUT_setting=1,1,SQRT((1+Afbr-$Q$5*(A167)^2)^2+(A167*$Q$4)^2))</f>
        <v/>
      </c>
      <c r="R167" s="1060">
        <f>IF(VOUT_setting=1,0,ATAN(A167*$Q$4/(1+Afbr-$Q$5*(A167)^2)))</f>
        <v/>
      </c>
      <c r="S167" s="1054">
        <f>SQRT((1-(Z167/pterm2))^2+(A167/pterm1)^2)</f>
        <v/>
      </c>
      <c r="T167" s="1055">
        <f>IF((ATAN((A167/pterm1)/(1-A167^2/pterm2))&gt;0),ATAN((A167/pterm1)/(1-A167^2/pterm2)),PI()+ATAN((A167/pterm1)/(1-A167^2/pterm2)))</f>
        <v/>
      </c>
      <c r="U167" s="331">
        <f>20*LOG10(((E167*K167*G167*O167)/(C167*I167*S167*M167*Q167))*Adc)</f>
        <v/>
      </c>
      <c r="V167" s="332">
        <f>((F167+L167+H167+P167)-(D167+J167+T167+N167+R167))*radconv</f>
        <v/>
      </c>
      <c r="W167" s="334">
        <f>IF(V167&gt;0,V167,V167+180)</f>
        <v/>
      </c>
      <c r="Y167" s="307">
        <f>IF(U167&lt;0,A167,1000000000)</f>
        <v/>
      </c>
      <c r="Z167" s="307">
        <f>A167^2</f>
        <v/>
      </c>
      <c r="AB167" s="333">
        <f>20*LOG10((K167/(I167*M167))*AEA)</f>
        <v/>
      </c>
      <c r="AC167" s="334">
        <f>(L167-(J167+N167))*radconv</f>
        <v/>
      </c>
      <c r="AE167" s="333">
        <f>20*LOG10((E167*G167/(C167*S167))*Acs*Am)</f>
        <v/>
      </c>
      <c r="AF167" s="334">
        <f>(F167+H167-(D167+T167))*radconv</f>
        <v/>
      </c>
      <c r="AH167">
        <f>SUM((U168&lt;0)*(U167&gt;0))*A167</f>
        <v/>
      </c>
      <c r="AI167">
        <f>IF(AH167&gt;0,W167,0)</f>
        <v/>
      </c>
    </row>
    <row r="168">
      <c r="A168" s="335" t="n">
        <v>9441.200000000001</v>
      </c>
      <c r="B168" s="352">
        <f>A168/1000</f>
        <v/>
      </c>
      <c r="C168" s="1047">
        <f>SQRT(1+(A168/pole1)^2)</f>
        <v/>
      </c>
      <c r="D168" s="1048">
        <f>ATAN(A168/pole1)</f>
        <v/>
      </c>
      <c r="E168" s="1048">
        <f>SQRT(1+(A168/Zero1)^2)</f>
        <v/>
      </c>
      <c r="F168" s="1049">
        <f>ATAN(A168/Zero1)</f>
        <v/>
      </c>
      <c r="G168" s="1048">
        <f>IF(VIN_nom&gt;Vout, 1, SQRT(1+(A168/z_RHP)^2))</f>
        <v/>
      </c>
      <c r="H168" s="1049">
        <f>IF(VIN_nom&gt;Vout, 0, -ATAN(A168/z_RHP))</f>
        <v/>
      </c>
      <c r="I168" s="1047">
        <f>SQRT(1+(A168/Pole2)^2)</f>
        <v/>
      </c>
      <c r="J168" s="1050">
        <f>ATAN(A168/Pole2)</f>
        <v/>
      </c>
      <c r="K168" s="1056">
        <f>SQRT(1+(A168/Zero2)^2)</f>
        <v/>
      </c>
      <c r="L168" s="1057">
        <f>ATAN(A168/Zero2)</f>
        <v/>
      </c>
      <c r="M168" s="1047">
        <f>SQRT(1+(A168/pole4)^2)</f>
        <v/>
      </c>
      <c r="N168" s="1057">
        <f>ATAN(A168/pole4)</f>
        <v/>
      </c>
      <c r="O168" s="1058">
        <f>IF(VOUT_setting=1,1,SQRT(1+(A168*zterm1)^2))</f>
        <v/>
      </c>
      <c r="P168" s="1059">
        <f>IF(VOUT_setting=1,0,ATAN(((A168*zterm1))))</f>
        <v/>
      </c>
      <c r="Q168" s="1056">
        <f>IF(VOUT_setting=1,1,SQRT((1+Afbr-$Q$5*(A168)^2)^2+(A168*$Q$4)^2))</f>
        <v/>
      </c>
      <c r="R168" s="1060">
        <f>IF(VOUT_setting=1,0,ATAN(A168*$Q$4/(1+Afbr-$Q$5*(A168)^2)))</f>
        <v/>
      </c>
      <c r="S168" s="1054">
        <f>SQRT((1-(Z168/pterm2))^2+(A168/pterm1)^2)</f>
        <v/>
      </c>
      <c r="T168" s="1055">
        <f>IF((ATAN((A168/pterm1)/(1-A168^2/pterm2))&gt;0),ATAN((A168/pterm1)/(1-A168^2/pterm2)),PI()+ATAN((A168/pterm1)/(1-A168^2/pterm2)))</f>
        <v/>
      </c>
      <c r="U168" s="331">
        <f>20*LOG10(((E168*K168*G168*O168)/(C168*I168*S168*M168*Q168))*Adc)</f>
        <v/>
      </c>
      <c r="V168" s="332">
        <f>((F168+L168+H168+P168)-(D168+J168+T168+N168+R168))*radconv</f>
        <v/>
      </c>
      <c r="W168" s="334">
        <f>IF(V168&gt;0,V168,V168+180)</f>
        <v/>
      </c>
      <c r="Y168" s="307">
        <f>IF(U168&lt;0,A168,1000000000)</f>
        <v/>
      </c>
      <c r="Z168" s="307">
        <f>A168^2</f>
        <v/>
      </c>
      <c r="AB168" s="333">
        <f>20*LOG10((K168/(I168*M168))*AEA)</f>
        <v/>
      </c>
      <c r="AC168" s="334">
        <f>(L168-(J168+N168))*radconv</f>
        <v/>
      </c>
      <c r="AE168" s="333">
        <f>20*LOG10((E168*G168/(C168*S168))*Acs*Am)</f>
        <v/>
      </c>
      <c r="AF168" s="334">
        <f>(F168+H168-(D168+T168))*radconv</f>
        <v/>
      </c>
      <c r="AH168">
        <f>SUM((U169&lt;0)*(U168&gt;0))*A168</f>
        <v/>
      </c>
      <c r="AI168">
        <f>IF(AH168&gt;0,W168,0)</f>
        <v/>
      </c>
    </row>
    <row r="169">
      <c r="A169" s="335" t="n">
        <v>9495.549999999999</v>
      </c>
      <c r="B169" s="352">
        <f>A169/1000</f>
        <v/>
      </c>
      <c r="C169" s="1047">
        <f>SQRT(1+(A169/pole1)^2)</f>
        <v/>
      </c>
      <c r="D169" s="1048">
        <f>ATAN(A169/pole1)</f>
        <v/>
      </c>
      <c r="E169" s="1048">
        <f>SQRT(1+(A169/Zero1)^2)</f>
        <v/>
      </c>
      <c r="F169" s="1049">
        <f>ATAN(A169/Zero1)</f>
        <v/>
      </c>
      <c r="G169" s="1048">
        <f>IF(VIN_nom&gt;Vout, 1, SQRT(1+(A169/z_RHP)^2))</f>
        <v/>
      </c>
      <c r="H169" s="1049">
        <f>IF(VIN_nom&gt;Vout, 0, -ATAN(A169/z_RHP))</f>
        <v/>
      </c>
      <c r="I169" s="1047">
        <f>SQRT(1+(A169/Pole2)^2)</f>
        <v/>
      </c>
      <c r="J169" s="1050">
        <f>ATAN(A169/Pole2)</f>
        <v/>
      </c>
      <c r="K169" s="1056">
        <f>SQRT(1+(A169/Zero2)^2)</f>
        <v/>
      </c>
      <c r="L169" s="1057">
        <f>ATAN(A169/Zero2)</f>
        <v/>
      </c>
      <c r="M169" s="1047">
        <f>SQRT(1+(A169/pole4)^2)</f>
        <v/>
      </c>
      <c r="N169" s="1057">
        <f>ATAN(A169/pole4)</f>
        <v/>
      </c>
      <c r="O169" s="1058">
        <f>IF(VOUT_setting=1,1,SQRT(1+(A169*zterm1)^2))</f>
        <v/>
      </c>
      <c r="P169" s="1059">
        <f>IF(VOUT_setting=1,0,ATAN(((A169*zterm1))))</f>
        <v/>
      </c>
      <c r="Q169" s="1056">
        <f>IF(VOUT_setting=1,1,SQRT((1+Afbr-$Q$5*(A169)^2)^2+(A169*$Q$4)^2))</f>
        <v/>
      </c>
      <c r="R169" s="1060">
        <f>IF(VOUT_setting=1,0,ATAN(A169*$Q$4/(1+Afbr-$Q$5*(A169)^2)))</f>
        <v/>
      </c>
      <c r="S169" s="1054">
        <f>SQRT((1-(Z169/pterm2))^2+(A169/pterm1)^2)</f>
        <v/>
      </c>
      <c r="T169" s="1055">
        <f>IF((ATAN((A169/pterm1)/(1-A169^2/pterm2))&gt;0),ATAN((A169/pterm1)/(1-A169^2/pterm2)),PI()+ATAN((A169/pterm1)/(1-A169^2/pterm2)))</f>
        <v/>
      </c>
      <c r="U169" s="331">
        <f>20*LOG10(((E169*K169*G169*O169)/(C169*I169*S169*M169*Q169))*Adc)</f>
        <v/>
      </c>
      <c r="V169" s="332">
        <f>((F169+L169+H169+P169)-(D169+J169+T169+N169+R169))*radconv</f>
        <v/>
      </c>
      <c r="W169" s="334">
        <f>IF(V169&gt;0,V169,V169+180)</f>
        <v/>
      </c>
      <c r="Y169" s="307">
        <f>IF(U169&lt;0,A169,1000000000)</f>
        <v/>
      </c>
      <c r="Z169" s="307">
        <f>A169^2</f>
        <v/>
      </c>
      <c r="AB169" s="333">
        <f>20*LOG10((K169/(I169*M169))*AEA)</f>
        <v/>
      </c>
      <c r="AC169" s="334">
        <f>(L169-(J169+N169))*radconv</f>
        <v/>
      </c>
      <c r="AE169" s="333">
        <f>20*LOG10((E169*G169/(C169*S169))*Acs*Am)</f>
        <v/>
      </c>
      <c r="AF169" s="334">
        <f>(F169+H169-(D169+T169))*radconv</f>
        <v/>
      </c>
      <c r="AH169">
        <f>SUM((U170&lt;0)*(U169&gt;0))*A169</f>
        <v/>
      </c>
      <c r="AI169">
        <f>IF(AH169&gt;0,W169,0)</f>
        <v/>
      </c>
    </row>
    <row r="170">
      <c r="A170" s="335" t="n">
        <v>9549.9</v>
      </c>
      <c r="B170" s="352">
        <f>A170/1000</f>
        <v/>
      </c>
      <c r="C170" s="1047">
        <f>SQRT(1+(A170/pole1)^2)</f>
        <v/>
      </c>
      <c r="D170" s="1048">
        <f>ATAN(A170/pole1)</f>
        <v/>
      </c>
      <c r="E170" s="1048">
        <f>SQRT(1+(A170/Zero1)^2)</f>
        <v/>
      </c>
      <c r="F170" s="1049">
        <f>ATAN(A170/Zero1)</f>
        <v/>
      </c>
      <c r="G170" s="1048">
        <f>IF(VIN_nom&gt;Vout, 1, SQRT(1+(A170/z_RHP)^2))</f>
        <v/>
      </c>
      <c r="H170" s="1049">
        <f>IF(VIN_nom&gt;Vout, 0, -ATAN(A170/z_RHP))</f>
        <v/>
      </c>
      <c r="I170" s="1047">
        <f>SQRT(1+(A170/Pole2)^2)</f>
        <v/>
      </c>
      <c r="J170" s="1050">
        <f>ATAN(A170/Pole2)</f>
        <v/>
      </c>
      <c r="K170" s="1056">
        <f>SQRT(1+(A170/Zero2)^2)</f>
        <v/>
      </c>
      <c r="L170" s="1057">
        <f>ATAN(A170/Zero2)</f>
        <v/>
      </c>
      <c r="M170" s="1047">
        <f>SQRT(1+(A170/pole4)^2)</f>
        <v/>
      </c>
      <c r="N170" s="1057">
        <f>ATAN(A170/pole4)</f>
        <v/>
      </c>
      <c r="O170" s="1058">
        <f>IF(VOUT_setting=1,1,SQRT(1+(A170*zterm1)^2))</f>
        <v/>
      </c>
      <c r="P170" s="1059">
        <f>IF(VOUT_setting=1,0,ATAN(((A170*zterm1))))</f>
        <v/>
      </c>
      <c r="Q170" s="1056">
        <f>IF(VOUT_setting=1,1,SQRT((1+Afbr-$Q$5*(A170)^2)^2+(A170*$Q$4)^2))</f>
        <v/>
      </c>
      <c r="R170" s="1060">
        <f>IF(VOUT_setting=1,0,ATAN(A170*$Q$4/(1+Afbr-$Q$5*(A170)^2)))</f>
        <v/>
      </c>
      <c r="S170" s="1054">
        <f>SQRT((1-(Z170/pterm2))^2+(A170/pterm1)^2)</f>
        <v/>
      </c>
      <c r="T170" s="1055">
        <f>IF((ATAN((A170/pterm1)/(1-A170^2/pterm2))&gt;0),ATAN((A170/pterm1)/(1-A170^2/pterm2)),PI()+ATAN((A170/pterm1)/(1-A170^2/pterm2)))</f>
        <v/>
      </c>
      <c r="U170" s="331">
        <f>20*LOG10(((E170*K170*G170*O170)/(C170*I170*S170*M170*Q170))*Adc)</f>
        <v/>
      </c>
      <c r="V170" s="332">
        <f>((F170+L170+H170+P170)-(D170+J170+T170+N170+R170))*radconv</f>
        <v/>
      </c>
      <c r="W170" s="334">
        <f>IF(V170&gt;0,V170,V170+180)</f>
        <v/>
      </c>
      <c r="Y170" s="307">
        <f>IF(U170&lt;0,A170,1000000000)</f>
        <v/>
      </c>
      <c r="Z170" s="307">
        <f>A170^2</f>
        <v/>
      </c>
      <c r="AB170" s="333">
        <f>20*LOG10((K170/(I170*M170))*AEA)</f>
        <v/>
      </c>
      <c r="AC170" s="334">
        <f>(L170-(J170+N170))*radconv</f>
        <v/>
      </c>
      <c r="AE170" s="333">
        <f>20*LOG10((E170*G170/(C170*S170))*Acs*Am)</f>
        <v/>
      </c>
      <c r="AF170" s="334">
        <f>(F170+H170-(D170+T170))*radconv</f>
        <v/>
      </c>
      <c r="AH170">
        <f>SUM((U171&lt;0)*(U170&gt;0))*A170</f>
        <v/>
      </c>
      <c r="AI170">
        <f>IF(AH170&gt;0,W170,0)</f>
        <v/>
      </c>
    </row>
    <row r="171">
      <c r="A171" s="335" t="n">
        <v>9605.525</v>
      </c>
      <c r="B171" s="352">
        <f>A171/1000</f>
        <v/>
      </c>
      <c r="C171" s="1047">
        <f>SQRT(1+(A171/pole1)^2)</f>
        <v/>
      </c>
      <c r="D171" s="1048">
        <f>ATAN(A171/pole1)</f>
        <v/>
      </c>
      <c r="E171" s="1048">
        <f>SQRT(1+(A171/Zero1)^2)</f>
        <v/>
      </c>
      <c r="F171" s="1049">
        <f>ATAN(A171/Zero1)</f>
        <v/>
      </c>
      <c r="G171" s="1048">
        <f>IF(VIN_nom&gt;Vout, 1, SQRT(1+(A171/z_RHP)^2))</f>
        <v/>
      </c>
      <c r="H171" s="1049">
        <f>IF(VIN_nom&gt;Vout, 0, -ATAN(A171/z_RHP))</f>
        <v/>
      </c>
      <c r="I171" s="1047">
        <f>SQRT(1+(A171/Pole2)^2)</f>
        <v/>
      </c>
      <c r="J171" s="1050">
        <f>ATAN(A171/Pole2)</f>
        <v/>
      </c>
      <c r="K171" s="1056">
        <f>SQRT(1+(A171/Zero2)^2)</f>
        <v/>
      </c>
      <c r="L171" s="1057">
        <f>ATAN(A171/Zero2)</f>
        <v/>
      </c>
      <c r="M171" s="1047">
        <f>SQRT(1+(A171/pole4)^2)</f>
        <v/>
      </c>
      <c r="N171" s="1057">
        <f>ATAN(A171/pole4)</f>
        <v/>
      </c>
      <c r="O171" s="1058">
        <f>IF(VOUT_setting=1,1,SQRT(1+(A171*zterm1)^2))</f>
        <v/>
      </c>
      <c r="P171" s="1059">
        <f>IF(VOUT_setting=1,0,ATAN(((A171*zterm1))))</f>
        <v/>
      </c>
      <c r="Q171" s="1056">
        <f>IF(VOUT_setting=1,1,SQRT((1+Afbr-$Q$5*(A171)^2)^2+(A171*$Q$4)^2))</f>
        <v/>
      </c>
      <c r="R171" s="1060">
        <f>IF(VOUT_setting=1,0,ATAN(A171*$Q$4/(1+Afbr-$Q$5*(A171)^2)))</f>
        <v/>
      </c>
      <c r="S171" s="1054">
        <f>SQRT((1-(Z171/pterm2))^2+(A171/pterm1)^2)</f>
        <v/>
      </c>
      <c r="T171" s="1055">
        <f>IF((ATAN((A171/pterm1)/(1-A171^2/pterm2))&gt;0),ATAN((A171/pterm1)/(1-A171^2/pterm2)),PI()+ATAN((A171/pterm1)/(1-A171^2/pterm2)))</f>
        <v/>
      </c>
      <c r="U171" s="331">
        <f>20*LOG10(((E171*K171*G171*O171)/(C171*I171*S171*M171*Q171))*Adc)</f>
        <v/>
      </c>
      <c r="V171" s="332">
        <f>((F171+L171+H171+P171)-(D171+J171+T171+N171+R171))*radconv</f>
        <v/>
      </c>
      <c r="W171" s="334">
        <f>IF(V171&gt;0,V171,V171+180)</f>
        <v/>
      </c>
      <c r="Y171" s="307">
        <f>IF(U171&lt;0,A171,1000000000)</f>
        <v/>
      </c>
      <c r="Z171" s="307">
        <f>A171^2</f>
        <v/>
      </c>
      <c r="AB171" s="333">
        <f>20*LOG10((K171/(I171*M171))*AEA)</f>
        <v/>
      </c>
      <c r="AC171" s="334">
        <f>(L171-(J171+N171))*radconv</f>
        <v/>
      </c>
      <c r="AE171" s="333">
        <f>20*LOG10((E171*G171/(C171*S171))*Acs*Am)</f>
        <v/>
      </c>
      <c r="AF171" s="334">
        <f>(F171+H171-(D171+T171))*radconv</f>
        <v/>
      </c>
      <c r="AH171">
        <f>SUM((U172&lt;0)*(U171&gt;0))*A171</f>
        <v/>
      </c>
      <c r="AI171">
        <f>IF(AH171&gt;0,W171,0)</f>
        <v/>
      </c>
    </row>
    <row r="172">
      <c r="A172" s="335" t="n">
        <v>9661.15</v>
      </c>
      <c r="B172" s="352">
        <f>A172/1000</f>
        <v/>
      </c>
      <c r="C172" s="1047">
        <f>SQRT(1+(A172/pole1)^2)</f>
        <v/>
      </c>
      <c r="D172" s="1048">
        <f>ATAN(A172/pole1)</f>
        <v/>
      </c>
      <c r="E172" s="1048">
        <f>SQRT(1+(A172/Zero1)^2)</f>
        <v/>
      </c>
      <c r="F172" s="1049">
        <f>ATAN(A172/Zero1)</f>
        <v/>
      </c>
      <c r="G172" s="1048">
        <f>IF(VIN_nom&gt;Vout, 1, SQRT(1+(A172/z_RHP)^2))</f>
        <v/>
      </c>
      <c r="H172" s="1049">
        <f>IF(VIN_nom&gt;Vout, 0, -ATAN(A172/z_RHP))</f>
        <v/>
      </c>
      <c r="I172" s="1047">
        <f>SQRT(1+(A172/Pole2)^2)</f>
        <v/>
      </c>
      <c r="J172" s="1050">
        <f>ATAN(A172/Pole2)</f>
        <v/>
      </c>
      <c r="K172" s="1056">
        <f>SQRT(1+(A172/Zero2)^2)</f>
        <v/>
      </c>
      <c r="L172" s="1057">
        <f>ATAN(A172/Zero2)</f>
        <v/>
      </c>
      <c r="M172" s="1047">
        <f>SQRT(1+(A172/pole4)^2)</f>
        <v/>
      </c>
      <c r="N172" s="1057">
        <f>ATAN(A172/pole4)</f>
        <v/>
      </c>
      <c r="O172" s="1058">
        <f>IF(VOUT_setting=1,1,SQRT(1+(A172*zterm1)^2))</f>
        <v/>
      </c>
      <c r="P172" s="1059">
        <f>IF(VOUT_setting=1,0,ATAN(((A172*zterm1))))</f>
        <v/>
      </c>
      <c r="Q172" s="1056">
        <f>IF(VOUT_setting=1,1,SQRT((1+Afbr-$Q$5*(A172)^2)^2+(A172*$Q$4)^2))</f>
        <v/>
      </c>
      <c r="R172" s="1060">
        <f>IF(VOUT_setting=1,0,ATAN(A172*$Q$4/(1+Afbr-$Q$5*(A172)^2)))</f>
        <v/>
      </c>
      <c r="S172" s="1054">
        <f>SQRT((1-(Z172/pterm2))^2+(A172/pterm1)^2)</f>
        <v/>
      </c>
      <c r="T172" s="1055">
        <f>IF((ATAN((A172/pterm1)/(1-A172^2/pterm2))&gt;0),ATAN((A172/pterm1)/(1-A172^2/pterm2)),PI()+ATAN((A172/pterm1)/(1-A172^2/pterm2)))</f>
        <v/>
      </c>
      <c r="U172" s="331">
        <f>20*LOG10(((E172*K172*G172*O172)/(C172*I172*S172*M172*Q172))*Adc)</f>
        <v/>
      </c>
      <c r="V172" s="332">
        <f>((F172+L172+H172+P172)-(D172+J172+T172+N172+R172))*radconv</f>
        <v/>
      </c>
      <c r="W172" s="334">
        <f>IF(V172&gt;0,V172,V172+180)</f>
        <v/>
      </c>
      <c r="Y172" s="307">
        <f>IF(U172&lt;0,A172,1000000000)</f>
        <v/>
      </c>
      <c r="Z172" s="307">
        <f>A172^2</f>
        <v/>
      </c>
      <c r="AB172" s="333">
        <f>20*LOG10((K172/(I172*M172))*AEA)</f>
        <v/>
      </c>
      <c r="AC172" s="334">
        <f>(L172-(J172+N172))*radconv</f>
        <v/>
      </c>
      <c r="AE172" s="333">
        <f>20*LOG10((E172*G172/(C172*S172))*Acs*Am)</f>
        <v/>
      </c>
      <c r="AF172" s="334">
        <f>(F172+H172-(D172+T172))*radconv</f>
        <v/>
      </c>
      <c r="AH172">
        <f>SUM((U173&lt;0)*(U172&gt;0))*A172</f>
        <v/>
      </c>
      <c r="AI172">
        <f>IF(AH172&gt;0,W172,0)</f>
        <v/>
      </c>
    </row>
    <row r="173">
      <c r="A173" s="335" t="n">
        <v>9716.775</v>
      </c>
      <c r="B173" s="352">
        <f>A173/1000</f>
        <v/>
      </c>
      <c r="C173" s="1047">
        <f>SQRT(1+(A173/pole1)^2)</f>
        <v/>
      </c>
      <c r="D173" s="1048">
        <f>ATAN(A173/pole1)</f>
        <v/>
      </c>
      <c r="E173" s="1048">
        <f>SQRT(1+(A173/Zero1)^2)</f>
        <v/>
      </c>
      <c r="F173" s="1049">
        <f>ATAN(A173/Zero1)</f>
        <v/>
      </c>
      <c r="G173" s="1048">
        <f>IF(VIN_nom&gt;Vout, 1, SQRT(1+(A173/z_RHP)^2))</f>
        <v/>
      </c>
      <c r="H173" s="1049">
        <f>IF(VIN_nom&gt;Vout, 0, -ATAN(A173/z_RHP))</f>
        <v/>
      </c>
      <c r="I173" s="1047">
        <f>SQRT(1+(A173/Pole2)^2)</f>
        <v/>
      </c>
      <c r="J173" s="1050">
        <f>ATAN(A173/Pole2)</f>
        <v/>
      </c>
      <c r="K173" s="1056">
        <f>SQRT(1+(A173/Zero2)^2)</f>
        <v/>
      </c>
      <c r="L173" s="1057">
        <f>ATAN(A173/Zero2)</f>
        <v/>
      </c>
      <c r="M173" s="1047">
        <f>SQRT(1+(A173/pole4)^2)</f>
        <v/>
      </c>
      <c r="N173" s="1057">
        <f>ATAN(A173/pole4)</f>
        <v/>
      </c>
      <c r="O173" s="1058">
        <f>IF(VOUT_setting=1,1,SQRT(1+(A173*zterm1)^2))</f>
        <v/>
      </c>
      <c r="P173" s="1059">
        <f>IF(VOUT_setting=1,0,ATAN(((A173*zterm1))))</f>
        <v/>
      </c>
      <c r="Q173" s="1056">
        <f>IF(VOUT_setting=1,1,SQRT((1+Afbr-$Q$5*(A173)^2)^2+(A173*$Q$4)^2))</f>
        <v/>
      </c>
      <c r="R173" s="1060">
        <f>IF(VOUT_setting=1,0,ATAN(A173*$Q$4/(1+Afbr-$Q$5*(A173)^2)))</f>
        <v/>
      </c>
      <c r="S173" s="1054">
        <f>SQRT((1-(Z173/pterm2))^2+(A173/pterm1)^2)</f>
        <v/>
      </c>
      <c r="T173" s="1055">
        <f>IF((ATAN((A173/pterm1)/(1-A173^2/pterm2))&gt;0),ATAN((A173/pterm1)/(1-A173^2/pterm2)),PI()+ATAN((A173/pterm1)/(1-A173^2/pterm2)))</f>
        <v/>
      </c>
      <c r="U173" s="331">
        <f>20*LOG10(((E173*K173*G173*O173)/(C173*I173*S173*M173*Q173))*Adc)</f>
        <v/>
      </c>
      <c r="V173" s="332">
        <f>((F173+L173+H173+P173)-(D173+J173+T173+N173+R173))*radconv</f>
        <v/>
      </c>
      <c r="W173" s="334">
        <f>IF(V173&gt;0,V173,V173+180)</f>
        <v/>
      </c>
      <c r="Y173" s="307">
        <f>IF(U173&lt;0,A173,1000000000)</f>
        <v/>
      </c>
      <c r="Z173" s="307">
        <f>A173^2</f>
        <v/>
      </c>
      <c r="AB173" s="333">
        <f>20*LOG10((K173/(I173*M173))*AEA)</f>
        <v/>
      </c>
      <c r="AC173" s="334">
        <f>(L173-(J173+N173))*radconv</f>
        <v/>
      </c>
      <c r="AE173" s="333">
        <f>20*LOG10((E173*G173/(C173*S173))*Acs*Am)</f>
        <v/>
      </c>
      <c r="AF173" s="334">
        <f>(F173+H173-(D173+T173))*radconv</f>
        <v/>
      </c>
      <c r="AH173">
        <f>SUM((U174&lt;0)*(U173&gt;0))*A173</f>
        <v/>
      </c>
      <c r="AI173">
        <f>IF(AH173&gt;0,W173,0)</f>
        <v/>
      </c>
    </row>
    <row r="174">
      <c r="A174" s="335" t="n">
        <v>9772.4</v>
      </c>
      <c r="B174" s="352">
        <f>A174/1000</f>
        <v/>
      </c>
      <c r="C174" s="1047">
        <f>SQRT(1+(A174/pole1)^2)</f>
        <v/>
      </c>
      <c r="D174" s="1048">
        <f>ATAN(A174/pole1)</f>
        <v/>
      </c>
      <c r="E174" s="1048">
        <f>SQRT(1+(A174/Zero1)^2)</f>
        <v/>
      </c>
      <c r="F174" s="1049">
        <f>ATAN(A174/Zero1)</f>
        <v/>
      </c>
      <c r="G174" s="1048">
        <f>IF(VIN_nom&gt;Vout, 1, SQRT(1+(A174/z_RHP)^2))</f>
        <v/>
      </c>
      <c r="H174" s="1049">
        <f>IF(VIN_nom&gt;Vout, 0, -ATAN(A174/z_RHP))</f>
        <v/>
      </c>
      <c r="I174" s="1047">
        <f>SQRT(1+(A174/Pole2)^2)</f>
        <v/>
      </c>
      <c r="J174" s="1050">
        <f>ATAN(A174/Pole2)</f>
        <v/>
      </c>
      <c r="K174" s="1056">
        <f>SQRT(1+(A174/Zero2)^2)</f>
        <v/>
      </c>
      <c r="L174" s="1057">
        <f>ATAN(A174/Zero2)</f>
        <v/>
      </c>
      <c r="M174" s="1047">
        <f>SQRT(1+(A174/pole4)^2)</f>
        <v/>
      </c>
      <c r="N174" s="1057">
        <f>ATAN(A174/pole4)</f>
        <v/>
      </c>
      <c r="O174" s="1058">
        <f>IF(VOUT_setting=1,1,SQRT(1+(A174*zterm1)^2))</f>
        <v/>
      </c>
      <c r="P174" s="1059">
        <f>IF(VOUT_setting=1,0,ATAN(((A174*zterm1))))</f>
        <v/>
      </c>
      <c r="Q174" s="1056">
        <f>IF(VOUT_setting=1,1,SQRT((1+Afbr-$Q$5*(A174)^2)^2+(A174*$Q$4)^2))</f>
        <v/>
      </c>
      <c r="R174" s="1060">
        <f>IF(VOUT_setting=1,0,ATAN(A174*$Q$4/(1+Afbr-$Q$5*(A174)^2)))</f>
        <v/>
      </c>
      <c r="S174" s="1054">
        <f>SQRT((1-(Z174/pterm2))^2+(A174/pterm1)^2)</f>
        <v/>
      </c>
      <c r="T174" s="1055">
        <f>IF((ATAN((A174/pterm1)/(1-A174^2/pterm2))&gt;0),ATAN((A174/pterm1)/(1-A174^2/pterm2)),PI()+ATAN((A174/pterm1)/(1-A174^2/pterm2)))</f>
        <v/>
      </c>
      <c r="U174" s="331">
        <f>20*LOG10(((E174*K174*G174*O174)/(C174*I174*S174*M174*Q174))*Adc)</f>
        <v/>
      </c>
      <c r="V174" s="332">
        <f>((F174+L174+H174+P174)-(D174+J174+T174+N174+R174))*radconv</f>
        <v/>
      </c>
      <c r="W174" s="334">
        <f>IF(V174&gt;0,V174,V174+180)</f>
        <v/>
      </c>
      <c r="Y174" s="307">
        <f>IF(U174&lt;0,A174,1000000000)</f>
        <v/>
      </c>
      <c r="Z174" s="307">
        <f>A174^2</f>
        <v/>
      </c>
      <c r="AB174" s="333">
        <f>20*LOG10((K174/(I174*M174))*AEA)</f>
        <v/>
      </c>
      <c r="AC174" s="334">
        <f>(L174-(J174+N174))*radconv</f>
        <v/>
      </c>
      <c r="AE174" s="333">
        <f>20*LOG10((E174*G174/(C174*S174))*Acs*Am)</f>
        <v/>
      </c>
      <c r="AF174" s="334">
        <f>(F174+H174-(D174+T174))*radconv</f>
        <v/>
      </c>
      <c r="AH174">
        <f>SUM((U175&lt;0)*(U174&gt;0))*A174</f>
        <v/>
      </c>
      <c r="AI174">
        <f>IF(AH174&gt;0,W174,0)</f>
        <v/>
      </c>
    </row>
    <row r="175">
      <c r="A175" s="335" t="n">
        <v>9829.299999999999</v>
      </c>
      <c r="B175" s="352">
        <f>A175/1000</f>
        <v/>
      </c>
      <c r="C175" s="1047">
        <f>SQRT(1+(A175/pole1)^2)</f>
        <v/>
      </c>
      <c r="D175" s="1048">
        <f>ATAN(A175/pole1)</f>
        <v/>
      </c>
      <c r="E175" s="1048">
        <f>SQRT(1+(A175/Zero1)^2)</f>
        <v/>
      </c>
      <c r="F175" s="1049">
        <f>ATAN(A175/Zero1)</f>
        <v/>
      </c>
      <c r="G175" s="1048">
        <f>IF(VIN_nom&gt;Vout, 1, SQRT(1+(A175/z_RHP)^2))</f>
        <v/>
      </c>
      <c r="H175" s="1049">
        <f>IF(VIN_nom&gt;Vout, 0, -ATAN(A175/z_RHP))</f>
        <v/>
      </c>
      <c r="I175" s="1047">
        <f>SQRT(1+(A175/Pole2)^2)</f>
        <v/>
      </c>
      <c r="J175" s="1050">
        <f>ATAN(A175/Pole2)</f>
        <v/>
      </c>
      <c r="K175" s="1056">
        <f>SQRT(1+(A175/Zero2)^2)</f>
        <v/>
      </c>
      <c r="L175" s="1057">
        <f>ATAN(A175/Zero2)</f>
        <v/>
      </c>
      <c r="M175" s="1047">
        <f>SQRT(1+(A175/pole4)^2)</f>
        <v/>
      </c>
      <c r="N175" s="1057">
        <f>ATAN(A175/pole4)</f>
        <v/>
      </c>
      <c r="O175" s="1058">
        <f>IF(VOUT_setting=1,1,SQRT(1+(A175*zterm1)^2))</f>
        <v/>
      </c>
      <c r="P175" s="1059">
        <f>IF(VOUT_setting=1,0,ATAN(((A175*zterm1))))</f>
        <v/>
      </c>
      <c r="Q175" s="1056">
        <f>IF(VOUT_setting=1,1,SQRT((1+Afbr-$Q$5*(A175)^2)^2+(A175*$Q$4)^2))</f>
        <v/>
      </c>
      <c r="R175" s="1060">
        <f>IF(VOUT_setting=1,0,ATAN(A175*$Q$4/(1+Afbr-$Q$5*(A175)^2)))</f>
        <v/>
      </c>
      <c r="S175" s="1054">
        <f>SQRT((1-(Z175/pterm2))^2+(A175/pterm1)^2)</f>
        <v/>
      </c>
      <c r="T175" s="1055">
        <f>IF((ATAN((A175/pterm1)/(1-A175^2/pterm2))&gt;0),ATAN((A175/pterm1)/(1-A175^2/pterm2)),PI()+ATAN((A175/pterm1)/(1-A175^2/pterm2)))</f>
        <v/>
      </c>
      <c r="U175" s="331">
        <f>20*LOG10(((E175*K175*G175*O175)/(C175*I175*S175*M175*Q175))*Adc)</f>
        <v/>
      </c>
      <c r="V175" s="332">
        <f>((F175+L175+H175+P175)-(D175+J175+T175+N175+R175))*radconv</f>
        <v/>
      </c>
      <c r="W175" s="334">
        <f>IF(V175&gt;0,V175,V175+180)</f>
        <v/>
      </c>
      <c r="Y175" s="307">
        <f>IF(U175&lt;0,A175,1000000000)</f>
        <v/>
      </c>
      <c r="Z175" s="307">
        <f>A175^2</f>
        <v/>
      </c>
      <c r="AB175" s="333">
        <f>20*LOG10((K175/(I175*M175))*AEA)</f>
        <v/>
      </c>
      <c r="AC175" s="334">
        <f>(L175-(J175+N175))*radconv</f>
        <v/>
      </c>
      <c r="AE175" s="333">
        <f>20*LOG10((E175*G175/(C175*S175))*Acs*Am)</f>
        <v/>
      </c>
      <c r="AF175" s="334">
        <f>(F175+H175-(D175+T175))*radconv</f>
        <v/>
      </c>
      <c r="AH175">
        <f>SUM((U176&lt;0)*(U175&gt;0))*A175</f>
        <v/>
      </c>
      <c r="AI175">
        <f>IF(AH175&gt;0,W175,0)</f>
        <v/>
      </c>
    </row>
    <row r="176">
      <c r="A176" s="335" t="n">
        <v>9886.200000000001</v>
      </c>
      <c r="B176" s="352">
        <f>A176/1000</f>
        <v/>
      </c>
      <c r="C176" s="1047">
        <f>SQRT(1+(A176/pole1)^2)</f>
        <v/>
      </c>
      <c r="D176" s="1048">
        <f>ATAN(A176/pole1)</f>
        <v/>
      </c>
      <c r="E176" s="1048">
        <f>SQRT(1+(A176/Zero1)^2)</f>
        <v/>
      </c>
      <c r="F176" s="1049">
        <f>ATAN(A176/Zero1)</f>
        <v/>
      </c>
      <c r="G176" s="1048">
        <f>IF(VIN_nom&gt;Vout, 1, SQRT(1+(A176/z_RHP)^2))</f>
        <v/>
      </c>
      <c r="H176" s="1049">
        <f>IF(VIN_nom&gt;Vout, 0, -ATAN(A176/z_RHP))</f>
        <v/>
      </c>
      <c r="I176" s="1047">
        <f>SQRT(1+(A176/Pole2)^2)</f>
        <v/>
      </c>
      <c r="J176" s="1050">
        <f>ATAN(A176/Pole2)</f>
        <v/>
      </c>
      <c r="K176" s="1056">
        <f>SQRT(1+(A176/Zero2)^2)</f>
        <v/>
      </c>
      <c r="L176" s="1057">
        <f>ATAN(A176/Zero2)</f>
        <v/>
      </c>
      <c r="M176" s="1047">
        <f>SQRT(1+(A176/pole4)^2)</f>
        <v/>
      </c>
      <c r="N176" s="1057">
        <f>ATAN(A176/pole4)</f>
        <v/>
      </c>
      <c r="O176" s="1058">
        <f>IF(VOUT_setting=1,1,SQRT(1+(A176*zterm1)^2))</f>
        <v/>
      </c>
      <c r="P176" s="1059">
        <f>IF(VOUT_setting=1,0,ATAN(((A176*zterm1))))</f>
        <v/>
      </c>
      <c r="Q176" s="1056">
        <f>IF(VOUT_setting=1,1,SQRT((1+Afbr-$Q$5*(A176)^2)^2+(A176*$Q$4)^2))</f>
        <v/>
      </c>
      <c r="R176" s="1060">
        <f>IF(VOUT_setting=1,0,ATAN(A176*$Q$4/(1+Afbr-$Q$5*(A176)^2)))</f>
        <v/>
      </c>
      <c r="S176" s="1054">
        <f>SQRT((1-(Z176/pterm2))^2+(A176/pterm1)^2)</f>
        <v/>
      </c>
      <c r="T176" s="1055">
        <f>IF((ATAN((A176/pterm1)/(1-A176^2/pterm2))&gt;0),ATAN((A176/pterm1)/(1-A176^2/pterm2)),PI()+ATAN((A176/pterm1)/(1-A176^2/pterm2)))</f>
        <v/>
      </c>
      <c r="U176" s="331">
        <f>20*LOG10(((E176*K176*G176*O176)/(C176*I176*S176*M176*Q176))*Adc)</f>
        <v/>
      </c>
      <c r="V176" s="332">
        <f>((F176+L176+H176+P176)-(D176+J176+T176+N176+R176))*radconv</f>
        <v/>
      </c>
      <c r="W176" s="334">
        <f>IF(V176&gt;0,V176,V176+180)</f>
        <v/>
      </c>
      <c r="Y176" s="307">
        <f>IF(U176&lt;0,A176,1000000000)</f>
        <v/>
      </c>
      <c r="Z176" s="307">
        <f>A176^2</f>
        <v/>
      </c>
      <c r="AB176" s="333">
        <f>20*LOG10((K176/(I176*M176))*AEA)</f>
        <v/>
      </c>
      <c r="AC176" s="334">
        <f>(L176-(J176+N176))*radconv</f>
        <v/>
      </c>
      <c r="AE176" s="333">
        <f>20*LOG10((E176*G176/(C176*S176))*Acs*Am)</f>
        <v/>
      </c>
      <c r="AF176" s="334">
        <f>(F176+H176-(D176+T176))*radconv</f>
        <v/>
      </c>
      <c r="AH176">
        <f>SUM((U177&lt;0)*(U176&gt;0))*A176</f>
        <v/>
      </c>
      <c r="AI176">
        <f>IF(AH176&gt;0,W176,0)</f>
        <v/>
      </c>
    </row>
    <row r="177">
      <c r="A177" s="335" t="n">
        <v>9943.1</v>
      </c>
      <c r="B177" s="352">
        <f>A177/1000</f>
        <v/>
      </c>
      <c r="C177" s="1047">
        <f>SQRT(1+(A177/pole1)^2)</f>
        <v/>
      </c>
      <c r="D177" s="1048">
        <f>ATAN(A177/pole1)</f>
        <v/>
      </c>
      <c r="E177" s="1048">
        <f>SQRT(1+(A177/Zero1)^2)</f>
        <v/>
      </c>
      <c r="F177" s="1049">
        <f>ATAN(A177/Zero1)</f>
        <v/>
      </c>
      <c r="G177" s="1048">
        <f>IF(VIN_nom&gt;Vout, 1, SQRT(1+(A177/z_RHP)^2))</f>
        <v/>
      </c>
      <c r="H177" s="1049">
        <f>IF(VIN_nom&gt;Vout, 0, -ATAN(A177/z_RHP))</f>
        <v/>
      </c>
      <c r="I177" s="1047">
        <f>SQRT(1+(A177/Pole2)^2)</f>
        <v/>
      </c>
      <c r="J177" s="1050">
        <f>ATAN(A177/Pole2)</f>
        <v/>
      </c>
      <c r="K177" s="1056">
        <f>SQRT(1+(A177/Zero2)^2)</f>
        <v/>
      </c>
      <c r="L177" s="1057">
        <f>ATAN(A177/Zero2)</f>
        <v/>
      </c>
      <c r="M177" s="1047">
        <f>SQRT(1+(A177/pole4)^2)</f>
        <v/>
      </c>
      <c r="N177" s="1057">
        <f>ATAN(A177/pole4)</f>
        <v/>
      </c>
      <c r="O177" s="1058">
        <f>IF(VOUT_setting=1,1,SQRT(1+(A177*zterm1)^2))</f>
        <v/>
      </c>
      <c r="P177" s="1059">
        <f>IF(VOUT_setting=1,0,ATAN(((A177*zterm1))))</f>
        <v/>
      </c>
      <c r="Q177" s="1056">
        <f>IF(VOUT_setting=1,1,SQRT((1+Afbr-$Q$5*(A177)^2)^2+(A177*$Q$4)^2))</f>
        <v/>
      </c>
      <c r="R177" s="1060">
        <f>IF(VOUT_setting=1,0,ATAN(A177*$Q$4/(1+Afbr-$Q$5*(A177)^2)))</f>
        <v/>
      </c>
      <c r="S177" s="1054">
        <f>SQRT((1-(Z177/pterm2))^2+(A177/pterm1)^2)</f>
        <v/>
      </c>
      <c r="T177" s="1055">
        <f>IF((ATAN((A177/pterm1)/(1-A177^2/pterm2))&gt;0),ATAN((A177/pterm1)/(1-A177^2/pterm2)),PI()+ATAN((A177/pterm1)/(1-A177^2/pterm2)))</f>
        <v/>
      </c>
      <c r="U177" s="331">
        <f>20*LOG10(((E177*K177*G177*O177)/(C177*I177*S177*M177*Q177))*Adc)</f>
        <v/>
      </c>
      <c r="V177" s="332">
        <f>((F177+L177+H177+P177)-(D177+J177+T177+N177+R177))*radconv</f>
        <v/>
      </c>
      <c r="W177" s="334">
        <f>IF(V177&gt;0,V177,V177+180)</f>
        <v/>
      </c>
      <c r="Y177" s="307">
        <f>IF(U177&lt;0,A177,1000000000)</f>
        <v/>
      </c>
      <c r="Z177" s="307">
        <f>A177^2</f>
        <v/>
      </c>
      <c r="AB177" s="333">
        <f>20*LOG10((K177/(I177*M177))*AEA)</f>
        <v/>
      </c>
      <c r="AC177" s="334">
        <f>(L177-(J177+N177))*radconv</f>
        <v/>
      </c>
      <c r="AE177" s="333">
        <f>20*LOG10((E177*G177/(C177*S177))*Acs*Am)</f>
        <v/>
      </c>
      <c r="AF177" s="334">
        <f>(F177+H177-(D177+T177))*radconv</f>
        <v/>
      </c>
      <c r="AH177">
        <f>SUM((U178&lt;0)*(U177&gt;0))*A177</f>
        <v/>
      </c>
      <c r="AI177">
        <f>IF(AH177&gt;0,W177,0)</f>
        <v/>
      </c>
    </row>
    <row r="178">
      <c r="A178" s="335" t="n">
        <v>10000</v>
      </c>
      <c r="B178" s="352">
        <f>A178/1000</f>
        <v/>
      </c>
      <c r="C178" s="1047">
        <f>SQRT(1+(A178/pole1)^2)</f>
        <v/>
      </c>
      <c r="D178" s="1048">
        <f>ATAN(A178/pole1)</f>
        <v/>
      </c>
      <c r="E178" s="1048">
        <f>SQRT(1+(A178/Zero1)^2)</f>
        <v/>
      </c>
      <c r="F178" s="1049">
        <f>ATAN(A178/Zero1)</f>
        <v/>
      </c>
      <c r="G178" s="1048">
        <f>IF(VIN_nom&gt;Vout, 1, SQRT(1+(A178/z_RHP)^2))</f>
        <v/>
      </c>
      <c r="H178" s="1049">
        <f>IF(VIN_nom&gt;Vout, 0, -ATAN(A178/z_RHP))</f>
        <v/>
      </c>
      <c r="I178" s="1047">
        <f>SQRT(1+(A178/Pole2)^2)</f>
        <v/>
      </c>
      <c r="J178" s="1050">
        <f>ATAN(A178/Pole2)</f>
        <v/>
      </c>
      <c r="K178" s="1056">
        <f>SQRT(1+(A178/Zero2)^2)</f>
        <v/>
      </c>
      <c r="L178" s="1057">
        <f>ATAN(A178/Zero2)</f>
        <v/>
      </c>
      <c r="M178" s="1047">
        <f>SQRT(1+(A178/pole4)^2)</f>
        <v/>
      </c>
      <c r="N178" s="1057">
        <f>ATAN(A178/pole4)</f>
        <v/>
      </c>
      <c r="O178" s="1058">
        <f>IF(VOUT_setting=1,1,SQRT(1+(A178*zterm1)^2))</f>
        <v/>
      </c>
      <c r="P178" s="1059">
        <f>IF(VOUT_setting=1,0,ATAN(((A178*zterm1))))</f>
        <v/>
      </c>
      <c r="Q178" s="1056">
        <f>IF(VOUT_setting=1,1,SQRT((1+Afbr-$Q$5*(A178)^2)^2+(A178*$Q$4)^2))</f>
        <v/>
      </c>
      <c r="R178" s="1060">
        <f>IF(VOUT_setting=1,0,ATAN(A178*$Q$4/(1+Afbr-$Q$5*(A178)^2)))</f>
        <v/>
      </c>
      <c r="S178" s="1054">
        <f>SQRT((1-(Z178/pterm2))^2+(A178/pterm1)^2)</f>
        <v/>
      </c>
      <c r="T178" s="1055">
        <f>IF((ATAN((A178/pterm1)/(1-A178^2/pterm2))&gt;0),ATAN((A178/pterm1)/(1-A178^2/pterm2)),PI()+ATAN((A178/pterm1)/(1-A178^2/pterm2)))</f>
        <v/>
      </c>
      <c r="U178" s="331">
        <f>20*LOG10(((E178*K178*G178*O178)/(C178*I178*S178*M178*Q178))*Adc)</f>
        <v/>
      </c>
      <c r="V178" s="332">
        <f>((F178+L178+H178+P178)-(D178+J178+T178+N178+R178))*radconv</f>
        <v/>
      </c>
      <c r="W178" s="334">
        <f>IF(V178&gt;0,V178,V178+180)</f>
        <v/>
      </c>
      <c r="Y178" s="307">
        <f>IF(U178&lt;0,A178,1000000000)</f>
        <v/>
      </c>
      <c r="Z178" s="307">
        <f>A178^2</f>
        <v/>
      </c>
      <c r="AB178" s="333">
        <f>20*LOG10((K178/(I178*M178))*AEA)</f>
        <v/>
      </c>
      <c r="AC178" s="334">
        <f>(L178-(J178+N178))*radconv</f>
        <v/>
      </c>
      <c r="AE178" s="333">
        <f>20*LOG10((E178*G178/(C178*S178))*Acs*Am)</f>
        <v/>
      </c>
      <c r="AF178" s="334">
        <f>(F178+H178-(D178+T178))*radconv</f>
        <v/>
      </c>
      <c r="AH178">
        <f>SUM((U179&lt;0)*(U178&gt;0))*A178</f>
        <v/>
      </c>
      <c r="AI178">
        <f>IF(AH178&gt;0,W178,0)</f>
        <v/>
      </c>
    </row>
    <row r="179">
      <c r="A179" s="335" t="n">
        <v>10058.25</v>
      </c>
      <c r="B179" s="352">
        <f>A179/1000</f>
        <v/>
      </c>
      <c r="C179" s="1047">
        <f>SQRT(1+(A179/pole1)^2)</f>
        <v/>
      </c>
      <c r="D179" s="1048">
        <f>ATAN(A179/pole1)</f>
        <v/>
      </c>
      <c r="E179" s="1048">
        <f>SQRT(1+(A179/Zero1)^2)</f>
        <v/>
      </c>
      <c r="F179" s="1049">
        <f>ATAN(A179/Zero1)</f>
        <v/>
      </c>
      <c r="G179" s="1048">
        <f>IF(VIN_nom&gt;Vout, 1, SQRT(1+(A179/z_RHP)^2))</f>
        <v/>
      </c>
      <c r="H179" s="1049">
        <f>IF(VIN_nom&gt;Vout, 0, -ATAN(A179/z_RHP))</f>
        <v/>
      </c>
      <c r="I179" s="1047">
        <f>SQRT(1+(A179/Pole2)^2)</f>
        <v/>
      </c>
      <c r="J179" s="1050">
        <f>ATAN(A179/Pole2)</f>
        <v/>
      </c>
      <c r="K179" s="1056">
        <f>SQRT(1+(A179/Zero2)^2)</f>
        <v/>
      </c>
      <c r="L179" s="1057">
        <f>ATAN(A179/Zero2)</f>
        <v/>
      </c>
      <c r="M179" s="1047">
        <f>SQRT(1+(A179/pole4)^2)</f>
        <v/>
      </c>
      <c r="N179" s="1057">
        <f>ATAN(A179/pole4)</f>
        <v/>
      </c>
      <c r="O179" s="1058">
        <f>IF(VOUT_setting=1,1,SQRT(1+(A179*zterm1)^2))</f>
        <v/>
      </c>
      <c r="P179" s="1059">
        <f>IF(VOUT_setting=1,0,ATAN(((A179*zterm1))))</f>
        <v/>
      </c>
      <c r="Q179" s="1056">
        <f>IF(VOUT_setting=1,1,SQRT((1+Afbr-$Q$5*(A179)^2)^2+(A179*$Q$4)^2))</f>
        <v/>
      </c>
      <c r="R179" s="1060">
        <f>IF(VOUT_setting=1,0,ATAN(A179*$Q$4/(1+Afbr-$Q$5*(A179)^2)))</f>
        <v/>
      </c>
      <c r="S179" s="1054">
        <f>SQRT((1-(Z179/pterm2))^2+(A179/pterm1)^2)</f>
        <v/>
      </c>
      <c r="T179" s="1055">
        <f>IF((ATAN((A179/pterm1)/(1-A179^2/pterm2))&gt;0),ATAN((A179/pterm1)/(1-A179^2/pterm2)),PI()+ATAN((A179/pterm1)/(1-A179^2/pterm2)))</f>
        <v/>
      </c>
      <c r="U179" s="331">
        <f>20*LOG10(((E179*K179*G179*O179)/(C179*I179*S179*M179*Q179))*Adc)</f>
        <v/>
      </c>
      <c r="V179" s="332">
        <f>((F179+L179+H179+P179)-(D179+J179+T179+N179+R179))*radconv</f>
        <v/>
      </c>
      <c r="W179" s="334">
        <f>IF(V179&gt;0,V179,V179+180)</f>
        <v/>
      </c>
      <c r="Y179" s="307">
        <f>IF(U179&lt;0,A179,1000000000)</f>
        <v/>
      </c>
      <c r="Z179" s="307">
        <f>A179^2</f>
        <v/>
      </c>
      <c r="AB179" s="333">
        <f>20*LOG10((K179/(I179*M179))*AEA)</f>
        <v/>
      </c>
      <c r="AC179" s="334">
        <f>(L179-(J179+N179))*radconv</f>
        <v/>
      </c>
      <c r="AE179" s="333">
        <f>20*LOG10((E179*G179/(C179*S179))*Acs*Am)</f>
        <v/>
      </c>
      <c r="AF179" s="334">
        <f>(F179+H179-(D179+T179))*radconv</f>
        <v/>
      </c>
      <c r="AH179">
        <f>SUM((U180&lt;0)*(U179&gt;0))*A179</f>
        <v/>
      </c>
      <c r="AI179">
        <f>IF(AH179&gt;0,W179,0)</f>
        <v/>
      </c>
    </row>
    <row r="180">
      <c r="A180" s="335" t="n">
        <v>10116.5</v>
      </c>
      <c r="B180" s="352">
        <f>A180/1000</f>
        <v/>
      </c>
      <c r="C180" s="1047">
        <f>SQRT(1+(A180/pole1)^2)</f>
        <v/>
      </c>
      <c r="D180" s="1048">
        <f>ATAN(A180/pole1)</f>
        <v/>
      </c>
      <c r="E180" s="1048">
        <f>SQRT(1+(A180/Zero1)^2)</f>
        <v/>
      </c>
      <c r="F180" s="1049">
        <f>ATAN(A180/Zero1)</f>
        <v/>
      </c>
      <c r="G180" s="1048">
        <f>IF(VIN_nom&gt;Vout, 1, SQRT(1+(A180/z_RHP)^2))</f>
        <v/>
      </c>
      <c r="H180" s="1049">
        <f>IF(VIN_nom&gt;Vout, 0, -ATAN(A180/z_RHP))</f>
        <v/>
      </c>
      <c r="I180" s="1047">
        <f>SQRT(1+(A180/Pole2)^2)</f>
        <v/>
      </c>
      <c r="J180" s="1050">
        <f>ATAN(A180/Pole2)</f>
        <v/>
      </c>
      <c r="K180" s="1056">
        <f>SQRT(1+(A180/Zero2)^2)</f>
        <v/>
      </c>
      <c r="L180" s="1057">
        <f>ATAN(A180/Zero2)</f>
        <v/>
      </c>
      <c r="M180" s="1047">
        <f>SQRT(1+(A180/pole4)^2)</f>
        <v/>
      </c>
      <c r="N180" s="1057">
        <f>ATAN(A180/pole4)</f>
        <v/>
      </c>
      <c r="O180" s="1058">
        <f>IF(VOUT_setting=1,1,SQRT(1+(A180*zterm1)^2))</f>
        <v/>
      </c>
      <c r="P180" s="1059">
        <f>IF(VOUT_setting=1,0,ATAN(((A180*zterm1))))</f>
        <v/>
      </c>
      <c r="Q180" s="1056">
        <f>IF(VOUT_setting=1,1,SQRT((1+Afbr-$Q$5*(A180)^2)^2+(A180*$Q$4)^2))</f>
        <v/>
      </c>
      <c r="R180" s="1060">
        <f>IF(VOUT_setting=1,0,ATAN(A180*$Q$4/(1+Afbr-$Q$5*(A180)^2)))</f>
        <v/>
      </c>
      <c r="S180" s="1054">
        <f>SQRT((1-(Z180/pterm2))^2+(A180/pterm1)^2)</f>
        <v/>
      </c>
      <c r="T180" s="1055">
        <f>IF((ATAN((A180/pterm1)/(1-A180^2/pterm2))&gt;0),ATAN((A180/pterm1)/(1-A180^2/pterm2)),PI()+ATAN((A180/pterm1)/(1-A180^2/pterm2)))</f>
        <v/>
      </c>
      <c r="U180" s="331">
        <f>20*LOG10(((E180*K180*G180*O180)/(C180*I180*S180*M180*Q180))*Adc)</f>
        <v/>
      </c>
      <c r="V180" s="332">
        <f>((F180+L180+H180+P180)-(D180+J180+T180+N180+R180))*radconv</f>
        <v/>
      </c>
      <c r="W180" s="334">
        <f>IF(V180&gt;0,V180,V180+180)</f>
        <v/>
      </c>
      <c r="Y180" s="307">
        <f>IF(U180&lt;0,A180,1000000000)</f>
        <v/>
      </c>
      <c r="Z180" s="307">
        <f>A180^2</f>
        <v/>
      </c>
      <c r="AB180" s="333">
        <f>20*LOG10((K180/(I180*M180))*AEA)</f>
        <v/>
      </c>
      <c r="AC180" s="334">
        <f>(L180-(J180+N180))*radconv</f>
        <v/>
      </c>
      <c r="AE180" s="333">
        <f>20*LOG10((E180*G180/(C180*S180))*Acs*Am)</f>
        <v/>
      </c>
      <c r="AF180" s="334">
        <f>(F180+H180-(D180+T180))*radconv</f>
        <v/>
      </c>
      <c r="AH180">
        <f>SUM((U181&lt;0)*(U180&gt;0))*A180</f>
        <v/>
      </c>
      <c r="AI180">
        <f>IF(AH180&gt;0,W180,0)</f>
        <v/>
      </c>
    </row>
    <row r="181">
      <c r="A181" s="335" t="n">
        <v>10174.75</v>
      </c>
      <c r="B181" s="352">
        <f>A181/1000</f>
        <v/>
      </c>
      <c r="C181" s="1047">
        <f>SQRT(1+(A181/pole1)^2)</f>
        <v/>
      </c>
      <c r="D181" s="1048">
        <f>ATAN(A181/pole1)</f>
        <v/>
      </c>
      <c r="E181" s="1048">
        <f>SQRT(1+(A181/Zero1)^2)</f>
        <v/>
      </c>
      <c r="F181" s="1049">
        <f>ATAN(A181/Zero1)</f>
        <v/>
      </c>
      <c r="G181" s="1048">
        <f>IF(VIN_nom&gt;Vout, 1, SQRT(1+(A181/z_RHP)^2))</f>
        <v/>
      </c>
      <c r="H181" s="1049">
        <f>IF(VIN_nom&gt;Vout, 0, -ATAN(A181/z_RHP))</f>
        <v/>
      </c>
      <c r="I181" s="1047">
        <f>SQRT(1+(A181/Pole2)^2)</f>
        <v/>
      </c>
      <c r="J181" s="1050">
        <f>ATAN(A181/Pole2)</f>
        <v/>
      </c>
      <c r="K181" s="1056">
        <f>SQRT(1+(A181/Zero2)^2)</f>
        <v/>
      </c>
      <c r="L181" s="1057">
        <f>ATAN(A181/Zero2)</f>
        <v/>
      </c>
      <c r="M181" s="1047">
        <f>SQRT(1+(A181/pole4)^2)</f>
        <v/>
      </c>
      <c r="N181" s="1057">
        <f>ATAN(A181/pole4)</f>
        <v/>
      </c>
      <c r="O181" s="1058">
        <f>IF(VOUT_setting=1,1,SQRT(1+(A181*zterm1)^2))</f>
        <v/>
      </c>
      <c r="P181" s="1059">
        <f>IF(VOUT_setting=1,0,ATAN(((A181*zterm1))))</f>
        <v/>
      </c>
      <c r="Q181" s="1056">
        <f>IF(VOUT_setting=1,1,SQRT((1+Afbr-$Q$5*(A181)^2)^2+(A181*$Q$4)^2))</f>
        <v/>
      </c>
      <c r="R181" s="1060">
        <f>IF(VOUT_setting=1,0,ATAN(A181*$Q$4/(1+Afbr-$Q$5*(A181)^2)))</f>
        <v/>
      </c>
      <c r="S181" s="1054">
        <f>SQRT((1-(Z181/pterm2))^2+(A181/pterm1)^2)</f>
        <v/>
      </c>
      <c r="T181" s="1055">
        <f>IF((ATAN((A181/pterm1)/(1-A181^2/pterm2))&gt;0),ATAN((A181/pterm1)/(1-A181^2/pterm2)),PI()+ATAN((A181/pterm1)/(1-A181^2/pterm2)))</f>
        <v/>
      </c>
      <c r="U181" s="331">
        <f>20*LOG10(((E181*K181*G181*O181)/(C181*I181*S181*M181*Q181))*Adc)</f>
        <v/>
      </c>
      <c r="V181" s="332">
        <f>((F181+L181+H181+P181)-(D181+J181+T181+N181+R181))*radconv</f>
        <v/>
      </c>
      <c r="W181" s="334">
        <f>IF(V181&gt;0,V181,V181+180)</f>
        <v/>
      </c>
      <c r="Y181" s="307">
        <f>IF(U181&lt;0,A181,1000000000)</f>
        <v/>
      </c>
      <c r="Z181" s="307">
        <f>A181^2</f>
        <v/>
      </c>
      <c r="AB181" s="333">
        <f>20*LOG10((K181/(I181*M181))*AEA)</f>
        <v/>
      </c>
      <c r="AC181" s="334">
        <f>(L181-(J181+N181))*radconv</f>
        <v/>
      </c>
      <c r="AE181" s="333">
        <f>20*LOG10((E181*G181/(C181*S181))*Acs*Am)</f>
        <v/>
      </c>
      <c r="AF181" s="334">
        <f>(F181+H181-(D181+T181))*radconv</f>
        <v/>
      </c>
      <c r="AH181">
        <f>SUM((U182&lt;0)*(U181&gt;0))*A181</f>
        <v/>
      </c>
      <c r="AI181">
        <f>IF(AH181&gt;0,W181,0)</f>
        <v/>
      </c>
    </row>
    <row r="182">
      <c r="A182" s="335" t="n">
        <v>10233</v>
      </c>
      <c r="B182" s="352">
        <f>A182/1000</f>
        <v/>
      </c>
      <c r="C182" s="1047">
        <f>SQRT(1+(A182/pole1)^2)</f>
        <v/>
      </c>
      <c r="D182" s="1048">
        <f>ATAN(A182/pole1)</f>
        <v/>
      </c>
      <c r="E182" s="1048">
        <f>SQRT(1+(A182/Zero1)^2)</f>
        <v/>
      </c>
      <c r="F182" s="1049">
        <f>ATAN(A182/Zero1)</f>
        <v/>
      </c>
      <c r="G182" s="1048">
        <f>IF(VIN_nom&gt;Vout, 1, SQRT(1+(A182/z_RHP)^2))</f>
        <v/>
      </c>
      <c r="H182" s="1049">
        <f>IF(VIN_nom&gt;Vout, 0, -ATAN(A182/z_RHP))</f>
        <v/>
      </c>
      <c r="I182" s="1047">
        <f>SQRT(1+(A182/Pole2)^2)</f>
        <v/>
      </c>
      <c r="J182" s="1050">
        <f>ATAN(A182/Pole2)</f>
        <v/>
      </c>
      <c r="K182" s="1056">
        <f>SQRT(1+(A182/Zero2)^2)</f>
        <v/>
      </c>
      <c r="L182" s="1057">
        <f>ATAN(A182/Zero2)</f>
        <v/>
      </c>
      <c r="M182" s="1047">
        <f>SQRT(1+(A182/pole4)^2)</f>
        <v/>
      </c>
      <c r="N182" s="1057">
        <f>ATAN(A182/pole4)</f>
        <v/>
      </c>
      <c r="O182" s="1058">
        <f>IF(VOUT_setting=1,1,SQRT(1+(A182*zterm1)^2))</f>
        <v/>
      </c>
      <c r="P182" s="1059">
        <f>IF(VOUT_setting=1,0,ATAN(((A182*zterm1))))</f>
        <v/>
      </c>
      <c r="Q182" s="1056">
        <f>IF(VOUT_setting=1,1,SQRT((1+Afbr-$Q$5*(A182)^2)^2+(A182*$Q$4)^2))</f>
        <v/>
      </c>
      <c r="R182" s="1060">
        <f>IF(VOUT_setting=1,0,ATAN(A182*$Q$4/(1+Afbr-$Q$5*(A182)^2)))</f>
        <v/>
      </c>
      <c r="S182" s="1054">
        <f>SQRT((1-(Z182/pterm2))^2+(A182/pterm1)^2)</f>
        <v/>
      </c>
      <c r="T182" s="1055">
        <f>IF((ATAN((A182/pterm1)/(1-A182^2/pterm2))&gt;0),ATAN((A182/pterm1)/(1-A182^2/pterm2)),PI()+ATAN((A182/pterm1)/(1-A182^2/pterm2)))</f>
        <v/>
      </c>
      <c r="U182" s="331">
        <f>20*LOG10(((E182*K182*G182*O182)/(C182*I182*S182*M182*Q182))*Adc)</f>
        <v/>
      </c>
      <c r="V182" s="332">
        <f>((F182+L182+H182+P182)-(D182+J182+T182+N182+R182))*radconv</f>
        <v/>
      </c>
      <c r="W182" s="334">
        <f>IF(V182&gt;0,V182,V182+180)</f>
        <v/>
      </c>
      <c r="Y182" s="307">
        <f>IF(U182&lt;0,A182,1000000000)</f>
        <v/>
      </c>
      <c r="Z182" s="307">
        <f>A182^2</f>
        <v/>
      </c>
      <c r="AB182" s="333">
        <f>20*LOG10((K182/(I182*M182))*AEA)</f>
        <v/>
      </c>
      <c r="AC182" s="334">
        <f>(L182-(J182+N182))*radconv</f>
        <v/>
      </c>
      <c r="AE182" s="333">
        <f>20*LOG10((E182*G182/(C182*S182))*Acs*Am)</f>
        <v/>
      </c>
      <c r="AF182" s="334">
        <f>(F182+H182-(D182+T182))*radconv</f>
        <v/>
      </c>
      <c r="AH182">
        <f>SUM((U183&lt;0)*(U182&gt;0))*A182</f>
        <v/>
      </c>
      <c r="AI182">
        <f>IF(AH182&gt;0,W182,0)</f>
        <v/>
      </c>
    </row>
    <row r="183">
      <c r="A183" s="335" t="n">
        <v>10292.5</v>
      </c>
      <c r="B183" s="352">
        <f>A183/1000</f>
        <v/>
      </c>
      <c r="C183" s="1047">
        <f>SQRT(1+(A183/pole1)^2)</f>
        <v/>
      </c>
      <c r="D183" s="1048">
        <f>ATAN(A183/pole1)</f>
        <v/>
      </c>
      <c r="E183" s="1048">
        <f>SQRT(1+(A183/Zero1)^2)</f>
        <v/>
      </c>
      <c r="F183" s="1049">
        <f>ATAN(A183/Zero1)</f>
        <v/>
      </c>
      <c r="G183" s="1048">
        <f>IF(VIN_nom&gt;Vout, 1, SQRT(1+(A183/z_RHP)^2))</f>
        <v/>
      </c>
      <c r="H183" s="1049">
        <f>IF(VIN_nom&gt;Vout, 0, -ATAN(A183/z_RHP))</f>
        <v/>
      </c>
      <c r="I183" s="1047">
        <f>SQRT(1+(A183/Pole2)^2)</f>
        <v/>
      </c>
      <c r="J183" s="1050">
        <f>ATAN(A183/Pole2)</f>
        <v/>
      </c>
      <c r="K183" s="1056">
        <f>SQRT(1+(A183/Zero2)^2)</f>
        <v/>
      </c>
      <c r="L183" s="1057">
        <f>ATAN(A183/Zero2)</f>
        <v/>
      </c>
      <c r="M183" s="1047">
        <f>SQRT(1+(A183/pole4)^2)</f>
        <v/>
      </c>
      <c r="N183" s="1057">
        <f>ATAN(A183/pole4)</f>
        <v/>
      </c>
      <c r="O183" s="1058">
        <f>IF(VOUT_setting=1,1,SQRT(1+(A183*zterm1)^2))</f>
        <v/>
      </c>
      <c r="P183" s="1059">
        <f>IF(VOUT_setting=1,0,ATAN(((A183*zterm1))))</f>
        <v/>
      </c>
      <c r="Q183" s="1056">
        <f>IF(VOUT_setting=1,1,SQRT((1+Afbr-$Q$5*(A183)^2)^2+(A183*$Q$4)^2))</f>
        <v/>
      </c>
      <c r="R183" s="1060">
        <f>IF(VOUT_setting=1,0,ATAN(A183*$Q$4/(1+Afbr-$Q$5*(A183)^2)))</f>
        <v/>
      </c>
      <c r="S183" s="1054">
        <f>SQRT((1-(Z183/pterm2))^2+(A183/pterm1)^2)</f>
        <v/>
      </c>
      <c r="T183" s="1055">
        <f>IF((ATAN((A183/pterm1)/(1-A183^2/pterm2))&gt;0),ATAN((A183/pterm1)/(1-A183^2/pterm2)),PI()+ATAN((A183/pterm1)/(1-A183^2/pterm2)))</f>
        <v/>
      </c>
      <c r="U183" s="331">
        <f>20*LOG10(((E183*K183*G183*O183)/(C183*I183*S183*M183*Q183))*Adc)</f>
        <v/>
      </c>
      <c r="V183" s="332">
        <f>((F183+L183+H183+P183)-(D183+J183+T183+N183+R183))*radconv</f>
        <v/>
      </c>
      <c r="W183" s="334">
        <f>IF(V183&gt;0,V183,V183+180)</f>
        <v/>
      </c>
      <c r="Y183" s="307">
        <f>IF(U183&lt;0,A183,1000000000)</f>
        <v/>
      </c>
      <c r="Z183" s="307">
        <f>A183^2</f>
        <v/>
      </c>
      <c r="AB183" s="333">
        <f>20*LOG10((K183/(I183*M183))*AEA)</f>
        <v/>
      </c>
      <c r="AC183" s="334">
        <f>(L183-(J183+N183))*radconv</f>
        <v/>
      </c>
      <c r="AE183" s="333">
        <f>20*LOG10((E183*G183/(C183*S183))*Acs*Am)</f>
        <v/>
      </c>
      <c r="AF183" s="334">
        <f>(F183+H183-(D183+T183))*radconv</f>
        <v/>
      </c>
      <c r="AH183">
        <f>SUM((U184&lt;0)*(U183&gt;0))*A183</f>
        <v/>
      </c>
      <c r="AI183">
        <f>IF(AH183&gt;0,W183,0)</f>
        <v/>
      </c>
    </row>
    <row r="184">
      <c r="A184" s="335" t="n">
        <v>10352</v>
      </c>
      <c r="B184" s="352">
        <f>A184/1000</f>
        <v/>
      </c>
      <c r="C184" s="1047">
        <f>SQRT(1+(A184/pole1)^2)</f>
        <v/>
      </c>
      <c r="D184" s="1048">
        <f>ATAN(A184/pole1)</f>
        <v/>
      </c>
      <c r="E184" s="1048">
        <f>SQRT(1+(A184/Zero1)^2)</f>
        <v/>
      </c>
      <c r="F184" s="1049">
        <f>ATAN(A184/Zero1)</f>
        <v/>
      </c>
      <c r="G184" s="1048">
        <f>IF(VIN_nom&gt;Vout, 1, SQRT(1+(A184/z_RHP)^2))</f>
        <v/>
      </c>
      <c r="H184" s="1049">
        <f>IF(VIN_nom&gt;Vout, 0, -ATAN(A184/z_RHP))</f>
        <v/>
      </c>
      <c r="I184" s="1047">
        <f>SQRT(1+(A184/Pole2)^2)</f>
        <v/>
      </c>
      <c r="J184" s="1050">
        <f>ATAN(A184/Pole2)</f>
        <v/>
      </c>
      <c r="K184" s="1056">
        <f>SQRT(1+(A184/Zero2)^2)</f>
        <v/>
      </c>
      <c r="L184" s="1057">
        <f>ATAN(A184/Zero2)</f>
        <v/>
      </c>
      <c r="M184" s="1047">
        <f>SQRT(1+(A184/pole4)^2)</f>
        <v/>
      </c>
      <c r="N184" s="1057">
        <f>ATAN(A184/pole4)</f>
        <v/>
      </c>
      <c r="O184" s="1058">
        <f>IF(VOUT_setting=1,1,SQRT(1+(A184*zterm1)^2))</f>
        <v/>
      </c>
      <c r="P184" s="1059">
        <f>IF(VOUT_setting=1,0,ATAN(((A184*zterm1))))</f>
        <v/>
      </c>
      <c r="Q184" s="1056">
        <f>IF(VOUT_setting=1,1,SQRT((1+Afbr-$Q$5*(A184)^2)^2+(A184*$Q$4)^2))</f>
        <v/>
      </c>
      <c r="R184" s="1060">
        <f>IF(VOUT_setting=1,0,ATAN(A184*$Q$4/(1+Afbr-$Q$5*(A184)^2)))</f>
        <v/>
      </c>
      <c r="S184" s="1054">
        <f>SQRT((1-(Z184/pterm2))^2+(A184/pterm1)^2)</f>
        <v/>
      </c>
      <c r="T184" s="1055">
        <f>IF((ATAN((A184/pterm1)/(1-A184^2/pterm2))&gt;0),ATAN((A184/pterm1)/(1-A184^2/pterm2)),PI()+ATAN((A184/pterm1)/(1-A184^2/pterm2)))</f>
        <v/>
      </c>
      <c r="U184" s="331">
        <f>20*LOG10(((E184*K184*G184*O184)/(C184*I184*S184*M184*Q184))*Adc)</f>
        <v/>
      </c>
      <c r="V184" s="332">
        <f>((F184+L184+H184+P184)-(D184+J184+T184+N184+R184))*radconv</f>
        <v/>
      </c>
      <c r="W184" s="334">
        <f>IF(V184&gt;0,V184,V184+180)</f>
        <v/>
      </c>
      <c r="Y184" s="307">
        <f>IF(U184&lt;0,A184,1000000000)</f>
        <v/>
      </c>
      <c r="Z184" s="307">
        <f>A184^2</f>
        <v/>
      </c>
      <c r="AB184" s="333">
        <f>20*LOG10((K184/(I184*M184))*AEA)</f>
        <v/>
      </c>
      <c r="AC184" s="334">
        <f>(L184-(J184+N184))*radconv</f>
        <v/>
      </c>
      <c r="AE184" s="333">
        <f>20*LOG10((E184*G184/(C184*S184))*Acs*Am)</f>
        <v/>
      </c>
      <c r="AF184" s="334">
        <f>(F184+H184-(D184+T184))*radconv</f>
        <v/>
      </c>
      <c r="AH184">
        <f>SUM((U185&lt;0)*(U184&gt;0))*A184</f>
        <v/>
      </c>
      <c r="AI184">
        <f>IF(AH184&gt;0,W184,0)</f>
        <v/>
      </c>
    </row>
    <row r="185">
      <c r="A185" s="335" t="n">
        <v>10411.5</v>
      </c>
      <c r="B185" s="352">
        <f>A185/1000</f>
        <v/>
      </c>
      <c r="C185" s="1047">
        <f>SQRT(1+(A185/pole1)^2)</f>
        <v/>
      </c>
      <c r="D185" s="1048">
        <f>ATAN(A185/pole1)</f>
        <v/>
      </c>
      <c r="E185" s="1048">
        <f>SQRT(1+(A185/Zero1)^2)</f>
        <v/>
      </c>
      <c r="F185" s="1049">
        <f>ATAN(A185/Zero1)</f>
        <v/>
      </c>
      <c r="G185" s="1048">
        <f>IF(VIN_nom&gt;Vout, 1, SQRT(1+(A185/z_RHP)^2))</f>
        <v/>
      </c>
      <c r="H185" s="1049">
        <f>IF(VIN_nom&gt;Vout, 0, -ATAN(A185/z_RHP))</f>
        <v/>
      </c>
      <c r="I185" s="1047">
        <f>SQRT(1+(A185/Pole2)^2)</f>
        <v/>
      </c>
      <c r="J185" s="1050">
        <f>ATAN(A185/Pole2)</f>
        <v/>
      </c>
      <c r="K185" s="1056">
        <f>SQRT(1+(A185/Zero2)^2)</f>
        <v/>
      </c>
      <c r="L185" s="1057">
        <f>ATAN(A185/Zero2)</f>
        <v/>
      </c>
      <c r="M185" s="1047">
        <f>SQRT(1+(A185/pole4)^2)</f>
        <v/>
      </c>
      <c r="N185" s="1057">
        <f>ATAN(A185/pole4)</f>
        <v/>
      </c>
      <c r="O185" s="1058">
        <f>IF(VOUT_setting=1,1,SQRT(1+(A185*zterm1)^2))</f>
        <v/>
      </c>
      <c r="P185" s="1059">
        <f>IF(VOUT_setting=1,0,ATAN(((A185*zterm1))))</f>
        <v/>
      </c>
      <c r="Q185" s="1056">
        <f>IF(VOUT_setting=1,1,SQRT((1+Afbr-$Q$5*(A185)^2)^2+(A185*$Q$4)^2))</f>
        <v/>
      </c>
      <c r="R185" s="1060">
        <f>IF(VOUT_setting=1,0,ATAN(A185*$Q$4/(1+Afbr-$Q$5*(A185)^2)))</f>
        <v/>
      </c>
      <c r="S185" s="1054">
        <f>SQRT((1-(Z185/pterm2))^2+(A185/pterm1)^2)</f>
        <v/>
      </c>
      <c r="T185" s="1055">
        <f>IF((ATAN((A185/pterm1)/(1-A185^2/pterm2))&gt;0),ATAN((A185/pterm1)/(1-A185^2/pterm2)),PI()+ATAN((A185/pterm1)/(1-A185^2/pterm2)))</f>
        <v/>
      </c>
      <c r="U185" s="331">
        <f>20*LOG10(((E185*K185*G185*O185)/(C185*I185*S185*M185*Q185))*Adc)</f>
        <v/>
      </c>
      <c r="V185" s="332">
        <f>((F185+L185+H185+P185)-(D185+J185+T185+N185+R185))*radconv</f>
        <v/>
      </c>
      <c r="W185" s="334">
        <f>IF(V185&gt;0,V185,V185+180)</f>
        <v/>
      </c>
      <c r="Y185" s="307">
        <f>IF(U185&lt;0,A185,1000000000)</f>
        <v/>
      </c>
      <c r="Z185" s="307">
        <f>A185^2</f>
        <v/>
      </c>
      <c r="AB185" s="333">
        <f>20*LOG10((K185/(I185*M185))*AEA)</f>
        <v/>
      </c>
      <c r="AC185" s="334">
        <f>(L185-(J185+N185))*radconv</f>
        <v/>
      </c>
      <c r="AE185" s="333">
        <f>20*LOG10((E185*G185/(C185*S185))*Acs*Am)</f>
        <v/>
      </c>
      <c r="AF185" s="334">
        <f>(F185+H185-(D185+T185))*radconv</f>
        <v/>
      </c>
      <c r="AH185">
        <f>SUM((U186&lt;0)*(U185&gt;0))*A185</f>
        <v/>
      </c>
      <c r="AI185">
        <f>IF(AH185&gt;0,W185,0)</f>
        <v/>
      </c>
    </row>
    <row r="186">
      <c r="A186" s="335" t="n">
        <v>10471</v>
      </c>
      <c r="B186" s="352">
        <f>A186/1000</f>
        <v/>
      </c>
      <c r="C186" s="1047">
        <f>SQRT(1+(A186/pole1)^2)</f>
        <v/>
      </c>
      <c r="D186" s="1048">
        <f>ATAN(A186/pole1)</f>
        <v/>
      </c>
      <c r="E186" s="1048">
        <f>SQRT(1+(A186/Zero1)^2)</f>
        <v/>
      </c>
      <c r="F186" s="1049">
        <f>ATAN(A186/Zero1)</f>
        <v/>
      </c>
      <c r="G186" s="1048">
        <f>IF(VIN_nom&gt;Vout, 1, SQRT(1+(A186/z_RHP)^2))</f>
        <v/>
      </c>
      <c r="H186" s="1049">
        <f>IF(VIN_nom&gt;Vout, 0, -ATAN(A186/z_RHP))</f>
        <v/>
      </c>
      <c r="I186" s="1047">
        <f>SQRT(1+(A186/Pole2)^2)</f>
        <v/>
      </c>
      <c r="J186" s="1050">
        <f>ATAN(A186/Pole2)</f>
        <v/>
      </c>
      <c r="K186" s="1056">
        <f>SQRT(1+(A186/Zero2)^2)</f>
        <v/>
      </c>
      <c r="L186" s="1057">
        <f>ATAN(A186/Zero2)</f>
        <v/>
      </c>
      <c r="M186" s="1047">
        <f>SQRT(1+(A186/pole4)^2)</f>
        <v/>
      </c>
      <c r="N186" s="1057">
        <f>ATAN(A186/pole4)</f>
        <v/>
      </c>
      <c r="O186" s="1058">
        <f>IF(VOUT_setting=1,1,SQRT(1+(A186*zterm1)^2))</f>
        <v/>
      </c>
      <c r="P186" s="1059">
        <f>IF(VOUT_setting=1,0,ATAN(((A186*zterm1))))</f>
        <v/>
      </c>
      <c r="Q186" s="1056">
        <f>IF(VOUT_setting=1,1,SQRT((1+Afbr-$Q$5*(A186)^2)^2+(A186*$Q$4)^2))</f>
        <v/>
      </c>
      <c r="R186" s="1060">
        <f>IF(VOUT_setting=1,0,ATAN(A186*$Q$4/(1+Afbr-$Q$5*(A186)^2)))</f>
        <v/>
      </c>
      <c r="S186" s="1054">
        <f>SQRT((1-(Z186/pterm2))^2+(A186/pterm1)^2)</f>
        <v/>
      </c>
      <c r="T186" s="1055">
        <f>IF((ATAN((A186/pterm1)/(1-A186^2/pterm2))&gt;0),ATAN((A186/pterm1)/(1-A186^2/pterm2)),PI()+ATAN((A186/pterm1)/(1-A186^2/pterm2)))</f>
        <v/>
      </c>
      <c r="U186" s="331">
        <f>20*LOG10(((E186*K186*G186*O186)/(C186*I186*S186*M186*Q186))*Adc)</f>
        <v/>
      </c>
      <c r="V186" s="332">
        <f>((F186+L186+H186+P186)-(D186+J186+T186+N186+R186))*radconv</f>
        <v/>
      </c>
      <c r="W186" s="334">
        <f>IF(V186&gt;0,V186,V186+180)</f>
        <v/>
      </c>
      <c r="Y186" s="307">
        <f>IF(U186&lt;0,A186,1000000000)</f>
        <v/>
      </c>
      <c r="Z186" s="307">
        <f>A186^2</f>
        <v/>
      </c>
      <c r="AB186" s="333">
        <f>20*LOG10((K186/(I186*M186))*AEA)</f>
        <v/>
      </c>
      <c r="AC186" s="334">
        <f>(L186-(J186+N186))*radconv</f>
        <v/>
      </c>
      <c r="AE186" s="333">
        <f>20*LOG10((E186*G186/(C186*S186))*Acs*Am)</f>
        <v/>
      </c>
      <c r="AF186" s="334">
        <f>(F186+H186-(D186+T186))*radconv</f>
        <v/>
      </c>
      <c r="AH186">
        <f>SUM((U187&lt;0)*(U186&gt;0))*A186</f>
        <v/>
      </c>
      <c r="AI186">
        <f>IF(AH186&gt;0,W186,0)</f>
        <v/>
      </c>
    </row>
    <row r="187">
      <c r="A187" s="335" t="n">
        <v>10532</v>
      </c>
      <c r="B187" s="352">
        <f>A187/1000</f>
        <v/>
      </c>
      <c r="C187" s="1047">
        <f>SQRT(1+(A187/pole1)^2)</f>
        <v/>
      </c>
      <c r="D187" s="1048">
        <f>ATAN(A187/pole1)</f>
        <v/>
      </c>
      <c r="E187" s="1048">
        <f>SQRT(1+(A187/Zero1)^2)</f>
        <v/>
      </c>
      <c r="F187" s="1049">
        <f>ATAN(A187/Zero1)</f>
        <v/>
      </c>
      <c r="G187" s="1048">
        <f>IF(VIN_nom&gt;Vout, 1, SQRT(1+(A187/z_RHP)^2))</f>
        <v/>
      </c>
      <c r="H187" s="1049">
        <f>IF(VIN_nom&gt;Vout, 0, -ATAN(A187/z_RHP))</f>
        <v/>
      </c>
      <c r="I187" s="1047">
        <f>SQRT(1+(A187/Pole2)^2)</f>
        <v/>
      </c>
      <c r="J187" s="1050">
        <f>ATAN(A187/Pole2)</f>
        <v/>
      </c>
      <c r="K187" s="1056">
        <f>SQRT(1+(A187/Zero2)^2)</f>
        <v/>
      </c>
      <c r="L187" s="1057">
        <f>ATAN(A187/Zero2)</f>
        <v/>
      </c>
      <c r="M187" s="1047">
        <f>SQRT(1+(A187/pole4)^2)</f>
        <v/>
      </c>
      <c r="N187" s="1057">
        <f>ATAN(A187/pole4)</f>
        <v/>
      </c>
      <c r="O187" s="1058">
        <f>IF(VOUT_setting=1,1,SQRT(1+(A187*zterm1)^2))</f>
        <v/>
      </c>
      <c r="P187" s="1059">
        <f>IF(VOUT_setting=1,0,ATAN(((A187*zterm1))))</f>
        <v/>
      </c>
      <c r="Q187" s="1056">
        <f>IF(VOUT_setting=1,1,SQRT((1+Afbr-$Q$5*(A187)^2)^2+(A187*$Q$4)^2))</f>
        <v/>
      </c>
      <c r="R187" s="1060">
        <f>IF(VOUT_setting=1,0,ATAN(A187*$Q$4/(1+Afbr-$Q$5*(A187)^2)))</f>
        <v/>
      </c>
      <c r="S187" s="1054">
        <f>SQRT((1-(Z187/pterm2))^2+(A187/pterm1)^2)</f>
        <v/>
      </c>
      <c r="T187" s="1055">
        <f>IF((ATAN((A187/pterm1)/(1-A187^2/pterm2))&gt;0),ATAN((A187/pterm1)/(1-A187^2/pterm2)),PI()+ATAN((A187/pterm1)/(1-A187^2/pterm2)))</f>
        <v/>
      </c>
      <c r="U187" s="331">
        <f>20*LOG10(((E187*K187*G187*O187)/(C187*I187*S187*M187*Q187))*Adc)</f>
        <v/>
      </c>
      <c r="V187" s="332">
        <f>((F187+L187+H187+P187)-(D187+J187+T187+N187+R187))*radconv</f>
        <v/>
      </c>
      <c r="W187" s="334">
        <f>IF(V187&gt;0,V187,V187+180)</f>
        <v/>
      </c>
      <c r="Y187" s="307">
        <f>IF(U187&lt;0,A187,1000000000)</f>
        <v/>
      </c>
      <c r="Z187" s="307">
        <f>A187^2</f>
        <v/>
      </c>
      <c r="AB187" s="333">
        <f>20*LOG10((K187/(I187*M187))*AEA)</f>
        <v/>
      </c>
      <c r="AC187" s="334">
        <f>(L187-(J187+N187))*radconv</f>
        <v/>
      </c>
      <c r="AE187" s="333">
        <f>20*LOG10((E187*G187/(C187*S187))*Acs*Am)</f>
        <v/>
      </c>
      <c r="AF187" s="334">
        <f>(F187+H187-(D187+T187))*radconv</f>
        <v/>
      </c>
      <c r="AH187">
        <f>SUM((U188&lt;0)*(U187&gt;0))*A187</f>
        <v/>
      </c>
      <c r="AI187">
        <f>IF(AH187&gt;0,W187,0)</f>
        <v/>
      </c>
    </row>
    <row r="188">
      <c r="A188" s="335" t="n">
        <v>10593</v>
      </c>
      <c r="B188" s="352">
        <f>A188/1000</f>
        <v/>
      </c>
      <c r="C188" s="1047">
        <f>SQRT(1+(A188/pole1)^2)</f>
        <v/>
      </c>
      <c r="D188" s="1048">
        <f>ATAN(A188/pole1)</f>
        <v/>
      </c>
      <c r="E188" s="1048">
        <f>SQRT(1+(A188/Zero1)^2)</f>
        <v/>
      </c>
      <c r="F188" s="1049">
        <f>ATAN(A188/Zero1)</f>
        <v/>
      </c>
      <c r="G188" s="1048">
        <f>IF(VIN_nom&gt;Vout, 1, SQRT(1+(A188/z_RHP)^2))</f>
        <v/>
      </c>
      <c r="H188" s="1049">
        <f>IF(VIN_nom&gt;Vout, 0, -ATAN(A188/z_RHP))</f>
        <v/>
      </c>
      <c r="I188" s="1047">
        <f>SQRT(1+(A188/Pole2)^2)</f>
        <v/>
      </c>
      <c r="J188" s="1050">
        <f>ATAN(A188/Pole2)</f>
        <v/>
      </c>
      <c r="K188" s="1056">
        <f>SQRT(1+(A188/Zero2)^2)</f>
        <v/>
      </c>
      <c r="L188" s="1057">
        <f>ATAN(A188/Zero2)</f>
        <v/>
      </c>
      <c r="M188" s="1047">
        <f>SQRT(1+(A188/pole4)^2)</f>
        <v/>
      </c>
      <c r="N188" s="1057">
        <f>ATAN(A188/pole4)</f>
        <v/>
      </c>
      <c r="O188" s="1058">
        <f>IF(VOUT_setting=1,1,SQRT(1+(A188*zterm1)^2))</f>
        <v/>
      </c>
      <c r="P188" s="1059">
        <f>IF(VOUT_setting=1,0,ATAN(((A188*zterm1))))</f>
        <v/>
      </c>
      <c r="Q188" s="1056">
        <f>IF(VOUT_setting=1,1,SQRT((1+Afbr-$Q$5*(A188)^2)^2+(A188*$Q$4)^2))</f>
        <v/>
      </c>
      <c r="R188" s="1060">
        <f>IF(VOUT_setting=1,0,ATAN(A188*$Q$4/(1+Afbr-$Q$5*(A188)^2)))</f>
        <v/>
      </c>
      <c r="S188" s="1054">
        <f>SQRT((1-(Z188/pterm2))^2+(A188/pterm1)^2)</f>
        <v/>
      </c>
      <c r="T188" s="1055">
        <f>IF((ATAN((A188/pterm1)/(1-A188^2/pterm2))&gt;0),ATAN((A188/pterm1)/(1-A188^2/pterm2)),PI()+ATAN((A188/pterm1)/(1-A188^2/pterm2)))</f>
        <v/>
      </c>
      <c r="U188" s="331">
        <f>20*LOG10(((E188*K188*G188*O188)/(C188*I188*S188*M188*Q188))*Adc)</f>
        <v/>
      </c>
      <c r="V188" s="332">
        <f>((F188+L188+H188+P188)-(D188+J188+T188+N188+R188))*radconv</f>
        <v/>
      </c>
      <c r="W188" s="334">
        <f>IF(V188&gt;0,V188,V188+180)</f>
        <v/>
      </c>
      <c r="Y188" s="307">
        <f>IF(U188&lt;0,A188,1000000000)</f>
        <v/>
      </c>
      <c r="Z188" s="307">
        <f>A188^2</f>
        <v/>
      </c>
      <c r="AB188" s="333">
        <f>20*LOG10((K188/(I188*M188))*AEA)</f>
        <v/>
      </c>
      <c r="AC188" s="334">
        <f>(L188-(J188+N188))*radconv</f>
        <v/>
      </c>
      <c r="AE188" s="333">
        <f>20*LOG10((E188*G188/(C188*S188))*Acs*Am)</f>
        <v/>
      </c>
      <c r="AF188" s="334">
        <f>(F188+H188-(D188+T188))*radconv</f>
        <v/>
      </c>
      <c r="AH188">
        <f>SUM((U189&lt;0)*(U188&gt;0))*A188</f>
        <v/>
      </c>
      <c r="AI188">
        <f>IF(AH188&gt;0,W188,0)</f>
        <v/>
      </c>
    </row>
    <row r="189">
      <c r="A189" s="335" t="n">
        <v>10654</v>
      </c>
      <c r="B189" s="352">
        <f>A189/1000</f>
        <v/>
      </c>
      <c r="C189" s="1047">
        <f>SQRT(1+(A189/pole1)^2)</f>
        <v/>
      </c>
      <c r="D189" s="1048">
        <f>ATAN(A189/pole1)</f>
        <v/>
      </c>
      <c r="E189" s="1048">
        <f>SQRT(1+(A189/Zero1)^2)</f>
        <v/>
      </c>
      <c r="F189" s="1049">
        <f>ATAN(A189/Zero1)</f>
        <v/>
      </c>
      <c r="G189" s="1048">
        <f>IF(VIN_nom&gt;Vout, 1, SQRT(1+(A189/z_RHP)^2))</f>
        <v/>
      </c>
      <c r="H189" s="1049">
        <f>IF(VIN_nom&gt;Vout, 0, -ATAN(A189/z_RHP))</f>
        <v/>
      </c>
      <c r="I189" s="1047">
        <f>SQRT(1+(A189/Pole2)^2)</f>
        <v/>
      </c>
      <c r="J189" s="1050">
        <f>ATAN(A189/Pole2)</f>
        <v/>
      </c>
      <c r="K189" s="1056">
        <f>SQRT(1+(A189/Zero2)^2)</f>
        <v/>
      </c>
      <c r="L189" s="1057">
        <f>ATAN(A189/Zero2)</f>
        <v/>
      </c>
      <c r="M189" s="1047">
        <f>SQRT(1+(A189/pole4)^2)</f>
        <v/>
      </c>
      <c r="N189" s="1057">
        <f>ATAN(A189/pole4)</f>
        <v/>
      </c>
      <c r="O189" s="1058">
        <f>IF(VOUT_setting=1,1,SQRT(1+(A189*zterm1)^2))</f>
        <v/>
      </c>
      <c r="P189" s="1059">
        <f>IF(VOUT_setting=1,0,ATAN(((A189*zterm1))))</f>
        <v/>
      </c>
      <c r="Q189" s="1056">
        <f>IF(VOUT_setting=1,1,SQRT((1+Afbr-$Q$5*(A189)^2)^2+(A189*$Q$4)^2))</f>
        <v/>
      </c>
      <c r="R189" s="1060">
        <f>IF(VOUT_setting=1,0,ATAN(A189*$Q$4/(1+Afbr-$Q$5*(A189)^2)))</f>
        <v/>
      </c>
      <c r="S189" s="1054">
        <f>SQRT((1-(Z189/pterm2))^2+(A189/pterm1)^2)</f>
        <v/>
      </c>
      <c r="T189" s="1055">
        <f>IF((ATAN((A189/pterm1)/(1-A189^2/pterm2))&gt;0),ATAN((A189/pterm1)/(1-A189^2/pterm2)),PI()+ATAN((A189/pterm1)/(1-A189^2/pterm2)))</f>
        <v/>
      </c>
      <c r="U189" s="331">
        <f>20*LOG10(((E189*K189*G189*O189)/(C189*I189*S189*M189*Q189))*Adc)</f>
        <v/>
      </c>
      <c r="V189" s="332">
        <f>((F189+L189+H189+P189)-(D189+J189+T189+N189+R189))*radconv</f>
        <v/>
      </c>
      <c r="W189" s="334">
        <f>IF(V189&gt;0,V189,V189+180)</f>
        <v/>
      </c>
      <c r="Y189" s="307">
        <f>IF(U189&lt;0,A189,1000000000)</f>
        <v/>
      </c>
      <c r="Z189" s="307">
        <f>A189^2</f>
        <v/>
      </c>
      <c r="AB189" s="333">
        <f>20*LOG10((K189/(I189*M189))*AEA)</f>
        <v/>
      </c>
      <c r="AC189" s="334">
        <f>(L189-(J189+N189))*radconv</f>
        <v/>
      </c>
      <c r="AE189" s="333">
        <f>20*LOG10((E189*G189/(C189*S189))*Acs*Am)</f>
        <v/>
      </c>
      <c r="AF189" s="334">
        <f>(F189+H189-(D189+T189))*radconv</f>
        <v/>
      </c>
      <c r="AH189">
        <f>SUM((U190&lt;0)*(U189&gt;0))*A189</f>
        <v/>
      </c>
      <c r="AI189">
        <f>IF(AH189&gt;0,W189,0)</f>
        <v/>
      </c>
    </row>
    <row r="190">
      <c r="A190" s="335" t="n">
        <v>10715</v>
      </c>
      <c r="B190" s="352">
        <f>A190/1000</f>
        <v/>
      </c>
      <c r="C190" s="1047">
        <f>SQRT(1+(A190/pole1)^2)</f>
        <v/>
      </c>
      <c r="D190" s="1048">
        <f>ATAN(A190/pole1)</f>
        <v/>
      </c>
      <c r="E190" s="1048">
        <f>SQRT(1+(A190/Zero1)^2)</f>
        <v/>
      </c>
      <c r="F190" s="1049">
        <f>ATAN(A190/Zero1)</f>
        <v/>
      </c>
      <c r="G190" s="1048">
        <f>IF(VIN_nom&gt;Vout, 1, SQRT(1+(A190/z_RHP)^2))</f>
        <v/>
      </c>
      <c r="H190" s="1049">
        <f>IF(VIN_nom&gt;Vout, 0, -ATAN(A190/z_RHP))</f>
        <v/>
      </c>
      <c r="I190" s="1047">
        <f>SQRT(1+(A190/Pole2)^2)</f>
        <v/>
      </c>
      <c r="J190" s="1050">
        <f>ATAN(A190/Pole2)</f>
        <v/>
      </c>
      <c r="K190" s="1056">
        <f>SQRT(1+(A190/Zero2)^2)</f>
        <v/>
      </c>
      <c r="L190" s="1057">
        <f>ATAN(A190/Zero2)</f>
        <v/>
      </c>
      <c r="M190" s="1047">
        <f>SQRT(1+(A190/pole4)^2)</f>
        <v/>
      </c>
      <c r="N190" s="1057">
        <f>ATAN(A190/pole4)</f>
        <v/>
      </c>
      <c r="O190" s="1058">
        <f>IF(VOUT_setting=1,1,SQRT(1+(A190*zterm1)^2))</f>
        <v/>
      </c>
      <c r="P190" s="1059">
        <f>IF(VOUT_setting=1,0,ATAN(((A190*zterm1))))</f>
        <v/>
      </c>
      <c r="Q190" s="1056">
        <f>IF(VOUT_setting=1,1,SQRT((1+Afbr-$Q$5*(A190)^2)^2+(A190*$Q$4)^2))</f>
        <v/>
      </c>
      <c r="R190" s="1060">
        <f>IF(VOUT_setting=1,0,ATAN(A190*$Q$4/(1+Afbr-$Q$5*(A190)^2)))</f>
        <v/>
      </c>
      <c r="S190" s="1054">
        <f>SQRT((1-(Z190/pterm2))^2+(A190/pterm1)^2)</f>
        <v/>
      </c>
      <c r="T190" s="1055">
        <f>IF((ATAN((A190/pterm1)/(1-A190^2/pterm2))&gt;0),ATAN((A190/pterm1)/(1-A190^2/pterm2)),PI()+ATAN((A190/pterm1)/(1-A190^2/pterm2)))</f>
        <v/>
      </c>
      <c r="U190" s="331">
        <f>20*LOG10(((E190*K190*G190*O190)/(C190*I190*S190*M190*Q190))*Adc)</f>
        <v/>
      </c>
      <c r="V190" s="332">
        <f>((F190+L190+H190+P190)-(D190+J190+T190+N190+R190))*radconv</f>
        <v/>
      </c>
      <c r="W190" s="334">
        <f>IF(V190&gt;0,V190,V190+180)</f>
        <v/>
      </c>
      <c r="Y190" s="307">
        <f>IF(U190&lt;0,A190,1000000000)</f>
        <v/>
      </c>
      <c r="Z190" s="307">
        <f>A190^2</f>
        <v/>
      </c>
      <c r="AB190" s="333">
        <f>20*LOG10((K190/(I190*M190))*AEA)</f>
        <v/>
      </c>
      <c r="AC190" s="334">
        <f>(L190-(J190+N190))*radconv</f>
        <v/>
      </c>
      <c r="AE190" s="333">
        <f>20*LOG10((E190*G190/(C190*S190))*Acs*Am)</f>
        <v/>
      </c>
      <c r="AF190" s="334">
        <f>(F190+H190-(D190+T190))*radconv</f>
        <v/>
      </c>
      <c r="AH190">
        <f>SUM((U191&lt;0)*(U190&gt;0))*A190</f>
        <v/>
      </c>
      <c r="AI190">
        <f>IF(AH190&gt;0,W190,0)</f>
        <v/>
      </c>
    </row>
    <row r="191">
      <c r="A191" s="335" t="n">
        <v>10777.5</v>
      </c>
      <c r="B191" s="352">
        <f>A191/1000</f>
        <v/>
      </c>
      <c r="C191" s="1047">
        <f>SQRT(1+(A191/pole1)^2)</f>
        <v/>
      </c>
      <c r="D191" s="1048">
        <f>ATAN(A191/pole1)</f>
        <v/>
      </c>
      <c r="E191" s="1048">
        <f>SQRT(1+(A191/Zero1)^2)</f>
        <v/>
      </c>
      <c r="F191" s="1049">
        <f>ATAN(A191/Zero1)</f>
        <v/>
      </c>
      <c r="G191" s="1048">
        <f>IF(VIN_nom&gt;Vout, 1, SQRT(1+(A191/z_RHP)^2))</f>
        <v/>
      </c>
      <c r="H191" s="1049">
        <f>IF(VIN_nom&gt;Vout, 0, -ATAN(A191/z_RHP))</f>
        <v/>
      </c>
      <c r="I191" s="1047">
        <f>SQRT(1+(A191/Pole2)^2)</f>
        <v/>
      </c>
      <c r="J191" s="1050">
        <f>ATAN(A191/Pole2)</f>
        <v/>
      </c>
      <c r="K191" s="1056">
        <f>SQRT(1+(A191/Zero2)^2)</f>
        <v/>
      </c>
      <c r="L191" s="1057">
        <f>ATAN(A191/Zero2)</f>
        <v/>
      </c>
      <c r="M191" s="1047">
        <f>SQRT(1+(A191/pole4)^2)</f>
        <v/>
      </c>
      <c r="N191" s="1057">
        <f>ATAN(A191/pole4)</f>
        <v/>
      </c>
      <c r="O191" s="1058">
        <f>IF(VOUT_setting=1,1,SQRT(1+(A191*zterm1)^2))</f>
        <v/>
      </c>
      <c r="P191" s="1059">
        <f>IF(VOUT_setting=1,0,ATAN(((A191*zterm1))))</f>
        <v/>
      </c>
      <c r="Q191" s="1056">
        <f>IF(VOUT_setting=1,1,SQRT((1+Afbr-$Q$5*(A191)^2)^2+(A191*$Q$4)^2))</f>
        <v/>
      </c>
      <c r="R191" s="1060">
        <f>IF(VOUT_setting=1,0,ATAN(A191*$Q$4/(1+Afbr-$Q$5*(A191)^2)))</f>
        <v/>
      </c>
      <c r="S191" s="1054">
        <f>SQRT((1-(Z191/pterm2))^2+(A191/pterm1)^2)</f>
        <v/>
      </c>
      <c r="T191" s="1055">
        <f>IF((ATAN((A191/pterm1)/(1-A191^2/pterm2))&gt;0),ATAN((A191/pterm1)/(1-A191^2/pterm2)),PI()+ATAN((A191/pterm1)/(1-A191^2/pterm2)))</f>
        <v/>
      </c>
      <c r="U191" s="331">
        <f>20*LOG10(((E191*K191*G191*O191)/(C191*I191*S191*M191*Q191))*Adc)</f>
        <v/>
      </c>
      <c r="V191" s="332">
        <f>((F191+L191+H191+P191)-(D191+J191+T191+N191+R191))*radconv</f>
        <v/>
      </c>
      <c r="W191" s="334">
        <f>IF(V191&gt;0,V191,V191+180)</f>
        <v/>
      </c>
      <c r="Y191" s="307">
        <f>IF(U191&lt;0,A191,1000000000)</f>
        <v/>
      </c>
      <c r="Z191" s="307">
        <f>A191^2</f>
        <v/>
      </c>
      <c r="AB191" s="333">
        <f>20*LOG10((K191/(I191*M191))*AEA)</f>
        <v/>
      </c>
      <c r="AC191" s="334">
        <f>(L191-(J191+N191))*radconv</f>
        <v/>
      </c>
      <c r="AE191" s="333">
        <f>20*LOG10((E191*G191/(C191*S191))*Acs*Am)</f>
        <v/>
      </c>
      <c r="AF191" s="334">
        <f>(F191+H191-(D191+T191))*radconv</f>
        <v/>
      </c>
      <c r="AH191">
        <f>SUM((U192&lt;0)*(U191&gt;0))*A191</f>
        <v/>
      </c>
      <c r="AI191">
        <f>IF(AH191&gt;0,W191,0)</f>
        <v/>
      </c>
    </row>
    <row r="192">
      <c r="A192" s="335" t="n">
        <v>10840</v>
      </c>
      <c r="B192" s="352">
        <f>A192/1000</f>
        <v/>
      </c>
      <c r="C192" s="1047">
        <f>SQRT(1+(A192/pole1)^2)</f>
        <v/>
      </c>
      <c r="D192" s="1048">
        <f>ATAN(A192/pole1)</f>
        <v/>
      </c>
      <c r="E192" s="1048">
        <f>SQRT(1+(A192/Zero1)^2)</f>
        <v/>
      </c>
      <c r="F192" s="1049">
        <f>ATAN(A192/Zero1)</f>
        <v/>
      </c>
      <c r="G192" s="1048">
        <f>IF(VIN_nom&gt;Vout, 1, SQRT(1+(A192/z_RHP)^2))</f>
        <v/>
      </c>
      <c r="H192" s="1049">
        <f>IF(VIN_nom&gt;Vout, 0, -ATAN(A192/z_RHP))</f>
        <v/>
      </c>
      <c r="I192" s="1047">
        <f>SQRT(1+(A192/Pole2)^2)</f>
        <v/>
      </c>
      <c r="J192" s="1050">
        <f>ATAN(A192/Pole2)</f>
        <v/>
      </c>
      <c r="K192" s="1056">
        <f>SQRT(1+(A192/Zero2)^2)</f>
        <v/>
      </c>
      <c r="L192" s="1057">
        <f>ATAN(A192/Zero2)</f>
        <v/>
      </c>
      <c r="M192" s="1047">
        <f>SQRT(1+(A192/pole4)^2)</f>
        <v/>
      </c>
      <c r="N192" s="1057">
        <f>ATAN(A192/pole4)</f>
        <v/>
      </c>
      <c r="O192" s="1058">
        <f>IF(VOUT_setting=1,1,SQRT(1+(A192*zterm1)^2))</f>
        <v/>
      </c>
      <c r="P192" s="1059">
        <f>IF(VOUT_setting=1,0,ATAN(((A192*zterm1))))</f>
        <v/>
      </c>
      <c r="Q192" s="1056">
        <f>IF(VOUT_setting=1,1,SQRT((1+Afbr-$Q$5*(A192)^2)^2+(A192*$Q$4)^2))</f>
        <v/>
      </c>
      <c r="R192" s="1060">
        <f>IF(VOUT_setting=1,0,ATAN(A192*$Q$4/(1+Afbr-$Q$5*(A192)^2)))</f>
        <v/>
      </c>
      <c r="S192" s="1054">
        <f>SQRT((1-(Z192/pterm2))^2+(A192/pterm1)^2)</f>
        <v/>
      </c>
      <c r="T192" s="1055">
        <f>IF((ATAN((A192/pterm1)/(1-A192^2/pterm2))&gt;0),ATAN((A192/pterm1)/(1-A192^2/pterm2)),PI()+ATAN((A192/pterm1)/(1-A192^2/pterm2)))</f>
        <v/>
      </c>
      <c r="U192" s="331">
        <f>20*LOG10(((E192*K192*G192*O192)/(C192*I192*S192*M192*Q192))*Adc)</f>
        <v/>
      </c>
      <c r="V192" s="332">
        <f>((F192+L192+H192+P192)-(D192+J192+T192+N192+R192))*radconv</f>
        <v/>
      </c>
      <c r="W192" s="334">
        <f>IF(V192&gt;0,V192,V192+180)</f>
        <v/>
      </c>
      <c r="Y192" s="307">
        <f>IF(U192&lt;0,A192,1000000000)</f>
        <v/>
      </c>
      <c r="Z192" s="307">
        <f>A192^2</f>
        <v/>
      </c>
      <c r="AB192" s="333">
        <f>20*LOG10((K192/(I192*M192))*AEA)</f>
        <v/>
      </c>
      <c r="AC192" s="334">
        <f>(L192-(J192+N192))*radconv</f>
        <v/>
      </c>
      <c r="AE192" s="333">
        <f>20*LOG10((E192*G192/(C192*S192))*Acs*Am)</f>
        <v/>
      </c>
      <c r="AF192" s="334">
        <f>(F192+H192-(D192+T192))*radconv</f>
        <v/>
      </c>
      <c r="AH192">
        <f>SUM((U193&lt;0)*(U192&gt;0))*A192</f>
        <v/>
      </c>
      <c r="AI192">
        <f>IF(AH192&gt;0,W192,0)</f>
        <v/>
      </c>
    </row>
    <row r="193">
      <c r="A193" s="335" t="n">
        <v>10902.5</v>
      </c>
      <c r="B193" s="352">
        <f>A193/1000</f>
        <v/>
      </c>
      <c r="C193" s="1047">
        <f>SQRT(1+(A193/pole1)^2)</f>
        <v/>
      </c>
      <c r="D193" s="1048">
        <f>ATAN(A193/pole1)</f>
        <v/>
      </c>
      <c r="E193" s="1048">
        <f>SQRT(1+(A193/Zero1)^2)</f>
        <v/>
      </c>
      <c r="F193" s="1049">
        <f>ATAN(A193/Zero1)</f>
        <v/>
      </c>
      <c r="G193" s="1048">
        <f>IF(VIN_nom&gt;Vout, 1, SQRT(1+(A193/z_RHP)^2))</f>
        <v/>
      </c>
      <c r="H193" s="1049">
        <f>IF(VIN_nom&gt;Vout, 0, -ATAN(A193/z_RHP))</f>
        <v/>
      </c>
      <c r="I193" s="1047">
        <f>SQRT(1+(A193/Pole2)^2)</f>
        <v/>
      </c>
      <c r="J193" s="1050">
        <f>ATAN(A193/Pole2)</f>
        <v/>
      </c>
      <c r="K193" s="1056">
        <f>SQRT(1+(A193/Zero2)^2)</f>
        <v/>
      </c>
      <c r="L193" s="1057">
        <f>ATAN(A193/Zero2)</f>
        <v/>
      </c>
      <c r="M193" s="1047">
        <f>SQRT(1+(A193/pole4)^2)</f>
        <v/>
      </c>
      <c r="N193" s="1057">
        <f>ATAN(A193/pole4)</f>
        <v/>
      </c>
      <c r="O193" s="1058">
        <f>IF(VOUT_setting=1,1,SQRT(1+(A193*zterm1)^2))</f>
        <v/>
      </c>
      <c r="P193" s="1059">
        <f>IF(VOUT_setting=1,0,ATAN(((A193*zterm1))))</f>
        <v/>
      </c>
      <c r="Q193" s="1056">
        <f>IF(VOUT_setting=1,1,SQRT((1+Afbr-$Q$5*(A193)^2)^2+(A193*$Q$4)^2))</f>
        <v/>
      </c>
      <c r="R193" s="1060">
        <f>IF(VOUT_setting=1,0,ATAN(A193*$Q$4/(1+Afbr-$Q$5*(A193)^2)))</f>
        <v/>
      </c>
      <c r="S193" s="1054">
        <f>SQRT((1-(Z193/pterm2))^2+(A193/pterm1)^2)</f>
        <v/>
      </c>
      <c r="T193" s="1055">
        <f>IF((ATAN((A193/pterm1)/(1-A193^2/pterm2))&gt;0),ATAN((A193/pterm1)/(1-A193^2/pterm2)),PI()+ATAN((A193/pterm1)/(1-A193^2/pterm2)))</f>
        <v/>
      </c>
      <c r="U193" s="331">
        <f>20*LOG10(((E193*K193*G193*O193)/(C193*I193*S193*M193*Q193))*Adc)</f>
        <v/>
      </c>
      <c r="V193" s="332">
        <f>((F193+L193+H193+P193)-(D193+J193+T193+N193+R193))*radconv</f>
        <v/>
      </c>
      <c r="W193" s="334">
        <f>IF(V193&gt;0,V193,V193+180)</f>
        <v/>
      </c>
      <c r="Y193" s="307">
        <f>IF(U193&lt;0,A193,1000000000)</f>
        <v/>
      </c>
      <c r="Z193" s="307">
        <f>A193^2</f>
        <v/>
      </c>
      <c r="AB193" s="333">
        <f>20*LOG10((K193/(I193*M193))*AEA)</f>
        <v/>
      </c>
      <c r="AC193" s="334">
        <f>(L193-(J193+N193))*radconv</f>
        <v/>
      </c>
      <c r="AE193" s="333">
        <f>20*LOG10((E193*G193/(C193*S193))*Acs*Am)</f>
        <v/>
      </c>
      <c r="AF193" s="334">
        <f>(F193+H193-(D193+T193))*radconv</f>
        <v/>
      </c>
      <c r="AH193">
        <f>SUM((U194&lt;0)*(U193&gt;0))*A193</f>
        <v/>
      </c>
      <c r="AI193">
        <f>IF(AH193&gt;0,W193,0)</f>
        <v/>
      </c>
    </row>
    <row r="194">
      <c r="A194" s="335" t="n">
        <v>10965</v>
      </c>
      <c r="B194" s="352">
        <f>A194/1000</f>
        <v/>
      </c>
      <c r="C194" s="1047">
        <f>SQRT(1+(A194/pole1)^2)</f>
        <v/>
      </c>
      <c r="D194" s="1048">
        <f>ATAN(A194/pole1)</f>
        <v/>
      </c>
      <c r="E194" s="1048">
        <f>SQRT(1+(A194/Zero1)^2)</f>
        <v/>
      </c>
      <c r="F194" s="1049">
        <f>ATAN(A194/Zero1)</f>
        <v/>
      </c>
      <c r="G194" s="1048">
        <f>IF(VIN_nom&gt;Vout, 1, SQRT(1+(A194/z_RHP)^2))</f>
        <v/>
      </c>
      <c r="H194" s="1049">
        <f>IF(VIN_nom&gt;Vout, 0, -ATAN(A194/z_RHP))</f>
        <v/>
      </c>
      <c r="I194" s="1047">
        <f>SQRT(1+(A194/Pole2)^2)</f>
        <v/>
      </c>
      <c r="J194" s="1050">
        <f>ATAN(A194/Pole2)</f>
        <v/>
      </c>
      <c r="K194" s="1056">
        <f>SQRT(1+(A194/Zero2)^2)</f>
        <v/>
      </c>
      <c r="L194" s="1057">
        <f>ATAN(A194/Zero2)</f>
        <v/>
      </c>
      <c r="M194" s="1047">
        <f>SQRT(1+(A194/pole4)^2)</f>
        <v/>
      </c>
      <c r="N194" s="1057">
        <f>ATAN(A194/pole4)</f>
        <v/>
      </c>
      <c r="O194" s="1058">
        <f>IF(VOUT_setting=1,1,SQRT(1+(A194*zterm1)^2))</f>
        <v/>
      </c>
      <c r="P194" s="1059">
        <f>IF(VOUT_setting=1,0,ATAN(((A194*zterm1))))</f>
        <v/>
      </c>
      <c r="Q194" s="1056">
        <f>IF(VOUT_setting=1,1,SQRT((1+Afbr-$Q$5*(A194)^2)^2+(A194*$Q$4)^2))</f>
        <v/>
      </c>
      <c r="R194" s="1060">
        <f>IF(VOUT_setting=1,0,ATAN(A194*$Q$4/(1+Afbr-$Q$5*(A194)^2)))</f>
        <v/>
      </c>
      <c r="S194" s="1054">
        <f>SQRT((1-(Z194/pterm2))^2+(A194/pterm1)^2)</f>
        <v/>
      </c>
      <c r="T194" s="1055">
        <f>IF((ATAN((A194/pterm1)/(1-A194^2/pterm2))&gt;0),ATAN((A194/pterm1)/(1-A194^2/pterm2)),PI()+ATAN((A194/pterm1)/(1-A194^2/pterm2)))</f>
        <v/>
      </c>
      <c r="U194" s="331">
        <f>20*LOG10(((E194*K194*G194*O194)/(C194*I194*S194*M194*Q194))*Adc)</f>
        <v/>
      </c>
      <c r="V194" s="332">
        <f>((F194+L194+H194+P194)-(D194+J194+T194+N194+R194))*radconv</f>
        <v/>
      </c>
      <c r="W194" s="334">
        <f>IF(V194&gt;0,V194,V194+180)</f>
        <v/>
      </c>
      <c r="Y194" s="307">
        <f>IF(U194&lt;0,A194,1000000000)</f>
        <v/>
      </c>
      <c r="Z194" s="307">
        <f>A194^2</f>
        <v/>
      </c>
      <c r="AB194" s="333">
        <f>20*LOG10((K194/(I194*M194))*AEA)</f>
        <v/>
      </c>
      <c r="AC194" s="334">
        <f>(L194-(J194+N194))*radconv</f>
        <v/>
      </c>
      <c r="AE194" s="333">
        <f>20*LOG10((E194*G194/(C194*S194))*Acs*Am)</f>
        <v/>
      </c>
      <c r="AF194" s="334">
        <f>(F194+H194-(D194+T194))*radconv</f>
        <v/>
      </c>
      <c r="AH194">
        <f>SUM((U195&lt;0)*(U194&gt;0))*A194</f>
        <v/>
      </c>
      <c r="AI194">
        <f>IF(AH194&gt;0,W194,0)</f>
        <v/>
      </c>
    </row>
    <row r="195">
      <c r="A195" s="335" t="n">
        <v>11028.75</v>
      </c>
      <c r="B195" s="352">
        <f>A195/1000</f>
        <v/>
      </c>
      <c r="C195" s="1047">
        <f>SQRT(1+(A195/pole1)^2)</f>
        <v/>
      </c>
      <c r="D195" s="1048">
        <f>ATAN(A195/pole1)</f>
        <v/>
      </c>
      <c r="E195" s="1048">
        <f>SQRT(1+(A195/Zero1)^2)</f>
        <v/>
      </c>
      <c r="F195" s="1049">
        <f>ATAN(A195/Zero1)</f>
        <v/>
      </c>
      <c r="G195" s="1048">
        <f>IF(VIN_nom&gt;Vout, 1, SQRT(1+(A195/z_RHP)^2))</f>
        <v/>
      </c>
      <c r="H195" s="1049">
        <f>IF(VIN_nom&gt;Vout, 0, -ATAN(A195/z_RHP))</f>
        <v/>
      </c>
      <c r="I195" s="1047">
        <f>SQRT(1+(A195/Pole2)^2)</f>
        <v/>
      </c>
      <c r="J195" s="1050">
        <f>ATAN(A195/Pole2)</f>
        <v/>
      </c>
      <c r="K195" s="1056">
        <f>SQRT(1+(A195/Zero2)^2)</f>
        <v/>
      </c>
      <c r="L195" s="1057">
        <f>ATAN(A195/Zero2)</f>
        <v/>
      </c>
      <c r="M195" s="1047">
        <f>SQRT(1+(A195/pole4)^2)</f>
        <v/>
      </c>
      <c r="N195" s="1057">
        <f>ATAN(A195/pole4)</f>
        <v/>
      </c>
      <c r="O195" s="1058">
        <f>IF(VOUT_setting=1,1,SQRT(1+(A195*zterm1)^2))</f>
        <v/>
      </c>
      <c r="P195" s="1059">
        <f>IF(VOUT_setting=1,0,ATAN(((A195*zterm1))))</f>
        <v/>
      </c>
      <c r="Q195" s="1056">
        <f>IF(VOUT_setting=1,1,SQRT((1+Afbr-$Q$5*(A195)^2)^2+(A195*$Q$4)^2))</f>
        <v/>
      </c>
      <c r="R195" s="1060">
        <f>IF(VOUT_setting=1,0,ATAN(A195*$Q$4/(1+Afbr-$Q$5*(A195)^2)))</f>
        <v/>
      </c>
      <c r="S195" s="1054">
        <f>SQRT((1-(Z195/pterm2))^2+(A195/pterm1)^2)</f>
        <v/>
      </c>
      <c r="T195" s="1055">
        <f>IF((ATAN((A195/pterm1)/(1-A195^2/pterm2))&gt;0),ATAN((A195/pterm1)/(1-A195^2/pterm2)),PI()+ATAN((A195/pterm1)/(1-A195^2/pterm2)))</f>
        <v/>
      </c>
      <c r="U195" s="331">
        <f>20*LOG10(((E195*K195*G195*O195)/(C195*I195*S195*M195*Q195))*Adc)</f>
        <v/>
      </c>
      <c r="V195" s="332">
        <f>((F195+L195+H195+P195)-(D195+J195+T195+N195+R195))*radconv</f>
        <v/>
      </c>
      <c r="W195" s="334">
        <f>IF(V195&gt;0,V195,V195+180)</f>
        <v/>
      </c>
      <c r="Y195" s="307">
        <f>IF(U195&lt;0,A195,1000000000)</f>
        <v/>
      </c>
      <c r="Z195" s="307">
        <f>A195^2</f>
        <v/>
      </c>
      <c r="AB195" s="333">
        <f>20*LOG10((K195/(I195*M195))*AEA)</f>
        <v/>
      </c>
      <c r="AC195" s="334">
        <f>(L195-(J195+N195))*radconv</f>
        <v/>
      </c>
      <c r="AE195" s="333">
        <f>20*LOG10((E195*G195/(C195*S195))*Acs*Am)</f>
        <v/>
      </c>
      <c r="AF195" s="334">
        <f>(F195+H195-(D195+T195))*radconv</f>
        <v/>
      </c>
      <c r="AH195">
        <f>SUM((U196&lt;0)*(U195&gt;0))*A195</f>
        <v/>
      </c>
      <c r="AI195">
        <f>IF(AH195&gt;0,W195,0)</f>
        <v/>
      </c>
    </row>
    <row r="196">
      <c r="A196" s="335" t="n">
        <v>11092.5</v>
      </c>
      <c r="B196" s="352">
        <f>A196/1000</f>
        <v/>
      </c>
      <c r="C196" s="1047">
        <f>SQRT(1+(A196/pole1)^2)</f>
        <v/>
      </c>
      <c r="D196" s="1048">
        <f>ATAN(A196/pole1)</f>
        <v/>
      </c>
      <c r="E196" s="1048">
        <f>SQRT(1+(A196/Zero1)^2)</f>
        <v/>
      </c>
      <c r="F196" s="1049">
        <f>ATAN(A196/Zero1)</f>
        <v/>
      </c>
      <c r="G196" s="1048">
        <f>IF(VIN_nom&gt;Vout, 1, SQRT(1+(A196/z_RHP)^2))</f>
        <v/>
      </c>
      <c r="H196" s="1049">
        <f>IF(VIN_nom&gt;Vout, 0, -ATAN(A196/z_RHP))</f>
        <v/>
      </c>
      <c r="I196" s="1047">
        <f>SQRT(1+(A196/Pole2)^2)</f>
        <v/>
      </c>
      <c r="J196" s="1050">
        <f>ATAN(A196/Pole2)</f>
        <v/>
      </c>
      <c r="K196" s="1056">
        <f>SQRT(1+(A196/Zero2)^2)</f>
        <v/>
      </c>
      <c r="L196" s="1057">
        <f>ATAN(A196/Zero2)</f>
        <v/>
      </c>
      <c r="M196" s="1047">
        <f>SQRT(1+(A196/pole4)^2)</f>
        <v/>
      </c>
      <c r="N196" s="1057">
        <f>ATAN(A196/pole4)</f>
        <v/>
      </c>
      <c r="O196" s="1058">
        <f>IF(VOUT_setting=1,1,SQRT(1+(A196*zterm1)^2))</f>
        <v/>
      </c>
      <c r="P196" s="1059">
        <f>IF(VOUT_setting=1,0,ATAN(((A196*zterm1))))</f>
        <v/>
      </c>
      <c r="Q196" s="1056">
        <f>IF(VOUT_setting=1,1,SQRT((1+Afbr-$Q$5*(A196)^2)^2+(A196*$Q$4)^2))</f>
        <v/>
      </c>
      <c r="R196" s="1060">
        <f>IF(VOUT_setting=1,0,ATAN(A196*$Q$4/(1+Afbr-$Q$5*(A196)^2)))</f>
        <v/>
      </c>
      <c r="S196" s="1054">
        <f>SQRT((1-(Z196/pterm2))^2+(A196/pterm1)^2)</f>
        <v/>
      </c>
      <c r="T196" s="1055">
        <f>IF((ATAN((A196/pterm1)/(1-A196^2/pterm2))&gt;0),ATAN((A196/pterm1)/(1-A196^2/pterm2)),PI()+ATAN((A196/pterm1)/(1-A196^2/pterm2)))</f>
        <v/>
      </c>
      <c r="U196" s="331">
        <f>20*LOG10(((E196*K196*G196*O196)/(C196*I196*S196*M196*Q196))*Adc)</f>
        <v/>
      </c>
      <c r="V196" s="332">
        <f>((F196+L196+H196+P196)-(D196+J196+T196+N196+R196))*radconv</f>
        <v/>
      </c>
      <c r="W196" s="334">
        <f>IF(V196&gt;0,V196,V196+180)</f>
        <v/>
      </c>
      <c r="Y196" s="307">
        <f>IF(U196&lt;0,A196,1000000000)</f>
        <v/>
      </c>
      <c r="Z196" s="307">
        <f>A196^2</f>
        <v/>
      </c>
      <c r="AB196" s="333">
        <f>20*LOG10((K196/(I196*M196))*AEA)</f>
        <v/>
      </c>
      <c r="AC196" s="334">
        <f>(L196-(J196+N196))*radconv</f>
        <v/>
      </c>
      <c r="AE196" s="333">
        <f>20*LOG10((E196*G196/(C196*S196))*Acs*Am)</f>
        <v/>
      </c>
      <c r="AF196" s="334">
        <f>(F196+H196-(D196+T196))*radconv</f>
        <v/>
      </c>
      <c r="AH196">
        <f>SUM((U197&lt;0)*(U196&gt;0))*A196</f>
        <v/>
      </c>
      <c r="AI196">
        <f>IF(AH196&gt;0,W196,0)</f>
        <v/>
      </c>
    </row>
    <row r="197">
      <c r="A197" s="335" t="n">
        <v>11156.25</v>
      </c>
      <c r="B197" s="352">
        <f>A197/1000</f>
        <v/>
      </c>
      <c r="C197" s="1047">
        <f>SQRT(1+(A197/pole1)^2)</f>
        <v/>
      </c>
      <c r="D197" s="1048">
        <f>ATAN(A197/pole1)</f>
        <v/>
      </c>
      <c r="E197" s="1048">
        <f>SQRT(1+(A197/Zero1)^2)</f>
        <v/>
      </c>
      <c r="F197" s="1049">
        <f>ATAN(A197/Zero1)</f>
        <v/>
      </c>
      <c r="G197" s="1048">
        <f>IF(VIN_nom&gt;Vout, 1, SQRT(1+(A197/z_RHP)^2))</f>
        <v/>
      </c>
      <c r="H197" s="1049">
        <f>IF(VIN_nom&gt;Vout, 0, -ATAN(A197/z_RHP))</f>
        <v/>
      </c>
      <c r="I197" s="1047">
        <f>SQRT(1+(A197/Pole2)^2)</f>
        <v/>
      </c>
      <c r="J197" s="1050">
        <f>ATAN(A197/Pole2)</f>
        <v/>
      </c>
      <c r="K197" s="1056">
        <f>SQRT(1+(A197/Zero2)^2)</f>
        <v/>
      </c>
      <c r="L197" s="1057">
        <f>ATAN(A197/Zero2)</f>
        <v/>
      </c>
      <c r="M197" s="1047">
        <f>SQRT(1+(A197/pole4)^2)</f>
        <v/>
      </c>
      <c r="N197" s="1057">
        <f>ATAN(A197/pole4)</f>
        <v/>
      </c>
      <c r="O197" s="1058">
        <f>IF(VOUT_setting=1,1,SQRT(1+(A197*zterm1)^2))</f>
        <v/>
      </c>
      <c r="P197" s="1059">
        <f>IF(VOUT_setting=1,0,ATAN(((A197*zterm1))))</f>
        <v/>
      </c>
      <c r="Q197" s="1056">
        <f>IF(VOUT_setting=1,1,SQRT((1+Afbr-$Q$5*(A197)^2)^2+(A197*$Q$4)^2))</f>
        <v/>
      </c>
      <c r="R197" s="1060">
        <f>IF(VOUT_setting=1,0,ATAN(A197*$Q$4/(1+Afbr-$Q$5*(A197)^2)))</f>
        <v/>
      </c>
      <c r="S197" s="1054">
        <f>SQRT((1-(Z197/pterm2))^2+(A197/pterm1)^2)</f>
        <v/>
      </c>
      <c r="T197" s="1055">
        <f>IF((ATAN((A197/pterm1)/(1-A197^2/pterm2))&gt;0),ATAN((A197/pterm1)/(1-A197^2/pterm2)),PI()+ATAN((A197/pterm1)/(1-A197^2/pterm2)))</f>
        <v/>
      </c>
      <c r="U197" s="331">
        <f>20*LOG10(((E197*K197*G197*O197)/(C197*I197*S197*M197*Q197))*Adc)</f>
        <v/>
      </c>
      <c r="V197" s="332">
        <f>((F197+L197+H197+P197)-(D197+J197+T197+N197+R197))*radconv</f>
        <v/>
      </c>
      <c r="W197" s="334">
        <f>IF(V197&gt;0,V197,V197+180)</f>
        <v/>
      </c>
      <c r="Y197" s="307">
        <f>IF(U197&lt;0,A197,1000000000)</f>
        <v/>
      </c>
      <c r="Z197" s="307">
        <f>A197^2</f>
        <v/>
      </c>
      <c r="AB197" s="333">
        <f>20*LOG10((K197/(I197*M197))*AEA)</f>
        <v/>
      </c>
      <c r="AC197" s="334">
        <f>(L197-(J197+N197))*radconv</f>
        <v/>
      </c>
      <c r="AE197" s="333">
        <f>20*LOG10((E197*G197/(C197*S197))*Acs*Am)</f>
        <v/>
      </c>
      <c r="AF197" s="334">
        <f>(F197+H197-(D197+T197))*radconv</f>
        <v/>
      </c>
      <c r="AH197">
        <f>SUM((U198&lt;0)*(U197&gt;0))*A197</f>
        <v/>
      </c>
      <c r="AI197">
        <f>IF(AH197&gt;0,W197,0)</f>
        <v/>
      </c>
    </row>
    <row r="198">
      <c r="A198" s="335" t="n">
        <v>11220</v>
      </c>
      <c r="B198" s="352">
        <f>A198/1000</f>
        <v/>
      </c>
      <c r="C198" s="1047">
        <f>SQRT(1+(A198/pole1)^2)</f>
        <v/>
      </c>
      <c r="D198" s="1048">
        <f>ATAN(A198/pole1)</f>
        <v/>
      </c>
      <c r="E198" s="1048">
        <f>SQRT(1+(A198/Zero1)^2)</f>
        <v/>
      </c>
      <c r="F198" s="1049">
        <f>ATAN(A198/Zero1)</f>
        <v/>
      </c>
      <c r="G198" s="1048">
        <f>IF(VIN_nom&gt;Vout, 1, SQRT(1+(A198/z_RHP)^2))</f>
        <v/>
      </c>
      <c r="H198" s="1049">
        <f>IF(VIN_nom&gt;Vout, 0, -ATAN(A198/z_RHP))</f>
        <v/>
      </c>
      <c r="I198" s="1047">
        <f>SQRT(1+(A198/Pole2)^2)</f>
        <v/>
      </c>
      <c r="J198" s="1050">
        <f>ATAN(A198/Pole2)</f>
        <v/>
      </c>
      <c r="K198" s="1056">
        <f>SQRT(1+(A198/Zero2)^2)</f>
        <v/>
      </c>
      <c r="L198" s="1057">
        <f>ATAN(A198/Zero2)</f>
        <v/>
      </c>
      <c r="M198" s="1047">
        <f>SQRT(1+(A198/pole4)^2)</f>
        <v/>
      </c>
      <c r="N198" s="1057">
        <f>ATAN(A198/pole4)</f>
        <v/>
      </c>
      <c r="O198" s="1058">
        <f>IF(VOUT_setting=1,1,SQRT(1+(A198*zterm1)^2))</f>
        <v/>
      </c>
      <c r="P198" s="1059">
        <f>IF(VOUT_setting=1,0,ATAN(((A198*zterm1))))</f>
        <v/>
      </c>
      <c r="Q198" s="1056">
        <f>IF(VOUT_setting=1,1,SQRT((1+Afbr-$Q$5*(A198)^2)^2+(A198*$Q$4)^2))</f>
        <v/>
      </c>
      <c r="R198" s="1060">
        <f>IF(VOUT_setting=1,0,ATAN(A198*$Q$4/(1+Afbr-$Q$5*(A198)^2)))</f>
        <v/>
      </c>
      <c r="S198" s="1054">
        <f>SQRT((1-(Z198/pterm2))^2+(A198/pterm1)^2)</f>
        <v/>
      </c>
      <c r="T198" s="1055">
        <f>IF((ATAN((A198/pterm1)/(1-A198^2/pterm2))&gt;0),ATAN((A198/pterm1)/(1-A198^2/pterm2)),PI()+ATAN((A198/pterm1)/(1-A198^2/pterm2)))</f>
        <v/>
      </c>
      <c r="U198" s="331">
        <f>20*LOG10(((E198*K198*G198*O198)/(C198*I198*S198*M198*Q198))*Adc)</f>
        <v/>
      </c>
      <c r="V198" s="332">
        <f>((F198+L198+H198+P198)-(D198+J198+T198+N198+R198))*radconv</f>
        <v/>
      </c>
      <c r="W198" s="334">
        <f>IF(V198&gt;0,V198,V198+180)</f>
        <v/>
      </c>
      <c r="Y198" s="307">
        <f>IF(U198&lt;0,A198,1000000000)</f>
        <v/>
      </c>
      <c r="Z198" s="307">
        <f>A198^2</f>
        <v/>
      </c>
      <c r="AB198" s="333">
        <f>20*LOG10((K198/(I198*M198))*AEA)</f>
        <v/>
      </c>
      <c r="AC198" s="334">
        <f>(L198-(J198+N198))*radconv</f>
        <v/>
      </c>
      <c r="AE198" s="333">
        <f>20*LOG10((E198*G198/(C198*S198))*Acs*Am)</f>
        <v/>
      </c>
      <c r="AF198" s="334">
        <f>(F198+H198-(D198+T198))*radconv</f>
        <v/>
      </c>
      <c r="AH198">
        <f>SUM((U199&lt;0)*(U198&gt;0))*A198</f>
        <v/>
      </c>
      <c r="AI198">
        <f>IF(AH198&gt;0,W198,0)</f>
        <v/>
      </c>
    </row>
    <row r="199">
      <c r="A199" s="335" t="n">
        <v>11285.5</v>
      </c>
      <c r="B199" s="352">
        <f>A199/1000</f>
        <v/>
      </c>
      <c r="C199" s="1047">
        <f>SQRT(1+(A199/pole1)^2)</f>
        <v/>
      </c>
      <c r="D199" s="1048">
        <f>ATAN(A199/pole1)</f>
        <v/>
      </c>
      <c r="E199" s="1048">
        <f>SQRT(1+(A199/Zero1)^2)</f>
        <v/>
      </c>
      <c r="F199" s="1049">
        <f>ATAN(A199/Zero1)</f>
        <v/>
      </c>
      <c r="G199" s="1048">
        <f>IF(VIN_nom&gt;Vout, 1, SQRT(1+(A199/z_RHP)^2))</f>
        <v/>
      </c>
      <c r="H199" s="1049">
        <f>IF(VIN_nom&gt;Vout, 0, -ATAN(A199/z_RHP))</f>
        <v/>
      </c>
      <c r="I199" s="1047">
        <f>SQRT(1+(A199/Pole2)^2)</f>
        <v/>
      </c>
      <c r="J199" s="1050">
        <f>ATAN(A199/Pole2)</f>
        <v/>
      </c>
      <c r="K199" s="1056">
        <f>SQRT(1+(A199/Zero2)^2)</f>
        <v/>
      </c>
      <c r="L199" s="1057">
        <f>ATAN(A199/Zero2)</f>
        <v/>
      </c>
      <c r="M199" s="1047">
        <f>SQRT(1+(A199/pole4)^2)</f>
        <v/>
      </c>
      <c r="N199" s="1057">
        <f>ATAN(A199/pole4)</f>
        <v/>
      </c>
      <c r="O199" s="1058">
        <f>IF(VOUT_setting=1,1,SQRT(1+(A199*zterm1)^2))</f>
        <v/>
      </c>
      <c r="P199" s="1059">
        <f>IF(VOUT_setting=1,0,ATAN(((A199*zterm1))))</f>
        <v/>
      </c>
      <c r="Q199" s="1056">
        <f>IF(VOUT_setting=1,1,SQRT((1+Afbr-$Q$5*(A199)^2)^2+(A199*$Q$4)^2))</f>
        <v/>
      </c>
      <c r="R199" s="1060">
        <f>IF(VOUT_setting=1,0,ATAN(A199*$Q$4/(1+Afbr-$Q$5*(A199)^2)))</f>
        <v/>
      </c>
      <c r="S199" s="1054">
        <f>SQRT((1-(Z199/pterm2))^2+(A199/pterm1)^2)</f>
        <v/>
      </c>
      <c r="T199" s="1055">
        <f>IF((ATAN((A199/pterm1)/(1-A199^2/pterm2))&gt;0),ATAN((A199/pterm1)/(1-A199^2/pterm2)),PI()+ATAN((A199/pterm1)/(1-A199^2/pterm2)))</f>
        <v/>
      </c>
      <c r="U199" s="331">
        <f>20*LOG10(((E199*K199*G199*O199)/(C199*I199*S199*M199*Q199))*Adc)</f>
        <v/>
      </c>
      <c r="V199" s="332">
        <f>((F199+L199+H199+P199)-(D199+J199+T199+N199+R199))*radconv</f>
        <v/>
      </c>
      <c r="W199" s="334">
        <f>IF(V199&gt;0,V199,V199+180)</f>
        <v/>
      </c>
      <c r="Y199" s="307">
        <f>IF(U199&lt;0,A199,1000000000)</f>
        <v/>
      </c>
      <c r="Z199" s="307">
        <f>A199^2</f>
        <v/>
      </c>
      <c r="AB199" s="333">
        <f>20*LOG10((K199/(I199*M199))*AEA)</f>
        <v/>
      </c>
      <c r="AC199" s="334">
        <f>(L199-(J199+N199))*radconv</f>
        <v/>
      </c>
      <c r="AE199" s="333">
        <f>20*LOG10((E199*G199/(C199*S199))*Acs*Am)</f>
        <v/>
      </c>
      <c r="AF199" s="334">
        <f>(F199+H199-(D199+T199))*radconv</f>
        <v/>
      </c>
      <c r="AH199">
        <f>SUM((U200&lt;0)*(U199&gt;0))*A199</f>
        <v/>
      </c>
      <c r="AI199">
        <f>IF(AH199&gt;0,W199,0)</f>
        <v/>
      </c>
    </row>
    <row r="200">
      <c r="A200" s="335" t="n">
        <v>11351</v>
      </c>
      <c r="B200" s="352">
        <f>A200/1000</f>
        <v/>
      </c>
      <c r="C200" s="1047">
        <f>SQRT(1+(A200/pole1)^2)</f>
        <v/>
      </c>
      <c r="D200" s="1048">
        <f>ATAN(A200/pole1)</f>
        <v/>
      </c>
      <c r="E200" s="1048">
        <f>SQRT(1+(A200/Zero1)^2)</f>
        <v/>
      </c>
      <c r="F200" s="1049">
        <f>ATAN(A200/Zero1)</f>
        <v/>
      </c>
      <c r="G200" s="1048">
        <f>IF(VIN_nom&gt;Vout, 1, SQRT(1+(A200/z_RHP)^2))</f>
        <v/>
      </c>
      <c r="H200" s="1049">
        <f>IF(VIN_nom&gt;Vout, 0, -ATAN(A200/z_RHP))</f>
        <v/>
      </c>
      <c r="I200" s="1047">
        <f>SQRT(1+(A200/Pole2)^2)</f>
        <v/>
      </c>
      <c r="J200" s="1050">
        <f>ATAN(A200/Pole2)</f>
        <v/>
      </c>
      <c r="K200" s="1056">
        <f>SQRT(1+(A200/Zero2)^2)</f>
        <v/>
      </c>
      <c r="L200" s="1057">
        <f>ATAN(A200/Zero2)</f>
        <v/>
      </c>
      <c r="M200" s="1047">
        <f>SQRT(1+(A200/pole4)^2)</f>
        <v/>
      </c>
      <c r="N200" s="1057">
        <f>ATAN(A200/pole4)</f>
        <v/>
      </c>
      <c r="O200" s="1058">
        <f>IF(VOUT_setting=1,1,SQRT(1+(A200*zterm1)^2))</f>
        <v/>
      </c>
      <c r="P200" s="1059">
        <f>IF(VOUT_setting=1,0,ATAN(((A200*zterm1))))</f>
        <v/>
      </c>
      <c r="Q200" s="1056">
        <f>IF(VOUT_setting=1,1,SQRT((1+Afbr-$Q$5*(A200)^2)^2+(A200*$Q$4)^2))</f>
        <v/>
      </c>
      <c r="R200" s="1060">
        <f>IF(VOUT_setting=1,0,ATAN(A200*$Q$4/(1+Afbr-$Q$5*(A200)^2)))</f>
        <v/>
      </c>
      <c r="S200" s="1054">
        <f>SQRT((1-(Z200/pterm2))^2+(A200/pterm1)^2)</f>
        <v/>
      </c>
      <c r="T200" s="1055">
        <f>IF((ATAN((A200/pterm1)/(1-A200^2/pterm2))&gt;0),ATAN((A200/pterm1)/(1-A200^2/pterm2)),PI()+ATAN((A200/pterm1)/(1-A200^2/pterm2)))</f>
        <v/>
      </c>
      <c r="U200" s="331">
        <f>20*LOG10(((E200*K200*G200*O200)/(C200*I200*S200*M200*Q200))*Adc)</f>
        <v/>
      </c>
      <c r="V200" s="332">
        <f>((F200+L200+H200+P200)-(D200+J200+T200+N200+R200))*radconv</f>
        <v/>
      </c>
      <c r="W200" s="334">
        <f>IF(V200&gt;0,V200,V200+180)</f>
        <v/>
      </c>
      <c r="Y200" s="307">
        <f>IF(U200&lt;0,A200,1000000000)</f>
        <v/>
      </c>
      <c r="Z200" s="307">
        <f>A200^2</f>
        <v/>
      </c>
      <c r="AB200" s="333">
        <f>20*LOG10((K200/(I200*M200))*AEA)</f>
        <v/>
      </c>
      <c r="AC200" s="334">
        <f>(L200-(J200+N200))*radconv</f>
        <v/>
      </c>
      <c r="AE200" s="333">
        <f>20*LOG10((E200*G200/(C200*S200))*Acs*Am)</f>
        <v/>
      </c>
      <c r="AF200" s="334">
        <f>(F200+H200-(D200+T200))*radconv</f>
        <v/>
      </c>
      <c r="AH200">
        <f>SUM((U201&lt;0)*(U200&gt;0))*A200</f>
        <v/>
      </c>
      <c r="AI200">
        <f>IF(AH200&gt;0,W200,0)</f>
        <v/>
      </c>
    </row>
    <row r="201">
      <c r="A201" s="335" t="n">
        <v>11416.5</v>
      </c>
      <c r="B201" s="352">
        <f>A201/1000</f>
        <v/>
      </c>
      <c r="C201" s="1047">
        <f>SQRT(1+(A201/pole1)^2)</f>
        <v/>
      </c>
      <c r="D201" s="1048">
        <f>ATAN(A201/pole1)</f>
        <v/>
      </c>
      <c r="E201" s="1048">
        <f>SQRT(1+(A201/Zero1)^2)</f>
        <v/>
      </c>
      <c r="F201" s="1049">
        <f>ATAN(A201/Zero1)</f>
        <v/>
      </c>
      <c r="G201" s="1048">
        <f>IF(VIN_nom&gt;Vout, 1, SQRT(1+(A201/z_RHP)^2))</f>
        <v/>
      </c>
      <c r="H201" s="1049">
        <f>IF(VIN_nom&gt;Vout, 0, -ATAN(A201/z_RHP))</f>
        <v/>
      </c>
      <c r="I201" s="1047">
        <f>SQRT(1+(A201/Pole2)^2)</f>
        <v/>
      </c>
      <c r="J201" s="1050">
        <f>ATAN(A201/Pole2)</f>
        <v/>
      </c>
      <c r="K201" s="1056">
        <f>SQRT(1+(A201/Zero2)^2)</f>
        <v/>
      </c>
      <c r="L201" s="1057">
        <f>ATAN(A201/Zero2)</f>
        <v/>
      </c>
      <c r="M201" s="1047">
        <f>SQRT(1+(A201/pole4)^2)</f>
        <v/>
      </c>
      <c r="N201" s="1057">
        <f>ATAN(A201/pole4)</f>
        <v/>
      </c>
      <c r="O201" s="1058">
        <f>IF(VOUT_setting=1,1,SQRT(1+(A201*zterm1)^2))</f>
        <v/>
      </c>
      <c r="P201" s="1059">
        <f>IF(VOUT_setting=1,0,ATAN(((A201*zterm1))))</f>
        <v/>
      </c>
      <c r="Q201" s="1056">
        <f>IF(VOUT_setting=1,1,SQRT((1+Afbr-$Q$5*(A201)^2)^2+(A201*$Q$4)^2))</f>
        <v/>
      </c>
      <c r="R201" s="1060">
        <f>IF(VOUT_setting=1,0,ATAN(A201*$Q$4/(1+Afbr-$Q$5*(A201)^2)))</f>
        <v/>
      </c>
      <c r="S201" s="1054">
        <f>SQRT((1-(Z201/pterm2))^2+(A201/pterm1)^2)</f>
        <v/>
      </c>
      <c r="T201" s="1055">
        <f>IF((ATAN((A201/pterm1)/(1-A201^2/pterm2))&gt;0),ATAN((A201/pterm1)/(1-A201^2/pterm2)),PI()+ATAN((A201/pterm1)/(1-A201^2/pterm2)))</f>
        <v/>
      </c>
      <c r="U201" s="331">
        <f>20*LOG10(((E201*K201*G201*O201)/(C201*I201*S201*M201*Q201))*Adc)</f>
        <v/>
      </c>
      <c r="V201" s="332">
        <f>((F201+L201+H201+P201)-(D201+J201+T201+N201+R201))*radconv</f>
        <v/>
      </c>
      <c r="W201" s="334">
        <f>IF(V201&gt;0,V201,V201+180)</f>
        <v/>
      </c>
      <c r="Y201" s="307">
        <f>IF(U201&lt;0,A201,1000000000)</f>
        <v/>
      </c>
      <c r="Z201" s="307">
        <f>A201^2</f>
        <v/>
      </c>
      <c r="AB201" s="333">
        <f>20*LOG10((K201/(I201*M201))*AEA)</f>
        <v/>
      </c>
      <c r="AC201" s="334">
        <f>(L201-(J201+N201))*radconv</f>
        <v/>
      </c>
      <c r="AE201" s="333">
        <f>20*LOG10((E201*G201/(C201*S201))*Acs*Am)</f>
        <v/>
      </c>
      <c r="AF201" s="334">
        <f>(F201+H201-(D201+T201))*radconv</f>
        <v/>
      </c>
      <c r="AH201">
        <f>SUM((U202&lt;0)*(U201&gt;0))*A201</f>
        <v/>
      </c>
      <c r="AI201">
        <f>IF(AH201&gt;0,W201,0)</f>
        <v/>
      </c>
    </row>
    <row r="202">
      <c r="A202" s="335" t="n">
        <v>11482</v>
      </c>
      <c r="B202" s="352">
        <f>A202/1000</f>
        <v/>
      </c>
      <c r="C202" s="1047">
        <f>SQRT(1+(A202/pole1)^2)</f>
        <v/>
      </c>
      <c r="D202" s="1048">
        <f>ATAN(A202/pole1)</f>
        <v/>
      </c>
      <c r="E202" s="1048">
        <f>SQRT(1+(A202/Zero1)^2)</f>
        <v/>
      </c>
      <c r="F202" s="1049">
        <f>ATAN(A202/Zero1)</f>
        <v/>
      </c>
      <c r="G202" s="1048">
        <f>IF(VIN_nom&gt;Vout, 1, SQRT(1+(A202/z_RHP)^2))</f>
        <v/>
      </c>
      <c r="H202" s="1049">
        <f>IF(VIN_nom&gt;Vout, 0, -ATAN(A202/z_RHP))</f>
        <v/>
      </c>
      <c r="I202" s="1047">
        <f>SQRT(1+(A202/Pole2)^2)</f>
        <v/>
      </c>
      <c r="J202" s="1050">
        <f>ATAN(A202/Pole2)</f>
        <v/>
      </c>
      <c r="K202" s="1056">
        <f>SQRT(1+(A202/Zero2)^2)</f>
        <v/>
      </c>
      <c r="L202" s="1057">
        <f>ATAN(A202/Zero2)</f>
        <v/>
      </c>
      <c r="M202" s="1047">
        <f>SQRT(1+(A202/pole4)^2)</f>
        <v/>
      </c>
      <c r="N202" s="1057">
        <f>ATAN(A202/pole4)</f>
        <v/>
      </c>
      <c r="O202" s="1058">
        <f>IF(VOUT_setting=1,1,SQRT(1+(A202*zterm1)^2))</f>
        <v/>
      </c>
      <c r="P202" s="1059">
        <f>IF(VOUT_setting=1,0,ATAN(((A202*zterm1))))</f>
        <v/>
      </c>
      <c r="Q202" s="1056">
        <f>IF(VOUT_setting=1,1,SQRT((1+Afbr-$Q$5*(A202)^2)^2+(A202*$Q$4)^2))</f>
        <v/>
      </c>
      <c r="R202" s="1060">
        <f>IF(VOUT_setting=1,0,ATAN(A202*$Q$4/(1+Afbr-$Q$5*(A202)^2)))</f>
        <v/>
      </c>
      <c r="S202" s="1054">
        <f>SQRT((1-(Z202/pterm2))^2+(A202/pterm1)^2)</f>
        <v/>
      </c>
      <c r="T202" s="1055">
        <f>IF((ATAN((A202/pterm1)/(1-A202^2/pterm2))&gt;0),ATAN((A202/pterm1)/(1-A202^2/pterm2)),PI()+ATAN((A202/pterm1)/(1-A202^2/pterm2)))</f>
        <v/>
      </c>
      <c r="U202" s="331">
        <f>20*LOG10(((E202*K202*G202*O202)/(C202*I202*S202*M202*Q202))*Adc)</f>
        <v/>
      </c>
      <c r="V202" s="332">
        <f>((F202+L202+H202+P202)-(D202+J202+T202+N202+R202))*radconv</f>
        <v/>
      </c>
      <c r="W202" s="334">
        <f>IF(V202&gt;0,V202,V202+180)</f>
        <v/>
      </c>
      <c r="Y202" s="307">
        <f>IF(U202&lt;0,A202,1000000000)</f>
        <v/>
      </c>
      <c r="Z202" s="307">
        <f>A202^2</f>
        <v/>
      </c>
      <c r="AB202" s="333">
        <f>20*LOG10((K202/(I202*M202))*AEA)</f>
        <v/>
      </c>
      <c r="AC202" s="334">
        <f>(L202-(J202+N202))*radconv</f>
        <v/>
      </c>
      <c r="AE202" s="333">
        <f>20*LOG10((E202*G202/(C202*S202))*Acs*Am)</f>
        <v/>
      </c>
      <c r="AF202" s="334">
        <f>(F202+H202-(D202+T202))*radconv</f>
        <v/>
      </c>
      <c r="AH202">
        <f>SUM((U203&lt;0)*(U202&gt;0))*A202</f>
        <v/>
      </c>
      <c r="AI202">
        <f>IF(AH202&gt;0,W202,0)</f>
        <v/>
      </c>
    </row>
    <row r="203">
      <c r="A203" s="335" t="n">
        <v>11548.75</v>
      </c>
      <c r="B203" s="352">
        <f>A203/1000</f>
        <v/>
      </c>
      <c r="C203" s="1047">
        <f>SQRT(1+(A203/pole1)^2)</f>
        <v/>
      </c>
      <c r="D203" s="1048">
        <f>ATAN(A203/pole1)</f>
        <v/>
      </c>
      <c r="E203" s="1048">
        <f>SQRT(1+(A203/Zero1)^2)</f>
        <v/>
      </c>
      <c r="F203" s="1049">
        <f>ATAN(A203/Zero1)</f>
        <v/>
      </c>
      <c r="G203" s="1048">
        <f>IF(VIN_nom&gt;Vout, 1, SQRT(1+(A203/z_RHP)^2))</f>
        <v/>
      </c>
      <c r="H203" s="1049">
        <f>IF(VIN_nom&gt;Vout, 0, -ATAN(A203/z_RHP))</f>
        <v/>
      </c>
      <c r="I203" s="1047">
        <f>SQRT(1+(A203/Pole2)^2)</f>
        <v/>
      </c>
      <c r="J203" s="1050">
        <f>ATAN(A203/Pole2)</f>
        <v/>
      </c>
      <c r="K203" s="1056">
        <f>SQRT(1+(A203/Zero2)^2)</f>
        <v/>
      </c>
      <c r="L203" s="1057">
        <f>ATAN(A203/Zero2)</f>
        <v/>
      </c>
      <c r="M203" s="1047">
        <f>SQRT(1+(A203/pole4)^2)</f>
        <v/>
      </c>
      <c r="N203" s="1057">
        <f>ATAN(A203/pole4)</f>
        <v/>
      </c>
      <c r="O203" s="1058">
        <f>IF(VOUT_setting=1,1,SQRT(1+(A203*zterm1)^2))</f>
        <v/>
      </c>
      <c r="P203" s="1059">
        <f>IF(VOUT_setting=1,0,ATAN(((A203*zterm1))))</f>
        <v/>
      </c>
      <c r="Q203" s="1056">
        <f>IF(VOUT_setting=1,1,SQRT((1+Afbr-$Q$5*(A203)^2)^2+(A203*$Q$4)^2))</f>
        <v/>
      </c>
      <c r="R203" s="1060">
        <f>IF(VOUT_setting=1,0,ATAN(A203*$Q$4/(1+Afbr-$Q$5*(A203)^2)))</f>
        <v/>
      </c>
      <c r="S203" s="1054">
        <f>SQRT((1-(Z203/pterm2))^2+(A203/pterm1)^2)</f>
        <v/>
      </c>
      <c r="T203" s="1055">
        <f>IF((ATAN((A203/pterm1)/(1-A203^2/pterm2))&gt;0),ATAN((A203/pterm1)/(1-A203^2/pterm2)),PI()+ATAN((A203/pterm1)/(1-A203^2/pterm2)))</f>
        <v/>
      </c>
      <c r="U203" s="331">
        <f>20*LOG10(((E203*K203*G203*O203)/(C203*I203*S203*M203*Q203))*Adc)</f>
        <v/>
      </c>
      <c r="V203" s="332">
        <f>((F203+L203+H203+P203)-(D203+J203+T203+N203+R203))*radconv</f>
        <v/>
      </c>
      <c r="W203" s="334">
        <f>IF(V203&gt;0,V203,V203+180)</f>
        <v/>
      </c>
      <c r="Y203" s="307">
        <f>IF(U203&lt;0,A203,1000000000)</f>
        <v/>
      </c>
      <c r="Z203" s="307">
        <f>A203^2</f>
        <v/>
      </c>
      <c r="AB203" s="333">
        <f>20*LOG10((K203/(I203*M203))*AEA)</f>
        <v/>
      </c>
      <c r="AC203" s="334">
        <f>(L203-(J203+N203))*radconv</f>
        <v/>
      </c>
      <c r="AE203" s="333">
        <f>20*LOG10((E203*G203/(C203*S203))*Acs*Am)</f>
        <v/>
      </c>
      <c r="AF203" s="334">
        <f>(F203+H203-(D203+T203))*radconv</f>
        <v/>
      </c>
      <c r="AH203">
        <f>SUM((U204&lt;0)*(U203&gt;0))*A203</f>
        <v/>
      </c>
      <c r="AI203">
        <f>IF(AH203&gt;0,W203,0)</f>
        <v/>
      </c>
    </row>
    <row r="204">
      <c r="A204" s="335" t="n">
        <v>11615.5</v>
      </c>
      <c r="B204" s="352">
        <f>A204/1000</f>
        <v/>
      </c>
      <c r="C204" s="1047">
        <f>SQRT(1+(A204/pole1)^2)</f>
        <v/>
      </c>
      <c r="D204" s="1048">
        <f>ATAN(A204/pole1)</f>
        <v/>
      </c>
      <c r="E204" s="1048">
        <f>SQRT(1+(A204/Zero1)^2)</f>
        <v/>
      </c>
      <c r="F204" s="1049">
        <f>ATAN(A204/Zero1)</f>
        <v/>
      </c>
      <c r="G204" s="1048">
        <f>IF(VIN_nom&gt;Vout, 1, SQRT(1+(A204/z_RHP)^2))</f>
        <v/>
      </c>
      <c r="H204" s="1049">
        <f>IF(VIN_nom&gt;Vout, 0, -ATAN(A204/z_RHP))</f>
        <v/>
      </c>
      <c r="I204" s="1047">
        <f>SQRT(1+(A204/Pole2)^2)</f>
        <v/>
      </c>
      <c r="J204" s="1050">
        <f>ATAN(A204/Pole2)</f>
        <v/>
      </c>
      <c r="K204" s="1056">
        <f>SQRT(1+(A204/Zero2)^2)</f>
        <v/>
      </c>
      <c r="L204" s="1057">
        <f>ATAN(A204/Zero2)</f>
        <v/>
      </c>
      <c r="M204" s="1047">
        <f>SQRT(1+(A204/pole4)^2)</f>
        <v/>
      </c>
      <c r="N204" s="1057">
        <f>ATAN(A204/pole4)</f>
        <v/>
      </c>
      <c r="O204" s="1058">
        <f>IF(VOUT_setting=1,1,SQRT(1+(A204*zterm1)^2))</f>
        <v/>
      </c>
      <c r="P204" s="1059">
        <f>IF(VOUT_setting=1,0,ATAN(((A204*zterm1))))</f>
        <v/>
      </c>
      <c r="Q204" s="1056">
        <f>IF(VOUT_setting=1,1,SQRT((1+Afbr-$Q$5*(A204)^2)^2+(A204*$Q$4)^2))</f>
        <v/>
      </c>
      <c r="R204" s="1060">
        <f>IF(VOUT_setting=1,0,ATAN(A204*$Q$4/(1+Afbr-$Q$5*(A204)^2)))</f>
        <v/>
      </c>
      <c r="S204" s="1054">
        <f>SQRT((1-(Z204/pterm2))^2+(A204/pterm1)^2)</f>
        <v/>
      </c>
      <c r="T204" s="1055">
        <f>IF((ATAN((A204/pterm1)/(1-A204^2/pterm2))&gt;0),ATAN((A204/pterm1)/(1-A204^2/pterm2)),PI()+ATAN((A204/pterm1)/(1-A204^2/pterm2)))</f>
        <v/>
      </c>
      <c r="U204" s="331">
        <f>20*LOG10(((E204*K204*G204*O204)/(C204*I204*S204*M204*Q204))*Adc)</f>
        <v/>
      </c>
      <c r="V204" s="332">
        <f>((F204+L204+H204+P204)-(D204+J204+T204+N204+R204))*radconv</f>
        <v/>
      </c>
      <c r="W204" s="334">
        <f>IF(V204&gt;0,V204,V204+180)</f>
        <v/>
      </c>
      <c r="Y204" s="307">
        <f>IF(U204&lt;0,A204,1000000000)</f>
        <v/>
      </c>
      <c r="Z204" s="307">
        <f>A204^2</f>
        <v/>
      </c>
      <c r="AB204" s="333">
        <f>20*LOG10((K204/(I204*M204))*AEA)</f>
        <v/>
      </c>
      <c r="AC204" s="334">
        <f>(L204-(J204+N204))*radconv</f>
        <v/>
      </c>
      <c r="AE204" s="333">
        <f>20*LOG10((E204*G204/(C204*S204))*Acs*Am)</f>
        <v/>
      </c>
      <c r="AF204" s="334">
        <f>(F204+H204-(D204+T204))*radconv</f>
        <v/>
      </c>
      <c r="AH204">
        <f>SUM((U205&lt;0)*(U204&gt;0))*A204</f>
        <v/>
      </c>
      <c r="AI204">
        <f>IF(AH204&gt;0,W204,0)</f>
        <v/>
      </c>
    </row>
    <row r="205">
      <c r="A205" s="335" t="n">
        <v>11682.25</v>
      </c>
      <c r="B205" s="352">
        <f>A205/1000</f>
        <v/>
      </c>
      <c r="C205" s="1047">
        <f>SQRT(1+(A205/pole1)^2)</f>
        <v/>
      </c>
      <c r="D205" s="1048">
        <f>ATAN(A205/pole1)</f>
        <v/>
      </c>
      <c r="E205" s="1048">
        <f>SQRT(1+(A205/Zero1)^2)</f>
        <v/>
      </c>
      <c r="F205" s="1049">
        <f>ATAN(A205/Zero1)</f>
        <v/>
      </c>
      <c r="G205" s="1048">
        <f>IF(VIN_nom&gt;Vout, 1, SQRT(1+(A205/z_RHP)^2))</f>
        <v/>
      </c>
      <c r="H205" s="1049">
        <f>IF(VIN_nom&gt;Vout, 0, -ATAN(A205/z_RHP))</f>
        <v/>
      </c>
      <c r="I205" s="1047">
        <f>SQRT(1+(A205/Pole2)^2)</f>
        <v/>
      </c>
      <c r="J205" s="1050">
        <f>ATAN(A205/Pole2)</f>
        <v/>
      </c>
      <c r="K205" s="1056">
        <f>SQRT(1+(A205/Zero2)^2)</f>
        <v/>
      </c>
      <c r="L205" s="1057">
        <f>ATAN(A205/Zero2)</f>
        <v/>
      </c>
      <c r="M205" s="1047">
        <f>SQRT(1+(A205/pole4)^2)</f>
        <v/>
      </c>
      <c r="N205" s="1057">
        <f>ATAN(A205/pole4)</f>
        <v/>
      </c>
      <c r="O205" s="1058">
        <f>IF(VOUT_setting=1,1,SQRT(1+(A205*zterm1)^2))</f>
        <v/>
      </c>
      <c r="P205" s="1059">
        <f>IF(VOUT_setting=1,0,ATAN(((A205*zterm1))))</f>
        <v/>
      </c>
      <c r="Q205" s="1056">
        <f>IF(VOUT_setting=1,1,SQRT((1+Afbr-$Q$5*(A205)^2)^2+(A205*$Q$4)^2))</f>
        <v/>
      </c>
      <c r="R205" s="1060">
        <f>IF(VOUT_setting=1,0,ATAN(A205*$Q$4/(1+Afbr-$Q$5*(A205)^2)))</f>
        <v/>
      </c>
      <c r="S205" s="1054">
        <f>SQRT((1-(Z205/pterm2))^2+(A205/pterm1)^2)</f>
        <v/>
      </c>
      <c r="T205" s="1055">
        <f>IF((ATAN((A205/pterm1)/(1-A205^2/pterm2))&gt;0),ATAN((A205/pterm1)/(1-A205^2/pterm2)),PI()+ATAN((A205/pterm1)/(1-A205^2/pterm2)))</f>
        <v/>
      </c>
      <c r="U205" s="331">
        <f>20*LOG10(((E205*K205*G205*O205)/(C205*I205*S205*M205*Q205))*Adc)</f>
        <v/>
      </c>
      <c r="V205" s="332">
        <f>((F205+L205+H205+P205)-(D205+J205+T205+N205+R205))*radconv</f>
        <v/>
      </c>
      <c r="W205" s="334">
        <f>IF(V205&gt;0,V205,V205+180)</f>
        <v/>
      </c>
      <c r="Y205" s="307">
        <f>IF(U205&lt;0,A205,1000000000)</f>
        <v/>
      </c>
      <c r="Z205" s="307">
        <f>A205^2</f>
        <v/>
      </c>
      <c r="AB205" s="333">
        <f>20*LOG10((K205/(I205*M205))*AEA)</f>
        <v/>
      </c>
      <c r="AC205" s="334">
        <f>(L205-(J205+N205))*radconv</f>
        <v/>
      </c>
      <c r="AE205" s="333">
        <f>20*LOG10((E205*G205/(C205*S205))*Acs*Am)</f>
        <v/>
      </c>
      <c r="AF205" s="334">
        <f>(F205+H205-(D205+T205))*radconv</f>
        <v/>
      </c>
      <c r="AH205">
        <f>SUM((U206&lt;0)*(U205&gt;0))*A205</f>
        <v/>
      </c>
      <c r="AI205">
        <f>IF(AH205&gt;0,W205,0)</f>
        <v/>
      </c>
    </row>
    <row r="206">
      <c r="A206" s="335" t="n">
        <v>11749</v>
      </c>
      <c r="B206" s="352">
        <f>A206/1000</f>
        <v/>
      </c>
      <c r="C206" s="1047">
        <f>SQRT(1+(A206/pole1)^2)</f>
        <v/>
      </c>
      <c r="D206" s="1048">
        <f>ATAN(A206/pole1)</f>
        <v/>
      </c>
      <c r="E206" s="1048">
        <f>SQRT(1+(A206/Zero1)^2)</f>
        <v/>
      </c>
      <c r="F206" s="1049">
        <f>ATAN(A206/Zero1)</f>
        <v/>
      </c>
      <c r="G206" s="1048">
        <f>IF(VIN_nom&gt;Vout, 1, SQRT(1+(A206/z_RHP)^2))</f>
        <v/>
      </c>
      <c r="H206" s="1049">
        <f>IF(VIN_nom&gt;Vout, 0, -ATAN(A206/z_RHP))</f>
        <v/>
      </c>
      <c r="I206" s="1047">
        <f>SQRT(1+(A206/Pole2)^2)</f>
        <v/>
      </c>
      <c r="J206" s="1050">
        <f>ATAN(A206/Pole2)</f>
        <v/>
      </c>
      <c r="K206" s="1056">
        <f>SQRT(1+(A206/Zero2)^2)</f>
        <v/>
      </c>
      <c r="L206" s="1057">
        <f>ATAN(A206/Zero2)</f>
        <v/>
      </c>
      <c r="M206" s="1047">
        <f>SQRT(1+(A206/pole4)^2)</f>
        <v/>
      </c>
      <c r="N206" s="1057">
        <f>ATAN(A206/pole4)</f>
        <v/>
      </c>
      <c r="O206" s="1058">
        <f>IF(VOUT_setting=1,1,SQRT(1+(A206*zterm1)^2))</f>
        <v/>
      </c>
      <c r="P206" s="1059">
        <f>IF(VOUT_setting=1,0,ATAN(((A206*zterm1))))</f>
        <v/>
      </c>
      <c r="Q206" s="1056">
        <f>IF(VOUT_setting=1,1,SQRT((1+Afbr-$Q$5*(A206)^2)^2+(A206*$Q$4)^2))</f>
        <v/>
      </c>
      <c r="R206" s="1060">
        <f>IF(VOUT_setting=1,0,ATAN(A206*$Q$4/(1+Afbr-$Q$5*(A206)^2)))</f>
        <v/>
      </c>
      <c r="S206" s="1054">
        <f>SQRT((1-(Z206/pterm2))^2+(A206/pterm1)^2)</f>
        <v/>
      </c>
      <c r="T206" s="1055">
        <f>IF((ATAN((A206/pterm1)/(1-A206^2/pterm2))&gt;0),ATAN((A206/pterm1)/(1-A206^2/pterm2)),PI()+ATAN((A206/pterm1)/(1-A206^2/pterm2)))</f>
        <v/>
      </c>
      <c r="U206" s="331">
        <f>20*LOG10(((E206*K206*G206*O206)/(C206*I206*S206*M206*Q206))*Adc)</f>
        <v/>
      </c>
      <c r="V206" s="332">
        <f>((F206+L206+H206+P206)-(D206+J206+T206+N206+R206))*radconv</f>
        <v/>
      </c>
      <c r="W206" s="334">
        <f>IF(V206&gt;0,V206,V206+180)</f>
        <v/>
      </c>
      <c r="Y206" s="307">
        <f>IF(U206&lt;0,A206,1000000000)</f>
        <v/>
      </c>
      <c r="Z206" s="307">
        <f>A206^2</f>
        <v/>
      </c>
      <c r="AB206" s="333">
        <f>20*LOG10((K206/(I206*M206))*AEA)</f>
        <v/>
      </c>
      <c r="AC206" s="334">
        <f>(L206-(J206+N206))*radconv</f>
        <v/>
      </c>
      <c r="AE206" s="333">
        <f>20*LOG10((E206*G206/(C206*S206))*Acs*Am)</f>
        <v/>
      </c>
      <c r="AF206" s="334">
        <f>(F206+H206-(D206+T206))*radconv</f>
        <v/>
      </c>
      <c r="AH206">
        <f>SUM((U207&lt;0)*(U206&gt;0))*A206</f>
        <v/>
      </c>
      <c r="AI206">
        <f>IF(AH206&gt;0,W206,0)</f>
        <v/>
      </c>
    </row>
    <row r="207">
      <c r="A207" s="335" t="n">
        <v>11817.5</v>
      </c>
      <c r="B207" s="352">
        <f>A207/1000</f>
        <v/>
      </c>
      <c r="C207" s="1047">
        <f>SQRT(1+(A207/pole1)^2)</f>
        <v/>
      </c>
      <c r="D207" s="1048">
        <f>ATAN(A207/pole1)</f>
        <v/>
      </c>
      <c r="E207" s="1048">
        <f>SQRT(1+(A207/Zero1)^2)</f>
        <v/>
      </c>
      <c r="F207" s="1049">
        <f>ATAN(A207/Zero1)</f>
        <v/>
      </c>
      <c r="G207" s="1048">
        <f>IF(VIN_nom&gt;Vout, 1, SQRT(1+(A207/z_RHP)^2))</f>
        <v/>
      </c>
      <c r="H207" s="1049">
        <f>IF(VIN_nom&gt;Vout, 0, -ATAN(A207/z_RHP))</f>
        <v/>
      </c>
      <c r="I207" s="1047">
        <f>SQRT(1+(A207/Pole2)^2)</f>
        <v/>
      </c>
      <c r="J207" s="1050">
        <f>ATAN(A207/Pole2)</f>
        <v/>
      </c>
      <c r="K207" s="1056">
        <f>SQRT(1+(A207/Zero2)^2)</f>
        <v/>
      </c>
      <c r="L207" s="1057">
        <f>ATAN(A207/Zero2)</f>
        <v/>
      </c>
      <c r="M207" s="1047">
        <f>SQRT(1+(A207/pole4)^2)</f>
        <v/>
      </c>
      <c r="N207" s="1057">
        <f>ATAN(A207/pole4)</f>
        <v/>
      </c>
      <c r="O207" s="1058">
        <f>IF(VOUT_setting=1,1,SQRT(1+(A207*zterm1)^2))</f>
        <v/>
      </c>
      <c r="P207" s="1059">
        <f>IF(VOUT_setting=1,0,ATAN(((A207*zterm1))))</f>
        <v/>
      </c>
      <c r="Q207" s="1056">
        <f>IF(VOUT_setting=1,1,SQRT((1+Afbr-$Q$5*(A207)^2)^2+(A207*$Q$4)^2))</f>
        <v/>
      </c>
      <c r="R207" s="1060">
        <f>IF(VOUT_setting=1,0,ATAN(A207*$Q$4/(1+Afbr-$Q$5*(A207)^2)))</f>
        <v/>
      </c>
      <c r="S207" s="1054">
        <f>SQRT((1-(Z207/pterm2))^2+(A207/pterm1)^2)</f>
        <v/>
      </c>
      <c r="T207" s="1055">
        <f>IF((ATAN((A207/pterm1)/(1-A207^2/pterm2))&gt;0),ATAN((A207/pterm1)/(1-A207^2/pterm2)),PI()+ATAN((A207/pterm1)/(1-A207^2/pterm2)))</f>
        <v/>
      </c>
      <c r="U207" s="331">
        <f>20*LOG10(((E207*K207*G207*O207)/(C207*I207*S207*M207*Q207))*Adc)</f>
        <v/>
      </c>
      <c r="V207" s="332">
        <f>((F207+L207+H207+P207)-(D207+J207+T207+N207+R207))*radconv</f>
        <v/>
      </c>
      <c r="W207" s="334">
        <f>IF(V207&gt;0,V207,V207+180)</f>
        <v/>
      </c>
      <c r="Y207" s="307">
        <f>IF(U207&lt;0,A207,1000000000)</f>
        <v/>
      </c>
      <c r="Z207" s="307">
        <f>A207^2</f>
        <v/>
      </c>
      <c r="AB207" s="333">
        <f>20*LOG10((K207/(I207*M207))*AEA)</f>
        <v/>
      </c>
      <c r="AC207" s="334">
        <f>(L207-(J207+N207))*radconv</f>
        <v/>
      </c>
      <c r="AE207" s="333">
        <f>20*LOG10((E207*G207/(C207*S207))*Acs*Am)</f>
        <v/>
      </c>
      <c r="AF207" s="334">
        <f>(F207+H207-(D207+T207))*radconv</f>
        <v/>
      </c>
      <c r="AH207">
        <f>SUM((U208&lt;0)*(U207&gt;0))*A207</f>
        <v/>
      </c>
      <c r="AI207">
        <f>IF(AH207&gt;0,W207,0)</f>
        <v/>
      </c>
    </row>
    <row r="208">
      <c r="A208" s="335" t="n">
        <v>11886</v>
      </c>
      <c r="B208" s="352">
        <f>A208/1000</f>
        <v/>
      </c>
      <c r="C208" s="1047">
        <f>SQRT(1+(A208/pole1)^2)</f>
        <v/>
      </c>
      <c r="D208" s="1048">
        <f>ATAN(A208/pole1)</f>
        <v/>
      </c>
      <c r="E208" s="1048">
        <f>SQRT(1+(A208/Zero1)^2)</f>
        <v/>
      </c>
      <c r="F208" s="1049">
        <f>ATAN(A208/Zero1)</f>
        <v/>
      </c>
      <c r="G208" s="1048">
        <f>IF(VIN_nom&gt;Vout, 1, SQRT(1+(A208/z_RHP)^2))</f>
        <v/>
      </c>
      <c r="H208" s="1049">
        <f>IF(VIN_nom&gt;Vout, 0, -ATAN(A208/z_RHP))</f>
        <v/>
      </c>
      <c r="I208" s="1047">
        <f>SQRT(1+(A208/Pole2)^2)</f>
        <v/>
      </c>
      <c r="J208" s="1050">
        <f>ATAN(A208/Pole2)</f>
        <v/>
      </c>
      <c r="K208" s="1056">
        <f>SQRT(1+(A208/Zero2)^2)</f>
        <v/>
      </c>
      <c r="L208" s="1057">
        <f>ATAN(A208/Zero2)</f>
        <v/>
      </c>
      <c r="M208" s="1047">
        <f>SQRT(1+(A208/pole4)^2)</f>
        <v/>
      </c>
      <c r="N208" s="1057">
        <f>ATAN(A208/pole4)</f>
        <v/>
      </c>
      <c r="O208" s="1058">
        <f>IF(VOUT_setting=1,1,SQRT(1+(A208*zterm1)^2))</f>
        <v/>
      </c>
      <c r="P208" s="1059">
        <f>IF(VOUT_setting=1,0,ATAN(((A208*zterm1))))</f>
        <v/>
      </c>
      <c r="Q208" s="1056">
        <f>IF(VOUT_setting=1,1,SQRT((1+Afbr-$Q$5*(A208)^2)^2+(A208*$Q$4)^2))</f>
        <v/>
      </c>
      <c r="R208" s="1060">
        <f>IF(VOUT_setting=1,0,ATAN(A208*$Q$4/(1+Afbr-$Q$5*(A208)^2)))</f>
        <v/>
      </c>
      <c r="S208" s="1054">
        <f>SQRT((1-(Z208/pterm2))^2+(A208/pterm1)^2)</f>
        <v/>
      </c>
      <c r="T208" s="1055">
        <f>IF((ATAN((A208/pterm1)/(1-A208^2/pterm2))&gt;0),ATAN((A208/pterm1)/(1-A208^2/pterm2)),PI()+ATAN((A208/pterm1)/(1-A208^2/pterm2)))</f>
        <v/>
      </c>
      <c r="U208" s="331">
        <f>20*LOG10(((E208*K208*G208*O208)/(C208*I208*S208*M208*Q208))*Adc)</f>
        <v/>
      </c>
      <c r="V208" s="332">
        <f>((F208+L208+H208+P208)-(D208+J208+T208+N208+R208))*radconv</f>
        <v/>
      </c>
      <c r="W208" s="334">
        <f>IF(V208&gt;0,V208,V208+180)</f>
        <v/>
      </c>
      <c r="Y208" s="307">
        <f>IF(U208&lt;0,A208,1000000000)</f>
        <v/>
      </c>
      <c r="Z208" s="307">
        <f>A208^2</f>
        <v/>
      </c>
      <c r="AB208" s="333">
        <f>20*LOG10((K208/(I208*M208))*AEA)</f>
        <v/>
      </c>
      <c r="AC208" s="334">
        <f>(L208-(J208+N208))*radconv</f>
        <v/>
      </c>
      <c r="AE208" s="333">
        <f>20*LOG10((E208*G208/(C208*S208))*Acs*Am)</f>
        <v/>
      </c>
      <c r="AF208" s="334">
        <f>(F208+H208-(D208+T208))*radconv</f>
        <v/>
      </c>
      <c r="AH208">
        <f>SUM((U209&lt;0)*(U208&gt;0))*A208</f>
        <v/>
      </c>
      <c r="AI208">
        <f>IF(AH208&gt;0,W208,0)</f>
        <v/>
      </c>
    </row>
    <row r="209">
      <c r="A209" s="335" t="n">
        <v>11954.5</v>
      </c>
      <c r="B209" s="352">
        <f>A209/1000</f>
        <v/>
      </c>
      <c r="C209" s="1047">
        <f>SQRT(1+(A209/pole1)^2)</f>
        <v/>
      </c>
      <c r="D209" s="1048">
        <f>ATAN(A209/pole1)</f>
        <v/>
      </c>
      <c r="E209" s="1048">
        <f>SQRT(1+(A209/Zero1)^2)</f>
        <v/>
      </c>
      <c r="F209" s="1049">
        <f>ATAN(A209/Zero1)</f>
        <v/>
      </c>
      <c r="G209" s="1048">
        <f>IF(VIN_nom&gt;Vout, 1, SQRT(1+(A209/z_RHP)^2))</f>
        <v/>
      </c>
      <c r="H209" s="1049">
        <f>IF(VIN_nom&gt;Vout, 0, -ATAN(A209/z_RHP))</f>
        <v/>
      </c>
      <c r="I209" s="1047">
        <f>SQRT(1+(A209/Pole2)^2)</f>
        <v/>
      </c>
      <c r="J209" s="1050">
        <f>ATAN(A209/Pole2)</f>
        <v/>
      </c>
      <c r="K209" s="1056">
        <f>SQRT(1+(A209/Zero2)^2)</f>
        <v/>
      </c>
      <c r="L209" s="1057">
        <f>ATAN(A209/Zero2)</f>
        <v/>
      </c>
      <c r="M209" s="1047">
        <f>SQRT(1+(A209/pole4)^2)</f>
        <v/>
      </c>
      <c r="N209" s="1057">
        <f>ATAN(A209/pole4)</f>
        <v/>
      </c>
      <c r="O209" s="1058">
        <f>IF(VOUT_setting=1,1,SQRT(1+(A209*zterm1)^2))</f>
        <v/>
      </c>
      <c r="P209" s="1059">
        <f>IF(VOUT_setting=1,0,ATAN(((A209*zterm1))))</f>
        <v/>
      </c>
      <c r="Q209" s="1056">
        <f>IF(VOUT_setting=1,1,SQRT((1+Afbr-$Q$5*(A209)^2)^2+(A209*$Q$4)^2))</f>
        <v/>
      </c>
      <c r="R209" s="1060">
        <f>IF(VOUT_setting=1,0,ATAN(A209*$Q$4/(1+Afbr-$Q$5*(A209)^2)))</f>
        <v/>
      </c>
      <c r="S209" s="1054">
        <f>SQRT((1-(Z209/pterm2))^2+(A209/pterm1)^2)</f>
        <v/>
      </c>
      <c r="T209" s="1055">
        <f>IF((ATAN((A209/pterm1)/(1-A209^2/pterm2))&gt;0),ATAN((A209/pterm1)/(1-A209^2/pterm2)),PI()+ATAN((A209/pterm1)/(1-A209^2/pterm2)))</f>
        <v/>
      </c>
      <c r="U209" s="331">
        <f>20*LOG10(((E209*K209*G209*O209)/(C209*I209*S209*M209*Q209))*Adc)</f>
        <v/>
      </c>
      <c r="V209" s="332">
        <f>((F209+L209+H209+P209)-(D209+J209+T209+N209+R209))*radconv</f>
        <v/>
      </c>
      <c r="W209" s="334">
        <f>IF(V209&gt;0,V209,V209+180)</f>
        <v/>
      </c>
      <c r="Y209" s="307">
        <f>IF(U209&lt;0,A209,1000000000)</f>
        <v/>
      </c>
      <c r="Z209" s="307">
        <f>A209^2</f>
        <v/>
      </c>
      <c r="AB209" s="333">
        <f>20*LOG10((K209/(I209*M209))*AEA)</f>
        <v/>
      </c>
      <c r="AC209" s="334">
        <f>(L209-(J209+N209))*radconv</f>
        <v/>
      </c>
      <c r="AE209" s="333">
        <f>20*LOG10((E209*G209/(C209*S209))*Acs*Am)</f>
        <v/>
      </c>
      <c r="AF209" s="334">
        <f>(F209+H209-(D209+T209))*radconv</f>
        <v/>
      </c>
      <c r="AH209">
        <f>SUM((U210&lt;0)*(U209&gt;0))*A209</f>
        <v/>
      </c>
      <c r="AI209">
        <f>IF(AH209&gt;0,W209,0)</f>
        <v/>
      </c>
    </row>
    <row r="210">
      <c r="A210" s="335" t="n">
        <v>12023</v>
      </c>
      <c r="B210" s="352">
        <f>A210/1000</f>
        <v/>
      </c>
      <c r="C210" s="1047">
        <f>SQRT(1+(A210/pole1)^2)</f>
        <v/>
      </c>
      <c r="D210" s="1048">
        <f>ATAN(A210/pole1)</f>
        <v/>
      </c>
      <c r="E210" s="1048">
        <f>SQRT(1+(A210/Zero1)^2)</f>
        <v/>
      </c>
      <c r="F210" s="1049">
        <f>ATAN(A210/Zero1)</f>
        <v/>
      </c>
      <c r="G210" s="1048">
        <f>IF(VIN_nom&gt;Vout, 1, SQRT(1+(A210/z_RHP)^2))</f>
        <v/>
      </c>
      <c r="H210" s="1049">
        <f>IF(VIN_nom&gt;Vout, 0, -ATAN(A210/z_RHP))</f>
        <v/>
      </c>
      <c r="I210" s="1047">
        <f>SQRT(1+(A210/Pole2)^2)</f>
        <v/>
      </c>
      <c r="J210" s="1050">
        <f>ATAN(A210/Pole2)</f>
        <v/>
      </c>
      <c r="K210" s="1056">
        <f>SQRT(1+(A210/Zero2)^2)</f>
        <v/>
      </c>
      <c r="L210" s="1057">
        <f>ATAN(A210/Zero2)</f>
        <v/>
      </c>
      <c r="M210" s="1047">
        <f>SQRT(1+(A210/pole4)^2)</f>
        <v/>
      </c>
      <c r="N210" s="1057">
        <f>ATAN(A210/pole4)</f>
        <v/>
      </c>
      <c r="O210" s="1058">
        <f>IF(VOUT_setting=1,1,SQRT(1+(A210*zterm1)^2))</f>
        <v/>
      </c>
      <c r="P210" s="1059">
        <f>IF(VOUT_setting=1,0,ATAN(((A210*zterm1))))</f>
        <v/>
      </c>
      <c r="Q210" s="1056">
        <f>IF(VOUT_setting=1,1,SQRT((1+Afbr-$Q$5*(A210)^2)^2+(A210*$Q$4)^2))</f>
        <v/>
      </c>
      <c r="R210" s="1060">
        <f>IF(VOUT_setting=1,0,ATAN(A210*$Q$4/(1+Afbr-$Q$5*(A210)^2)))</f>
        <v/>
      </c>
      <c r="S210" s="1054">
        <f>SQRT((1-(Z210/pterm2))^2+(A210/pterm1)^2)</f>
        <v/>
      </c>
      <c r="T210" s="1055">
        <f>IF((ATAN((A210/pterm1)/(1-A210^2/pterm2))&gt;0),ATAN((A210/pterm1)/(1-A210^2/pterm2)),PI()+ATAN((A210/pterm1)/(1-A210^2/pterm2)))</f>
        <v/>
      </c>
      <c r="U210" s="331">
        <f>20*LOG10(((E210*K210*G210*O210)/(C210*I210*S210*M210*Q210))*Adc)</f>
        <v/>
      </c>
      <c r="V210" s="332">
        <f>((F210+L210+H210+P210)-(D210+J210+T210+N210+R210))*radconv</f>
        <v/>
      </c>
      <c r="W210" s="334">
        <f>IF(V210&gt;0,V210,V210+180)</f>
        <v/>
      </c>
      <c r="Y210" s="307">
        <f>IF(U210&lt;0,A210,1000000000)</f>
        <v/>
      </c>
      <c r="Z210" s="307">
        <f>A210^2</f>
        <v/>
      </c>
      <c r="AB210" s="333">
        <f>20*LOG10((K210/(I210*M210))*AEA)</f>
        <v/>
      </c>
      <c r="AC210" s="334">
        <f>(L210-(J210+N210))*radconv</f>
        <v/>
      </c>
      <c r="AE210" s="333">
        <f>20*LOG10((E210*G210/(C210*S210))*Acs*Am)</f>
        <v/>
      </c>
      <c r="AF210" s="334">
        <f>(F210+H210-(D210+T210))*radconv</f>
        <v/>
      </c>
      <c r="AH210">
        <f>SUM((U211&lt;0)*(U210&gt;0))*A210</f>
        <v/>
      </c>
      <c r="AI210">
        <f>IF(AH210&gt;0,W210,0)</f>
        <v/>
      </c>
    </row>
    <row r="211">
      <c r="A211" s="335" t="n">
        <v>12093</v>
      </c>
      <c r="B211" s="352">
        <f>A211/1000</f>
        <v/>
      </c>
      <c r="C211" s="1047">
        <f>SQRT(1+(A211/pole1)^2)</f>
        <v/>
      </c>
      <c r="D211" s="1048">
        <f>ATAN(A211/pole1)</f>
        <v/>
      </c>
      <c r="E211" s="1048">
        <f>SQRT(1+(A211/Zero1)^2)</f>
        <v/>
      </c>
      <c r="F211" s="1049">
        <f>ATAN(A211/Zero1)</f>
        <v/>
      </c>
      <c r="G211" s="1048">
        <f>IF(VIN_nom&gt;Vout, 1, SQRT(1+(A211/z_RHP)^2))</f>
        <v/>
      </c>
      <c r="H211" s="1049">
        <f>IF(VIN_nom&gt;Vout, 0, -ATAN(A211/z_RHP))</f>
        <v/>
      </c>
      <c r="I211" s="1047">
        <f>SQRT(1+(A211/Pole2)^2)</f>
        <v/>
      </c>
      <c r="J211" s="1050">
        <f>ATAN(A211/Pole2)</f>
        <v/>
      </c>
      <c r="K211" s="1056">
        <f>SQRT(1+(A211/Zero2)^2)</f>
        <v/>
      </c>
      <c r="L211" s="1057">
        <f>ATAN(A211/Zero2)</f>
        <v/>
      </c>
      <c r="M211" s="1047">
        <f>SQRT(1+(A211/pole4)^2)</f>
        <v/>
      </c>
      <c r="N211" s="1057">
        <f>ATAN(A211/pole4)</f>
        <v/>
      </c>
      <c r="O211" s="1058">
        <f>IF(VOUT_setting=1,1,SQRT(1+(A211*zterm1)^2))</f>
        <v/>
      </c>
      <c r="P211" s="1059">
        <f>IF(VOUT_setting=1,0,ATAN(((A211*zterm1))))</f>
        <v/>
      </c>
      <c r="Q211" s="1056">
        <f>IF(VOUT_setting=1,1,SQRT((1+Afbr-$Q$5*(A211)^2)^2+(A211*$Q$4)^2))</f>
        <v/>
      </c>
      <c r="R211" s="1060">
        <f>IF(VOUT_setting=1,0,ATAN(A211*$Q$4/(1+Afbr-$Q$5*(A211)^2)))</f>
        <v/>
      </c>
      <c r="S211" s="1054">
        <f>SQRT((1-(Z211/pterm2))^2+(A211/pterm1)^2)</f>
        <v/>
      </c>
      <c r="T211" s="1055">
        <f>IF((ATAN((A211/pterm1)/(1-A211^2/pterm2))&gt;0),ATAN((A211/pterm1)/(1-A211^2/pterm2)),PI()+ATAN((A211/pterm1)/(1-A211^2/pterm2)))</f>
        <v/>
      </c>
      <c r="U211" s="331">
        <f>20*LOG10(((E211*K211*G211*O211)/(C211*I211*S211*M211*Q211))*Adc)</f>
        <v/>
      </c>
      <c r="V211" s="332">
        <f>((F211+L211+H211+P211)-(D211+J211+T211+N211+R211))*radconv</f>
        <v/>
      </c>
      <c r="W211" s="334">
        <f>IF(V211&gt;0,V211,V211+180)</f>
        <v/>
      </c>
      <c r="Y211" s="307">
        <f>IF(U211&lt;0,A211,1000000000)</f>
        <v/>
      </c>
      <c r="Z211" s="307">
        <f>A211^2</f>
        <v/>
      </c>
      <c r="AB211" s="333">
        <f>20*LOG10((K211/(I211*M211))*AEA)</f>
        <v/>
      </c>
      <c r="AC211" s="334">
        <f>(L211-(J211+N211))*radconv</f>
        <v/>
      </c>
      <c r="AE211" s="333">
        <f>20*LOG10((E211*G211/(C211*S211))*Acs*Am)</f>
        <v/>
      </c>
      <c r="AF211" s="334">
        <f>(F211+H211-(D211+T211))*radconv</f>
        <v/>
      </c>
      <c r="AH211">
        <f>SUM((U212&lt;0)*(U211&gt;0))*A211</f>
        <v/>
      </c>
      <c r="AI211">
        <f>IF(AH211&gt;0,W211,0)</f>
        <v/>
      </c>
    </row>
    <row r="212">
      <c r="A212" s="335" t="n">
        <v>12163</v>
      </c>
      <c r="B212" s="352">
        <f>A212/1000</f>
        <v/>
      </c>
      <c r="C212" s="1047">
        <f>SQRT(1+(A212/pole1)^2)</f>
        <v/>
      </c>
      <c r="D212" s="1048">
        <f>ATAN(A212/pole1)</f>
        <v/>
      </c>
      <c r="E212" s="1048">
        <f>SQRT(1+(A212/Zero1)^2)</f>
        <v/>
      </c>
      <c r="F212" s="1049">
        <f>ATAN(A212/Zero1)</f>
        <v/>
      </c>
      <c r="G212" s="1048">
        <f>IF(VIN_nom&gt;Vout, 1, SQRT(1+(A212/z_RHP)^2))</f>
        <v/>
      </c>
      <c r="H212" s="1049">
        <f>IF(VIN_nom&gt;Vout, 0, -ATAN(A212/z_RHP))</f>
        <v/>
      </c>
      <c r="I212" s="1047">
        <f>SQRT(1+(A212/Pole2)^2)</f>
        <v/>
      </c>
      <c r="J212" s="1050">
        <f>ATAN(A212/Pole2)</f>
        <v/>
      </c>
      <c r="K212" s="1056">
        <f>SQRT(1+(A212/Zero2)^2)</f>
        <v/>
      </c>
      <c r="L212" s="1057">
        <f>ATAN(A212/Zero2)</f>
        <v/>
      </c>
      <c r="M212" s="1047">
        <f>SQRT(1+(A212/pole4)^2)</f>
        <v/>
      </c>
      <c r="N212" s="1057">
        <f>ATAN(A212/pole4)</f>
        <v/>
      </c>
      <c r="O212" s="1058">
        <f>IF(VOUT_setting=1,1,SQRT(1+(A212*zterm1)^2))</f>
        <v/>
      </c>
      <c r="P212" s="1059">
        <f>IF(VOUT_setting=1,0,ATAN(((A212*zterm1))))</f>
        <v/>
      </c>
      <c r="Q212" s="1056">
        <f>IF(VOUT_setting=1,1,SQRT((1+Afbr-$Q$5*(A212)^2)^2+(A212*$Q$4)^2))</f>
        <v/>
      </c>
      <c r="R212" s="1060">
        <f>IF(VOUT_setting=1,0,ATAN(A212*$Q$4/(1+Afbr-$Q$5*(A212)^2)))</f>
        <v/>
      </c>
      <c r="S212" s="1054">
        <f>SQRT((1-(Z212/pterm2))^2+(A212/pterm1)^2)</f>
        <v/>
      </c>
      <c r="T212" s="1055">
        <f>IF((ATAN((A212/pterm1)/(1-A212^2/pterm2))&gt;0),ATAN((A212/pterm1)/(1-A212^2/pterm2)),PI()+ATAN((A212/pterm1)/(1-A212^2/pterm2)))</f>
        <v/>
      </c>
      <c r="U212" s="331">
        <f>20*LOG10(((E212*K212*G212*O212)/(C212*I212*S212*M212*Q212))*Adc)</f>
        <v/>
      </c>
      <c r="V212" s="332">
        <f>((F212+L212+H212+P212)-(D212+J212+T212+N212+R212))*radconv</f>
        <v/>
      </c>
      <c r="W212" s="334">
        <f>IF(V212&gt;0,V212,V212+180)</f>
        <v/>
      </c>
      <c r="Y212" s="307">
        <f>IF(U212&lt;0,A212,1000000000)</f>
        <v/>
      </c>
      <c r="Z212" s="307">
        <f>A212^2</f>
        <v/>
      </c>
      <c r="AB212" s="333">
        <f>20*LOG10((K212/(I212*M212))*AEA)</f>
        <v/>
      </c>
      <c r="AC212" s="334">
        <f>(L212-(J212+N212))*radconv</f>
        <v/>
      </c>
      <c r="AE212" s="333">
        <f>20*LOG10((E212*G212/(C212*S212))*Acs*Am)</f>
        <v/>
      </c>
      <c r="AF212" s="334">
        <f>(F212+H212-(D212+T212))*radconv</f>
        <v/>
      </c>
      <c r="AH212">
        <f>SUM((U213&lt;0)*(U212&gt;0))*A212</f>
        <v/>
      </c>
      <c r="AI212">
        <f>IF(AH212&gt;0,W212,0)</f>
        <v/>
      </c>
    </row>
    <row r="213">
      <c r="A213" s="335" t="n">
        <v>12233</v>
      </c>
      <c r="B213" s="352">
        <f>A213/1000</f>
        <v/>
      </c>
      <c r="C213" s="1047">
        <f>SQRT(1+(A213/pole1)^2)</f>
        <v/>
      </c>
      <c r="D213" s="1048">
        <f>ATAN(A213/pole1)</f>
        <v/>
      </c>
      <c r="E213" s="1048">
        <f>SQRT(1+(A213/Zero1)^2)</f>
        <v/>
      </c>
      <c r="F213" s="1049">
        <f>ATAN(A213/Zero1)</f>
        <v/>
      </c>
      <c r="G213" s="1048">
        <f>IF(VIN_nom&gt;Vout, 1, SQRT(1+(A213/z_RHP)^2))</f>
        <v/>
      </c>
      <c r="H213" s="1049">
        <f>IF(VIN_nom&gt;Vout, 0, -ATAN(A213/z_RHP))</f>
        <v/>
      </c>
      <c r="I213" s="1047">
        <f>SQRT(1+(A213/Pole2)^2)</f>
        <v/>
      </c>
      <c r="J213" s="1050">
        <f>ATAN(A213/Pole2)</f>
        <v/>
      </c>
      <c r="K213" s="1056">
        <f>SQRT(1+(A213/Zero2)^2)</f>
        <v/>
      </c>
      <c r="L213" s="1057">
        <f>ATAN(A213/Zero2)</f>
        <v/>
      </c>
      <c r="M213" s="1047">
        <f>SQRT(1+(A213/pole4)^2)</f>
        <v/>
      </c>
      <c r="N213" s="1057">
        <f>ATAN(A213/pole4)</f>
        <v/>
      </c>
      <c r="O213" s="1058">
        <f>IF(VOUT_setting=1,1,SQRT(1+(A213*zterm1)^2))</f>
        <v/>
      </c>
      <c r="P213" s="1059">
        <f>IF(VOUT_setting=1,0,ATAN(((A213*zterm1))))</f>
        <v/>
      </c>
      <c r="Q213" s="1056">
        <f>IF(VOUT_setting=1,1,SQRT((1+Afbr-$Q$5*(A213)^2)^2+(A213*$Q$4)^2))</f>
        <v/>
      </c>
      <c r="R213" s="1060">
        <f>IF(VOUT_setting=1,0,ATAN(A213*$Q$4/(1+Afbr-$Q$5*(A213)^2)))</f>
        <v/>
      </c>
      <c r="S213" s="1054">
        <f>SQRT((1-(Z213/pterm2))^2+(A213/pterm1)^2)</f>
        <v/>
      </c>
      <c r="T213" s="1055">
        <f>IF((ATAN((A213/pterm1)/(1-A213^2/pterm2))&gt;0),ATAN((A213/pterm1)/(1-A213^2/pterm2)),PI()+ATAN((A213/pterm1)/(1-A213^2/pterm2)))</f>
        <v/>
      </c>
      <c r="U213" s="331">
        <f>20*LOG10(((E213*K213*G213*O213)/(C213*I213*S213*M213*Q213))*Adc)</f>
        <v/>
      </c>
      <c r="V213" s="332">
        <f>((F213+L213+H213+P213)-(D213+J213+T213+N213+R213))*radconv</f>
        <v/>
      </c>
      <c r="W213" s="334">
        <f>IF(V213&gt;0,V213,V213+180)</f>
        <v/>
      </c>
      <c r="Y213" s="307">
        <f>IF(U213&lt;0,A213,1000000000)</f>
        <v/>
      </c>
      <c r="Z213" s="307">
        <f>A213^2</f>
        <v/>
      </c>
      <c r="AB213" s="333">
        <f>20*LOG10((K213/(I213*M213))*AEA)</f>
        <v/>
      </c>
      <c r="AC213" s="334">
        <f>(L213-(J213+N213))*radconv</f>
        <v/>
      </c>
      <c r="AE213" s="333">
        <f>20*LOG10((E213*G213/(C213*S213))*Acs*Am)</f>
        <v/>
      </c>
      <c r="AF213" s="334">
        <f>(F213+H213-(D213+T213))*radconv</f>
        <v/>
      </c>
      <c r="AH213">
        <f>SUM((U214&lt;0)*(U213&gt;0))*A213</f>
        <v/>
      </c>
      <c r="AI213">
        <f>IF(AH213&gt;0,W213,0)</f>
        <v/>
      </c>
    </row>
    <row r="214">
      <c r="A214" s="335" t="n">
        <v>12303</v>
      </c>
      <c r="B214" s="352">
        <f>A214/1000</f>
        <v/>
      </c>
      <c r="C214" s="1047">
        <f>SQRT(1+(A214/pole1)^2)</f>
        <v/>
      </c>
      <c r="D214" s="1048">
        <f>ATAN(A214/pole1)</f>
        <v/>
      </c>
      <c r="E214" s="1048">
        <f>SQRT(1+(A214/Zero1)^2)</f>
        <v/>
      </c>
      <c r="F214" s="1049">
        <f>ATAN(A214/Zero1)</f>
        <v/>
      </c>
      <c r="G214" s="1048">
        <f>IF(VIN_nom&gt;Vout, 1, SQRT(1+(A214/z_RHP)^2))</f>
        <v/>
      </c>
      <c r="H214" s="1049">
        <f>IF(VIN_nom&gt;Vout, 0, -ATAN(A214/z_RHP))</f>
        <v/>
      </c>
      <c r="I214" s="1047">
        <f>SQRT(1+(A214/Pole2)^2)</f>
        <v/>
      </c>
      <c r="J214" s="1050">
        <f>ATAN(A214/Pole2)</f>
        <v/>
      </c>
      <c r="K214" s="1056">
        <f>SQRT(1+(A214/Zero2)^2)</f>
        <v/>
      </c>
      <c r="L214" s="1057">
        <f>ATAN(A214/Zero2)</f>
        <v/>
      </c>
      <c r="M214" s="1047">
        <f>SQRT(1+(A214/pole4)^2)</f>
        <v/>
      </c>
      <c r="N214" s="1057">
        <f>ATAN(A214/pole4)</f>
        <v/>
      </c>
      <c r="O214" s="1058">
        <f>IF(VOUT_setting=1,1,SQRT(1+(A214*zterm1)^2))</f>
        <v/>
      </c>
      <c r="P214" s="1059">
        <f>IF(VOUT_setting=1,0,ATAN(((A214*zterm1))))</f>
        <v/>
      </c>
      <c r="Q214" s="1056">
        <f>IF(VOUT_setting=1,1,SQRT((1+Afbr-$Q$5*(A214)^2)^2+(A214*$Q$4)^2))</f>
        <v/>
      </c>
      <c r="R214" s="1060">
        <f>IF(VOUT_setting=1,0,ATAN(A214*$Q$4/(1+Afbr-$Q$5*(A214)^2)))</f>
        <v/>
      </c>
      <c r="S214" s="1054">
        <f>SQRT((1-(Z214/pterm2))^2+(A214/pterm1)^2)</f>
        <v/>
      </c>
      <c r="T214" s="1055">
        <f>IF((ATAN((A214/pterm1)/(1-A214^2/pterm2))&gt;0),ATAN((A214/pterm1)/(1-A214^2/pterm2)),PI()+ATAN((A214/pterm1)/(1-A214^2/pterm2)))</f>
        <v/>
      </c>
      <c r="U214" s="331">
        <f>20*LOG10(((E214*K214*G214*O214)/(C214*I214*S214*M214*Q214))*Adc)</f>
        <v/>
      </c>
      <c r="V214" s="332">
        <f>((F214+L214+H214+P214)-(D214+J214+T214+N214+R214))*radconv</f>
        <v/>
      </c>
      <c r="W214" s="334">
        <f>IF(V214&gt;0,V214,V214+180)</f>
        <v/>
      </c>
      <c r="Y214" s="307">
        <f>IF(U214&lt;0,A214,1000000000)</f>
        <v/>
      </c>
      <c r="Z214" s="307">
        <f>A214^2</f>
        <v/>
      </c>
      <c r="AB214" s="333">
        <f>20*LOG10((K214/(I214*M214))*AEA)</f>
        <v/>
      </c>
      <c r="AC214" s="334">
        <f>(L214-(J214+N214))*radconv</f>
        <v/>
      </c>
      <c r="AE214" s="333">
        <f>20*LOG10((E214*G214/(C214*S214))*Acs*Am)</f>
        <v/>
      </c>
      <c r="AF214" s="334">
        <f>(F214+H214-(D214+T214))*radconv</f>
        <v/>
      </c>
      <c r="AH214">
        <f>SUM((U215&lt;0)*(U214&gt;0))*A214</f>
        <v/>
      </c>
      <c r="AI214">
        <f>IF(AH214&gt;0,W214,0)</f>
        <v/>
      </c>
    </row>
    <row r="215">
      <c r="A215" s="335" t="n">
        <v>12374.5</v>
      </c>
      <c r="B215" s="352">
        <f>A215/1000</f>
        <v/>
      </c>
      <c r="C215" s="1047">
        <f>SQRT(1+(A215/pole1)^2)</f>
        <v/>
      </c>
      <c r="D215" s="1048">
        <f>ATAN(A215/pole1)</f>
        <v/>
      </c>
      <c r="E215" s="1048">
        <f>SQRT(1+(A215/Zero1)^2)</f>
        <v/>
      </c>
      <c r="F215" s="1049">
        <f>ATAN(A215/Zero1)</f>
        <v/>
      </c>
      <c r="G215" s="1048">
        <f>IF(VIN_nom&gt;Vout, 1, SQRT(1+(A215/z_RHP)^2))</f>
        <v/>
      </c>
      <c r="H215" s="1049">
        <f>IF(VIN_nom&gt;Vout, 0, -ATAN(A215/z_RHP))</f>
        <v/>
      </c>
      <c r="I215" s="1047">
        <f>SQRT(1+(A215/Pole2)^2)</f>
        <v/>
      </c>
      <c r="J215" s="1050">
        <f>ATAN(A215/Pole2)</f>
        <v/>
      </c>
      <c r="K215" s="1056">
        <f>SQRT(1+(A215/Zero2)^2)</f>
        <v/>
      </c>
      <c r="L215" s="1057">
        <f>ATAN(A215/Zero2)</f>
        <v/>
      </c>
      <c r="M215" s="1047">
        <f>SQRT(1+(A215/pole4)^2)</f>
        <v/>
      </c>
      <c r="N215" s="1057">
        <f>ATAN(A215/pole4)</f>
        <v/>
      </c>
      <c r="O215" s="1058">
        <f>IF(VOUT_setting=1,1,SQRT(1+(A215*zterm1)^2))</f>
        <v/>
      </c>
      <c r="P215" s="1059">
        <f>IF(VOUT_setting=1,0,ATAN(((A215*zterm1))))</f>
        <v/>
      </c>
      <c r="Q215" s="1056">
        <f>IF(VOUT_setting=1,1,SQRT((1+Afbr-$Q$5*(A215)^2)^2+(A215*$Q$4)^2))</f>
        <v/>
      </c>
      <c r="R215" s="1060">
        <f>IF(VOUT_setting=1,0,ATAN(A215*$Q$4/(1+Afbr-$Q$5*(A215)^2)))</f>
        <v/>
      </c>
      <c r="S215" s="1054">
        <f>SQRT((1-(Z215/pterm2))^2+(A215/pterm1)^2)</f>
        <v/>
      </c>
      <c r="T215" s="1055">
        <f>IF((ATAN((A215/pterm1)/(1-A215^2/pterm2))&gt;0),ATAN((A215/pterm1)/(1-A215^2/pterm2)),PI()+ATAN((A215/pterm1)/(1-A215^2/pterm2)))</f>
        <v/>
      </c>
      <c r="U215" s="331">
        <f>20*LOG10(((E215*K215*G215*O215)/(C215*I215*S215*M215*Q215))*Adc)</f>
        <v/>
      </c>
      <c r="V215" s="332">
        <f>((F215+L215+H215+P215)-(D215+J215+T215+N215+R215))*radconv</f>
        <v/>
      </c>
      <c r="W215" s="334">
        <f>IF(V215&gt;0,V215,V215+180)</f>
        <v/>
      </c>
      <c r="Y215" s="307">
        <f>IF(U215&lt;0,A215,1000000000)</f>
        <v/>
      </c>
      <c r="Z215" s="307">
        <f>A215^2</f>
        <v/>
      </c>
      <c r="AB215" s="333">
        <f>20*LOG10((K215/(I215*M215))*AEA)</f>
        <v/>
      </c>
      <c r="AC215" s="334">
        <f>(L215-(J215+N215))*radconv</f>
        <v/>
      </c>
      <c r="AE215" s="333">
        <f>20*LOG10((E215*G215/(C215*S215))*Acs*Am)</f>
        <v/>
      </c>
      <c r="AF215" s="334">
        <f>(F215+H215-(D215+T215))*radconv</f>
        <v/>
      </c>
      <c r="AH215">
        <f>SUM((U216&lt;0)*(U215&gt;0))*A215</f>
        <v/>
      </c>
      <c r="AI215">
        <f>IF(AH215&gt;0,W215,0)</f>
        <v/>
      </c>
    </row>
    <row r="216">
      <c r="A216" s="335" t="n">
        <v>12446</v>
      </c>
      <c r="B216" s="352">
        <f>A216/1000</f>
        <v/>
      </c>
      <c r="C216" s="1047">
        <f>SQRT(1+(A216/pole1)^2)</f>
        <v/>
      </c>
      <c r="D216" s="1048">
        <f>ATAN(A216/pole1)</f>
        <v/>
      </c>
      <c r="E216" s="1048">
        <f>SQRT(1+(A216/Zero1)^2)</f>
        <v/>
      </c>
      <c r="F216" s="1049">
        <f>ATAN(A216/Zero1)</f>
        <v/>
      </c>
      <c r="G216" s="1048">
        <f>IF(VIN_nom&gt;Vout, 1, SQRT(1+(A216/z_RHP)^2))</f>
        <v/>
      </c>
      <c r="H216" s="1049">
        <f>IF(VIN_nom&gt;Vout, 0, -ATAN(A216/z_RHP))</f>
        <v/>
      </c>
      <c r="I216" s="1047">
        <f>SQRT(1+(A216/Pole2)^2)</f>
        <v/>
      </c>
      <c r="J216" s="1050">
        <f>ATAN(A216/Pole2)</f>
        <v/>
      </c>
      <c r="K216" s="1056">
        <f>SQRT(1+(A216/Zero2)^2)</f>
        <v/>
      </c>
      <c r="L216" s="1057">
        <f>ATAN(A216/Zero2)</f>
        <v/>
      </c>
      <c r="M216" s="1047">
        <f>SQRT(1+(A216/pole4)^2)</f>
        <v/>
      </c>
      <c r="N216" s="1057">
        <f>ATAN(A216/pole4)</f>
        <v/>
      </c>
      <c r="O216" s="1058">
        <f>IF(VOUT_setting=1,1,SQRT(1+(A216*zterm1)^2))</f>
        <v/>
      </c>
      <c r="P216" s="1059">
        <f>IF(VOUT_setting=1,0,ATAN(((A216*zterm1))))</f>
        <v/>
      </c>
      <c r="Q216" s="1056">
        <f>IF(VOUT_setting=1,1,SQRT((1+Afbr-$Q$5*(A216)^2)^2+(A216*$Q$4)^2))</f>
        <v/>
      </c>
      <c r="R216" s="1060">
        <f>IF(VOUT_setting=1,0,ATAN(A216*$Q$4/(1+Afbr-$Q$5*(A216)^2)))</f>
        <v/>
      </c>
      <c r="S216" s="1054">
        <f>SQRT((1-(Z216/pterm2))^2+(A216/pterm1)^2)</f>
        <v/>
      </c>
      <c r="T216" s="1055">
        <f>IF((ATAN((A216/pterm1)/(1-A216^2/pterm2))&gt;0),ATAN((A216/pterm1)/(1-A216^2/pterm2)),PI()+ATAN((A216/pterm1)/(1-A216^2/pterm2)))</f>
        <v/>
      </c>
      <c r="U216" s="331">
        <f>20*LOG10(((E216*K216*G216*O216)/(C216*I216*S216*M216*Q216))*Adc)</f>
        <v/>
      </c>
      <c r="V216" s="332">
        <f>((F216+L216+H216+P216)-(D216+J216+T216+N216+R216))*radconv</f>
        <v/>
      </c>
      <c r="W216" s="334">
        <f>IF(V216&gt;0,V216,V216+180)</f>
        <v/>
      </c>
      <c r="Y216" s="307">
        <f>IF(U216&lt;0,A216,1000000000)</f>
        <v/>
      </c>
      <c r="Z216" s="307">
        <f>A216^2</f>
        <v/>
      </c>
      <c r="AB216" s="333">
        <f>20*LOG10((K216/(I216*M216))*AEA)</f>
        <v/>
      </c>
      <c r="AC216" s="334">
        <f>(L216-(J216+N216))*radconv</f>
        <v/>
      </c>
      <c r="AE216" s="333">
        <f>20*LOG10((E216*G216/(C216*S216))*Acs*Am)</f>
        <v/>
      </c>
      <c r="AF216" s="334">
        <f>(F216+H216-(D216+T216))*radconv</f>
        <v/>
      </c>
      <c r="AH216">
        <f>SUM((U217&lt;0)*(U216&gt;0))*A216</f>
        <v/>
      </c>
      <c r="AI216">
        <f>IF(AH216&gt;0,W216,0)</f>
        <v/>
      </c>
    </row>
    <row r="217">
      <c r="A217" s="335" t="n">
        <v>12517.5</v>
      </c>
      <c r="B217" s="352">
        <f>A217/1000</f>
        <v/>
      </c>
      <c r="C217" s="1047">
        <f>SQRT(1+(A217/pole1)^2)</f>
        <v/>
      </c>
      <c r="D217" s="1048">
        <f>ATAN(A217/pole1)</f>
        <v/>
      </c>
      <c r="E217" s="1048">
        <f>SQRT(1+(A217/Zero1)^2)</f>
        <v/>
      </c>
      <c r="F217" s="1049">
        <f>ATAN(A217/Zero1)</f>
        <v/>
      </c>
      <c r="G217" s="1048">
        <f>IF(VIN_nom&gt;Vout, 1, SQRT(1+(A217/z_RHP)^2))</f>
        <v/>
      </c>
      <c r="H217" s="1049">
        <f>IF(VIN_nom&gt;Vout, 0, -ATAN(A217/z_RHP))</f>
        <v/>
      </c>
      <c r="I217" s="1047">
        <f>SQRT(1+(A217/Pole2)^2)</f>
        <v/>
      </c>
      <c r="J217" s="1050">
        <f>ATAN(A217/Pole2)</f>
        <v/>
      </c>
      <c r="K217" s="1056">
        <f>SQRT(1+(A217/Zero2)^2)</f>
        <v/>
      </c>
      <c r="L217" s="1057">
        <f>ATAN(A217/Zero2)</f>
        <v/>
      </c>
      <c r="M217" s="1047">
        <f>SQRT(1+(A217/pole4)^2)</f>
        <v/>
      </c>
      <c r="N217" s="1057">
        <f>ATAN(A217/pole4)</f>
        <v/>
      </c>
      <c r="O217" s="1058">
        <f>IF(VOUT_setting=1,1,SQRT(1+(A217*zterm1)^2))</f>
        <v/>
      </c>
      <c r="P217" s="1059">
        <f>IF(VOUT_setting=1,0,ATAN(((A217*zterm1))))</f>
        <v/>
      </c>
      <c r="Q217" s="1056">
        <f>IF(VOUT_setting=1,1,SQRT((1+Afbr-$Q$5*(A217)^2)^2+(A217*$Q$4)^2))</f>
        <v/>
      </c>
      <c r="R217" s="1060">
        <f>IF(VOUT_setting=1,0,ATAN(A217*$Q$4/(1+Afbr-$Q$5*(A217)^2)))</f>
        <v/>
      </c>
      <c r="S217" s="1054">
        <f>SQRT((1-(Z217/pterm2))^2+(A217/pterm1)^2)</f>
        <v/>
      </c>
      <c r="T217" s="1055">
        <f>IF((ATAN((A217/pterm1)/(1-A217^2/pterm2))&gt;0),ATAN((A217/pterm1)/(1-A217^2/pterm2)),PI()+ATAN((A217/pterm1)/(1-A217^2/pterm2)))</f>
        <v/>
      </c>
      <c r="U217" s="331">
        <f>20*LOG10(((E217*K217*G217*O217)/(C217*I217*S217*M217*Q217))*Adc)</f>
        <v/>
      </c>
      <c r="V217" s="332">
        <f>((F217+L217+H217+P217)-(D217+J217+T217+N217+R217))*radconv</f>
        <v/>
      </c>
      <c r="W217" s="334">
        <f>IF(V217&gt;0,V217,V217+180)</f>
        <v/>
      </c>
      <c r="Y217" s="307">
        <f>IF(U217&lt;0,A217,1000000000)</f>
        <v/>
      </c>
      <c r="Z217" s="307">
        <f>A217^2</f>
        <v/>
      </c>
      <c r="AB217" s="333">
        <f>20*LOG10((K217/(I217*M217))*AEA)</f>
        <v/>
      </c>
      <c r="AC217" s="334">
        <f>(L217-(J217+N217))*radconv</f>
        <v/>
      </c>
      <c r="AE217" s="333">
        <f>20*LOG10((E217*G217/(C217*S217))*Acs*Am)</f>
        <v/>
      </c>
      <c r="AF217" s="334">
        <f>(F217+H217-(D217+T217))*radconv</f>
        <v/>
      </c>
      <c r="AH217">
        <f>SUM((U218&lt;0)*(U217&gt;0))*A217</f>
        <v/>
      </c>
      <c r="AI217">
        <f>IF(AH217&gt;0,W217,0)</f>
        <v/>
      </c>
    </row>
    <row r="218">
      <c r="A218" s="335" t="n">
        <v>12589</v>
      </c>
      <c r="B218" s="352">
        <f>A218/1000</f>
        <v/>
      </c>
      <c r="C218" s="1047">
        <f>SQRT(1+(A218/pole1)^2)</f>
        <v/>
      </c>
      <c r="D218" s="1048">
        <f>ATAN(A218/pole1)</f>
        <v/>
      </c>
      <c r="E218" s="1048">
        <f>SQRT(1+(A218/Zero1)^2)</f>
        <v/>
      </c>
      <c r="F218" s="1049">
        <f>ATAN(A218/Zero1)</f>
        <v/>
      </c>
      <c r="G218" s="1048">
        <f>IF(VIN_nom&gt;Vout, 1, SQRT(1+(A218/z_RHP)^2))</f>
        <v/>
      </c>
      <c r="H218" s="1049">
        <f>IF(VIN_nom&gt;Vout, 0, -ATAN(A218/z_RHP))</f>
        <v/>
      </c>
      <c r="I218" s="1047">
        <f>SQRT(1+(A218/Pole2)^2)</f>
        <v/>
      </c>
      <c r="J218" s="1050">
        <f>ATAN(A218/Pole2)</f>
        <v/>
      </c>
      <c r="K218" s="1056">
        <f>SQRT(1+(A218/Zero2)^2)</f>
        <v/>
      </c>
      <c r="L218" s="1057">
        <f>ATAN(A218/Zero2)</f>
        <v/>
      </c>
      <c r="M218" s="1047">
        <f>SQRT(1+(A218/pole4)^2)</f>
        <v/>
      </c>
      <c r="N218" s="1057">
        <f>ATAN(A218/pole4)</f>
        <v/>
      </c>
      <c r="O218" s="1058">
        <f>IF(VOUT_setting=1,1,SQRT(1+(A218*zterm1)^2))</f>
        <v/>
      </c>
      <c r="P218" s="1059">
        <f>IF(VOUT_setting=1,0,ATAN(((A218*zterm1))))</f>
        <v/>
      </c>
      <c r="Q218" s="1056">
        <f>IF(VOUT_setting=1,1,SQRT((1+Afbr-$Q$5*(A218)^2)^2+(A218*$Q$4)^2))</f>
        <v/>
      </c>
      <c r="R218" s="1060">
        <f>IF(VOUT_setting=1,0,ATAN(A218*$Q$4/(1+Afbr-$Q$5*(A218)^2)))</f>
        <v/>
      </c>
      <c r="S218" s="1054">
        <f>SQRT((1-(Z218/pterm2))^2+(A218/pterm1)^2)</f>
        <v/>
      </c>
      <c r="T218" s="1055">
        <f>IF((ATAN((A218/pterm1)/(1-A218^2/pterm2))&gt;0),ATAN((A218/pterm1)/(1-A218^2/pterm2)),PI()+ATAN((A218/pterm1)/(1-A218^2/pterm2)))</f>
        <v/>
      </c>
      <c r="U218" s="331">
        <f>20*LOG10(((E218*K218*G218*O218)/(C218*I218*S218*M218*Q218))*Adc)</f>
        <v/>
      </c>
      <c r="V218" s="332">
        <f>((F218+L218+H218+P218)-(D218+J218+T218+N218+R218))*radconv</f>
        <v/>
      </c>
      <c r="W218" s="334">
        <f>IF(V218&gt;0,V218,V218+180)</f>
        <v/>
      </c>
      <c r="Y218" s="307">
        <f>IF(U218&lt;0,A218,1000000000)</f>
        <v/>
      </c>
      <c r="Z218" s="307">
        <f>A218^2</f>
        <v/>
      </c>
      <c r="AB218" s="333">
        <f>20*LOG10((K218/(I218*M218))*AEA)</f>
        <v/>
      </c>
      <c r="AC218" s="334">
        <f>(L218-(J218+N218))*radconv</f>
        <v/>
      </c>
      <c r="AE218" s="333">
        <f>20*LOG10((E218*G218/(C218*S218))*Acs*Am)</f>
        <v/>
      </c>
      <c r="AF218" s="334">
        <f>(F218+H218-(D218+T218))*radconv</f>
        <v/>
      </c>
      <c r="AH218">
        <f>SUM((U219&lt;0)*(U218&gt;0))*A218</f>
        <v/>
      </c>
      <c r="AI218">
        <f>IF(AH218&gt;0,W218,0)</f>
        <v/>
      </c>
    </row>
    <row r="219">
      <c r="A219" s="335" t="n">
        <v>12662.25</v>
      </c>
      <c r="B219" s="352">
        <f>A219/1000</f>
        <v/>
      </c>
      <c r="C219" s="1047">
        <f>SQRT(1+(A219/pole1)^2)</f>
        <v/>
      </c>
      <c r="D219" s="1048">
        <f>ATAN(A219/pole1)</f>
        <v/>
      </c>
      <c r="E219" s="1048">
        <f>SQRT(1+(A219/Zero1)^2)</f>
        <v/>
      </c>
      <c r="F219" s="1049">
        <f>ATAN(A219/Zero1)</f>
        <v/>
      </c>
      <c r="G219" s="1048">
        <f>IF(VIN_nom&gt;Vout, 1, SQRT(1+(A219/z_RHP)^2))</f>
        <v/>
      </c>
      <c r="H219" s="1049">
        <f>IF(VIN_nom&gt;Vout, 0, -ATAN(A219/z_RHP))</f>
        <v/>
      </c>
      <c r="I219" s="1047">
        <f>SQRT(1+(A219/Pole2)^2)</f>
        <v/>
      </c>
      <c r="J219" s="1050">
        <f>ATAN(A219/Pole2)</f>
        <v/>
      </c>
      <c r="K219" s="1056">
        <f>SQRT(1+(A219/Zero2)^2)</f>
        <v/>
      </c>
      <c r="L219" s="1057">
        <f>ATAN(A219/Zero2)</f>
        <v/>
      </c>
      <c r="M219" s="1047">
        <f>SQRT(1+(A219/pole4)^2)</f>
        <v/>
      </c>
      <c r="N219" s="1057">
        <f>ATAN(A219/pole4)</f>
        <v/>
      </c>
      <c r="O219" s="1058">
        <f>IF(VOUT_setting=1,1,SQRT(1+(A219*zterm1)^2))</f>
        <v/>
      </c>
      <c r="P219" s="1059">
        <f>IF(VOUT_setting=1,0,ATAN(((A219*zterm1))))</f>
        <v/>
      </c>
      <c r="Q219" s="1056">
        <f>IF(VOUT_setting=1,1,SQRT((1+Afbr-$Q$5*(A219)^2)^2+(A219*$Q$4)^2))</f>
        <v/>
      </c>
      <c r="R219" s="1060">
        <f>IF(VOUT_setting=1,0,ATAN(A219*$Q$4/(1+Afbr-$Q$5*(A219)^2)))</f>
        <v/>
      </c>
      <c r="S219" s="1054">
        <f>SQRT((1-(Z219/pterm2))^2+(A219/pterm1)^2)</f>
        <v/>
      </c>
      <c r="T219" s="1055">
        <f>IF((ATAN((A219/pterm1)/(1-A219^2/pterm2))&gt;0),ATAN((A219/pterm1)/(1-A219^2/pterm2)),PI()+ATAN((A219/pterm1)/(1-A219^2/pterm2)))</f>
        <v/>
      </c>
      <c r="U219" s="331">
        <f>20*LOG10(((E219*K219*G219*O219)/(C219*I219*S219*M219*Q219))*Adc)</f>
        <v/>
      </c>
      <c r="V219" s="332">
        <f>((F219+L219+H219+P219)-(D219+J219+T219+N219+R219))*radconv</f>
        <v/>
      </c>
      <c r="W219" s="334">
        <f>IF(V219&gt;0,V219,V219+180)</f>
        <v/>
      </c>
      <c r="Y219" s="307">
        <f>IF(U219&lt;0,A219,1000000000)</f>
        <v/>
      </c>
      <c r="Z219" s="307">
        <f>A219^2</f>
        <v/>
      </c>
      <c r="AB219" s="333">
        <f>20*LOG10((K219/(I219*M219))*AEA)</f>
        <v/>
      </c>
      <c r="AC219" s="334">
        <f>(L219-(J219+N219))*radconv</f>
        <v/>
      </c>
      <c r="AE219" s="333">
        <f>20*LOG10((E219*G219/(C219*S219))*Acs*Am)</f>
        <v/>
      </c>
      <c r="AF219" s="334">
        <f>(F219+H219-(D219+T219))*radconv</f>
        <v/>
      </c>
      <c r="AH219">
        <f>SUM((U220&lt;0)*(U219&gt;0))*A219</f>
        <v/>
      </c>
      <c r="AI219">
        <f>IF(AH219&gt;0,W219,0)</f>
        <v/>
      </c>
    </row>
    <row r="220">
      <c r="A220" s="335" t="n">
        <v>12735.5</v>
      </c>
      <c r="B220" s="352">
        <f>A220/1000</f>
        <v/>
      </c>
      <c r="C220" s="1047">
        <f>SQRT(1+(A220/pole1)^2)</f>
        <v/>
      </c>
      <c r="D220" s="1048">
        <f>ATAN(A220/pole1)</f>
        <v/>
      </c>
      <c r="E220" s="1048">
        <f>SQRT(1+(A220/Zero1)^2)</f>
        <v/>
      </c>
      <c r="F220" s="1049">
        <f>ATAN(A220/Zero1)</f>
        <v/>
      </c>
      <c r="G220" s="1048">
        <f>IF(VIN_nom&gt;Vout, 1, SQRT(1+(A220/z_RHP)^2))</f>
        <v/>
      </c>
      <c r="H220" s="1049">
        <f>IF(VIN_nom&gt;Vout, 0, -ATAN(A220/z_RHP))</f>
        <v/>
      </c>
      <c r="I220" s="1047">
        <f>SQRT(1+(A220/Pole2)^2)</f>
        <v/>
      </c>
      <c r="J220" s="1050">
        <f>ATAN(A220/Pole2)</f>
        <v/>
      </c>
      <c r="K220" s="1056">
        <f>SQRT(1+(A220/Zero2)^2)</f>
        <v/>
      </c>
      <c r="L220" s="1057">
        <f>ATAN(A220/Zero2)</f>
        <v/>
      </c>
      <c r="M220" s="1047">
        <f>SQRT(1+(A220/pole4)^2)</f>
        <v/>
      </c>
      <c r="N220" s="1057">
        <f>ATAN(A220/pole4)</f>
        <v/>
      </c>
      <c r="O220" s="1058">
        <f>IF(VOUT_setting=1,1,SQRT(1+(A220*zterm1)^2))</f>
        <v/>
      </c>
      <c r="P220" s="1059">
        <f>IF(VOUT_setting=1,0,ATAN(((A220*zterm1))))</f>
        <v/>
      </c>
      <c r="Q220" s="1056">
        <f>IF(VOUT_setting=1,1,SQRT((1+Afbr-$Q$5*(A220)^2)^2+(A220*$Q$4)^2))</f>
        <v/>
      </c>
      <c r="R220" s="1060">
        <f>IF(VOUT_setting=1,0,ATAN(A220*$Q$4/(1+Afbr-$Q$5*(A220)^2)))</f>
        <v/>
      </c>
      <c r="S220" s="1054">
        <f>SQRT((1-(Z220/pterm2))^2+(A220/pterm1)^2)</f>
        <v/>
      </c>
      <c r="T220" s="1055">
        <f>IF((ATAN((A220/pterm1)/(1-A220^2/pterm2))&gt;0),ATAN((A220/pterm1)/(1-A220^2/pterm2)),PI()+ATAN((A220/pterm1)/(1-A220^2/pterm2)))</f>
        <v/>
      </c>
      <c r="U220" s="331">
        <f>20*LOG10(((E220*K220*G220*O220)/(C220*I220*S220*M220*Q220))*Adc)</f>
        <v/>
      </c>
      <c r="V220" s="332">
        <f>((F220+L220+H220+P220)-(D220+J220+T220+N220+R220))*radconv</f>
        <v/>
      </c>
      <c r="W220" s="334">
        <f>IF(V220&gt;0,V220,V220+180)</f>
        <v/>
      </c>
      <c r="Y220" s="307">
        <f>IF(U220&lt;0,A220,1000000000)</f>
        <v/>
      </c>
      <c r="Z220" s="307">
        <f>A220^2</f>
        <v/>
      </c>
      <c r="AB220" s="333">
        <f>20*LOG10((K220/(I220*M220))*AEA)</f>
        <v/>
      </c>
      <c r="AC220" s="334">
        <f>(L220-(J220+N220))*radconv</f>
        <v/>
      </c>
      <c r="AE220" s="333">
        <f>20*LOG10((E220*G220/(C220*S220))*Acs*Am)</f>
        <v/>
      </c>
      <c r="AF220" s="334">
        <f>(F220+H220-(D220+T220))*radconv</f>
        <v/>
      </c>
      <c r="AH220">
        <f>SUM((U221&lt;0)*(U220&gt;0))*A220</f>
        <v/>
      </c>
      <c r="AI220">
        <f>IF(AH220&gt;0,W220,0)</f>
        <v/>
      </c>
    </row>
    <row r="221">
      <c r="A221" s="335" t="n">
        <v>12808.75</v>
      </c>
      <c r="B221" s="352">
        <f>A221/1000</f>
        <v/>
      </c>
      <c r="C221" s="1047">
        <f>SQRT(1+(A221/pole1)^2)</f>
        <v/>
      </c>
      <c r="D221" s="1048">
        <f>ATAN(A221/pole1)</f>
        <v/>
      </c>
      <c r="E221" s="1048">
        <f>SQRT(1+(A221/Zero1)^2)</f>
        <v/>
      </c>
      <c r="F221" s="1049">
        <f>ATAN(A221/Zero1)</f>
        <v/>
      </c>
      <c r="G221" s="1048">
        <f>IF(VIN_nom&gt;Vout, 1, SQRT(1+(A221/z_RHP)^2))</f>
        <v/>
      </c>
      <c r="H221" s="1049">
        <f>IF(VIN_nom&gt;Vout, 0, -ATAN(A221/z_RHP))</f>
        <v/>
      </c>
      <c r="I221" s="1047">
        <f>SQRT(1+(A221/Pole2)^2)</f>
        <v/>
      </c>
      <c r="J221" s="1050">
        <f>ATAN(A221/Pole2)</f>
        <v/>
      </c>
      <c r="K221" s="1056">
        <f>SQRT(1+(A221/Zero2)^2)</f>
        <v/>
      </c>
      <c r="L221" s="1057">
        <f>ATAN(A221/Zero2)</f>
        <v/>
      </c>
      <c r="M221" s="1047">
        <f>SQRT(1+(A221/pole4)^2)</f>
        <v/>
      </c>
      <c r="N221" s="1057">
        <f>ATAN(A221/pole4)</f>
        <v/>
      </c>
      <c r="O221" s="1058">
        <f>IF(VOUT_setting=1,1,SQRT(1+(A221*zterm1)^2))</f>
        <v/>
      </c>
      <c r="P221" s="1059">
        <f>IF(VOUT_setting=1,0,ATAN(((A221*zterm1))))</f>
        <v/>
      </c>
      <c r="Q221" s="1056">
        <f>IF(VOUT_setting=1,1,SQRT((1+Afbr-$Q$5*(A221)^2)^2+(A221*$Q$4)^2))</f>
        <v/>
      </c>
      <c r="R221" s="1060">
        <f>IF(VOUT_setting=1,0,ATAN(A221*$Q$4/(1+Afbr-$Q$5*(A221)^2)))</f>
        <v/>
      </c>
      <c r="S221" s="1054">
        <f>SQRT((1-(Z221/pterm2))^2+(A221/pterm1)^2)</f>
        <v/>
      </c>
      <c r="T221" s="1055">
        <f>IF((ATAN((A221/pterm1)/(1-A221^2/pterm2))&gt;0),ATAN((A221/pterm1)/(1-A221^2/pterm2)),PI()+ATAN((A221/pterm1)/(1-A221^2/pterm2)))</f>
        <v/>
      </c>
      <c r="U221" s="331">
        <f>20*LOG10(((E221*K221*G221*O221)/(C221*I221*S221*M221*Q221))*Adc)</f>
        <v/>
      </c>
      <c r="V221" s="332">
        <f>((F221+L221+H221+P221)-(D221+J221+T221+N221+R221))*radconv</f>
        <v/>
      </c>
      <c r="W221" s="334">
        <f>IF(V221&gt;0,V221,V221+180)</f>
        <v/>
      </c>
      <c r="Y221" s="307">
        <f>IF(U221&lt;0,A221,1000000000)</f>
        <v/>
      </c>
      <c r="Z221" s="307">
        <f>A221^2</f>
        <v/>
      </c>
      <c r="AB221" s="333">
        <f>20*LOG10((K221/(I221*M221))*AEA)</f>
        <v/>
      </c>
      <c r="AC221" s="334">
        <f>(L221-(J221+N221))*radconv</f>
        <v/>
      </c>
      <c r="AE221" s="333">
        <f>20*LOG10((E221*G221/(C221*S221))*Acs*Am)</f>
        <v/>
      </c>
      <c r="AF221" s="334">
        <f>(F221+H221-(D221+T221))*radconv</f>
        <v/>
      </c>
      <c r="AH221">
        <f>SUM((U222&lt;0)*(U221&gt;0))*A221</f>
        <v/>
      </c>
      <c r="AI221">
        <f>IF(AH221&gt;0,W221,0)</f>
        <v/>
      </c>
    </row>
    <row r="222">
      <c r="A222" s="335" t="n">
        <v>12882</v>
      </c>
      <c r="B222" s="352">
        <f>A222/1000</f>
        <v/>
      </c>
      <c r="C222" s="1047">
        <f>SQRT(1+(A222/pole1)^2)</f>
        <v/>
      </c>
      <c r="D222" s="1048">
        <f>ATAN(A222/pole1)</f>
        <v/>
      </c>
      <c r="E222" s="1048">
        <f>SQRT(1+(A222/Zero1)^2)</f>
        <v/>
      </c>
      <c r="F222" s="1049">
        <f>ATAN(A222/Zero1)</f>
        <v/>
      </c>
      <c r="G222" s="1048">
        <f>IF(VIN_nom&gt;Vout, 1, SQRT(1+(A222/z_RHP)^2))</f>
        <v/>
      </c>
      <c r="H222" s="1049">
        <f>IF(VIN_nom&gt;Vout, 0, -ATAN(A222/z_RHP))</f>
        <v/>
      </c>
      <c r="I222" s="1047">
        <f>SQRT(1+(A222/Pole2)^2)</f>
        <v/>
      </c>
      <c r="J222" s="1050">
        <f>ATAN(A222/Pole2)</f>
        <v/>
      </c>
      <c r="K222" s="1056">
        <f>SQRT(1+(A222/Zero2)^2)</f>
        <v/>
      </c>
      <c r="L222" s="1057">
        <f>ATAN(A222/Zero2)</f>
        <v/>
      </c>
      <c r="M222" s="1047">
        <f>SQRT(1+(A222/pole4)^2)</f>
        <v/>
      </c>
      <c r="N222" s="1057">
        <f>ATAN(A222/pole4)</f>
        <v/>
      </c>
      <c r="O222" s="1058">
        <f>IF(VOUT_setting=1,1,SQRT(1+(A222*zterm1)^2))</f>
        <v/>
      </c>
      <c r="P222" s="1059">
        <f>IF(VOUT_setting=1,0,ATAN(((A222*zterm1))))</f>
        <v/>
      </c>
      <c r="Q222" s="1056">
        <f>IF(VOUT_setting=1,1,SQRT((1+Afbr-$Q$5*(A222)^2)^2+(A222*$Q$4)^2))</f>
        <v/>
      </c>
      <c r="R222" s="1060">
        <f>IF(VOUT_setting=1,0,ATAN(A222*$Q$4/(1+Afbr-$Q$5*(A222)^2)))</f>
        <v/>
      </c>
      <c r="S222" s="1054">
        <f>SQRT((1-(Z222/pterm2))^2+(A222/pterm1)^2)</f>
        <v/>
      </c>
      <c r="T222" s="1055">
        <f>IF((ATAN((A222/pterm1)/(1-A222^2/pterm2))&gt;0),ATAN((A222/pterm1)/(1-A222^2/pterm2)),PI()+ATAN((A222/pterm1)/(1-A222^2/pterm2)))</f>
        <v/>
      </c>
      <c r="U222" s="331">
        <f>20*LOG10(((E222*K222*G222*O222)/(C222*I222*S222*M222*Q222))*Adc)</f>
        <v/>
      </c>
      <c r="V222" s="332">
        <f>((F222+L222+H222+P222)-(D222+J222+T222+N222+R222))*radconv</f>
        <v/>
      </c>
      <c r="W222" s="334">
        <f>IF(V222&gt;0,V222,V222+180)</f>
        <v/>
      </c>
      <c r="Y222" s="307">
        <f>IF(U222&lt;0,A222,1000000000)</f>
        <v/>
      </c>
      <c r="Z222" s="307">
        <f>A222^2</f>
        <v/>
      </c>
      <c r="AB222" s="333">
        <f>20*LOG10((K222/(I222*M222))*AEA)</f>
        <v/>
      </c>
      <c r="AC222" s="334">
        <f>(L222-(J222+N222))*radconv</f>
        <v/>
      </c>
      <c r="AE222" s="333">
        <f>20*LOG10((E222*G222/(C222*S222))*Acs*Am)</f>
        <v/>
      </c>
      <c r="AF222" s="334">
        <f>(F222+H222-(D222+T222))*radconv</f>
        <v/>
      </c>
      <c r="AH222">
        <f>SUM((U223&lt;0)*(U222&gt;0))*A222</f>
        <v/>
      </c>
      <c r="AI222">
        <f>IF(AH222&gt;0,W222,0)</f>
        <v/>
      </c>
    </row>
    <row r="223">
      <c r="A223" s="335" t="n">
        <v>12957.25</v>
      </c>
      <c r="B223" s="352">
        <f>A223/1000</f>
        <v/>
      </c>
      <c r="C223" s="1047">
        <f>SQRT(1+(A223/pole1)^2)</f>
        <v/>
      </c>
      <c r="D223" s="1048">
        <f>ATAN(A223/pole1)</f>
        <v/>
      </c>
      <c r="E223" s="1048">
        <f>SQRT(1+(A223/Zero1)^2)</f>
        <v/>
      </c>
      <c r="F223" s="1049">
        <f>ATAN(A223/Zero1)</f>
        <v/>
      </c>
      <c r="G223" s="1048">
        <f>IF(VIN_nom&gt;Vout, 1, SQRT(1+(A223/z_RHP)^2))</f>
        <v/>
      </c>
      <c r="H223" s="1049">
        <f>IF(VIN_nom&gt;Vout, 0, -ATAN(A223/z_RHP))</f>
        <v/>
      </c>
      <c r="I223" s="1047">
        <f>SQRT(1+(A223/Pole2)^2)</f>
        <v/>
      </c>
      <c r="J223" s="1050">
        <f>ATAN(A223/Pole2)</f>
        <v/>
      </c>
      <c r="K223" s="1056">
        <f>SQRT(1+(A223/Zero2)^2)</f>
        <v/>
      </c>
      <c r="L223" s="1057">
        <f>ATAN(A223/Zero2)</f>
        <v/>
      </c>
      <c r="M223" s="1047">
        <f>SQRT(1+(A223/pole4)^2)</f>
        <v/>
      </c>
      <c r="N223" s="1057">
        <f>ATAN(A223/pole4)</f>
        <v/>
      </c>
      <c r="O223" s="1058">
        <f>IF(VOUT_setting=1,1,SQRT(1+(A223*zterm1)^2))</f>
        <v/>
      </c>
      <c r="P223" s="1059">
        <f>IF(VOUT_setting=1,0,ATAN(((A223*zterm1))))</f>
        <v/>
      </c>
      <c r="Q223" s="1056">
        <f>IF(VOUT_setting=1,1,SQRT((1+Afbr-$Q$5*(A223)^2)^2+(A223*$Q$4)^2))</f>
        <v/>
      </c>
      <c r="R223" s="1060">
        <f>IF(VOUT_setting=1,0,ATAN(A223*$Q$4/(1+Afbr-$Q$5*(A223)^2)))</f>
        <v/>
      </c>
      <c r="S223" s="1054">
        <f>SQRT((1-(Z223/pterm2))^2+(A223/pterm1)^2)</f>
        <v/>
      </c>
      <c r="T223" s="1055">
        <f>IF((ATAN((A223/pterm1)/(1-A223^2/pterm2))&gt;0),ATAN((A223/pterm1)/(1-A223^2/pterm2)),PI()+ATAN((A223/pterm1)/(1-A223^2/pterm2)))</f>
        <v/>
      </c>
      <c r="U223" s="331">
        <f>20*LOG10(((E223*K223*G223*O223)/(C223*I223*S223*M223*Q223))*Adc)</f>
        <v/>
      </c>
      <c r="V223" s="332">
        <f>((F223+L223+H223+P223)-(D223+J223+T223+N223+R223))*radconv</f>
        <v/>
      </c>
      <c r="W223" s="334">
        <f>IF(V223&gt;0,V223,V223+180)</f>
        <v/>
      </c>
      <c r="Y223" s="307">
        <f>IF(U223&lt;0,A223,1000000000)</f>
        <v/>
      </c>
      <c r="Z223" s="307">
        <f>A223^2</f>
        <v/>
      </c>
      <c r="AB223" s="333">
        <f>20*LOG10((K223/(I223*M223))*AEA)</f>
        <v/>
      </c>
      <c r="AC223" s="334">
        <f>(L223-(J223+N223))*radconv</f>
        <v/>
      </c>
      <c r="AE223" s="333">
        <f>20*LOG10((E223*G223/(C223*S223))*Acs*Am)</f>
        <v/>
      </c>
      <c r="AF223" s="334">
        <f>(F223+H223-(D223+T223))*radconv</f>
        <v/>
      </c>
      <c r="AH223">
        <f>SUM((U224&lt;0)*(U223&gt;0))*A223</f>
        <v/>
      </c>
      <c r="AI223">
        <f>IF(AH223&gt;0,W223,0)</f>
        <v/>
      </c>
    </row>
    <row r="224">
      <c r="A224" s="335" t="n">
        <v>13032.5</v>
      </c>
      <c r="B224" s="352">
        <f>A224/1000</f>
        <v/>
      </c>
      <c r="C224" s="1047">
        <f>SQRT(1+(A224/pole1)^2)</f>
        <v/>
      </c>
      <c r="D224" s="1048">
        <f>ATAN(A224/pole1)</f>
        <v/>
      </c>
      <c r="E224" s="1048">
        <f>SQRT(1+(A224/Zero1)^2)</f>
        <v/>
      </c>
      <c r="F224" s="1049">
        <f>ATAN(A224/Zero1)</f>
        <v/>
      </c>
      <c r="G224" s="1048">
        <f>IF(VIN_nom&gt;Vout, 1, SQRT(1+(A224/z_RHP)^2))</f>
        <v/>
      </c>
      <c r="H224" s="1049">
        <f>IF(VIN_nom&gt;Vout, 0, -ATAN(A224/z_RHP))</f>
        <v/>
      </c>
      <c r="I224" s="1047">
        <f>SQRT(1+(A224/Pole2)^2)</f>
        <v/>
      </c>
      <c r="J224" s="1050">
        <f>ATAN(A224/Pole2)</f>
        <v/>
      </c>
      <c r="K224" s="1056">
        <f>SQRT(1+(A224/Zero2)^2)</f>
        <v/>
      </c>
      <c r="L224" s="1057">
        <f>ATAN(A224/Zero2)</f>
        <v/>
      </c>
      <c r="M224" s="1047">
        <f>SQRT(1+(A224/pole4)^2)</f>
        <v/>
      </c>
      <c r="N224" s="1057">
        <f>ATAN(A224/pole4)</f>
        <v/>
      </c>
      <c r="O224" s="1058">
        <f>IF(VOUT_setting=1,1,SQRT(1+(A224*zterm1)^2))</f>
        <v/>
      </c>
      <c r="P224" s="1059">
        <f>IF(VOUT_setting=1,0,ATAN(((A224*zterm1))))</f>
        <v/>
      </c>
      <c r="Q224" s="1056">
        <f>IF(VOUT_setting=1,1,SQRT((1+Afbr-$Q$5*(A224)^2)^2+(A224*$Q$4)^2))</f>
        <v/>
      </c>
      <c r="R224" s="1060">
        <f>IF(VOUT_setting=1,0,ATAN(A224*$Q$4/(1+Afbr-$Q$5*(A224)^2)))</f>
        <v/>
      </c>
      <c r="S224" s="1054">
        <f>SQRT((1-(Z224/pterm2))^2+(A224/pterm1)^2)</f>
        <v/>
      </c>
      <c r="T224" s="1055">
        <f>IF((ATAN((A224/pterm1)/(1-A224^2/pterm2))&gt;0),ATAN((A224/pterm1)/(1-A224^2/pterm2)),PI()+ATAN((A224/pterm1)/(1-A224^2/pterm2)))</f>
        <v/>
      </c>
      <c r="U224" s="331">
        <f>20*LOG10(((E224*K224*G224*O224)/(C224*I224*S224*M224*Q224))*Adc)</f>
        <v/>
      </c>
      <c r="V224" s="332">
        <f>((F224+L224+H224+P224)-(D224+J224+T224+N224+R224))*radconv</f>
        <v/>
      </c>
      <c r="W224" s="334">
        <f>IF(V224&gt;0,V224,V224+180)</f>
        <v/>
      </c>
      <c r="Y224" s="307">
        <f>IF(U224&lt;0,A224,1000000000)</f>
        <v/>
      </c>
      <c r="Z224" s="307">
        <f>A224^2</f>
        <v/>
      </c>
      <c r="AB224" s="333">
        <f>20*LOG10((K224/(I224*M224))*AEA)</f>
        <v/>
      </c>
      <c r="AC224" s="334">
        <f>(L224-(J224+N224))*radconv</f>
        <v/>
      </c>
      <c r="AE224" s="333">
        <f>20*LOG10((E224*G224/(C224*S224))*Acs*Am)</f>
        <v/>
      </c>
      <c r="AF224" s="334">
        <f>(F224+H224-(D224+T224))*radconv</f>
        <v/>
      </c>
      <c r="AH224">
        <f>SUM((U225&lt;0)*(U224&gt;0))*A224</f>
        <v/>
      </c>
      <c r="AI224">
        <f>IF(AH224&gt;0,W224,0)</f>
        <v/>
      </c>
    </row>
    <row r="225">
      <c r="A225" s="335" t="n">
        <v>13107.75</v>
      </c>
      <c r="B225" s="352">
        <f>A225/1000</f>
        <v/>
      </c>
      <c r="C225" s="1047">
        <f>SQRT(1+(A225/pole1)^2)</f>
        <v/>
      </c>
      <c r="D225" s="1048">
        <f>ATAN(A225/pole1)</f>
        <v/>
      </c>
      <c r="E225" s="1048">
        <f>SQRT(1+(A225/Zero1)^2)</f>
        <v/>
      </c>
      <c r="F225" s="1049">
        <f>ATAN(A225/Zero1)</f>
        <v/>
      </c>
      <c r="G225" s="1048">
        <f>IF(VIN_nom&gt;Vout, 1, SQRT(1+(A225/z_RHP)^2))</f>
        <v/>
      </c>
      <c r="H225" s="1049">
        <f>IF(VIN_nom&gt;Vout, 0, -ATAN(A225/z_RHP))</f>
        <v/>
      </c>
      <c r="I225" s="1047">
        <f>SQRT(1+(A225/Pole2)^2)</f>
        <v/>
      </c>
      <c r="J225" s="1050">
        <f>ATAN(A225/Pole2)</f>
        <v/>
      </c>
      <c r="K225" s="1056">
        <f>SQRT(1+(A225/Zero2)^2)</f>
        <v/>
      </c>
      <c r="L225" s="1057">
        <f>ATAN(A225/Zero2)</f>
        <v/>
      </c>
      <c r="M225" s="1047">
        <f>SQRT(1+(A225/pole4)^2)</f>
        <v/>
      </c>
      <c r="N225" s="1057">
        <f>ATAN(A225/pole4)</f>
        <v/>
      </c>
      <c r="O225" s="1058">
        <f>IF(VOUT_setting=1,1,SQRT(1+(A225*zterm1)^2))</f>
        <v/>
      </c>
      <c r="P225" s="1059">
        <f>IF(VOUT_setting=1,0,ATAN(((A225*zterm1))))</f>
        <v/>
      </c>
      <c r="Q225" s="1056">
        <f>IF(VOUT_setting=1,1,SQRT((1+Afbr-$Q$5*(A225)^2)^2+(A225*$Q$4)^2))</f>
        <v/>
      </c>
      <c r="R225" s="1060">
        <f>IF(VOUT_setting=1,0,ATAN(A225*$Q$4/(1+Afbr-$Q$5*(A225)^2)))</f>
        <v/>
      </c>
      <c r="S225" s="1054">
        <f>SQRT((1-(Z225/pterm2))^2+(A225/pterm1)^2)</f>
        <v/>
      </c>
      <c r="T225" s="1055">
        <f>IF((ATAN((A225/pterm1)/(1-A225^2/pterm2))&gt;0),ATAN((A225/pterm1)/(1-A225^2/pterm2)),PI()+ATAN((A225/pterm1)/(1-A225^2/pterm2)))</f>
        <v/>
      </c>
      <c r="U225" s="331">
        <f>20*LOG10(((E225*K225*G225*O225)/(C225*I225*S225*M225*Q225))*Adc)</f>
        <v/>
      </c>
      <c r="V225" s="332">
        <f>((F225+L225+H225+P225)-(D225+J225+T225+N225+R225))*radconv</f>
        <v/>
      </c>
      <c r="W225" s="334">
        <f>IF(V225&gt;0,V225,V225+180)</f>
        <v/>
      </c>
      <c r="Y225" s="307">
        <f>IF(U225&lt;0,A225,1000000000)</f>
        <v/>
      </c>
      <c r="Z225" s="307">
        <f>A225^2</f>
        <v/>
      </c>
      <c r="AB225" s="333">
        <f>20*LOG10((K225/(I225*M225))*AEA)</f>
        <v/>
      </c>
      <c r="AC225" s="334">
        <f>(L225-(J225+N225))*radconv</f>
        <v/>
      </c>
      <c r="AE225" s="333">
        <f>20*LOG10((E225*G225/(C225*S225))*Acs*Am)</f>
        <v/>
      </c>
      <c r="AF225" s="334">
        <f>(F225+H225-(D225+T225))*radconv</f>
        <v/>
      </c>
      <c r="AH225">
        <f>SUM((U226&lt;0)*(U225&gt;0))*A225</f>
        <v/>
      </c>
      <c r="AI225">
        <f>IF(AH225&gt;0,W225,0)</f>
        <v/>
      </c>
    </row>
    <row r="226">
      <c r="A226" s="335" t="n">
        <v>13183</v>
      </c>
      <c r="B226" s="352">
        <f>A226/1000</f>
        <v/>
      </c>
      <c r="C226" s="1047">
        <f>SQRT(1+(A226/pole1)^2)</f>
        <v/>
      </c>
      <c r="D226" s="1048">
        <f>ATAN(A226/pole1)</f>
        <v/>
      </c>
      <c r="E226" s="1048">
        <f>SQRT(1+(A226/Zero1)^2)</f>
        <v/>
      </c>
      <c r="F226" s="1049">
        <f>ATAN(A226/Zero1)</f>
        <v/>
      </c>
      <c r="G226" s="1048">
        <f>IF(VIN_nom&gt;Vout, 1, SQRT(1+(A226/z_RHP)^2))</f>
        <v/>
      </c>
      <c r="H226" s="1049">
        <f>IF(VIN_nom&gt;Vout, 0, -ATAN(A226/z_RHP))</f>
        <v/>
      </c>
      <c r="I226" s="1047">
        <f>SQRT(1+(A226/Pole2)^2)</f>
        <v/>
      </c>
      <c r="J226" s="1050">
        <f>ATAN(A226/Pole2)</f>
        <v/>
      </c>
      <c r="K226" s="1056">
        <f>SQRT(1+(A226/Zero2)^2)</f>
        <v/>
      </c>
      <c r="L226" s="1057">
        <f>ATAN(A226/Zero2)</f>
        <v/>
      </c>
      <c r="M226" s="1047">
        <f>SQRT(1+(A226/pole4)^2)</f>
        <v/>
      </c>
      <c r="N226" s="1057">
        <f>ATAN(A226/pole4)</f>
        <v/>
      </c>
      <c r="O226" s="1058">
        <f>IF(VOUT_setting=1,1,SQRT(1+(A226*zterm1)^2))</f>
        <v/>
      </c>
      <c r="P226" s="1059">
        <f>IF(VOUT_setting=1,0,ATAN(((A226*zterm1))))</f>
        <v/>
      </c>
      <c r="Q226" s="1056">
        <f>IF(VOUT_setting=1,1,SQRT((1+Afbr-$Q$5*(A226)^2)^2+(A226*$Q$4)^2))</f>
        <v/>
      </c>
      <c r="R226" s="1060">
        <f>IF(VOUT_setting=1,0,ATAN(A226*$Q$4/(1+Afbr-$Q$5*(A226)^2)))</f>
        <v/>
      </c>
      <c r="S226" s="1054">
        <f>SQRT((1-(Z226/pterm2))^2+(A226/pterm1)^2)</f>
        <v/>
      </c>
      <c r="T226" s="1055">
        <f>IF((ATAN((A226/pterm1)/(1-A226^2/pterm2))&gt;0),ATAN((A226/pterm1)/(1-A226^2/pterm2)),PI()+ATAN((A226/pterm1)/(1-A226^2/pterm2)))</f>
        <v/>
      </c>
      <c r="U226" s="331">
        <f>20*LOG10(((E226*K226*G226*O226)/(C226*I226*S226*M226*Q226))*Adc)</f>
        <v/>
      </c>
      <c r="V226" s="332">
        <f>((F226+L226+H226+P226)-(D226+J226+T226+N226+R226))*radconv</f>
        <v/>
      </c>
      <c r="W226" s="334">
        <f>IF(V226&gt;0,V226,V226+180)</f>
        <v/>
      </c>
      <c r="Y226" s="307">
        <f>IF(U226&lt;0,A226,1000000000)</f>
        <v/>
      </c>
      <c r="Z226" s="307">
        <f>A226^2</f>
        <v/>
      </c>
      <c r="AB226" s="333">
        <f>20*LOG10((K226/(I226*M226))*AEA)</f>
        <v/>
      </c>
      <c r="AC226" s="334">
        <f>(L226-(J226+N226))*radconv</f>
        <v/>
      </c>
      <c r="AE226" s="333">
        <f>20*LOG10((E226*G226/(C226*S226))*Acs*Am)</f>
        <v/>
      </c>
      <c r="AF226" s="334">
        <f>(F226+H226-(D226+T226))*radconv</f>
        <v/>
      </c>
      <c r="AH226">
        <f>SUM((U227&lt;0)*(U226&gt;0))*A226</f>
        <v/>
      </c>
      <c r="AI226">
        <f>IF(AH226&gt;0,W226,0)</f>
        <v/>
      </c>
    </row>
    <row r="227">
      <c r="A227" s="335" t="n">
        <v>13259.75</v>
      </c>
      <c r="B227" s="352">
        <f>A227/1000</f>
        <v/>
      </c>
      <c r="C227" s="1047">
        <f>SQRT(1+(A227/pole1)^2)</f>
        <v/>
      </c>
      <c r="D227" s="1048">
        <f>ATAN(A227/pole1)</f>
        <v/>
      </c>
      <c r="E227" s="1048">
        <f>SQRT(1+(A227/Zero1)^2)</f>
        <v/>
      </c>
      <c r="F227" s="1049">
        <f>ATAN(A227/Zero1)</f>
        <v/>
      </c>
      <c r="G227" s="1048">
        <f>IF(VIN_nom&gt;Vout, 1, SQRT(1+(A227/z_RHP)^2))</f>
        <v/>
      </c>
      <c r="H227" s="1049">
        <f>IF(VIN_nom&gt;Vout, 0, -ATAN(A227/z_RHP))</f>
        <v/>
      </c>
      <c r="I227" s="1047">
        <f>SQRT(1+(A227/Pole2)^2)</f>
        <v/>
      </c>
      <c r="J227" s="1050">
        <f>ATAN(A227/Pole2)</f>
        <v/>
      </c>
      <c r="K227" s="1056">
        <f>SQRT(1+(A227/Zero2)^2)</f>
        <v/>
      </c>
      <c r="L227" s="1057">
        <f>ATAN(A227/Zero2)</f>
        <v/>
      </c>
      <c r="M227" s="1047">
        <f>SQRT(1+(A227/pole4)^2)</f>
        <v/>
      </c>
      <c r="N227" s="1057">
        <f>ATAN(A227/pole4)</f>
        <v/>
      </c>
      <c r="O227" s="1058">
        <f>IF(VOUT_setting=1,1,SQRT(1+(A227*zterm1)^2))</f>
        <v/>
      </c>
      <c r="P227" s="1059">
        <f>IF(VOUT_setting=1,0,ATAN(((A227*zterm1))))</f>
        <v/>
      </c>
      <c r="Q227" s="1056">
        <f>IF(VOUT_setting=1,1,SQRT((1+Afbr-$Q$5*(A227)^2)^2+(A227*$Q$4)^2))</f>
        <v/>
      </c>
      <c r="R227" s="1060">
        <f>IF(VOUT_setting=1,0,ATAN(A227*$Q$4/(1+Afbr-$Q$5*(A227)^2)))</f>
        <v/>
      </c>
      <c r="S227" s="1054">
        <f>SQRT((1-(Z227/pterm2))^2+(A227/pterm1)^2)</f>
        <v/>
      </c>
      <c r="T227" s="1055">
        <f>IF((ATAN((A227/pterm1)/(1-A227^2/pterm2))&gt;0),ATAN((A227/pterm1)/(1-A227^2/pterm2)),PI()+ATAN((A227/pterm1)/(1-A227^2/pterm2)))</f>
        <v/>
      </c>
      <c r="U227" s="331">
        <f>20*LOG10(((E227*K227*G227*O227)/(C227*I227*S227*M227*Q227))*Adc)</f>
        <v/>
      </c>
      <c r="V227" s="332">
        <f>((F227+L227+H227+P227)-(D227+J227+T227+N227+R227))*radconv</f>
        <v/>
      </c>
      <c r="W227" s="334">
        <f>IF(V227&gt;0,V227,V227+180)</f>
        <v/>
      </c>
      <c r="Y227" s="307">
        <f>IF(U227&lt;0,A227,1000000000)</f>
        <v/>
      </c>
      <c r="Z227" s="307">
        <f>A227^2</f>
        <v/>
      </c>
      <c r="AB227" s="333">
        <f>20*LOG10((K227/(I227*M227))*AEA)</f>
        <v/>
      </c>
      <c r="AC227" s="334">
        <f>(L227-(J227+N227))*radconv</f>
        <v/>
      </c>
      <c r="AE227" s="333">
        <f>20*LOG10((E227*G227/(C227*S227))*Acs*Am)</f>
        <v/>
      </c>
      <c r="AF227" s="334">
        <f>(F227+H227-(D227+T227))*radconv</f>
        <v/>
      </c>
      <c r="AH227">
        <f>SUM((U228&lt;0)*(U227&gt;0))*A227</f>
        <v/>
      </c>
      <c r="AI227">
        <f>IF(AH227&gt;0,W227,0)</f>
        <v/>
      </c>
    </row>
    <row r="228">
      <c r="A228" s="335" t="n">
        <v>13336.5</v>
      </c>
      <c r="B228" s="352">
        <f>A228/1000</f>
        <v/>
      </c>
      <c r="C228" s="1047">
        <f>SQRT(1+(A228/pole1)^2)</f>
        <v/>
      </c>
      <c r="D228" s="1048">
        <f>ATAN(A228/pole1)</f>
        <v/>
      </c>
      <c r="E228" s="1048">
        <f>SQRT(1+(A228/Zero1)^2)</f>
        <v/>
      </c>
      <c r="F228" s="1049">
        <f>ATAN(A228/Zero1)</f>
        <v/>
      </c>
      <c r="G228" s="1048">
        <f>IF(VIN_nom&gt;Vout, 1, SQRT(1+(A228/z_RHP)^2))</f>
        <v/>
      </c>
      <c r="H228" s="1049">
        <f>IF(VIN_nom&gt;Vout, 0, -ATAN(A228/z_RHP))</f>
        <v/>
      </c>
      <c r="I228" s="1047">
        <f>SQRT(1+(A228/Pole2)^2)</f>
        <v/>
      </c>
      <c r="J228" s="1050">
        <f>ATAN(A228/Pole2)</f>
        <v/>
      </c>
      <c r="K228" s="1056">
        <f>SQRT(1+(A228/Zero2)^2)</f>
        <v/>
      </c>
      <c r="L228" s="1057">
        <f>ATAN(A228/Zero2)</f>
        <v/>
      </c>
      <c r="M228" s="1047">
        <f>SQRT(1+(A228/pole4)^2)</f>
        <v/>
      </c>
      <c r="N228" s="1057">
        <f>ATAN(A228/pole4)</f>
        <v/>
      </c>
      <c r="O228" s="1058">
        <f>IF(VOUT_setting=1,1,SQRT(1+(A228*zterm1)^2))</f>
        <v/>
      </c>
      <c r="P228" s="1059">
        <f>IF(VOUT_setting=1,0,ATAN(((A228*zterm1))))</f>
        <v/>
      </c>
      <c r="Q228" s="1056">
        <f>IF(VOUT_setting=1,1,SQRT((1+Afbr-$Q$5*(A228)^2)^2+(A228*$Q$4)^2))</f>
        <v/>
      </c>
      <c r="R228" s="1060">
        <f>IF(VOUT_setting=1,0,ATAN(A228*$Q$4/(1+Afbr-$Q$5*(A228)^2)))</f>
        <v/>
      </c>
      <c r="S228" s="1054">
        <f>SQRT((1-(Z228/pterm2))^2+(A228/pterm1)^2)</f>
        <v/>
      </c>
      <c r="T228" s="1055">
        <f>IF((ATAN((A228/pterm1)/(1-A228^2/pterm2))&gt;0),ATAN((A228/pterm1)/(1-A228^2/pterm2)),PI()+ATAN((A228/pterm1)/(1-A228^2/pterm2)))</f>
        <v/>
      </c>
      <c r="U228" s="331">
        <f>20*LOG10(((E228*K228*G228*O228)/(C228*I228*S228*M228*Q228))*Adc)</f>
        <v/>
      </c>
      <c r="V228" s="332">
        <f>((F228+L228+H228+P228)-(D228+J228+T228+N228+R228))*radconv</f>
        <v/>
      </c>
      <c r="W228" s="334">
        <f>IF(V228&gt;0,V228,V228+180)</f>
        <v/>
      </c>
      <c r="Y228" s="307">
        <f>IF(U228&lt;0,A228,1000000000)</f>
        <v/>
      </c>
      <c r="Z228" s="307">
        <f>A228^2</f>
        <v/>
      </c>
      <c r="AB228" s="333">
        <f>20*LOG10((K228/(I228*M228))*AEA)</f>
        <v/>
      </c>
      <c r="AC228" s="334">
        <f>(L228-(J228+N228))*radconv</f>
        <v/>
      </c>
      <c r="AE228" s="333">
        <f>20*LOG10((E228*G228/(C228*S228))*Acs*Am)</f>
        <v/>
      </c>
      <c r="AF228" s="334">
        <f>(F228+H228-(D228+T228))*radconv</f>
        <v/>
      </c>
      <c r="AH228">
        <f>SUM((U229&lt;0)*(U228&gt;0))*A228</f>
        <v/>
      </c>
      <c r="AI228">
        <f>IF(AH228&gt;0,W228,0)</f>
        <v/>
      </c>
    </row>
    <row r="229">
      <c r="A229" s="335" t="n">
        <v>13413.25</v>
      </c>
      <c r="B229" s="352">
        <f>A229/1000</f>
        <v/>
      </c>
      <c r="C229" s="1047">
        <f>SQRT(1+(A229/pole1)^2)</f>
        <v/>
      </c>
      <c r="D229" s="1048">
        <f>ATAN(A229/pole1)</f>
        <v/>
      </c>
      <c r="E229" s="1048">
        <f>SQRT(1+(A229/Zero1)^2)</f>
        <v/>
      </c>
      <c r="F229" s="1049">
        <f>ATAN(A229/Zero1)</f>
        <v/>
      </c>
      <c r="G229" s="1048">
        <f>IF(VIN_nom&gt;Vout, 1, SQRT(1+(A229/z_RHP)^2))</f>
        <v/>
      </c>
      <c r="H229" s="1049">
        <f>IF(VIN_nom&gt;Vout, 0, -ATAN(A229/z_RHP))</f>
        <v/>
      </c>
      <c r="I229" s="1047">
        <f>SQRT(1+(A229/Pole2)^2)</f>
        <v/>
      </c>
      <c r="J229" s="1050">
        <f>ATAN(A229/Pole2)</f>
        <v/>
      </c>
      <c r="K229" s="1056">
        <f>SQRT(1+(A229/Zero2)^2)</f>
        <v/>
      </c>
      <c r="L229" s="1057">
        <f>ATAN(A229/Zero2)</f>
        <v/>
      </c>
      <c r="M229" s="1047">
        <f>SQRT(1+(A229/pole4)^2)</f>
        <v/>
      </c>
      <c r="N229" s="1057">
        <f>ATAN(A229/pole4)</f>
        <v/>
      </c>
      <c r="O229" s="1058">
        <f>IF(VOUT_setting=1,1,SQRT(1+(A229*zterm1)^2))</f>
        <v/>
      </c>
      <c r="P229" s="1059">
        <f>IF(VOUT_setting=1,0,ATAN(((A229*zterm1))))</f>
        <v/>
      </c>
      <c r="Q229" s="1056">
        <f>IF(VOUT_setting=1,1,SQRT((1+Afbr-$Q$5*(A229)^2)^2+(A229*$Q$4)^2))</f>
        <v/>
      </c>
      <c r="R229" s="1060">
        <f>IF(VOUT_setting=1,0,ATAN(A229*$Q$4/(1+Afbr-$Q$5*(A229)^2)))</f>
        <v/>
      </c>
      <c r="S229" s="1054">
        <f>SQRT((1-(Z229/pterm2))^2+(A229/pterm1)^2)</f>
        <v/>
      </c>
      <c r="T229" s="1055">
        <f>IF((ATAN((A229/pterm1)/(1-A229^2/pterm2))&gt;0),ATAN((A229/pterm1)/(1-A229^2/pterm2)),PI()+ATAN((A229/pterm1)/(1-A229^2/pterm2)))</f>
        <v/>
      </c>
      <c r="U229" s="331">
        <f>20*LOG10(((E229*K229*G229*O229)/(C229*I229*S229*M229*Q229))*Adc)</f>
        <v/>
      </c>
      <c r="V229" s="332">
        <f>((F229+L229+H229+P229)-(D229+J229+T229+N229+R229))*radconv</f>
        <v/>
      </c>
      <c r="W229" s="334">
        <f>IF(V229&gt;0,V229,V229+180)</f>
        <v/>
      </c>
      <c r="Y229" s="307">
        <f>IF(U229&lt;0,A229,1000000000)</f>
        <v/>
      </c>
      <c r="Z229" s="307">
        <f>A229^2</f>
        <v/>
      </c>
      <c r="AB229" s="333">
        <f>20*LOG10((K229/(I229*M229))*AEA)</f>
        <v/>
      </c>
      <c r="AC229" s="334">
        <f>(L229-(J229+N229))*radconv</f>
        <v/>
      </c>
      <c r="AE229" s="333">
        <f>20*LOG10((E229*G229/(C229*S229))*Acs*Am)</f>
        <v/>
      </c>
      <c r="AF229" s="334">
        <f>(F229+H229-(D229+T229))*radconv</f>
        <v/>
      </c>
      <c r="AH229">
        <f>SUM((U230&lt;0)*(U229&gt;0))*A229</f>
        <v/>
      </c>
      <c r="AI229">
        <f>IF(AH229&gt;0,W229,0)</f>
        <v/>
      </c>
    </row>
    <row r="230">
      <c r="A230" s="335" t="n">
        <v>13490</v>
      </c>
      <c r="B230" s="352">
        <f>A230/1000</f>
        <v/>
      </c>
      <c r="C230" s="1047">
        <f>SQRT(1+(A230/pole1)^2)</f>
        <v/>
      </c>
      <c r="D230" s="1048">
        <f>ATAN(A230/pole1)</f>
        <v/>
      </c>
      <c r="E230" s="1048">
        <f>SQRT(1+(A230/Zero1)^2)</f>
        <v/>
      </c>
      <c r="F230" s="1049">
        <f>ATAN(A230/Zero1)</f>
        <v/>
      </c>
      <c r="G230" s="1048">
        <f>IF(VIN_nom&gt;Vout, 1, SQRT(1+(A230/z_RHP)^2))</f>
        <v/>
      </c>
      <c r="H230" s="1049">
        <f>IF(VIN_nom&gt;Vout, 0, -ATAN(A230/z_RHP))</f>
        <v/>
      </c>
      <c r="I230" s="1047">
        <f>SQRT(1+(A230/Pole2)^2)</f>
        <v/>
      </c>
      <c r="J230" s="1050">
        <f>ATAN(A230/Pole2)</f>
        <v/>
      </c>
      <c r="K230" s="1056">
        <f>SQRT(1+(A230/Zero2)^2)</f>
        <v/>
      </c>
      <c r="L230" s="1057">
        <f>ATAN(A230/Zero2)</f>
        <v/>
      </c>
      <c r="M230" s="1047">
        <f>SQRT(1+(A230/pole4)^2)</f>
        <v/>
      </c>
      <c r="N230" s="1057">
        <f>ATAN(A230/pole4)</f>
        <v/>
      </c>
      <c r="O230" s="1058">
        <f>IF(VOUT_setting=1,1,SQRT(1+(A230*zterm1)^2))</f>
        <v/>
      </c>
      <c r="P230" s="1059">
        <f>IF(VOUT_setting=1,0,ATAN(((A230*zterm1))))</f>
        <v/>
      </c>
      <c r="Q230" s="1056">
        <f>IF(VOUT_setting=1,1,SQRT((1+Afbr-$Q$5*(A230)^2)^2+(A230*$Q$4)^2))</f>
        <v/>
      </c>
      <c r="R230" s="1060">
        <f>IF(VOUT_setting=1,0,ATAN(A230*$Q$4/(1+Afbr-$Q$5*(A230)^2)))</f>
        <v/>
      </c>
      <c r="S230" s="1054">
        <f>SQRT((1-(Z230/pterm2))^2+(A230/pterm1)^2)</f>
        <v/>
      </c>
      <c r="T230" s="1055">
        <f>IF((ATAN((A230/pterm1)/(1-A230^2/pterm2))&gt;0),ATAN((A230/pterm1)/(1-A230^2/pterm2)),PI()+ATAN((A230/pterm1)/(1-A230^2/pterm2)))</f>
        <v/>
      </c>
      <c r="U230" s="331">
        <f>20*LOG10(((E230*K230*G230*O230)/(C230*I230*S230*M230*Q230))*Adc)</f>
        <v/>
      </c>
      <c r="V230" s="332">
        <f>((F230+L230+H230+P230)-(D230+J230+T230+N230+R230))*radconv</f>
        <v/>
      </c>
      <c r="W230" s="334">
        <f>IF(V230&gt;0,V230,V230+180)</f>
        <v/>
      </c>
      <c r="Y230" s="307">
        <f>IF(U230&lt;0,A230,1000000000)</f>
        <v/>
      </c>
      <c r="Z230" s="307">
        <f>A230^2</f>
        <v/>
      </c>
      <c r="AB230" s="333">
        <f>20*LOG10((K230/(I230*M230))*AEA)</f>
        <v/>
      </c>
      <c r="AC230" s="334">
        <f>(L230-(J230+N230))*radconv</f>
        <v/>
      </c>
      <c r="AE230" s="333">
        <f>20*LOG10((E230*G230/(C230*S230))*Acs*Am)</f>
        <v/>
      </c>
      <c r="AF230" s="334">
        <f>(F230+H230-(D230+T230))*radconv</f>
        <v/>
      </c>
      <c r="AH230">
        <f>SUM((U231&lt;0)*(U230&gt;0))*A230</f>
        <v/>
      </c>
      <c r="AI230">
        <f>IF(AH230&gt;0,W230,0)</f>
        <v/>
      </c>
    </row>
    <row r="231">
      <c r="A231" s="335" t="n">
        <v>13568.5</v>
      </c>
      <c r="B231" s="352">
        <f>A231/1000</f>
        <v/>
      </c>
      <c r="C231" s="1047">
        <f>SQRT(1+(A231/pole1)^2)</f>
        <v/>
      </c>
      <c r="D231" s="1048">
        <f>ATAN(A231/pole1)</f>
        <v/>
      </c>
      <c r="E231" s="1048">
        <f>SQRT(1+(A231/Zero1)^2)</f>
        <v/>
      </c>
      <c r="F231" s="1049">
        <f>ATAN(A231/Zero1)</f>
        <v/>
      </c>
      <c r="G231" s="1048">
        <f>IF(VIN_nom&gt;Vout, 1, SQRT(1+(A231/z_RHP)^2))</f>
        <v/>
      </c>
      <c r="H231" s="1049">
        <f>IF(VIN_nom&gt;Vout, 0, -ATAN(A231/z_RHP))</f>
        <v/>
      </c>
      <c r="I231" s="1047">
        <f>SQRT(1+(A231/Pole2)^2)</f>
        <v/>
      </c>
      <c r="J231" s="1050">
        <f>ATAN(A231/Pole2)</f>
        <v/>
      </c>
      <c r="K231" s="1056">
        <f>SQRT(1+(A231/Zero2)^2)</f>
        <v/>
      </c>
      <c r="L231" s="1057">
        <f>ATAN(A231/Zero2)</f>
        <v/>
      </c>
      <c r="M231" s="1047">
        <f>SQRT(1+(A231/pole4)^2)</f>
        <v/>
      </c>
      <c r="N231" s="1057">
        <f>ATAN(A231/pole4)</f>
        <v/>
      </c>
      <c r="O231" s="1058">
        <f>IF(VOUT_setting=1,1,SQRT(1+(A231*zterm1)^2))</f>
        <v/>
      </c>
      <c r="P231" s="1059">
        <f>IF(VOUT_setting=1,0,ATAN(((A231*zterm1))))</f>
        <v/>
      </c>
      <c r="Q231" s="1056">
        <f>IF(VOUT_setting=1,1,SQRT((1+Afbr-$Q$5*(A231)^2)^2+(A231*$Q$4)^2))</f>
        <v/>
      </c>
      <c r="R231" s="1060">
        <f>IF(VOUT_setting=1,0,ATAN(A231*$Q$4/(1+Afbr-$Q$5*(A231)^2)))</f>
        <v/>
      </c>
      <c r="S231" s="1054">
        <f>SQRT((1-(Z231/pterm2))^2+(A231/pterm1)^2)</f>
        <v/>
      </c>
      <c r="T231" s="1055">
        <f>IF((ATAN((A231/pterm1)/(1-A231^2/pterm2))&gt;0),ATAN((A231/pterm1)/(1-A231^2/pterm2)),PI()+ATAN((A231/pterm1)/(1-A231^2/pterm2)))</f>
        <v/>
      </c>
      <c r="U231" s="331">
        <f>20*LOG10(((E231*K231*G231*O231)/(C231*I231*S231*M231*Q231))*Adc)</f>
        <v/>
      </c>
      <c r="V231" s="332">
        <f>((F231+L231+H231+P231)-(D231+J231+T231+N231+R231))*radconv</f>
        <v/>
      </c>
      <c r="W231" s="334">
        <f>IF(V231&gt;0,V231,V231+180)</f>
        <v/>
      </c>
      <c r="Y231" s="307">
        <f>IF(U231&lt;0,A231,1000000000)</f>
        <v/>
      </c>
      <c r="Z231" s="307">
        <f>A231^2</f>
        <v/>
      </c>
      <c r="AB231" s="333">
        <f>20*LOG10((K231/(I231*M231))*AEA)</f>
        <v/>
      </c>
      <c r="AC231" s="334">
        <f>(L231-(J231+N231))*radconv</f>
        <v/>
      </c>
      <c r="AE231" s="333">
        <f>20*LOG10((E231*G231/(C231*S231))*Acs*Am)</f>
        <v/>
      </c>
      <c r="AF231" s="334">
        <f>(F231+H231-(D231+T231))*radconv</f>
        <v/>
      </c>
      <c r="AH231">
        <f>SUM((U232&lt;0)*(U231&gt;0))*A231</f>
        <v/>
      </c>
      <c r="AI231">
        <f>IF(AH231&gt;0,W231,0)</f>
        <v/>
      </c>
    </row>
    <row r="232">
      <c r="A232" s="335" t="n">
        <v>13647</v>
      </c>
      <c r="B232" s="352">
        <f>A232/1000</f>
        <v/>
      </c>
      <c r="C232" s="1047">
        <f>SQRT(1+(A232/pole1)^2)</f>
        <v/>
      </c>
      <c r="D232" s="1048">
        <f>ATAN(A232/pole1)</f>
        <v/>
      </c>
      <c r="E232" s="1048">
        <f>SQRT(1+(A232/Zero1)^2)</f>
        <v/>
      </c>
      <c r="F232" s="1049">
        <f>ATAN(A232/Zero1)</f>
        <v/>
      </c>
      <c r="G232" s="1048">
        <f>IF(VIN_nom&gt;Vout, 1, SQRT(1+(A232/z_RHP)^2))</f>
        <v/>
      </c>
      <c r="H232" s="1049">
        <f>IF(VIN_nom&gt;Vout, 0, -ATAN(A232/z_RHP))</f>
        <v/>
      </c>
      <c r="I232" s="1047">
        <f>SQRT(1+(A232/Pole2)^2)</f>
        <v/>
      </c>
      <c r="J232" s="1050">
        <f>ATAN(A232/Pole2)</f>
        <v/>
      </c>
      <c r="K232" s="1056">
        <f>SQRT(1+(A232/Zero2)^2)</f>
        <v/>
      </c>
      <c r="L232" s="1057">
        <f>ATAN(A232/Zero2)</f>
        <v/>
      </c>
      <c r="M232" s="1047">
        <f>SQRT(1+(A232/pole4)^2)</f>
        <v/>
      </c>
      <c r="N232" s="1057">
        <f>ATAN(A232/pole4)</f>
        <v/>
      </c>
      <c r="O232" s="1058">
        <f>IF(VOUT_setting=1,1,SQRT(1+(A232*zterm1)^2))</f>
        <v/>
      </c>
      <c r="P232" s="1059">
        <f>IF(VOUT_setting=1,0,ATAN(((A232*zterm1))))</f>
        <v/>
      </c>
      <c r="Q232" s="1056">
        <f>IF(VOUT_setting=1,1,SQRT((1+Afbr-$Q$5*(A232)^2)^2+(A232*$Q$4)^2))</f>
        <v/>
      </c>
      <c r="R232" s="1060">
        <f>IF(VOUT_setting=1,0,ATAN(A232*$Q$4/(1+Afbr-$Q$5*(A232)^2)))</f>
        <v/>
      </c>
      <c r="S232" s="1054">
        <f>SQRT((1-(Z232/pterm2))^2+(A232/pterm1)^2)</f>
        <v/>
      </c>
      <c r="T232" s="1055">
        <f>IF((ATAN((A232/pterm1)/(1-A232^2/pterm2))&gt;0),ATAN((A232/pterm1)/(1-A232^2/pterm2)),PI()+ATAN((A232/pterm1)/(1-A232^2/pterm2)))</f>
        <v/>
      </c>
      <c r="U232" s="331">
        <f>20*LOG10(((E232*K232*G232*O232)/(C232*I232*S232*M232*Q232))*Adc)</f>
        <v/>
      </c>
      <c r="V232" s="332">
        <f>((F232+L232+H232+P232)-(D232+J232+T232+N232+R232))*radconv</f>
        <v/>
      </c>
      <c r="W232" s="334">
        <f>IF(V232&gt;0,V232,V232+180)</f>
        <v/>
      </c>
      <c r="Y232" s="307">
        <f>IF(U232&lt;0,A232,1000000000)</f>
        <v/>
      </c>
      <c r="Z232" s="307">
        <f>A232^2</f>
        <v/>
      </c>
      <c r="AB232" s="333">
        <f>20*LOG10((K232/(I232*M232))*AEA)</f>
        <v/>
      </c>
      <c r="AC232" s="334">
        <f>(L232-(J232+N232))*radconv</f>
        <v/>
      </c>
      <c r="AE232" s="333">
        <f>20*LOG10((E232*G232/(C232*S232))*Acs*Am)</f>
        <v/>
      </c>
      <c r="AF232" s="334">
        <f>(F232+H232-(D232+T232))*radconv</f>
        <v/>
      </c>
      <c r="AH232">
        <f>SUM((U233&lt;0)*(U232&gt;0))*A232</f>
        <v/>
      </c>
      <c r="AI232">
        <f>IF(AH232&gt;0,W232,0)</f>
        <v/>
      </c>
    </row>
    <row r="233">
      <c r="A233" s="335" t="n">
        <v>13725.5</v>
      </c>
      <c r="B233" s="352">
        <f>A233/1000</f>
        <v/>
      </c>
      <c r="C233" s="1047">
        <f>SQRT(1+(A233/pole1)^2)</f>
        <v/>
      </c>
      <c r="D233" s="1048">
        <f>ATAN(A233/pole1)</f>
        <v/>
      </c>
      <c r="E233" s="1048">
        <f>SQRT(1+(A233/Zero1)^2)</f>
        <v/>
      </c>
      <c r="F233" s="1049">
        <f>ATAN(A233/Zero1)</f>
        <v/>
      </c>
      <c r="G233" s="1048">
        <f>IF(VIN_nom&gt;Vout, 1, SQRT(1+(A233/z_RHP)^2))</f>
        <v/>
      </c>
      <c r="H233" s="1049">
        <f>IF(VIN_nom&gt;Vout, 0, -ATAN(A233/z_RHP))</f>
        <v/>
      </c>
      <c r="I233" s="1047">
        <f>SQRT(1+(A233/Pole2)^2)</f>
        <v/>
      </c>
      <c r="J233" s="1050">
        <f>ATAN(A233/Pole2)</f>
        <v/>
      </c>
      <c r="K233" s="1056">
        <f>SQRT(1+(A233/Zero2)^2)</f>
        <v/>
      </c>
      <c r="L233" s="1057">
        <f>ATAN(A233/Zero2)</f>
        <v/>
      </c>
      <c r="M233" s="1047">
        <f>SQRT(1+(A233/pole4)^2)</f>
        <v/>
      </c>
      <c r="N233" s="1057">
        <f>ATAN(A233/pole4)</f>
        <v/>
      </c>
      <c r="O233" s="1058">
        <f>IF(VOUT_setting=1,1,SQRT(1+(A233*zterm1)^2))</f>
        <v/>
      </c>
      <c r="P233" s="1059">
        <f>IF(VOUT_setting=1,0,ATAN(((A233*zterm1))))</f>
        <v/>
      </c>
      <c r="Q233" s="1056">
        <f>IF(VOUT_setting=1,1,SQRT((1+Afbr-$Q$5*(A233)^2)^2+(A233*$Q$4)^2))</f>
        <v/>
      </c>
      <c r="R233" s="1060">
        <f>IF(VOUT_setting=1,0,ATAN(A233*$Q$4/(1+Afbr-$Q$5*(A233)^2)))</f>
        <v/>
      </c>
      <c r="S233" s="1054">
        <f>SQRT((1-(Z233/pterm2))^2+(A233/pterm1)^2)</f>
        <v/>
      </c>
      <c r="T233" s="1055">
        <f>IF((ATAN((A233/pterm1)/(1-A233^2/pterm2))&gt;0),ATAN((A233/pterm1)/(1-A233^2/pterm2)),PI()+ATAN((A233/pterm1)/(1-A233^2/pterm2)))</f>
        <v/>
      </c>
      <c r="U233" s="331">
        <f>20*LOG10(((E233*K233*G233*O233)/(C233*I233*S233*M233*Q233))*Adc)</f>
        <v/>
      </c>
      <c r="V233" s="332">
        <f>((F233+L233+H233+P233)-(D233+J233+T233+N233+R233))*radconv</f>
        <v/>
      </c>
      <c r="W233" s="334">
        <f>IF(V233&gt;0,V233,V233+180)</f>
        <v/>
      </c>
      <c r="Y233" s="307">
        <f>IF(U233&lt;0,A233,1000000000)</f>
        <v/>
      </c>
      <c r="Z233" s="307">
        <f>A233^2</f>
        <v/>
      </c>
      <c r="AB233" s="333">
        <f>20*LOG10((K233/(I233*M233))*AEA)</f>
        <v/>
      </c>
      <c r="AC233" s="334">
        <f>(L233-(J233+N233))*radconv</f>
        <v/>
      </c>
      <c r="AE233" s="333">
        <f>20*LOG10((E233*G233/(C233*S233))*Acs*Am)</f>
        <v/>
      </c>
      <c r="AF233" s="334">
        <f>(F233+H233-(D233+T233))*radconv</f>
        <v/>
      </c>
      <c r="AH233">
        <f>SUM((U234&lt;0)*(U233&gt;0))*A233</f>
        <v/>
      </c>
      <c r="AI233">
        <f>IF(AH233&gt;0,W233,0)</f>
        <v/>
      </c>
    </row>
    <row r="234">
      <c r="A234" s="335" t="n">
        <v>13804</v>
      </c>
      <c r="B234" s="352">
        <f>A234/1000</f>
        <v/>
      </c>
      <c r="C234" s="1047">
        <f>SQRT(1+(A234/pole1)^2)</f>
        <v/>
      </c>
      <c r="D234" s="1048">
        <f>ATAN(A234/pole1)</f>
        <v/>
      </c>
      <c r="E234" s="1048">
        <f>SQRT(1+(A234/Zero1)^2)</f>
        <v/>
      </c>
      <c r="F234" s="1049">
        <f>ATAN(A234/Zero1)</f>
        <v/>
      </c>
      <c r="G234" s="1048">
        <f>IF(VIN_nom&gt;Vout, 1, SQRT(1+(A234/z_RHP)^2))</f>
        <v/>
      </c>
      <c r="H234" s="1049">
        <f>IF(VIN_nom&gt;Vout, 0, -ATAN(A234/z_RHP))</f>
        <v/>
      </c>
      <c r="I234" s="1047">
        <f>SQRT(1+(A234/Pole2)^2)</f>
        <v/>
      </c>
      <c r="J234" s="1050">
        <f>ATAN(A234/Pole2)</f>
        <v/>
      </c>
      <c r="K234" s="1056">
        <f>SQRT(1+(A234/Zero2)^2)</f>
        <v/>
      </c>
      <c r="L234" s="1057">
        <f>ATAN(A234/Zero2)</f>
        <v/>
      </c>
      <c r="M234" s="1047">
        <f>SQRT(1+(A234/pole4)^2)</f>
        <v/>
      </c>
      <c r="N234" s="1057">
        <f>ATAN(A234/pole4)</f>
        <v/>
      </c>
      <c r="O234" s="1058">
        <f>IF(VOUT_setting=1,1,SQRT(1+(A234*zterm1)^2))</f>
        <v/>
      </c>
      <c r="P234" s="1059">
        <f>IF(VOUT_setting=1,0,ATAN(((A234*zterm1))))</f>
        <v/>
      </c>
      <c r="Q234" s="1056">
        <f>IF(VOUT_setting=1,1,SQRT((1+Afbr-$Q$5*(A234)^2)^2+(A234*$Q$4)^2))</f>
        <v/>
      </c>
      <c r="R234" s="1060">
        <f>IF(VOUT_setting=1,0,ATAN(A234*$Q$4/(1+Afbr-$Q$5*(A234)^2)))</f>
        <v/>
      </c>
      <c r="S234" s="1054">
        <f>SQRT((1-(Z234/pterm2))^2+(A234/pterm1)^2)</f>
        <v/>
      </c>
      <c r="T234" s="1055">
        <f>IF((ATAN((A234/pterm1)/(1-A234^2/pterm2))&gt;0),ATAN((A234/pterm1)/(1-A234^2/pterm2)),PI()+ATAN((A234/pterm1)/(1-A234^2/pterm2)))</f>
        <v/>
      </c>
      <c r="U234" s="331">
        <f>20*LOG10(((E234*K234*G234*O234)/(C234*I234*S234*M234*Q234))*Adc)</f>
        <v/>
      </c>
      <c r="V234" s="332">
        <f>((F234+L234+H234+P234)-(D234+J234+T234+N234+R234))*radconv</f>
        <v/>
      </c>
      <c r="W234" s="334">
        <f>IF(V234&gt;0,V234,V234+180)</f>
        <v/>
      </c>
      <c r="Y234" s="307">
        <f>IF(U234&lt;0,A234,1000000000)</f>
        <v/>
      </c>
      <c r="Z234" s="307">
        <f>A234^2</f>
        <v/>
      </c>
      <c r="AB234" s="333">
        <f>20*LOG10((K234/(I234*M234))*AEA)</f>
        <v/>
      </c>
      <c r="AC234" s="334">
        <f>(L234-(J234+N234))*radconv</f>
        <v/>
      </c>
      <c r="AE234" s="333">
        <f>20*LOG10((E234*G234/(C234*S234))*Acs*Am)</f>
        <v/>
      </c>
      <c r="AF234" s="334">
        <f>(F234+H234-(D234+T234))*radconv</f>
        <v/>
      </c>
      <c r="AH234">
        <f>SUM((U235&lt;0)*(U234&gt;0))*A234</f>
        <v/>
      </c>
      <c r="AI234">
        <f>IF(AH234&gt;0,W234,0)</f>
        <v/>
      </c>
    </row>
    <row r="235">
      <c r="A235" s="335" t="n">
        <v>13884.25</v>
      </c>
      <c r="B235" s="352">
        <f>A235/1000</f>
        <v/>
      </c>
      <c r="C235" s="1047">
        <f>SQRT(1+(A235/pole1)^2)</f>
        <v/>
      </c>
      <c r="D235" s="1048">
        <f>ATAN(A235/pole1)</f>
        <v/>
      </c>
      <c r="E235" s="1048">
        <f>SQRT(1+(A235/Zero1)^2)</f>
        <v/>
      </c>
      <c r="F235" s="1049">
        <f>ATAN(A235/Zero1)</f>
        <v/>
      </c>
      <c r="G235" s="1048">
        <f>IF(VIN_nom&gt;Vout, 1, SQRT(1+(A235/z_RHP)^2))</f>
        <v/>
      </c>
      <c r="H235" s="1049">
        <f>IF(VIN_nom&gt;Vout, 0, -ATAN(A235/z_RHP))</f>
        <v/>
      </c>
      <c r="I235" s="1047">
        <f>SQRT(1+(A235/Pole2)^2)</f>
        <v/>
      </c>
      <c r="J235" s="1050">
        <f>ATAN(A235/Pole2)</f>
        <v/>
      </c>
      <c r="K235" s="1056">
        <f>SQRT(1+(A235/Zero2)^2)</f>
        <v/>
      </c>
      <c r="L235" s="1057">
        <f>ATAN(A235/Zero2)</f>
        <v/>
      </c>
      <c r="M235" s="1047">
        <f>SQRT(1+(A235/pole4)^2)</f>
        <v/>
      </c>
      <c r="N235" s="1057">
        <f>ATAN(A235/pole4)</f>
        <v/>
      </c>
      <c r="O235" s="1058">
        <f>IF(VOUT_setting=1,1,SQRT(1+(A235*zterm1)^2))</f>
        <v/>
      </c>
      <c r="P235" s="1059">
        <f>IF(VOUT_setting=1,0,ATAN(((A235*zterm1))))</f>
        <v/>
      </c>
      <c r="Q235" s="1056">
        <f>IF(VOUT_setting=1,1,SQRT((1+Afbr-$Q$5*(A235)^2)^2+(A235*$Q$4)^2))</f>
        <v/>
      </c>
      <c r="R235" s="1060">
        <f>IF(VOUT_setting=1,0,ATAN(A235*$Q$4/(1+Afbr-$Q$5*(A235)^2)))</f>
        <v/>
      </c>
      <c r="S235" s="1054">
        <f>SQRT((1-(Z235/pterm2))^2+(A235/pterm1)^2)</f>
        <v/>
      </c>
      <c r="T235" s="1055">
        <f>IF((ATAN((A235/pterm1)/(1-A235^2/pterm2))&gt;0),ATAN((A235/pterm1)/(1-A235^2/pterm2)),PI()+ATAN((A235/pterm1)/(1-A235^2/pterm2)))</f>
        <v/>
      </c>
      <c r="U235" s="331">
        <f>20*LOG10(((E235*K235*G235*O235)/(C235*I235*S235*M235*Q235))*Adc)</f>
        <v/>
      </c>
      <c r="V235" s="332">
        <f>((F235+L235+H235+P235)-(D235+J235+T235+N235+R235))*radconv</f>
        <v/>
      </c>
      <c r="W235" s="334">
        <f>IF(V235&gt;0,V235,V235+180)</f>
        <v/>
      </c>
      <c r="Y235" s="307">
        <f>IF(U235&lt;0,A235,1000000000)</f>
        <v/>
      </c>
      <c r="Z235" s="307">
        <f>A235^2</f>
        <v/>
      </c>
      <c r="AB235" s="333">
        <f>20*LOG10((K235/(I235*M235))*AEA)</f>
        <v/>
      </c>
      <c r="AC235" s="334">
        <f>(L235-(J235+N235))*radconv</f>
        <v/>
      </c>
      <c r="AE235" s="333">
        <f>20*LOG10((E235*G235/(C235*S235))*Acs*Am)</f>
        <v/>
      </c>
      <c r="AF235" s="334">
        <f>(F235+H235-(D235+T235))*radconv</f>
        <v/>
      </c>
      <c r="AH235">
        <f>SUM((U236&lt;0)*(U235&gt;0))*A235</f>
        <v/>
      </c>
      <c r="AI235">
        <f>IF(AH235&gt;0,W235,0)</f>
        <v/>
      </c>
    </row>
    <row r="236">
      <c r="A236" s="335" t="n">
        <v>13964.5</v>
      </c>
      <c r="B236" s="352">
        <f>A236/1000</f>
        <v/>
      </c>
      <c r="C236" s="1047">
        <f>SQRT(1+(A236/pole1)^2)</f>
        <v/>
      </c>
      <c r="D236" s="1048">
        <f>ATAN(A236/pole1)</f>
        <v/>
      </c>
      <c r="E236" s="1048">
        <f>SQRT(1+(A236/Zero1)^2)</f>
        <v/>
      </c>
      <c r="F236" s="1049">
        <f>ATAN(A236/Zero1)</f>
        <v/>
      </c>
      <c r="G236" s="1048">
        <f>IF(VIN_nom&gt;Vout, 1, SQRT(1+(A236/z_RHP)^2))</f>
        <v/>
      </c>
      <c r="H236" s="1049">
        <f>IF(VIN_nom&gt;Vout, 0, -ATAN(A236/z_RHP))</f>
        <v/>
      </c>
      <c r="I236" s="1047">
        <f>SQRT(1+(A236/Pole2)^2)</f>
        <v/>
      </c>
      <c r="J236" s="1050">
        <f>ATAN(A236/Pole2)</f>
        <v/>
      </c>
      <c r="K236" s="1056">
        <f>SQRT(1+(A236/Zero2)^2)</f>
        <v/>
      </c>
      <c r="L236" s="1057">
        <f>ATAN(A236/Zero2)</f>
        <v/>
      </c>
      <c r="M236" s="1047">
        <f>SQRT(1+(A236/pole4)^2)</f>
        <v/>
      </c>
      <c r="N236" s="1057">
        <f>ATAN(A236/pole4)</f>
        <v/>
      </c>
      <c r="O236" s="1058">
        <f>IF(VOUT_setting=1,1,SQRT(1+(A236*zterm1)^2))</f>
        <v/>
      </c>
      <c r="P236" s="1059">
        <f>IF(VOUT_setting=1,0,ATAN(((A236*zterm1))))</f>
        <v/>
      </c>
      <c r="Q236" s="1056">
        <f>IF(VOUT_setting=1,1,SQRT((1+Afbr-$Q$5*(A236)^2)^2+(A236*$Q$4)^2))</f>
        <v/>
      </c>
      <c r="R236" s="1060">
        <f>IF(VOUT_setting=1,0,ATAN(A236*$Q$4/(1+Afbr-$Q$5*(A236)^2)))</f>
        <v/>
      </c>
      <c r="S236" s="1054">
        <f>SQRT((1-(Z236/pterm2))^2+(A236/pterm1)^2)</f>
        <v/>
      </c>
      <c r="T236" s="1055">
        <f>IF((ATAN((A236/pterm1)/(1-A236^2/pterm2))&gt;0),ATAN((A236/pterm1)/(1-A236^2/pterm2)),PI()+ATAN((A236/pterm1)/(1-A236^2/pterm2)))</f>
        <v/>
      </c>
      <c r="U236" s="331">
        <f>20*LOG10(((E236*K236*G236*O236)/(C236*I236*S236*M236*Q236))*Adc)</f>
        <v/>
      </c>
      <c r="V236" s="332">
        <f>((F236+L236+H236+P236)-(D236+J236+T236+N236+R236))*radconv</f>
        <v/>
      </c>
      <c r="W236" s="334">
        <f>IF(V236&gt;0,V236,V236+180)</f>
        <v/>
      </c>
      <c r="Y236" s="307">
        <f>IF(U236&lt;0,A236,1000000000)</f>
        <v/>
      </c>
      <c r="Z236" s="307">
        <f>A236^2</f>
        <v/>
      </c>
      <c r="AB236" s="333">
        <f>20*LOG10((K236/(I236*M236))*AEA)</f>
        <v/>
      </c>
      <c r="AC236" s="334">
        <f>(L236-(J236+N236))*radconv</f>
        <v/>
      </c>
      <c r="AE236" s="333">
        <f>20*LOG10((E236*G236/(C236*S236))*Acs*Am)</f>
        <v/>
      </c>
      <c r="AF236" s="334">
        <f>(F236+H236-(D236+T236))*radconv</f>
        <v/>
      </c>
      <c r="AH236">
        <f>SUM((U237&lt;0)*(U236&gt;0))*A236</f>
        <v/>
      </c>
      <c r="AI236">
        <f>IF(AH236&gt;0,W236,0)</f>
        <v/>
      </c>
    </row>
    <row r="237">
      <c r="A237" s="335" t="n">
        <v>14044.75</v>
      </c>
      <c r="B237" s="352">
        <f>A237/1000</f>
        <v/>
      </c>
      <c r="C237" s="1047">
        <f>SQRT(1+(A237/pole1)^2)</f>
        <v/>
      </c>
      <c r="D237" s="1048">
        <f>ATAN(A237/pole1)</f>
        <v/>
      </c>
      <c r="E237" s="1048">
        <f>SQRT(1+(A237/Zero1)^2)</f>
        <v/>
      </c>
      <c r="F237" s="1049">
        <f>ATAN(A237/Zero1)</f>
        <v/>
      </c>
      <c r="G237" s="1048">
        <f>IF(VIN_nom&gt;Vout, 1, SQRT(1+(A237/z_RHP)^2))</f>
        <v/>
      </c>
      <c r="H237" s="1049">
        <f>IF(VIN_nom&gt;Vout, 0, -ATAN(A237/z_RHP))</f>
        <v/>
      </c>
      <c r="I237" s="1047">
        <f>SQRT(1+(A237/Pole2)^2)</f>
        <v/>
      </c>
      <c r="J237" s="1050">
        <f>ATAN(A237/Pole2)</f>
        <v/>
      </c>
      <c r="K237" s="1056">
        <f>SQRT(1+(A237/Zero2)^2)</f>
        <v/>
      </c>
      <c r="L237" s="1057">
        <f>ATAN(A237/Zero2)</f>
        <v/>
      </c>
      <c r="M237" s="1047">
        <f>SQRT(1+(A237/pole4)^2)</f>
        <v/>
      </c>
      <c r="N237" s="1057">
        <f>ATAN(A237/pole4)</f>
        <v/>
      </c>
      <c r="O237" s="1058">
        <f>IF(VOUT_setting=1,1,SQRT(1+(A237*zterm1)^2))</f>
        <v/>
      </c>
      <c r="P237" s="1059">
        <f>IF(VOUT_setting=1,0,ATAN(((A237*zterm1))))</f>
        <v/>
      </c>
      <c r="Q237" s="1056">
        <f>IF(VOUT_setting=1,1,SQRT((1+Afbr-$Q$5*(A237)^2)^2+(A237*$Q$4)^2))</f>
        <v/>
      </c>
      <c r="R237" s="1060">
        <f>IF(VOUT_setting=1,0,ATAN(A237*$Q$4/(1+Afbr-$Q$5*(A237)^2)))</f>
        <v/>
      </c>
      <c r="S237" s="1054">
        <f>SQRT((1-(Z237/pterm2))^2+(A237/pterm1)^2)</f>
        <v/>
      </c>
      <c r="T237" s="1055">
        <f>IF((ATAN((A237/pterm1)/(1-A237^2/pterm2))&gt;0),ATAN((A237/pterm1)/(1-A237^2/pterm2)),PI()+ATAN((A237/pterm1)/(1-A237^2/pterm2)))</f>
        <v/>
      </c>
      <c r="U237" s="331">
        <f>20*LOG10(((E237*K237*G237*O237)/(C237*I237*S237*M237*Q237))*Adc)</f>
        <v/>
      </c>
      <c r="V237" s="332">
        <f>((F237+L237+H237+P237)-(D237+J237+T237+N237+R237))*radconv</f>
        <v/>
      </c>
      <c r="W237" s="334">
        <f>IF(V237&gt;0,V237,V237+180)</f>
        <v/>
      </c>
      <c r="Y237" s="307">
        <f>IF(U237&lt;0,A237,1000000000)</f>
        <v/>
      </c>
      <c r="Z237" s="307">
        <f>A237^2</f>
        <v/>
      </c>
      <c r="AB237" s="333">
        <f>20*LOG10((K237/(I237*M237))*AEA)</f>
        <v/>
      </c>
      <c r="AC237" s="334">
        <f>(L237-(J237+N237))*radconv</f>
        <v/>
      </c>
      <c r="AE237" s="333">
        <f>20*LOG10((E237*G237/(C237*S237))*Acs*Am)</f>
        <v/>
      </c>
      <c r="AF237" s="334">
        <f>(F237+H237-(D237+T237))*radconv</f>
        <v/>
      </c>
      <c r="AH237">
        <f>SUM((U238&lt;0)*(U237&gt;0))*A237</f>
        <v/>
      </c>
      <c r="AI237">
        <f>IF(AH237&gt;0,W237,0)</f>
        <v/>
      </c>
    </row>
    <row r="238">
      <c r="A238" s="335" t="n">
        <v>14125</v>
      </c>
      <c r="B238" s="352">
        <f>A238/1000</f>
        <v/>
      </c>
      <c r="C238" s="1047">
        <f>SQRT(1+(A238/pole1)^2)</f>
        <v/>
      </c>
      <c r="D238" s="1048">
        <f>ATAN(A238/pole1)</f>
        <v/>
      </c>
      <c r="E238" s="1048">
        <f>SQRT(1+(A238/Zero1)^2)</f>
        <v/>
      </c>
      <c r="F238" s="1049">
        <f>ATAN(A238/Zero1)</f>
        <v/>
      </c>
      <c r="G238" s="1048">
        <f>IF(VIN_nom&gt;Vout, 1, SQRT(1+(A238/z_RHP)^2))</f>
        <v/>
      </c>
      <c r="H238" s="1049">
        <f>IF(VIN_nom&gt;Vout, 0, -ATAN(A238/z_RHP))</f>
        <v/>
      </c>
      <c r="I238" s="1047">
        <f>SQRT(1+(A238/Pole2)^2)</f>
        <v/>
      </c>
      <c r="J238" s="1050">
        <f>ATAN(A238/Pole2)</f>
        <v/>
      </c>
      <c r="K238" s="1056">
        <f>SQRT(1+(A238/Zero2)^2)</f>
        <v/>
      </c>
      <c r="L238" s="1057">
        <f>ATAN(A238/Zero2)</f>
        <v/>
      </c>
      <c r="M238" s="1047">
        <f>SQRT(1+(A238/pole4)^2)</f>
        <v/>
      </c>
      <c r="N238" s="1057">
        <f>ATAN(A238/pole4)</f>
        <v/>
      </c>
      <c r="O238" s="1058">
        <f>IF(VOUT_setting=1,1,SQRT(1+(A238*zterm1)^2))</f>
        <v/>
      </c>
      <c r="P238" s="1059">
        <f>IF(VOUT_setting=1,0,ATAN(((A238*zterm1))))</f>
        <v/>
      </c>
      <c r="Q238" s="1056">
        <f>IF(VOUT_setting=1,1,SQRT((1+Afbr-$Q$5*(A238)^2)^2+(A238*$Q$4)^2))</f>
        <v/>
      </c>
      <c r="R238" s="1060">
        <f>IF(VOUT_setting=1,0,ATAN(A238*$Q$4/(1+Afbr-$Q$5*(A238)^2)))</f>
        <v/>
      </c>
      <c r="S238" s="1054">
        <f>SQRT((1-(Z238/pterm2))^2+(A238/pterm1)^2)</f>
        <v/>
      </c>
      <c r="T238" s="1055">
        <f>IF((ATAN((A238/pterm1)/(1-A238^2/pterm2))&gt;0),ATAN((A238/pterm1)/(1-A238^2/pterm2)),PI()+ATAN((A238/pterm1)/(1-A238^2/pterm2)))</f>
        <v/>
      </c>
      <c r="U238" s="331">
        <f>20*LOG10(((E238*K238*G238*O238)/(C238*I238*S238*M238*Q238))*Adc)</f>
        <v/>
      </c>
      <c r="V238" s="332">
        <f>((F238+L238+H238+P238)-(D238+J238+T238+N238+R238))*radconv</f>
        <v/>
      </c>
      <c r="W238" s="334">
        <f>IF(V238&gt;0,V238,V238+180)</f>
        <v/>
      </c>
      <c r="Y238" s="307">
        <f>IF(U238&lt;0,A238,1000000000)</f>
        <v/>
      </c>
      <c r="Z238" s="307">
        <f>A238^2</f>
        <v/>
      </c>
      <c r="AB238" s="333">
        <f>20*LOG10((K238/(I238*M238))*AEA)</f>
        <v/>
      </c>
      <c r="AC238" s="334">
        <f>(L238-(J238+N238))*radconv</f>
        <v/>
      </c>
      <c r="AE238" s="333">
        <f>20*LOG10((E238*G238/(C238*S238))*Acs*Am)</f>
        <v/>
      </c>
      <c r="AF238" s="334">
        <f>(F238+H238-(D238+T238))*radconv</f>
        <v/>
      </c>
      <c r="AH238">
        <f>SUM((U239&lt;0)*(U238&gt;0))*A238</f>
        <v/>
      </c>
      <c r="AI238">
        <f>IF(AH238&gt;0,W238,0)</f>
        <v/>
      </c>
    </row>
    <row r="239">
      <c r="A239" s="335" t="n">
        <v>14207.25</v>
      </c>
      <c r="B239" s="352">
        <f>A239/1000</f>
        <v/>
      </c>
      <c r="C239" s="1047">
        <f>SQRT(1+(A239/pole1)^2)</f>
        <v/>
      </c>
      <c r="D239" s="1048">
        <f>ATAN(A239/pole1)</f>
        <v/>
      </c>
      <c r="E239" s="1048">
        <f>SQRT(1+(A239/Zero1)^2)</f>
        <v/>
      </c>
      <c r="F239" s="1049">
        <f>ATAN(A239/Zero1)</f>
        <v/>
      </c>
      <c r="G239" s="1048">
        <f>IF(VIN_nom&gt;Vout, 1, SQRT(1+(A239/z_RHP)^2))</f>
        <v/>
      </c>
      <c r="H239" s="1049">
        <f>IF(VIN_nom&gt;Vout, 0, -ATAN(A239/z_RHP))</f>
        <v/>
      </c>
      <c r="I239" s="1047">
        <f>SQRT(1+(A239/Pole2)^2)</f>
        <v/>
      </c>
      <c r="J239" s="1050">
        <f>ATAN(A239/Pole2)</f>
        <v/>
      </c>
      <c r="K239" s="1056">
        <f>SQRT(1+(A239/Zero2)^2)</f>
        <v/>
      </c>
      <c r="L239" s="1057">
        <f>ATAN(A239/Zero2)</f>
        <v/>
      </c>
      <c r="M239" s="1047">
        <f>SQRT(1+(A239/pole4)^2)</f>
        <v/>
      </c>
      <c r="N239" s="1057">
        <f>ATAN(A239/pole4)</f>
        <v/>
      </c>
      <c r="O239" s="1058">
        <f>IF(VOUT_setting=1,1,SQRT(1+(A239*zterm1)^2))</f>
        <v/>
      </c>
      <c r="P239" s="1059">
        <f>IF(VOUT_setting=1,0,ATAN(((A239*zterm1))))</f>
        <v/>
      </c>
      <c r="Q239" s="1056">
        <f>IF(VOUT_setting=1,1,SQRT((1+Afbr-$Q$5*(A239)^2)^2+(A239*$Q$4)^2))</f>
        <v/>
      </c>
      <c r="R239" s="1060">
        <f>IF(VOUT_setting=1,0,ATAN(A239*$Q$4/(1+Afbr-$Q$5*(A239)^2)))</f>
        <v/>
      </c>
      <c r="S239" s="1054">
        <f>SQRT((1-(Z239/pterm2))^2+(A239/pterm1)^2)</f>
        <v/>
      </c>
      <c r="T239" s="1055">
        <f>IF((ATAN((A239/pterm1)/(1-A239^2/pterm2))&gt;0),ATAN((A239/pterm1)/(1-A239^2/pterm2)),PI()+ATAN((A239/pterm1)/(1-A239^2/pterm2)))</f>
        <v/>
      </c>
      <c r="U239" s="331">
        <f>20*LOG10(((E239*K239*G239*O239)/(C239*I239*S239*M239*Q239))*Adc)</f>
        <v/>
      </c>
      <c r="V239" s="332">
        <f>((F239+L239+H239+P239)-(D239+J239+T239+N239+R239))*radconv</f>
        <v/>
      </c>
      <c r="W239" s="334">
        <f>IF(V239&gt;0,V239,V239+180)</f>
        <v/>
      </c>
      <c r="Y239" s="307">
        <f>IF(U239&lt;0,A239,1000000000)</f>
        <v/>
      </c>
      <c r="Z239" s="307">
        <f>A239^2</f>
        <v/>
      </c>
      <c r="AB239" s="333">
        <f>20*LOG10((K239/(I239*M239))*AEA)</f>
        <v/>
      </c>
      <c r="AC239" s="334">
        <f>(L239-(J239+N239))*radconv</f>
        <v/>
      </c>
      <c r="AE239" s="333">
        <f>20*LOG10((E239*G239/(C239*S239))*Acs*Am)</f>
        <v/>
      </c>
      <c r="AF239" s="334">
        <f>(F239+H239-(D239+T239))*radconv</f>
        <v/>
      </c>
      <c r="AH239">
        <f>SUM((U240&lt;0)*(U239&gt;0))*A239</f>
        <v/>
      </c>
      <c r="AI239">
        <f>IF(AH239&gt;0,W239,0)</f>
        <v/>
      </c>
    </row>
    <row r="240">
      <c r="A240" s="335" t="n">
        <v>14289.5</v>
      </c>
      <c r="B240" s="352">
        <f>A240/1000</f>
        <v/>
      </c>
      <c r="C240" s="1047">
        <f>SQRT(1+(A240/pole1)^2)</f>
        <v/>
      </c>
      <c r="D240" s="1048">
        <f>ATAN(A240/pole1)</f>
        <v/>
      </c>
      <c r="E240" s="1048">
        <f>SQRT(1+(A240/Zero1)^2)</f>
        <v/>
      </c>
      <c r="F240" s="1049">
        <f>ATAN(A240/Zero1)</f>
        <v/>
      </c>
      <c r="G240" s="1048">
        <f>IF(VIN_nom&gt;Vout, 1, SQRT(1+(A240/z_RHP)^2))</f>
        <v/>
      </c>
      <c r="H240" s="1049">
        <f>IF(VIN_nom&gt;Vout, 0, -ATAN(A240/z_RHP))</f>
        <v/>
      </c>
      <c r="I240" s="1047">
        <f>SQRT(1+(A240/Pole2)^2)</f>
        <v/>
      </c>
      <c r="J240" s="1050">
        <f>ATAN(A240/Pole2)</f>
        <v/>
      </c>
      <c r="K240" s="1056">
        <f>SQRT(1+(A240/Zero2)^2)</f>
        <v/>
      </c>
      <c r="L240" s="1057">
        <f>ATAN(A240/Zero2)</f>
        <v/>
      </c>
      <c r="M240" s="1047">
        <f>SQRT(1+(A240/pole4)^2)</f>
        <v/>
      </c>
      <c r="N240" s="1057">
        <f>ATAN(A240/pole4)</f>
        <v/>
      </c>
      <c r="O240" s="1058">
        <f>IF(VOUT_setting=1,1,SQRT(1+(A240*zterm1)^2))</f>
        <v/>
      </c>
      <c r="P240" s="1059">
        <f>IF(VOUT_setting=1,0,ATAN(((A240*zterm1))))</f>
        <v/>
      </c>
      <c r="Q240" s="1056">
        <f>IF(VOUT_setting=1,1,SQRT((1+Afbr-$Q$5*(A240)^2)^2+(A240*$Q$4)^2))</f>
        <v/>
      </c>
      <c r="R240" s="1060">
        <f>IF(VOUT_setting=1,0,ATAN(A240*$Q$4/(1+Afbr-$Q$5*(A240)^2)))</f>
        <v/>
      </c>
      <c r="S240" s="1054">
        <f>SQRT((1-(Z240/pterm2))^2+(A240/pterm1)^2)</f>
        <v/>
      </c>
      <c r="T240" s="1055">
        <f>IF((ATAN((A240/pterm1)/(1-A240^2/pterm2))&gt;0),ATAN((A240/pterm1)/(1-A240^2/pterm2)),PI()+ATAN((A240/pterm1)/(1-A240^2/pterm2)))</f>
        <v/>
      </c>
      <c r="U240" s="331">
        <f>20*LOG10(((E240*K240*G240*O240)/(C240*I240*S240*M240*Q240))*Adc)</f>
        <v/>
      </c>
      <c r="V240" s="332">
        <f>((F240+L240+H240+P240)-(D240+J240+T240+N240+R240))*radconv</f>
        <v/>
      </c>
      <c r="W240" s="334">
        <f>IF(V240&gt;0,V240,V240+180)</f>
        <v/>
      </c>
      <c r="Y240" s="307">
        <f>IF(U240&lt;0,A240,1000000000)</f>
        <v/>
      </c>
      <c r="Z240" s="307">
        <f>A240^2</f>
        <v/>
      </c>
      <c r="AB240" s="333">
        <f>20*LOG10((K240/(I240*M240))*AEA)</f>
        <v/>
      </c>
      <c r="AC240" s="334">
        <f>(L240-(J240+N240))*radconv</f>
        <v/>
      </c>
      <c r="AE240" s="333">
        <f>20*LOG10((E240*G240/(C240*S240))*Acs*Am)</f>
        <v/>
      </c>
      <c r="AF240" s="334">
        <f>(F240+H240-(D240+T240))*radconv</f>
        <v/>
      </c>
      <c r="AH240">
        <f>SUM((U241&lt;0)*(U240&gt;0))*A240</f>
        <v/>
      </c>
      <c r="AI240">
        <f>IF(AH240&gt;0,W240,0)</f>
        <v/>
      </c>
    </row>
    <row r="241">
      <c r="A241" s="335" t="n">
        <v>14371.75</v>
      </c>
      <c r="B241" s="352">
        <f>A241/1000</f>
        <v/>
      </c>
      <c r="C241" s="1047">
        <f>SQRT(1+(A241/pole1)^2)</f>
        <v/>
      </c>
      <c r="D241" s="1048">
        <f>ATAN(A241/pole1)</f>
        <v/>
      </c>
      <c r="E241" s="1048">
        <f>SQRT(1+(A241/Zero1)^2)</f>
        <v/>
      </c>
      <c r="F241" s="1049">
        <f>ATAN(A241/Zero1)</f>
        <v/>
      </c>
      <c r="G241" s="1048">
        <f>IF(VIN_nom&gt;Vout, 1, SQRT(1+(A241/z_RHP)^2))</f>
        <v/>
      </c>
      <c r="H241" s="1049">
        <f>IF(VIN_nom&gt;Vout, 0, -ATAN(A241/z_RHP))</f>
        <v/>
      </c>
      <c r="I241" s="1047">
        <f>SQRT(1+(A241/Pole2)^2)</f>
        <v/>
      </c>
      <c r="J241" s="1050">
        <f>ATAN(A241/Pole2)</f>
        <v/>
      </c>
      <c r="K241" s="1056">
        <f>SQRT(1+(A241/Zero2)^2)</f>
        <v/>
      </c>
      <c r="L241" s="1057">
        <f>ATAN(A241/Zero2)</f>
        <v/>
      </c>
      <c r="M241" s="1047">
        <f>SQRT(1+(A241/pole4)^2)</f>
        <v/>
      </c>
      <c r="N241" s="1057">
        <f>ATAN(A241/pole4)</f>
        <v/>
      </c>
      <c r="O241" s="1058">
        <f>IF(VOUT_setting=1,1,SQRT(1+(A241*zterm1)^2))</f>
        <v/>
      </c>
      <c r="P241" s="1059">
        <f>IF(VOUT_setting=1,0,ATAN(((A241*zterm1))))</f>
        <v/>
      </c>
      <c r="Q241" s="1056">
        <f>IF(VOUT_setting=1,1,SQRT((1+Afbr-$Q$5*(A241)^2)^2+(A241*$Q$4)^2))</f>
        <v/>
      </c>
      <c r="R241" s="1060">
        <f>IF(VOUT_setting=1,0,ATAN(A241*$Q$4/(1+Afbr-$Q$5*(A241)^2)))</f>
        <v/>
      </c>
      <c r="S241" s="1054">
        <f>SQRT((1-(Z241/pterm2))^2+(A241/pterm1)^2)</f>
        <v/>
      </c>
      <c r="T241" s="1055">
        <f>IF((ATAN((A241/pterm1)/(1-A241^2/pterm2))&gt;0),ATAN((A241/pterm1)/(1-A241^2/pterm2)),PI()+ATAN((A241/pterm1)/(1-A241^2/pterm2)))</f>
        <v/>
      </c>
      <c r="U241" s="331">
        <f>20*LOG10(((E241*K241*G241*O241)/(C241*I241*S241*M241*Q241))*Adc)</f>
        <v/>
      </c>
      <c r="V241" s="332">
        <f>((F241+L241+H241+P241)-(D241+J241+T241+N241+R241))*radconv</f>
        <v/>
      </c>
      <c r="W241" s="334">
        <f>IF(V241&gt;0,V241,V241+180)</f>
        <v/>
      </c>
      <c r="Y241" s="307">
        <f>IF(U241&lt;0,A241,1000000000)</f>
        <v/>
      </c>
      <c r="Z241" s="307">
        <f>A241^2</f>
        <v/>
      </c>
      <c r="AB241" s="333">
        <f>20*LOG10((K241/(I241*M241))*AEA)</f>
        <v/>
      </c>
      <c r="AC241" s="334">
        <f>(L241-(J241+N241))*radconv</f>
        <v/>
      </c>
      <c r="AE241" s="333">
        <f>20*LOG10((E241*G241/(C241*S241))*Acs*Am)</f>
        <v/>
      </c>
      <c r="AF241" s="334">
        <f>(F241+H241-(D241+T241))*radconv</f>
        <v/>
      </c>
      <c r="AH241">
        <f>SUM((U242&lt;0)*(U241&gt;0))*A241</f>
        <v/>
      </c>
      <c r="AI241">
        <f>IF(AH241&gt;0,W241,0)</f>
        <v/>
      </c>
    </row>
    <row r="242">
      <c r="A242" s="335" t="n">
        <v>14454</v>
      </c>
      <c r="B242" s="352">
        <f>A242/1000</f>
        <v/>
      </c>
      <c r="C242" s="1047">
        <f>SQRT(1+(A242/pole1)^2)</f>
        <v/>
      </c>
      <c r="D242" s="1048">
        <f>ATAN(A242/pole1)</f>
        <v/>
      </c>
      <c r="E242" s="1048">
        <f>SQRT(1+(A242/Zero1)^2)</f>
        <v/>
      </c>
      <c r="F242" s="1049">
        <f>ATAN(A242/Zero1)</f>
        <v/>
      </c>
      <c r="G242" s="1048">
        <f>IF(VIN_nom&gt;Vout, 1, SQRT(1+(A242/z_RHP)^2))</f>
        <v/>
      </c>
      <c r="H242" s="1049">
        <f>IF(VIN_nom&gt;Vout, 0, -ATAN(A242/z_RHP))</f>
        <v/>
      </c>
      <c r="I242" s="1047">
        <f>SQRT(1+(A242/Pole2)^2)</f>
        <v/>
      </c>
      <c r="J242" s="1050">
        <f>ATAN(A242/Pole2)</f>
        <v/>
      </c>
      <c r="K242" s="1056">
        <f>SQRT(1+(A242/Zero2)^2)</f>
        <v/>
      </c>
      <c r="L242" s="1057">
        <f>ATAN(A242/Zero2)</f>
        <v/>
      </c>
      <c r="M242" s="1047">
        <f>SQRT(1+(A242/pole4)^2)</f>
        <v/>
      </c>
      <c r="N242" s="1057">
        <f>ATAN(A242/pole4)</f>
        <v/>
      </c>
      <c r="O242" s="1058">
        <f>IF(VOUT_setting=1,1,SQRT(1+(A242*zterm1)^2))</f>
        <v/>
      </c>
      <c r="P242" s="1059">
        <f>IF(VOUT_setting=1,0,ATAN(((A242*zterm1))))</f>
        <v/>
      </c>
      <c r="Q242" s="1056">
        <f>IF(VOUT_setting=1,1,SQRT((1+Afbr-$Q$5*(A242)^2)^2+(A242*$Q$4)^2))</f>
        <v/>
      </c>
      <c r="R242" s="1060">
        <f>IF(VOUT_setting=1,0,ATAN(A242*$Q$4/(1+Afbr-$Q$5*(A242)^2)))</f>
        <v/>
      </c>
      <c r="S242" s="1054">
        <f>SQRT((1-(Z242/pterm2))^2+(A242/pterm1)^2)</f>
        <v/>
      </c>
      <c r="T242" s="1055">
        <f>IF((ATAN((A242/pterm1)/(1-A242^2/pterm2))&gt;0),ATAN((A242/pterm1)/(1-A242^2/pterm2)),PI()+ATAN((A242/pterm1)/(1-A242^2/pterm2)))</f>
        <v/>
      </c>
      <c r="U242" s="331">
        <f>20*LOG10(((E242*K242*G242*O242)/(C242*I242*S242*M242*Q242))*Adc)</f>
        <v/>
      </c>
      <c r="V242" s="332">
        <f>((F242+L242+H242+P242)-(D242+J242+T242+N242+R242))*radconv</f>
        <v/>
      </c>
      <c r="W242" s="334">
        <f>IF(V242&gt;0,V242,V242+180)</f>
        <v/>
      </c>
      <c r="Y242" s="307">
        <f>IF(U242&lt;0,A242,1000000000)</f>
        <v/>
      </c>
      <c r="Z242" s="307">
        <f>A242^2</f>
        <v/>
      </c>
      <c r="AB242" s="333">
        <f>20*LOG10((K242/(I242*M242))*AEA)</f>
        <v/>
      </c>
      <c r="AC242" s="334">
        <f>(L242-(J242+N242))*radconv</f>
        <v/>
      </c>
      <c r="AE242" s="333">
        <f>20*LOG10((E242*G242/(C242*S242))*Acs*Am)</f>
        <v/>
      </c>
      <c r="AF242" s="334">
        <f>(F242+H242-(D242+T242))*radconv</f>
        <v/>
      </c>
      <c r="AH242">
        <f>SUM((U243&lt;0)*(U242&gt;0))*A242</f>
        <v/>
      </c>
      <c r="AI242">
        <f>IF(AH242&gt;0,W242,0)</f>
        <v/>
      </c>
    </row>
    <row r="243">
      <c r="A243" s="335" t="n">
        <v>14622.5</v>
      </c>
      <c r="B243" s="352">
        <f>A243/1000</f>
        <v/>
      </c>
      <c r="C243" s="1047">
        <f>SQRT(1+(A243/pole1)^2)</f>
        <v/>
      </c>
      <c r="D243" s="1048">
        <f>ATAN(A243/pole1)</f>
        <v/>
      </c>
      <c r="E243" s="1048">
        <f>SQRT(1+(A243/Zero1)^2)</f>
        <v/>
      </c>
      <c r="F243" s="1049">
        <f>ATAN(A243/Zero1)</f>
        <v/>
      </c>
      <c r="G243" s="1048">
        <f>IF(VIN_nom&gt;Vout, 1, SQRT(1+(A243/z_RHP)^2))</f>
        <v/>
      </c>
      <c r="H243" s="1049">
        <f>IF(VIN_nom&gt;Vout, 0, -ATAN(A243/z_RHP))</f>
        <v/>
      </c>
      <c r="I243" s="1047">
        <f>SQRT(1+(A243/Pole2)^2)</f>
        <v/>
      </c>
      <c r="J243" s="1050">
        <f>ATAN(A243/Pole2)</f>
        <v/>
      </c>
      <c r="K243" s="1056">
        <f>SQRT(1+(A243/Zero2)^2)</f>
        <v/>
      </c>
      <c r="L243" s="1057">
        <f>ATAN(A243/Zero2)</f>
        <v/>
      </c>
      <c r="M243" s="1047">
        <f>SQRT(1+(A243/pole4)^2)</f>
        <v/>
      </c>
      <c r="N243" s="1057">
        <f>ATAN(A243/pole4)</f>
        <v/>
      </c>
      <c r="O243" s="1058">
        <f>IF(VOUT_setting=1,1,SQRT(1+(A243*zterm1)^2))</f>
        <v/>
      </c>
      <c r="P243" s="1059">
        <f>IF(VOUT_setting=1,0,ATAN(((A243*zterm1))))</f>
        <v/>
      </c>
      <c r="Q243" s="1056">
        <f>IF(VOUT_setting=1,1,SQRT((1+Afbr-$Q$5*(A243)^2)^2+(A243*$Q$4)^2))</f>
        <v/>
      </c>
      <c r="R243" s="1060">
        <f>IF(VOUT_setting=1,0,ATAN(A243*$Q$4/(1+Afbr-$Q$5*(A243)^2)))</f>
        <v/>
      </c>
      <c r="S243" s="1054">
        <f>SQRT((1-(Z243/pterm2))^2+(A243/pterm1)^2)</f>
        <v/>
      </c>
      <c r="T243" s="1055">
        <f>IF((ATAN((A243/pterm1)/(1-A243^2/pterm2))&gt;0),ATAN((A243/pterm1)/(1-A243^2/pterm2)),PI()+ATAN((A243/pterm1)/(1-A243^2/pterm2)))</f>
        <v/>
      </c>
      <c r="U243" s="331">
        <f>20*LOG10(((E243*K243*G243*O243)/(C243*I243*S243*M243*Q243))*Adc)</f>
        <v/>
      </c>
      <c r="V243" s="332">
        <f>((F243+L243+H243+P243)-(D243+J243+T243+N243+R243))*radconv</f>
        <v/>
      </c>
      <c r="W243" s="334">
        <f>IF(V243&gt;0,V243,V243+180)</f>
        <v/>
      </c>
      <c r="Y243" s="307">
        <f>IF(U243&lt;0,A243,1000000000)</f>
        <v/>
      </c>
      <c r="Z243" s="307">
        <f>A243^2</f>
        <v/>
      </c>
      <c r="AB243" s="333">
        <f>20*LOG10((K243/(I243*M243))*AEA)</f>
        <v/>
      </c>
      <c r="AC243" s="334">
        <f>(L243-(J243+N243))*radconv</f>
        <v/>
      </c>
      <c r="AE243" s="333">
        <f>20*LOG10((E243*G243/(C243*S243))*Acs*Am)</f>
        <v/>
      </c>
      <c r="AF243" s="334">
        <f>(F243+H243-(D243+T243))*radconv</f>
        <v/>
      </c>
      <c r="AH243">
        <f>SUM((U244&lt;0)*(U243&gt;0))*A243</f>
        <v/>
      </c>
      <c r="AI243">
        <f>IF(AH243&gt;0,W243,0)</f>
        <v/>
      </c>
    </row>
    <row r="244">
      <c r="A244" s="335" t="n">
        <v>14706.75</v>
      </c>
      <c r="B244" s="352">
        <f>A244/1000</f>
        <v/>
      </c>
      <c r="C244" s="1047">
        <f>SQRT(1+(A244/pole1)^2)</f>
        <v/>
      </c>
      <c r="D244" s="1048">
        <f>ATAN(A244/pole1)</f>
        <v/>
      </c>
      <c r="E244" s="1048">
        <f>SQRT(1+(A244/Zero1)^2)</f>
        <v/>
      </c>
      <c r="F244" s="1049">
        <f>ATAN(A244/Zero1)</f>
        <v/>
      </c>
      <c r="G244" s="1048">
        <f>IF(VIN_nom&gt;Vout, 1, SQRT(1+(A244/z_RHP)^2))</f>
        <v/>
      </c>
      <c r="H244" s="1049">
        <f>IF(VIN_nom&gt;Vout, 0, -ATAN(A244/z_RHP))</f>
        <v/>
      </c>
      <c r="I244" s="1047">
        <f>SQRT(1+(A244/Pole2)^2)</f>
        <v/>
      </c>
      <c r="J244" s="1050">
        <f>ATAN(A244/Pole2)</f>
        <v/>
      </c>
      <c r="K244" s="1056">
        <f>SQRT(1+(A244/Zero2)^2)</f>
        <v/>
      </c>
      <c r="L244" s="1057">
        <f>ATAN(A244/Zero2)</f>
        <v/>
      </c>
      <c r="M244" s="1047">
        <f>SQRT(1+(A244/pole4)^2)</f>
        <v/>
      </c>
      <c r="N244" s="1057">
        <f>ATAN(A244/pole4)</f>
        <v/>
      </c>
      <c r="O244" s="1058">
        <f>IF(VOUT_setting=1,1,SQRT(1+(A244*zterm1)^2))</f>
        <v/>
      </c>
      <c r="P244" s="1059">
        <f>IF(VOUT_setting=1,0,ATAN(((A244*zterm1))))</f>
        <v/>
      </c>
      <c r="Q244" s="1056">
        <f>IF(VOUT_setting=1,1,SQRT((1+Afbr-$Q$5*(A244)^2)^2+(A244*$Q$4)^2))</f>
        <v/>
      </c>
      <c r="R244" s="1060">
        <f>IF(VOUT_setting=1,0,ATAN(A244*$Q$4/(1+Afbr-$Q$5*(A244)^2)))</f>
        <v/>
      </c>
      <c r="S244" s="1054">
        <f>SQRT((1-(Z244/pterm2))^2+(A244/pterm1)^2)</f>
        <v/>
      </c>
      <c r="T244" s="1055">
        <f>IF((ATAN((A244/pterm1)/(1-A244^2/pterm2))&gt;0),ATAN((A244/pterm1)/(1-A244^2/pterm2)),PI()+ATAN((A244/pterm1)/(1-A244^2/pterm2)))</f>
        <v/>
      </c>
      <c r="U244" s="331">
        <f>20*LOG10(((E244*K244*G244*O244)/(C244*I244*S244*M244*Q244))*Adc)</f>
        <v/>
      </c>
      <c r="V244" s="332">
        <f>((F244+L244+H244+P244)-(D244+J244+T244+N244+R244))*radconv</f>
        <v/>
      </c>
      <c r="W244" s="334">
        <f>IF(V244&gt;0,V244,V244+180)</f>
        <v/>
      </c>
      <c r="Y244" s="307">
        <f>IF(U244&lt;0,A244,1000000000)</f>
        <v/>
      </c>
      <c r="Z244" s="307">
        <f>A244^2</f>
        <v/>
      </c>
      <c r="AB244" s="333">
        <f>20*LOG10((K244/(I244*M244))*AEA)</f>
        <v/>
      </c>
      <c r="AC244" s="334">
        <f>(L244-(J244+N244))*radconv</f>
        <v/>
      </c>
      <c r="AE244" s="333">
        <f>20*LOG10((E244*G244/(C244*S244))*Acs*Am)</f>
        <v/>
      </c>
      <c r="AF244" s="334">
        <f>(F244+H244-(D244+T244))*radconv</f>
        <v/>
      </c>
      <c r="AH244">
        <f>SUM((U245&lt;0)*(U244&gt;0))*A244</f>
        <v/>
      </c>
      <c r="AI244">
        <f>IF(AH244&gt;0,W244,0)</f>
        <v/>
      </c>
    </row>
    <row r="245">
      <c r="A245" s="335" t="n">
        <v>14791</v>
      </c>
      <c r="B245" s="352">
        <f>A245/1000</f>
        <v/>
      </c>
      <c r="C245" s="1047">
        <f>SQRT(1+(A245/pole1)^2)</f>
        <v/>
      </c>
      <c r="D245" s="1048">
        <f>ATAN(A245/pole1)</f>
        <v/>
      </c>
      <c r="E245" s="1048">
        <f>SQRT(1+(A245/Zero1)^2)</f>
        <v/>
      </c>
      <c r="F245" s="1049">
        <f>ATAN(A245/Zero1)</f>
        <v/>
      </c>
      <c r="G245" s="1048">
        <f>IF(VIN_nom&gt;Vout, 1, SQRT(1+(A245/z_RHP)^2))</f>
        <v/>
      </c>
      <c r="H245" s="1049">
        <f>IF(VIN_nom&gt;Vout, 0, -ATAN(A245/z_RHP))</f>
        <v/>
      </c>
      <c r="I245" s="1047">
        <f>SQRT(1+(A245/Pole2)^2)</f>
        <v/>
      </c>
      <c r="J245" s="1050">
        <f>ATAN(A245/Pole2)</f>
        <v/>
      </c>
      <c r="K245" s="1056">
        <f>SQRT(1+(A245/Zero2)^2)</f>
        <v/>
      </c>
      <c r="L245" s="1057">
        <f>ATAN(A245/Zero2)</f>
        <v/>
      </c>
      <c r="M245" s="1047">
        <f>SQRT(1+(A245/pole4)^2)</f>
        <v/>
      </c>
      <c r="N245" s="1057">
        <f>ATAN(A245/pole4)</f>
        <v/>
      </c>
      <c r="O245" s="1058">
        <f>IF(VOUT_setting=1,1,SQRT(1+(A245*zterm1)^2))</f>
        <v/>
      </c>
      <c r="P245" s="1059">
        <f>IF(VOUT_setting=1,0,ATAN(((A245*zterm1))))</f>
        <v/>
      </c>
      <c r="Q245" s="1056">
        <f>IF(VOUT_setting=1,1,SQRT((1+Afbr-$Q$5*(A245)^2)^2+(A245*$Q$4)^2))</f>
        <v/>
      </c>
      <c r="R245" s="1060">
        <f>IF(VOUT_setting=1,0,ATAN(A245*$Q$4/(1+Afbr-$Q$5*(A245)^2)))</f>
        <v/>
      </c>
      <c r="S245" s="1054">
        <f>SQRT((1-(Z245/pterm2))^2+(A245/pterm1)^2)</f>
        <v/>
      </c>
      <c r="T245" s="1055">
        <f>IF((ATAN((A245/pterm1)/(1-A245^2/pterm2))&gt;0),ATAN((A245/pterm1)/(1-A245^2/pterm2)),PI()+ATAN((A245/pterm1)/(1-A245^2/pterm2)))</f>
        <v/>
      </c>
      <c r="U245" s="331">
        <f>20*LOG10(((E245*K245*G245*O245)/(C245*I245*S245*M245*Q245))*Adc)</f>
        <v/>
      </c>
      <c r="V245" s="332">
        <f>((F245+L245+H245+P245)-(D245+J245+T245+N245+R245))*radconv</f>
        <v/>
      </c>
      <c r="W245" s="334">
        <f>IF(V245&gt;0,V245,V245+180)</f>
        <v/>
      </c>
      <c r="Y245" s="307">
        <f>IF(U245&lt;0,A245,1000000000)</f>
        <v/>
      </c>
      <c r="Z245" s="307">
        <f>A245^2</f>
        <v/>
      </c>
      <c r="AB245" s="333">
        <f>20*LOG10((K245/(I245*M245))*AEA)</f>
        <v/>
      </c>
      <c r="AC245" s="334">
        <f>(L245-(J245+N245))*radconv</f>
        <v/>
      </c>
      <c r="AE245" s="333">
        <f>20*LOG10((E245*G245/(C245*S245))*Acs*Am)</f>
        <v/>
      </c>
      <c r="AF245" s="334">
        <f>(F245+H245-(D245+T245))*radconv</f>
        <v/>
      </c>
      <c r="AH245">
        <f>SUM((U246&lt;0)*(U245&gt;0))*A245</f>
        <v/>
      </c>
      <c r="AI245">
        <f>IF(AH245&gt;0,W245,0)</f>
        <v/>
      </c>
    </row>
    <row r="246">
      <c r="A246" s="335" t="n">
        <v>14877.25</v>
      </c>
      <c r="B246" s="352">
        <f>A246/1000</f>
        <v/>
      </c>
      <c r="C246" s="1047">
        <f>SQRT(1+(A246/pole1)^2)</f>
        <v/>
      </c>
      <c r="D246" s="1048">
        <f>ATAN(A246/pole1)</f>
        <v/>
      </c>
      <c r="E246" s="1048">
        <f>SQRT(1+(A246/Zero1)^2)</f>
        <v/>
      </c>
      <c r="F246" s="1049">
        <f>ATAN(A246/Zero1)</f>
        <v/>
      </c>
      <c r="G246" s="1048">
        <f>IF(VIN_nom&gt;Vout, 1, SQRT(1+(A246/z_RHP)^2))</f>
        <v/>
      </c>
      <c r="H246" s="1049">
        <f>IF(VIN_nom&gt;Vout, 0, -ATAN(A246/z_RHP))</f>
        <v/>
      </c>
      <c r="I246" s="1047">
        <f>SQRT(1+(A246/Pole2)^2)</f>
        <v/>
      </c>
      <c r="J246" s="1050">
        <f>ATAN(A246/Pole2)</f>
        <v/>
      </c>
      <c r="K246" s="1056">
        <f>SQRT(1+(A246/Zero2)^2)</f>
        <v/>
      </c>
      <c r="L246" s="1057">
        <f>ATAN(A246/Zero2)</f>
        <v/>
      </c>
      <c r="M246" s="1047">
        <f>SQRT(1+(A246/pole4)^2)</f>
        <v/>
      </c>
      <c r="N246" s="1057">
        <f>ATAN(A246/pole4)</f>
        <v/>
      </c>
      <c r="O246" s="1058">
        <f>IF(VOUT_setting=1,1,SQRT(1+(A246*zterm1)^2))</f>
        <v/>
      </c>
      <c r="P246" s="1059">
        <f>IF(VOUT_setting=1,0,ATAN(((A246*zterm1))))</f>
        <v/>
      </c>
      <c r="Q246" s="1056">
        <f>IF(VOUT_setting=1,1,SQRT((1+Afbr-$Q$5*(A246)^2)^2+(A246*$Q$4)^2))</f>
        <v/>
      </c>
      <c r="R246" s="1060">
        <f>IF(VOUT_setting=1,0,ATAN(A246*$Q$4/(1+Afbr-$Q$5*(A246)^2)))</f>
        <v/>
      </c>
      <c r="S246" s="1054">
        <f>SQRT((1-(Z246/pterm2))^2+(A246/pterm1)^2)</f>
        <v/>
      </c>
      <c r="T246" s="1055">
        <f>IF((ATAN((A246/pterm1)/(1-A246^2/pterm2))&gt;0),ATAN((A246/pterm1)/(1-A246^2/pterm2)),PI()+ATAN((A246/pterm1)/(1-A246^2/pterm2)))</f>
        <v/>
      </c>
      <c r="U246" s="331">
        <f>20*LOG10(((E246*K246*G246*O246)/(C246*I246*S246*M246*Q246))*Adc)</f>
        <v/>
      </c>
      <c r="V246" s="332">
        <f>((F246+L246+H246+P246)-(D246+J246+T246+N246+R246))*radconv</f>
        <v/>
      </c>
      <c r="W246" s="334">
        <f>IF(V246&gt;0,V246,V246+180)</f>
        <v/>
      </c>
      <c r="Y246" s="307">
        <f>IF(U246&lt;0,A246,1000000000)</f>
        <v/>
      </c>
      <c r="Z246" s="307">
        <f>A246^2</f>
        <v/>
      </c>
      <c r="AB246" s="333">
        <f>20*LOG10((K246/(I246*M246))*AEA)</f>
        <v/>
      </c>
      <c r="AC246" s="334">
        <f>(L246-(J246+N246))*radconv</f>
        <v/>
      </c>
      <c r="AE246" s="333">
        <f>20*LOG10((E246*G246/(C246*S246))*Acs*Am)</f>
        <v/>
      </c>
      <c r="AF246" s="334">
        <f>(F246+H246-(D246+T246))*radconv</f>
        <v/>
      </c>
      <c r="AH246">
        <f>SUM((U247&lt;0)*(U246&gt;0))*A246</f>
        <v/>
      </c>
      <c r="AI246">
        <f>IF(AH246&gt;0,W246,0)</f>
        <v/>
      </c>
    </row>
    <row r="247">
      <c r="A247" s="335" t="n">
        <v>14963.5</v>
      </c>
      <c r="B247" s="352">
        <f>A247/1000</f>
        <v/>
      </c>
      <c r="C247" s="1047">
        <f>SQRT(1+(A247/pole1)^2)</f>
        <v/>
      </c>
      <c r="D247" s="1048">
        <f>ATAN(A247/pole1)</f>
        <v/>
      </c>
      <c r="E247" s="1048">
        <f>SQRT(1+(A247/Zero1)^2)</f>
        <v/>
      </c>
      <c r="F247" s="1049">
        <f>ATAN(A247/Zero1)</f>
        <v/>
      </c>
      <c r="G247" s="1048">
        <f>IF(VIN_nom&gt;Vout, 1, SQRT(1+(A247/z_RHP)^2))</f>
        <v/>
      </c>
      <c r="H247" s="1049">
        <f>IF(VIN_nom&gt;Vout, 0, -ATAN(A247/z_RHP))</f>
        <v/>
      </c>
      <c r="I247" s="1047">
        <f>SQRT(1+(A247/Pole2)^2)</f>
        <v/>
      </c>
      <c r="J247" s="1050">
        <f>ATAN(A247/Pole2)</f>
        <v/>
      </c>
      <c r="K247" s="1056">
        <f>SQRT(1+(A247/Zero2)^2)</f>
        <v/>
      </c>
      <c r="L247" s="1057">
        <f>ATAN(A247/Zero2)</f>
        <v/>
      </c>
      <c r="M247" s="1047">
        <f>SQRT(1+(A247/pole4)^2)</f>
        <v/>
      </c>
      <c r="N247" s="1057">
        <f>ATAN(A247/pole4)</f>
        <v/>
      </c>
      <c r="O247" s="1058">
        <f>IF(VOUT_setting=1,1,SQRT(1+(A247*zterm1)^2))</f>
        <v/>
      </c>
      <c r="P247" s="1059">
        <f>IF(VOUT_setting=1,0,ATAN(((A247*zterm1))))</f>
        <v/>
      </c>
      <c r="Q247" s="1056">
        <f>IF(VOUT_setting=1,1,SQRT((1+Afbr-$Q$5*(A247)^2)^2+(A247*$Q$4)^2))</f>
        <v/>
      </c>
      <c r="R247" s="1060">
        <f>IF(VOUT_setting=1,0,ATAN(A247*$Q$4/(1+Afbr-$Q$5*(A247)^2)))</f>
        <v/>
      </c>
      <c r="S247" s="1054">
        <f>SQRT((1-(Z247/pterm2))^2+(A247/pterm1)^2)</f>
        <v/>
      </c>
      <c r="T247" s="1055">
        <f>IF((ATAN((A247/pterm1)/(1-A247^2/pterm2))&gt;0),ATAN((A247/pterm1)/(1-A247^2/pterm2)),PI()+ATAN((A247/pterm1)/(1-A247^2/pterm2)))</f>
        <v/>
      </c>
      <c r="U247" s="331">
        <f>20*LOG10(((E247*K247*G247*O247)/(C247*I247*S247*M247*Q247))*Adc)</f>
        <v/>
      </c>
      <c r="V247" s="332">
        <f>((F247+L247+H247+P247)-(D247+J247+T247+N247+R247))*radconv</f>
        <v/>
      </c>
      <c r="W247" s="334">
        <f>IF(V247&gt;0,V247,V247+180)</f>
        <v/>
      </c>
      <c r="Y247" s="307">
        <f>IF(U247&lt;0,A247,1000000000)</f>
        <v/>
      </c>
      <c r="Z247" s="307">
        <f>A247^2</f>
        <v/>
      </c>
      <c r="AB247" s="333">
        <f>20*LOG10((K247/(I247*M247))*AEA)</f>
        <v/>
      </c>
      <c r="AC247" s="334">
        <f>(L247-(J247+N247))*radconv</f>
        <v/>
      </c>
      <c r="AE247" s="333">
        <f>20*LOG10((E247*G247/(C247*S247))*Acs*Am)</f>
        <v/>
      </c>
      <c r="AF247" s="334">
        <f>(F247+H247-(D247+T247))*radconv</f>
        <v/>
      </c>
      <c r="AH247">
        <f>SUM((U248&lt;0)*(U247&gt;0))*A247</f>
        <v/>
      </c>
      <c r="AI247">
        <f>IF(AH247&gt;0,W247,0)</f>
        <v/>
      </c>
    </row>
    <row r="248">
      <c r="A248" s="335" t="n">
        <v>15049.75</v>
      </c>
      <c r="B248" s="352">
        <f>A248/1000</f>
        <v/>
      </c>
      <c r="C248" s="1047">
        <f>SQRT(1+(A248/pole1)^2)</f>
        <v/>
      </c>
      <c r="D248" s="1048">
        <f>ATAN(A248/pole1)</f>
        <v/>
      </c>
      <c r="E248" s="1048">
        <f>SQRT(1+(A248/Zero1)^2)</f>
        <v/>
      </c>
      <c r="F248" s="1049">
        <f>ATAN(A248/Zero1)</f>
        <v/>
      </c>
      <c r="G248" s="1048">
        <f>IF(VIN_nom&gt;Vout, 1, SQRT(1+(A248/z_RHP)^2))</f>
        <v/>
      </c>
      <c r="H248" s="1049">
        <f>IF(VIN_nom&gt;Vout, 0, -ATAN(A248/z_RHP))</f>
        <v/>
      </c>
      <c r="I248" s="1047">
        <f>SQRT(1+(A248/Pole2)^2)</f>
        <v/>
      </c>
      <c r="J248" s="1050">
        <f>ATAN(A248/Pole2)</f>
        <v/>
      </c>
      <c r="K248" s="1056">
        <f>SQRT(1+(A248/Zero2)^2)</f>
        <v/>
      </c>
      <c r="L248" s="1057">
        <f>ATAN(A248/Zero2)</f>
        <v/>
      </c>
      <c r="M248" s="1047">
        <f>SQRT(1+(A248/pole4)^2)</f>
        <v/>
      </c>
      <c r="N248" s="1057">
        <f>ATAN(A248/pole4)</f>
        <v/>
      </c>
      <c r="O248" s="1058">
        <f>IF(VOUT_setting=1,1,SQRT(1+(A248*zterm1)^2))</f>
        <v/>
      </c>
      <c r="P248" s="1059">
        <f>IF(VOUT_setting=1,0,ATAN(((A248*zterm1))))</f>
        <v/>
      </c>
      <c r="Q248" s="1056">
        <f>IF(VOUT_setting=1,1,SQRT((1+Afbr-$Q$5*(A248)^2)^2+(A248*$Q$4)^2))</f>
        <v/>
      </c>
      <c r="R248" s="1060">
        <f>IF(VOUT_setting=1,0,ATAN(A248*$Q$4/(1+Afbr-$Q$5*(A248)^2)))</f>
        <v/>
      </c>
      <c r="S248" s="1054">
        <f>SQRT((1-(Z248/pterm2))^2+(A248/pterm1)^2)</f>
        <v/>
      </c>
      <c r="T248" s="1055">
        <f>IF((ATAN((A248/pterm1)/(1-A248^2/pterm2))&gt;0),ATAN((A248/pterm1)/(1-A248^2/pterm2)),PI()+ATAN((A248/pterm1)/(1-A248^2/pterm2)))</f>
        <v/>
      </c>
      <c r="U248" s="331">
        <f>20*LOG10(((E248*K248*G248*O248)/(C248*I248*S248*M248*Q248))*Adc)</f>
        <v/>
      </c>
      <c r="V248" s="332">
        <f>((F248+L248+H248+P248)-(D248+J248+T248+N248+R248))*radconv</f>
        <v/>
      </c>
      <c r="W248" s="334">
        <f>IF(V248&gt;0,V248,V248+180)</f>
        <v/>
      </c>
      <c r="Y248" s="307">
        <f>IF(U248&lt;0,A248,1000000000)</f>
        <v/>
      </c>
      <c r="Z248" s="307">
        <f>A248^2</f>
        <v/>
      </c>
      <c r="AB248" s="333">
        <f>20*LOG10((K248/(I248*M248))*AEA)</f>
        <v/>
      </c>
      <c r="AC248" s="334">
        <f>(L248-(J248+N248))*radconv</f>
        <v/>
      </c>
      <c r="AE248" s="333">
        <f>20*LOG10((E248*G248/(C248*S248))*Acs*Am)</f>
        <v/>
      </c>
      <c r="AF248" s="334">
        <f>(F248+H248-(D248+T248))*radconv</f>
        <v/>
      </c>
      <c r="AH248">
        <f>SUM((U249&lt;0)*(U248&gt;0))*A248</f>
        <v/>
      </c>
      <c r="AI248">
        <f>IF(AH248&gt;0,W248,0)</f>
        <v/>
      </c>
    </row>
    <row r="249">
      <c r="A249" s="335" t="n">
        <v>15136</v>
      </c>
      <c r="B249" s="352">
        <f>A249/1000</f>
        <v/>
      </c>
      <c r="C249" s="1047">
        <f>SQRT(1+(A249/pole1)^2)</f>
        <v/>
      </c>
      <c r="D249" s="1048">
        <f>ATAN(A249/pole1)</f>
        <v/>
      </c>
      <c r="E249" s="1048">
        <f>SQRT(1+(A249/Zero1)^2)</f>
        <v/>
      </c>
      <c r="F249" s="1049">
        <f>ATAN(A249/Zero1)</f>
        <v/>
      </c>
      <c r="G249" s="1048">
        <f>IF(VIN_nom&gt;Vout, 1, SQRT(1+(A249/z_RHP)^2))</f>
        <v/>
      </c>
      <c r="H249" s="1049">
        <f>IF(VIN_nom&gt;Vout, 0, -ATAN(A249/z_RHP))</f>
        <v/>
      </c>
      <c r="I249" s="1047">
        <f>SQRT(1+(A249/Pole2)^2)</f>
        <v/>
      </c>
      <c r="J249" s="1050">
        <f>ATAN(A249/Pole2)</f>
        <v/>
      </c>
      <c r="K249" s="1056">
        <f>SQRT(1+(A249/Zero2)^2)</f>
        <v/>
      </c>
      <c r="L249" s="1057">
        <f>ATAN(A249/Zero2)</f>
        <v/>
      </c>
      <c r="M249" s="1047">
        <f>SQRT(1+(A249/pole4)^2)</f>
        <v/>
      </c>
      <c r="N249" s="1057">
        <f>ATAN(A249/pole4)</f>
        <v/>
      </c>
      <c r="O249" s="1058">
        <f>IF(VOUT_setting=1,1,SQRT(1+(A249*zterm1)^2))</f>
        <v/>
      </c>
      <c r="P249" s="1059">
        <f>IF(VOUT_setting=1,0,ATAN(((A249*zterm1))))</f>
        <v/>
      </c>
      <c r="Q249" s="1056">
        <f>IF(VOUT_setting=1,1,SQRT((1+Afbr-$Q$5*(A249)^2)^2+(A249*$Q$4)^2))</f>
        <v/>
      </c>
      <c r="R249" s="1060">
        <f>IF(VOUT_setting=1,0,ATAN(A249*$Q$4/(1+Afbr-$Q$5*(A249)^2)))</f>
        <v/>
      </c>
      <c r="S249" s="1054">
        <f>SQRT((1-(Z249/pterm2))^2+(A249/pterm1)^2)</f>
        <v/>
      </c>
      <c r="T249" s="1055">
        <f>IF((ATAN((A249/pterm1)/(1-A249^2/pterm2))&gt;0),ATAN((A249/pterm1)/(1-A249^2/pterm2)),PI()+ATAN((A249/pterm1)/(1-A249^2/pterm2)))</f>
        <v/>
      </c>
      <c r="U249" s="331">
        <f>20*LOG10(((E249*K249*G249*O249)/(C249*I249*S249*M249*Q249))*Adc)</f>
        <v/>
      </c>
      <c r="V249" s="332">
        <f>((F249+L249+H249+P249)-(D249+J249+T249+N249+R249))*radconv</f>
        <v/>
      </c>
      <c r="W249" s="334">
        <f>IF(V249&gt;0,V249,V249+180)</f>
        <v/>
      </c>
      <c r="Y249" s="307">
        <f>IF(U249&lt;0,A249,1000000000)</f>
        <v/>
      </c>
      <c r="Z249" s="307">
        <f>A249^2</f>
        <v/>
      </c>
      <c r="AB249" s="333">
        <f>20*LOG10((K249/(I249*M249))*AEA)</f>
        <v/>
      </c>
      <c r="AC249" s="334">
        <f>(L249-(J249+N249))*radconv</f>
        <v/>
      </c>
      <c r="AE249" s="333">
        <f>20*LOG10((E249*G249/(C249*S249))*Acs*Am)</f>
        <v/>
      </c>
      <c r="AF249" s="334">
        <f>(F249+H249-(D249+T249))*radconv</f>
        <v/>
      </c>
      <c r="AH249">
        <f>SUM((U250&lt;0)*(U249&gt;0))*A249</f>
        <v/>
      </c>
      <c r="AI249">
        <f>IF(AH249&gt;0,W249,0)</f>
        <v/>
      </c>
    </row>
    <row r="250">
      <c r="A250" s="335" t="n">
        <v>15224</v>
      </c>
      <c r="B250" s="352">
        <f>A250/1000</f>
        <v/>
      </c>
      <c r="C250" s="1047">
        <f>SQRT(1+(A250/pole1)^2)</f>
        <v/>
      </c>
      <c r="D250" s="1048">
        <f>ATAN(A250/pole1)</f>
        <v/>
      </c>
      <c r="E250" s="1048">
        <f>SQRT(1+(A250/Zero1)^2)</f>
        <v/>
      </c>
      <c r="F250" s="1049">
        <f>ATAN(A250/Zero1)</f>
        <v/>
      </c>
      <c r="G250" s="1048">
        <f>IF(VIN_nom&gt;Vout, 1, SQRT(1+(A250/z_RHP)^2))</f>
        <v/>
      </c>
      <c r="H250" s="1049">
        <f>IF(VIN_nom&gt;Vout, 0, -ATAN(A250/z_RHP))</f>
        <v/>
      </c>
      <c r="I250" s="1047">
        <f>SQRT(1+(A250/Pole2)^2)</f>
        <v/>
      </c>
      <c r="J250" s="1050">
        <f>ATAN(A250/Pole2)</f>
        <v/>
      </c>
      <c r="K250" s="1056">
        <f>SQRT(1+(A250/Zero2)^2)</f>
        <v/>
      </c>
      <c r="L250" s="1057">
        <f>ATAN(A250/Zero2)</f>
        <v/>
      </c>
      <c r="M250" s="1047">
        <f>SQRT(1+(A250/pole4)^2)</f>
        <v/>
      </c>
      <c r="N250" s="1057">
        <f>ATAN(A250/pole4)</f>
        <v/>
      </c>
      <c r="O250" s="1058">
        <f>IF(VOUT_setting=1,1,SQRT(1+(A250*zterm1)^2))</f>
        <v/>
      </c>
      <c r="P250" s="1059">
        <f>IF(VOUT_setting=1,0,ATAN(((A250*zterm1))))</f>
        <v/>
      </c>
      <c r="Q250" s="1056">
        <f>IF(VOUT_setting=1,1,SQRT((1+Afbr-$Q$5*(A250)^2)^2+(A250*$Q$4)^2))</f>
        <v/>
      </c>
      <c r="R250" s="1060">
        <f>IF(VOUT_setting=1,0,ATAN(A250*$Q$4/(1+Afbr-$Q$5*(A250)^2)))</f>
        <v/>
      </c>
      <c r="S250" s="1054">
        <f>SQRT((1-(Z250/pterm2))^2+(A250/pterm1)^2)</f>
        <v/>
      </c>
      <c r="T250" s="1055">
        <f>IF((ATAN((A250/pterm1)/(1-A250^2/pterm2))&gt;0),ATAN((A250/pterm1)/(1-A250^2/pterm2)),PI()+ATAN((A250/pterm1)/(1-A250^2/pterm2)))</f>
        <v/>
      </c>
      <c r="U250" s="331">
        <f>20*LOG10(((E250*K250*G250*O250)/(C250*I250*S250*M250*Q250))*Adc)</f>
        <v/>
      </c>
      <c r="V250" s="332">
        <f>((F250+L250+H250+P250)-(D250+J250+T250+N250+R250))*radconv</f>
        <v/>
      </c>
      <c r="W250" s="334">
        <f>IF(V250&gt;0,V250,V250+180)</f>
        <v/>
      </c>
      <c r="Y250" s="307">
        <f>IF(U250&lt;0,A250,1000000000)</f>
        <v/>
      </c>
      <c r="Z250" s="307">
        <f>A250^2</f>
        <v/>
      </c>
      <c r="AB250" s="333">
        <f>20*LOG10((K250/(I250*M250))*AEA)</f>
        <v/>
      </c>
      <c r="AC250" s="334">
        <f>(L250-(J250+N250))*radconv</f>
        <v/>
      </c>
      <c r="AE250" s="333">
        <f>20*LOG10((E250*G250/(C250*S250))*Acs*Am)</f>
        <v/>
      </c>
      <c r="AF250" s="334">
        <f>(F250+H250-(D250+T250))*radconv</f>
        <v/>
      </c>
      <c r="AH250">
        <f>SUM((U251&lt;0)*(U250&gt;0))*A250</f>
        <v/>
      </c>
      <c r="AI250">
        <f>IF(AH250&gt;0,W250,0)</f>
        <v/>
      </c>
    </row>
    <row r="251">
      <c r="A251" s="335" t="n">
        <v>15312</v>
      </c>
      <c r="B251" s="352">
        <f>A251/1000</f>
        <v/>
      </c>
      <c r="C251" s="1047">
        <f>SQRT(1+(A251/pole1)^2)</f>
        <v/>
      </c>
      <c r="D251" s="1048">
        <f>ATAN(A251/pole1)</f>
        <v/>
      </c>
      <c r="E251" s="1048">
        <f>SQRT(1+(A251/Zero1)^2)</f>
        <v/>
      </c>
      <c r="F251" s="1049">
        <f>ATAN(A251/Zero1)</f>
        <v/>
      </c>
      <c r="G251" s="1048">
        <f>IF(VIN_nom&gt;Vout, 1, SQRT(1+(A251/z_RHP)^2))</f>
        <v/>
      </c>
      <c r="H251" s="1049">
        <f>IF(VIN_nom&gt;Vout, 0, -ATAN(A251/z_RHP))</f>
        <v/>
      </c>
      <c r="I251" s="1047">
        <f>SQRT(1+(A251/Pole2)^2)</f>
        <v/>
      </c>
      <c r="J251" s="1050">
        <f>ATAN(A251/Pole2)</f>
        <v/>
      </c>
      <c r="K251" s="1056">
        <f>SQRT(1+(A251/Zero2)^2)</f>
        <v/>
      </c>
      <c r="L251" s="1057">
        <f>ATAN(A251/Zero2)</f>
        <v/>
      </c>
      <c r="M251" s="1047">
        <f>SQRT(1+(A251/pole4)^2)</f>
        <v/>
      </c>
      <c r="N251" s="1057">
        <f>ATAN(A251/pole4)</f>
        <v/>
      </c>
      <c r="O251" s="1058">
        <f>IF(VOUT_setting=1,1,SQRT(1+(A251*zterm1)^2))</f>
        <v/>
      </c>
      <c r="P251" s="1059">
        <f>IF(VOUT_setting=1,0,ATAN(((A251*zterm1))))</f>
        <v/>
      </c>
      <c r="Q251" s="1056">
        <f>IF(VOUT_setting=1,1,SQRT((1+Afbr-$Q$5*(A251)^2)^2+(A251*$Q$4)^2))</f>
        <v/>
      </c>
      <c r="R251" s="1060">
        <f>IF(VOUT_setting=1,0,ATAN(A251*$Q$4/(1+Afbr-$Q$5*(A251)^2)))</f>
        <v/>
      </c>
      <c r="S251" s="1054">
        <f>SQRT((1-(Z251/pterm2))^2+(A251/pterm1)^2)</f>
        <v/>
      </c>
      <c r="T251" s="1055">
        <f>IF((ATAN((A251/pterm1)/(1-A251^2/pterm2))&gt;0),ATAN((A251/pterm1)/(1-A251^2/pterm2)),PI()+ATAN((A251/pterm1)/(1-A251^2/pterm2)))</f>
        <v/>
      </c>
      <c r="U251" s="331">
        <f>20*LOG10(((E251*K251*G251*O251)/(C251*I251*S251*M251*Q251))*Adc)</f>
        <v/>
      </c>
      <c r="V251" s="332">
        <f>((F251+L251+H251+P251)-(D251+J251+T251+N251+R251))*radconv</f>
        <v/>
      </c>
      <c r="W251" s="334">
        <f>IF(V251&gt;0,V251,V251+180)</f>
        <v/>
      </c>
      <c r="Y251" s="307">
        <f>IF(U251&lt;0,A251,1000000000)</f>
        <v/>
      </c>
      <c r="Z251" s="307">
        <f>A251^2</f>
        <v/>
      </c>
      <c r="AB251" s="333">
        <f>20*LOG10((K251/(I251*M251))*AEA)</f>
        <v/>
      </c>
      <c r="AC251" s="334">
        <f>(L251-(J251+N251))*radconv</f>
        <v/>
      </c>
      <c r="AE251" s="333">
        <f>20*LOG10((E251*G251/(C251*S251))*Acs*Am)</f>
        <v/>
      </c>
      <c r="AF251" s="334">
        <f>(F251+H251-(D251+T251))*radconv</f>
        <v/>
      </c>
      <c r="AH251">
        <f>SUM((U252&lt;0)*(U251&gt;0))*A251</f>
        <v/>
      </c>
      <c r="AI251">
        <f>IF(AH251&gt;0,W251,0)</f>
        <v/>
      </c>
    </row>
    <row r="252">
      <c r="A252" s="335" t="n">
        <v>15400</v>
      </c>
      <c r="B252" s="352">
        <f>A252/1000</f>
        <v/>
      </c>
      <c r="C252" s="1047">
        <f>SQRT(1+(A252/pole1)^2)</f>
        <v/>
      </c>
      <c r="D252" s="1048">
        <f>ATAN(A252/pole1)</f>
        <v/>
      </c>
      <c r="E252" s="1048">
        <f>SQRT(1+(A252/Zero1)^2)</f>
        <v/>
      </c>
      <c r="F252" s="1049">
        <f>ATAN(A252/Zero1)</f>
        <v/>
      </c>
      <c r="G252" s="1048">
        <f>IF(VIN_nom&gt;Vout, 1, SQRT(1+(A252/z_RHP)^2))</f>
        <v/>
      </c>
      <c r="H252" s="1049">
        <f>IF(VIN_nom&gt;Vout, 0, -ATAN(A252/z_RHP))</f>
        <v/>
      </c>
      <c r="I252" s="1047">
        <f>SQRT(1+(A252/Pole2)^2)</f>
        <v/>
      </c>
      <c r="J252" s="1050">
        <f>ATAN(A252/Pole2)</f>
        <v/>
      </c>
      <c r="K252" s="1056">
        <f>SQRT(1+(A252/Zero2)^2)</f>
        <v/>
      </c>
      <c r="L252" s="1057">
        <f>ATAN(A252/Zero2)</f>
        <v/>
      </c>
      <c r="M252" s="1047">
        <f>SQRT(1+(A252/pole4)^2)</f>
        <v/>
      </c>
      <c r="N252" s="1057">
        <f>ATAN(A252/pole4)</f>
        <v/>
      </c>
      <c r="O252" s="1058">
        <f>IF(VOUT_setting=1,1,SQRT(1+(A252*zterm1)^2))</f>
        <v/>
      </c>
      <c r="P252" s="1059">
        <f>IF(VOUT_setting=1,0,ATAN(((A252*zterm1))))</f>
        <v/>
      </c>
      <c r="Q252" s="1056">
        <f>IF(VOUT_setting=1,1,SQRT((1+Afbr-$Q$5*(A252)^2)^2+(A252*$Q$4)^2))</f>
        <v/>
      </c>
      <c r="R252" s="1060">
        <f>IF(VOUT_setting=1,0,ATAN(A252*$Q$4/(1+Afbr-$Q$5*(A252)^2)))</f>
        <v/>
      </c>
      <c r="S252" s="1054">
        <f>SQRT((1-(Z252/pterm2))^2+(A252/pterm1)^2)</f>
        <v/>
      </c>
      <c r="T252" s="1055">
        <f>IF((ATAN((A252/pterm1)/(1-A252^2/pterm2))&gt;0),ATAN((A252/pterm1)/(1-A252^2/pterm2)),PI()+ATAN((A252/pterm1)/(1-A252^2/pterm2)))</f>
        <v/>
      </c>
      <c r="U252" s="331">
        <f>20*LOG10(((E252*K252*G252*O252)/(C252*I252*S252*M252*Q252))*Adc)</f>
        <v/>
      </c>
      <c r="V252" s="332">
        <f>((F252+L252+H252+P252)-(D252+J252+T252+N252+R252))*radconv</f>
        <v/>
      </c>
      <c r="W252" s="334">
        <f>IF(V252&gt;0,V252,V252+180)</f>
        <v/>
      </c>
      <c r="Y252" s="307">
        <f>IF(U252&lt;0,A252,1000000000)</f>
        <v/>
      </c>
      <c r="Z252" s="307">
        <f>A252^2</f>
        <v/>
      </c>
      <c r="AB252" s="333">
        <f>20*LOG10((K252/(I252*M252))*AEA)</f>
        <v/>
      </c>
      <c r="AC252" s="334">
        <f>(L252-(J252+N252))*radconv</f>
        <v/>
      </c>
      <c r="AE252" s="333">
        <f>20*LOG10((E252*G252/(C252*S252))*Acs*Am)</f>
        <v/>
      </c>
      <c r="AF252" s="334">
        <f>(F252+H252-(D252+T252))*radconv</f>
        <v/>
      </c>
      <c r="AH252">
        <f>SUM((U253&lt;0)*(U252&gt;0))*A252</f>
        <v/>
      </c>
      <c r="AI252">
        <f>IF(AH252&gt;0,W252,0)</f>
        <v/>
      </c>
    </row>
    <row r="253">
      <c r="A253" s="335" t="n">
        <v>15488</v>
      </c>
      <c r="B253" s="352">
        <f>A253/1000</f>
        <v/>
      </c>
      <c r="C253" s="1047">
        <f>SQRT(1+(A253/pole1)^2)</f>
        <v/>
      </c>
      <c r="D253" s="1048">
        <f>ATAN(A253/pole1)</f>
        <v/>
      </c>
      <c r="E253" s="1048">
        <f>SQRT(1+(A253/Zero1)^2)</f>
        <v/>
      </c>
      <c r="F253" s="1049">
        <f>ATAN(A253/Zero1)</f>
        <v/>
      </c>
      <c r="G253" s="1048">
        <f>IF(VIN_nom&gt;Vout, 1, SQRT(1+(A253/z_RHP)^2))</f>
        <v/>
      </c>
      <c r="H253" s="1049">
        <f>IF(VIN_nom&gt;Vout, 0, -ATAN(A253/z_RHP))</f>
        <v/>
      </c>
      <c r="I253" s="1047">
        <f>SQRT(1+(A253/Pole2)^2)</f>
        <v/>
      </c>
      <c r="J253" s="1050">
        <f>ATAN(A253/Pole2)</f>
        <v/>
      </c>
      <c r="K253" s="1056">
        <f>SQRT(1+(A253/Zero2)^2)</f>
        <v/>
      </c>
      <c r="L253" s="1057">
        <f>ATAN(A253/Zero2)</f>
        <v/>
      </c>
      <c r="M253" s="1047">
        <f>SQRT(1+(A253/pole4)^2)</f>
        <v/>
      </c>
      <c r="N253" s="1057">
        <f>ATAN(A253/pole4)</f>
        <v/>
      </c>
      <c r="O253" s="1058">
        <f>IF(VOUT_setting=1,1,SQRT(1+(A253*zterm1)^2))</f>
        <v/>
      </c>
      <c r="P253" s="1059">
        <f>IF(VOUT_setting=1,0,ATAN(((A253*zterm1))))</f>
        <v/>
      </c>
      <c r="Q253" s="1056">
        <f>IF(VOUT_setting=1,1,SQRT((1+Afbr-$Q$5*(A253)^2)^2+(A253*$Q$4)^2))</f>
        <v/>
      </c>
      <c r="R253" s="1060">
        <f>IF(VOUT_setting=1,0,ATAN(A253*$Q$4/(1+Afbr-$Q$5*(A253)^2)))</f>
        <v/>
      </c>
      <c r="S253" s="1054">
        <f>SQRT((1-(Z253/pterm2))^2+(A253/pterm1)^2)</f>
        <v/>
      </c>
      <c r="T253" s="1055">
        <f>IF((ATAN((A253/pterm1)/(1-A253^2/pterm2))&gt;0),ATAN((A253/pterm1)/(1-A253^2/pterm2)),PI()+ATAN((A253/pterm1)/(1-A253^2/pterm2)))</f>
        <v/>
      </c>
      <c r="U253" s="331">
        <f>20*LOG10(((E253*K253*G253*O253)/(C253*I253*S253*M253*Q253))*Adc)</f>
        <v/>
      </c>
      <c r="V253" s="332">
        <f>((F253+L253+H253+P253)-(D253+J253+T253+N253+R253))*radconv</f>
        <v/>
      </c>
      <c r="W253" s="334">
        <f>IF(V253&gt;0,V253,V253+180)</f>
        <v/>
      </c>
      <c r="Y253" s="307">
        <f>IF(U253&lt;0,A253,1000000000)</f>
        <v/>
      </c>
      <c r="Z253" s="307">
        <f>A253^2</f>
        <v/>
      </c>
      <c r="AB253" s="333">
        <f>20*LOG10((K253/(I253*M253))*AEA)</f>
        <v/>
      </c>
      <c r="AC253" s="334">
        <f>(L253-(J253+N253))*radconv</f>
        <v/>
      </c>
      <c r="AE253" s="333">
        <f>20*LOG10((E253*G253/(C253*S253))*Acs*Am)</f>
        <v/>
      </c>
      <c r="AF253" s="334">
        <f>(F253+H253-(D253+T253))*radconv</f>
        <v/>
      </c>
      <c r="AH253">
        <f>SUM((U254&lt;0)*(U253&gt;0))*A253</f>
        <v/>
      </c>
      <c r="AI253">
        <f>IF(AH253&gt;0,W253,0)</f>
        <v/>
      </c>
    </row>
    <row r="254">
      <c r="A254" s="335" t="n">
        <v>15578.25</v>
      </c>
      <c r="B254" s="352">
        <f>A254/1000</f>
        <v/>
      </c>
      <c r="C254" s="1047">
        <f>SQRT(1+(A254/pole1)^2)</f>
        <v/>
      </c>
      <c r="D254" s="1048">
        <f>ATAN(A254/pole1)</f>
        <v/>
      </c>
      <c r="E254" s="1048">
        <f>SQRT(1+(A254/Zero1)^2)</f>
        <v/>
      </c>
      <c r="F254" s="1049">
        <f>ATAN(A254/Zero1)</f>
        <v/>
      </c>
      <c r="G254" s="1048">
        <f>IF(VIN_nom&gt;Vout, 1, SQRT(1+(A254/z_RHP)^2))</f>
        <v/>
      </c>
      <c r="H254" s="1049">
        <f>IF(VIN_nom&gt;Vout, 0, -ATAN(A254/z_RHP))</f>
        <v/>
      </c>
      <c r="I254" s="1047">
        <f>SQRT(1+(A254/Pole2)^2)</f>
        <v/>
      </c>
      <c r="J254" s="1050">
        <f>ATAN(A254/Pole2)</f>
        <v/>
      </c>
      <c r="K254" s="1056">
        <f>SQRT(1+(A254/Zero2)^2)</f>
        <v/>
      </c>
      <c r="L254" s="1057">
        <f>ATAN(A254/Zero2)</f>
        <v/>
      </c>
      <c r="M254" s="1047">
        <f>SQRT(1+(A254/pole4)^2)</f>
        <v/>
      </c>
      <c r="N254" s="1057">
        <f>ATAN(A254/pole4)</f>
        <v/>
      </c>
      <c r="O254" s="1058">
        <f>IF(VOUT_setting=1,1,SQRT(1+(A254*zterm1)^2))</f>
        <v/>
      </c>
      <c r="P254" s="1059">
        <f>IF(VOUT_setting=1,0,ATAN(((A254*zterm1))))</f>
        <v/>
      </c>
      <c r="Q254" s="1056">
        <f>IF(VOUT_setting=1,1,SQRT((1+Afbr-$Q$5*(A254)^2)^2+(A254*$Q$4)^2))</f>
        <v/>
      </c>
      <c r="R254" s="1060">
        <f>IF(VOUT_setting=1,0,ATAN(A254*$Q$4/(1+Afbr-$Q$5*(A254)^2)))</f>
        <v/>
      </c>
      <c r="S254" s="1054">
        <f>SQRT((1-(Z254/pterm2))^2+(A254/pterm1)^2)</f>
        <v/>
      </c>
      <c r="T254" s="1055">
        <f>IF((ATAN((A254/pterm1)/(1-A254^2/pterm2))&gt;0),ATAN((A254/pterm1)/(1-A254^2/pterm2)),PI()+ATAN((A254/pterm1)/(1-A254^2/pterm2)))</f>
        <v/>
      </c>
      <c r="U254" s="331">
        <f>20*LOG10(((E254*K254*G254*O254)/(C254*I254*S254*M254*Q254))*Adc)</f>
        <v/>
      </c>
      <c r="V254" s="332">
        <f>((F254+L254+H254+P254)-(D254+J254+T254+N254+R254))*radconv</f>
        <v/>
      </c>
      <c r="W254" s="334">
        <f>IF(V254&gt;0,V254,V254+180)</f>
        <v/>
      </c>
      <c r="Y254" s="307">
        <f>IF(U254&lt;0,A254,1000000000)</f>
        <v/>
      </c>
      <c r="Z254" s="307">
        <f>A254^2</f>
        <v/>
      </c>
      <c r="AB254" s="333">
        <f>20*LOG10((K254/(I254*M254))*AEA)</f>
        <v/>
      </c>
      <c r="AC254" s="334">
        <f>(L254-(J254+N254))*radconv</f>
        <v/>
      </c>
      <c r="AE254" s="333">
        <f>20*LOG10((E254*G254/(C254*S254))*Acs*Am)</f>
        <v/>
      </c>
      <c r="AF254" s="334">
        <f>(F254+H254-(D254+T254))*radconv</f>
        <v/>
      </c>
      <c r="AH254">
        <f>SUM((U255&lt;0)*(U254&gt;0))*A254</f>
        <v/>
      </c>
      <c r="AI254">
        <f>IF(AH254&gt;0,W254,0)</f>
        <v/>
      </c>
    </row>
    <row r="255">
      <c r="A255" s="335" t="n">
        <v>15668.5</v>
      </c>
      <c r="B255" s="352">
        <f>A255/1000</f>
        <v/>
      </c>
      <c r="C255" s="1047">
        <f>SQRT(1+(A255/pole1)^2)</f>
        <v/>
      </c>
      <c r="D255" s="1048">
        <f>ATAN(A255/pole1)</f>
        <v/>
      </c>
      <c r="E255" s="1048">
        <f>SQRT(1+(A255/Zero1)^2)</f>
        <v/>
      </c>
      <c r="F255" s="1049">
        <f>ATAN(A255/Zero1)</f>
        <v/>
      </c>
      <c r="G255" s="1048">
        <f>IF(VIN_nom&gt;Vout, 1, SQRT(1+(A255/z_RHP)^2))</f>
        <v/>
      </c>
      <c r="H255" s="1049">
        <f>IF(VIN_nom&gt;Vout, 0, -ATAN(A255/z_RHP))</f>
        <v/>
      </c>
      <c r="I255" s="1047">
        <f>SQRT(1+(A255/Pole2)^2)</f>
        <v/>
      </c>
      <c r="J255" s="1050">
        <f>ATAN(A255/Pole2)</f>
        <v/>
      </c>
      <c r="K255" s="1056">
        <f>SQRT(1+(A255/Zero2)^2)</f>
        <v/>
      </c>
      <c r="L255" s="1057">
        <f>ATAN(A255/Zero2)</f>
        <v/>
      </c>
      <c r="M255" s="1047">
        <f>SQRT(1+(A255/pole4)^2)</f>
        <v/>
      </c>
      <c r="N255" s="1057">
        <f>ATAN(A255/pole4)</f>
        <v/>
      </c>
      <c r="O255" s="1058">
        <f>IF(VOUT_setting=1,1,SQRT(1+(A255*zterm1)^2))</f>
        <v/>
      </c>
      <c r="P255" s="1059">
        <f>IF(VOUT_setting=1,0,ATAN(((A255*zterm1))))</f>
        <v/>
      </c>
      <c r="Q255" s="1056">
        <f>IF(VOUT_setting=1,1,SQRT((1+Afbr-$Q$5*(A255)^2)^2+(A255*$Q$4)^2))</f>
        <v/>
      </c>
      <c r="R255" s="1060">
        <f>IF(VOUT_setting=1,0,ATAN(A255*$Q$4/(1+Afbr-$Q$5*(A255)^2)))</f>
        <v/>
      </c>
      <c r="S255" s="1054">
        <f>SQRT((1-(Z255/pterm2))^2+(A255/pterm1)^2)</f>
        <v/>
      </c>
      <c r="T255" s="1055">
        <f>IF((ATAN((A255/pterm1)/(1-A255^2/pterm2))&gt;0),ATAN((A255/pterm1)/(1-A255^2/pterm2)),PI()+ATAN((A255/pterm1)/(1-A255^2/pterm2)))</f>
        <v/>
      </c>
      <c r="U255" s="331">
        <f>20*LOG10(((E255*K255*G255*O255)/(C255*I255*S255*M255*Q255))*Adc)</f>
        <v/>
      </c>
      <c r="V255" s="332">
        <f>((F255+L255+H255+P255)-(D255+J255+T255+N255+R255))*radconv</f>
        <v/>
      </c>
      <c r="W255" s="334">
        <f>IF(V255&gt;0,V255,V255+180)</f>
        <v/>
      </c>
      <c r="Y255" s="307">
        <f>IF(U255&lt;0,A255,1000000000)</f>
        <v/>
      </c>
      <c r="Z255" s="307">
        <f>A255^2</f>
        <v/>
      </c>
      <c r="AB255" s="333">
        <f>20*LOG10((K255/(I255*M255))*AEA)</f>
        <v/>
      </c>
      <c r="AC255" s="334">
        <f>(L255-(J255+N255))*radconv</f>
        <v/>
      </c>
      <c r="AE255" s="333">
        <f>20*LOG10((E255*G255/(C255*S255))*Acs*Am)</f>
        <v/>
      </c>
      <c r="AF255" s="334">
        <f>(F255+H255-(D255+T255))*radconv</f>
        <v/>
      </c>
      <c r="AH255">
        <f>SUM((U256&lt;0)*(U255&gt;0))*A255</f>
        <v/>
      </c>
      <c r="AI255">
        <f>IF(AH255&gt;0,W255,0)</f>
        <v/>
      </c>
    </row>
    <row r="256">
      <c r="A256" s="335" t="n">
        <v>15758.75</v>
      </c>
      <c r="B256" s="352">
        <f>A256/1000</f>
        <v/>
      </c>
      <c r="C256" s="1047">
        <f>SQRT(1+(A256/pole1)^2)</f>
        <v/>
      </c>
      <c r="D256" s="1048">
        <f>ATAN(A256/pole1)</f>
        <v/>
      </c>
      <c r="E256" s="1048">
        <f>SQRT(1+(A256/Zero1)^2)</f>
        <v/>
      </c>
      <c r="F256" s="1049">
        <f>ATAN(A256/Zero1)</f>
        <v/>
      </c>
      <c r="G256" s="1048">
        <f>IF(VIN_nom&gt;Vout, 1, SQRT(1+(A256/z_RHP)^2))</f>
        <v/>
      </c>
      <c r="H256" s="1049">
        <f>IF(VIN_nom&gt;Vout, 0, -ATAN(A256/z_RHP))</f>
        <v/>
      </c>
      <c r="I256" s="1047">
        <f>SQRT(1+(A256/Pole2)^2)</f>
        <v/>
      </c>
      <c r="J256" s="1050">
        <f>ATAN(A256/Pole2)</f>
        <v/>
      </c>
      <c r="K256" s="1056">
        <f>SQRT(1+(A256/Zero2)^2)</f>
        <v/>
      </c>
      <c r="L256" s="1057">
        <f>ATAN(A256/Zero2)</f>
        <v/>
      </c>
      <c r="M256" s="1047">
        <f>SQRT(1+(A256/pole4)^2)</f>
        <v/>
      </c>
      <c r="N256" s="1057">
        <f>ATAN(A256/pole4)</f>
        <v/>
      </c>
      <c r="O256" s="1058">
        <f>IF(VOUT_setting=1,1,SQRT(1+(A256*zterm1)^2))</f>
        <v/>
      </c>
      <c r="P256" s="1059">
        <f>IF(VOUT_setting=1,0,ATAN(((A256*zterm1))))</f>
        <v/>
      </c>
      <c r="Q256" s="1056">
        <f>IF(VOUT_setting=1,1,SQRT((1+Afbr-$Q$5*(A256)^2)^2+(A256*$Q$4)^2))</f>
        <v/>
      </c>
      <c r="R256" s="1060">
        <f>IF(VOUT_setting=1,0,ATAN(A256*$Q$4/(1+Afbr-$Q$5*(A256)^2)))</f>
        <v/>
      </c>
      <c r="S256" s="1054">
        <f>SQRT((1-(Z256/pterm2))^2+(A256/pterm1)^2)</f>
        <v/>
      </c>
      <c r="T256" s="1055">
        <f>IF((ATAN((A256/pterm1)/(1-A256^2/pterm2))&gt;0),ATAN((A256/pterm1)/(1-A256^2/pterm2)),PI()+ATAN((A256/pterm1)/(1-A256^2/pterm2)))</f>
        <v/>
      </c>
      <c r="U256" s="331">
        <f>20*LOG10(((E256*K256*G256*O256)/(C256*I256*S256*M256*Q256))*Adc)</f>
        <v/>
      </c>
      <c r="V256" s="332">
        <f>((F256+L256+H256+P256)-(D256+J256+T256+N256+R256))*radconv</f>
        <v/>
      </c>
      <c r="W256" s="334">
        <f>IF(V256&gt;0,V256,V256+180)</f>
        <v/>
      </c>
      <c r="Y256" s="307">
        <f>IF(U256&lt;0,A256,1000000000)</f>
        <v/>
      </c>
      <c r="Z256" s="307">
        <f>A256^2</f>
        <v/>
      </c>
      <c r="AB256" s="333">
        <f>20*LOG10((K256/(I256*M256))*AEA)</f>
        <v/>
      </c>
      <c r="AC256" s="334">
        <f>(L256-(J256+N256))*radconv</f>
        <v/>
      </c>
      <c r="AE256" s="333">
        <f>20*LOG10((E256*G256/(C256*S256))*Acs*Am)</f>
        <v/>
      </c>
      <c r="AF256" s="334">
        <f>(F256+H256-(D256+T256))*radconv</f>
        <v/>
      </c>
      <c r="AH256">
        <f>SUM((U257&lt;0)*(U256&gt;0))*A256</f>
        <v/>
      </c>
      <c r="AI256">
        <f>IF(AH256&gt;0,W256,0)</f>
        <v/>
      </c>
    </row>
    <row r="257">
      <c r="A257" s="335" t="n">
        <v>15849</v>
      </c>
      <c r="B257" s="352">
        <f>A257/1000</f>
        <v/>
      </c>
      <c r="C257" s="1047">
        <f>SQRT(1+(A257/pole1)^2)</f>
        <v/>
      </c>
      <c r="D257" s="1048">
        <f>ATAN(A257/pole1)</f>
        <v/>
      </c>
      <c r="E257" s="1048">
        <f>SQRT(1+(A257/Zero1)^2)</f>
        <v/>
      </c>
      <c r="F257" s="1049">
        <f>ATAN(A257/Zero1)</f>
        <v/>
      </c>
      <c r="G257" s="1048">
        <f>IF(VIN_nom&gt;Vout, 1, SQRT(1+(A257/z_RHP)^2))</f>
        <v/>
      </c>
      <c r="H257" s="1049">
        <f>IF(VIN_nom&gt;Vout, 0, -ATAN(A257/z_RHP))</f>
        <v/>
      </c>
      <c r="I257" s="1047">
        <f>SQRT(1+(A257/Pole2)^2)</f>
        <v/>
      </c>
      <c r="J257" s="1050">
        <f>ATAN(A257/Pole2)</f>
        <v/>
      </c>
      <c r="K257" s="1056">
        <f>SQRT(1+(A257/Zero2)^2)</f>
        <v/>
      </c>
      <c r="L257" s="1057">
        <f>ATAN(A257/Zero2)</f>
        <v/>
      </c>
      <c r="M257" s="1047">
        <f>SQRT(1+(A257/pole4)^2)</f>
        <v/>
      </c>
      <c r="N257" s="1057">
        <f>ATAN(A257/pole4)</f>
        <v/>
      </c>
      <c r="O257" s="1058">
        <f>IF(VOUT_setting=1,1,SQRT(1+(A257*zterm1)^2))</f>
        <v/>
      </c>
      <c r="P257" s="1059">
        <f>IF(VOUT_setting=1,0,ATAN(((A257*zterm1))))</f>
        <v/>
      </c>
      <c r="Q257" s="1056">
        <f>IF(VOUT_setting=1,1,SQRT((1+Afbr-$Q$5*(A257)^2)^2+(A257*$Q$4)^2))</f>
        <v/>
      </c>
      <c r="R257" s="1060">
        <f>IF(VOUT_setting=1,0,ATAN(A257*$Q$4/(1+Afbr-$Q$5*(A257)^2)))</f>
        <v/>
      </c>
      <c r="S257" s="1054">
        <f>SQRT((1-(Z257/pterm2))^2+(A257/pterm1)^2)</f>
        <v/>
      </c>
      <c r="T257" s="1055">
        <f>IF((ATAN((A257/pterm1)/(1-A257^2/pterm2))&gt;0),ATAN((A257/pterm1)/(1-A257^2/pterm2)),PI()+ATAN((A257/pterm1)/(1-A257^2/pterm2)))</f>
        <v/>
      </c>
      <c r="U257" s="331">
        <f>20*LOG10(((E257*K257*G257*O257)/(C257*I257*S257*M257*Q257))*Adc)</f>
        <v/>
      </c>
      <c r="V257" s="332">
        <f>((F257+L257+H257+P257)-(D257+J257+T257+N257+R257))*radconv</f>
        <v/>
      </c>
      <c r="W257" s="334">
        <f>IF(V257&gt;0,V257,V257+180)</f>
        <v/>
      </c>
      <c r="Y257" s="307">
        <f>IF(U257&lt;0,A257,1000000000)</f>
        <v/>
      </c>
      <c r="Z257" s="307">
        <f>A257^2</f>
        <v/>
      </c>
      <c r="AB257" s="333">
        <f>20*LOG10((K257/(I257*M257))*AEA)</f>
        <v/>
      </c>
      <c r="AC257" s="334">
        <f>(L257-(J257+N257))*radconv</f>
        <v/>
      </c>
      <c r="AE257" s="333">
        <f>20*LOG10((E257*G257/(C257*S257))*Acs*Am)</f>
        <v/>
      </c>
      <c r="AF257" s="334">
        <f>(F257+H257-(D257+T257))*radconv</f>
        <v/>
      </c>
      <c r="AH257">
        <f>SUM((U258&lt;0)*(U257&gt;0))*A257</f>
        <v/>
      </c>
      <c r="AI257">
        <f>IF(AH257&gt;0,W257,0)</f>
        <v/>
      </c>
    </row>
    <row r="258">
      <c r="A258" s="335" t="n">
        <v>15941.25</v>
      </c>
      <c r="B258" s="352">
        <f>A258/1000</f>
        <v/>
      </c>
      <c r="C258" s="1047">
        <f>SQRT(1+(A258/pole1)^2)</f>
        <v/>
      </c>
      <c r="D258" s="1048">
        <f>ATAN(A258/pole1)</f>
        <v/>
      </c>
      <c r="E258" s="1048">
        <f>SQRT(1+(A258/Zero1)^2)</f>
        <v/>
      </c>
      <c r="F258" s="1049">
        <f>ATAN(A258/Zero1)</f>
        <v/>
      </c>
      <c r="G258" s="1048">
        <f>IF(VIN_nom&gt;Vout, 1, SQRT(1+(A258/z_RHP)^2))</f>
        <v/>
      </c>
      <c r="H258" s="1049">
        <f>IF(VIN_nom&gt;Vout, 0, -ATAN(A258/z_RHP))</f>
        <v/>
      </c>
      <c r="I258" s="1047">
        <f>SQRT(1+(A258/Pole2)^2)</f>
        <v/>
      </c>
      <c r="J258" s="1050">
        <f>ATAN(A258/Pole2)</f>
        <v/>
      </c>
      <c r="K258" s="1056">
        <f>SQRT(1+(A258/Zero2)^2)</f>
        <v/>
      </c>
      <c r="L258" s="1057">
        <f>ATAN(A258/Zero2)</f>
        <v/>
      </c>
      <c r="M258" s="1047">
        <f>SQRT(1+(A258/pole4)^2)</f>
        <v/>
      </c>
      <c r="N258" s="1057">
        <f>ATAN(A258/pole4)</f>
        <v/>
      </c>
      <c r="O258" s="1058">
        <f>IF(VOUT_setting=1,1,SQRT(1+(A258*zterm1)^2))</f>
        <v/>
      </c>
      <c r="P258" s="1059">
        <f>IF(VOUT_setting=1,0,ATAN(((A258*zterm1))))</f>
        <v/>
      </c>
      <c r="Q258" s="1056">
        <f>IF(VOUT_setting=1,1,SQRT((1+Afbr-$Q$5*(A258)^2)^2+(A258*$Q$4)^2))</f>
        <v/>
      </c>
      <c r="R258" s="1060">
        <f>IF(VOUT_setting=1,0,ATAN(A258*$Q$4/(1+Afbr-$Q$5*(A258)^2)))</f>
        <v/>
      </c>
      <c r="S258" s="1054">
        <f>SQRT((1-(Z258/pterm2))^2+(A258/pterm1)^2)</f>
        <v/>
      </c>
      <c r="T258" s="1055">
        <f>IF((ATAN((A258/pterm1)/(1-A258^2/pterm2))&gt;0),ATAN((A258/pterm1)/(1-A258^2/pterm2)),PI()+ATAN((A258/pterm1)/(1-A258^2/pterm2)))</f>
        <v/>
      </c>
      <c r="U258" s="331">
        <f>20*LOG10(((E258*K258*G258*O258)/(C258*I258*S258*M258*Q258))*Adc)</f>
        <v/>
      </c>
      <c r="V258" s="332">
        <f>((F258+L258+H258+P258)-(D258+J258+T258+N258+R258))*radconv</f>
        <v/>
      </c>
      <c r="W258" s="334">
        <f>IF(V258&gt;0,V258,V258+180)</f>
        <v/>
      </c>
      <c r="Y258" s="307">
        <f>IF(U258&lt;0,A258,1000000000)</f>
        <v/>
      </c>
      <c r="Z258" s="307">
        <f>A258^2</f>
        <v/>
      </c>
      <c r="AB258" s="333">
        <f>20*LOG10((K258/(I258*M258))*AEA)</f>
        <v/>
      </c>
      <c r="AC258" s="334">
        <f>(L258-(J258+N258))*radconv</f>
        <v/>
      </c>
      <c r="AE258" s="333">
        <f>20*LOG10((E258*G258/(C258*S258))*Acs*Am)</f>
        <v/>
      </c>
      <c r="AF258" s="334">
        <f>(F258+H258-(D258+T258))*radconv</f>
        <v/>
      </c>
      <c r="AH258">
        <f>SUM((U259&lt;0)*(U258&gt;0))*A258</f>
        <v/>
      </c>
      <c r="AI258">
        <f>IF(AH258&gt;0,W258,0)</f>
        <v/>
      </c>
    </row>
    <row r="259">
      <c r="A259" s="335" t="n">
        <v>16033.5</v>
      </c>
      <c r="B259" s="352">
        <f>A259/1000</f>
        <v/>
      </c>
      <c r="C259" s="1047">
        <f>SQRT(1+(A259/pole1)^2)</f>
        <v/>
      </c>
      <c r="D259" s="1048">
        <f>ATAN(A259/pole1)</f>
        <v/>
      </c>
      <c r="E259" s="1048">
        <f>SQRT(1+(A259/Zero1)^2)</f>
        <v/>
      </c>
      <c r="F259" s="1049">
        <f>ATAN(A259/Zero1)</f>
        <v/>
      </c>
      <c r="G259" s="1048">
        <f>IF(VIN_nom&gt;Vout, 1, SQRT(1+(A259/z_RHP)^2))</f>
        <v/>
      </c>
      <c r="H259" s="1049">
        <f>IF(VIN_nom&gt;Vout, 0, -ATAN(A259/z_RHP))</f>
        <v/>
      </c>
      <c r="I259" s="1047">
        <f>SQRT(1+(A259/Pole2)^2)</f>
        <v/>
      </c>
      <c r="J259" s="1050">
        <f>ATAN(A259/Pole2)</f>
        <v/>
      </c>
      <c r="K259" s="1056">
        <f>SQRT(1+(A259/Zero2)^2)</f>
        <v/>
      </c>
      <c r="L259" s="1057">
        <f>ATAN(A259/Zero2)</f>
        <v/>
      </c>
      <c r="M259" s="1047">
        <f>SQRT(1+(A259/pole4)^2)</f>
        <v/>
      </c>
      <c r="N259" s="1057">
        <f>ATAN(A259/pole4)</f>
        <v/>
      </c>
      <c r="O259" s="1058">
        <f>IF(VOUT_setting=1,1,SQRT(1+(A259*zterm1)^2))</f>
        <v/>
      </c>
      <c r="P259" s="1059">
        <f>IF(VOUT_setting=1,0,ATAN(((A259*zterm1))))</f>
        <v/>
      </c>
      <c r="Q259" s="1056">
        <f>IF(VOUT_setting=1,1,SQRT((1+Afbr-$Q$5*(A259)^2)^2+(A259*$Q$4)^2))</f>
        <v/>
      </c>
      <c r="R259" s="1060">
        <f>IF(VOUT_setting=1,0,ATAN(A259*$Q$4/(1+Afbr-$Q$5*(A259)^2)))</f>
        <v/>
      </c>
      <c r="S259" s="1054">
        <f>SQRT((1-(Z259/pterm2))^2+(A259/pterm1)^2)</f>
        <v/>
      </c>
      <c r="T259" s="1055">
        <f>IF((ATAN((A259/pterm1)/(1-A259^2/pterm2))&gt;0),ATAN((A259/pterm1)/(1-A259^2/pterm2)),PI()+ATAN((A259/pterm1)/(1-A259^2/pterm2)))</f>
        <v/>
      </c>
      <c r="U259" s="331">
        <f>20*LOG10(((E259*K259*G259*O259)/(C259*I259*S259*M259*Q259))*Adc)</f>
        <v/>
      </c>
      <c r="V259" s="332">
        <f>((F259+L259+H259+P259)-(D259+J259+T259+N259+R259))*radconv</f>
        <v/>
      </c>
      <c r="W259" s="334">
        <f>IF(V259&gt;0,V259,V259+180)</f>
        <v/>
      </c>
      <c r="Y259" s="307">
        <f>IF(U259&lt;0,A259,1000000000)</f>
        <v/>
      </c>
      <c r="Z259" s="307">
        <f>A259^2</f>
        <v/>
      </c>
      <c r="AB259" s="333">
        <f>20*LOG10((K259/(I259*M259))*AEA)</f>
        <v/>
      </c>
      <c r="AC259" s="334">
        <f>(L259-(J259+N259))*radconv</f>
        <v/>
      </c>
      <c r="AE259" s="333">
        <f>20*LOG10((E259*G259/(C259*S259))*Acs*Am)</f>
        <v/>
      </c>
      <c r="AF259" s="334">
        <f>(F259+H259-(D259+T259))*radconv</f>
        <v/>
      </c>
      <c r="AH259">
        <f>SUM((U260&lt;0)*(U259&gt;0))*A259</f>
        <v/>
      </c>
      <c r="AI259">
        <f>IF(AH259&gt;0,W259,0)</f>
        <v/>
      </c>
    </row>
    <row r="260">
      <c r="A260" s="335" t="n">
        <v>16125.75</v>
      </c>
      <c r="B260" s="352">
        <f>A260/1000</f>
        <v/>
      </c>
      <c r="C260" s="1047">
        <f>SQRT(1+(A260/pole1)^2)</f>
        <v/>
      </c>
      <c r="D260" s="1048">
        <f>ATAN(A260/pole1)</f>
        <v/>
      </c>
      <c r="E260" s="1048">
        <f>SQRT(1+(A260/Zero1)^2)</f>
        <v/>
      </c>
      <c r="F260" s="1049">
        <f>ATAN(A260/Zero1)</f>
        <v/>
      </c>
      <c r="G260" s="1048">
        <f>IF(VIN_nom&gt;Vout, 1, SQRT(1+(A260/z_RHP)^2))</f>
        <v/>
      </c>
      <c r="H260" s="1049">
        <f>IF(VIN_nom&gt;Vout, 0, -ATAN(A260/z_RHP))</f>
        <v/>
      </c>
      <c r="I260" s="1047">
        <f>SQRT(1+(A260/Pole2)^2)</f>
        <v/>
      </c>
      <c r="J260" s="1050">
        <f>ATAN(A260/Pole2)</f>
        <v/>
      </c>
      <c r="K260" s="1056">
        <f>SQRT(1+(A260/Zero2)^2)</f>
        <v/>
      </c>
      <c r="L260" s="1057">
        <f>ATAN(A260/Zero2)</f>
        <v/>
      </c>
      <c r="M260" s="1047">
        <f>SQRT(1+(A260/pole4)^2)</f>
        <v/>
      </c>
      <c r="N260" s="1057">
        <f>ATAN(A260/pole4)</f>
        <v/>
      </c>
      <c r="O260" s="1058">
        <f>IF(VOUT_setting=1,1,SQRT(1+(A260*zterm1)^2))</f>
        <v/>
      </c>
      <c r="P260" s="1059">
        <f>IF(VOUT_setting=1,0,ATAN(((A260*zterm1))))</f>
        <v/>
      </c>
      <c r="Q260" s="1056">
        <f>IF(VOUT_setting=1,1,SQRT((1+Afbr-$Q$5*(A260)^2)^2+(A260*$Q$4)^2))</f>
        <v/>
      </c>
      <c r="R260" s="1060">
        <f>IF(VOUT_setting=1,0,ATAN(A260*$Q$4/(1+Afbr-$Q$5*(A260)^2)))</f>
        <v/>
      </c>
      <c r="S260" s="1054">
        <f>SQRT((1-(Z260/pterm2))^2+(A260/pterm1)^2)</f>
        <v/>
      </c>
      <c r="T260" s="1055">
        <f>IF((ATAN((A260/pterm1)/(1-A260^2/pterm2))&gt;0),ATAN((A260/pterm1)/(1-A260^2/pterm2)),PI()+ATAN((A260/pterm1)/(1-A260^2/pterm2)))</f>
        <v/>
      </c>
      <c r="U260" s="331">
        <f>20*LOG10(((E260*K260*G260*O260)/(C260*I260*S260*M260*Q260))*Adc)</f>
        <v/>
      </c>
      <c r="V260" s="332">
        <f>((F260+L260+H260+P260)-(D260+J260+T260+N260+R260))*radconv</f>
        <v/>
      </c>
      <c r="W260" s="334">
        <f>IF(V260&gt;0,V260,V260+180)</f>
        <v/>
      </c>
      <c r="Y260" s="307">
        <f>IF(U260&lt;0,A260,1000000000)</f>
        <v/>
      </c>
      <c r="Z260" s="307">
        <f>A260^2</f>
        <v/>
      </c>
      <c r="AB260" s="333">
        <f>20*LOG10((K260/(I260*M260))*AEA)</f>
        <v/>
      </c>
      <c r="AC260" s="334">
        <f>(L260-(J260+N260))*radconv</f>
        <v/>
      </c>
      <c r="AE260" s="333">
        <f>20*LOG10((E260*G260/(C260*S260))*Acs*Am)</f>
        <v/>
      </c>
      <c r="AF260" s="334">
        <f>(F260+H260-(D260+T260))*radconv</f>
        <v/>
      </c>
      <c r="AH260">
        <f>SUM((U261&lt;0)*(U260&gt;0))*A260</f>
        <v/>
      </c>
      <c r="AI260">
        <f>IF(AH260&gt;0,W260,0)</f>
        <v/>
      </c>
    </row>
    <row r="261">
      <c r="A261" s="335" t="n">
        <v>16218</v>
      </c>
      <c r="B261" s="352">
        <f>A261/1000</f>
        <v/>
      </c>
      <c r="C261" s="1047">
        <f>SQRT(1+(A261/pole1)^2)</f>
        <v/>
      </c>
      <c r="D261" s="1048">
        <f>ATAN(A261/pole1)</f>
        <v/>
      </c>
      <c r="E261" s="1048">
        <f>SQRT(1+(A261/Zero1)^2)</f>
        <v/>
      </c>
      <c r="F261" s="1049">
        <f>ATAN(A261/Zero1)</f>
        <v/>
      </c>
      <c r="G261" s="1048">
        <f>IF(VIN_nom&gt;Vout, 1, SQRT(1+(A261/z_RHP)^2))</f>
        <v/>
      </c>
      <c r="H261" s="1049">
        <f>IF(VIN_nom&gt;Vout, 0, -ATAN(A261/z_RHP))</f>
        <v/>
      </c>
      <c r="I261" s="1047">
        <f>SQRT(1+(A261/Pole2)^2)</f>
        <v/>
      </c>
      <c r="J261" s="1050">
        <f>ATAN(A261/Pole2)</f>
        <v/>
      </c>
      <c r="K261" s="1056">
        <f>SQRT(1+(A261/Zero2)^2)</f>
        <v/>
      </c>
      <c r="L261" s="1057">
        <f>ATAN(A261/Zero2)</f>
        <v/>
      </c>
      <c r="M261" s="1047">
        <f>SQRT(1+(A261/pole4)^2)</f>
        <v/>
      </c>
      <c r="N261" s="1057">
        <f>ATAN(A261/pole4)</f>
        <v/>
      </c>
      <c r="O261" s="1058">
        <f>IF(VOUT_setting=1,1,SQRT(1+(A261*zterm1)^2))</f>
        <v/>
      </c>
      <c r="P261" s="1059">
        <f>IF(VOUT_setting=1,0,ATAN(((A261*zterm1))))</f>
        <v/>
      </c>
      <c r="Q261" s="1056">
        <f>IF(VOUT_setting=1,1,SQRT((1+Afbr-$Q$5*(A261)^2)^2+(A261*$Q$4)^2))</f>
        <v/>
      </c>
      <c r="R261" s="1060">
        <f>IF(VOUT_setting=1,0,ATAN(A261*$Q$4/(1+Afbr-$Q$5*(A261)^2)))</f>
        <v/>
      </c>
      <c r="S261" s="1054">
        <f>SQRT((1-(Z261/pterm2))^2+(A261/pterm1)^2)</f>
        <v/>
      </c>
      <c r="T261" s="1055">
        <f>IF((ATAN((A261/pterm1)/(1-A261^2/pterm2))&gt;0),ATAN((A261/pterm1)/(1-A261^2/pterm2)),PI()+ATAN((A261/pterm1)/(1-A261^2/pterm2)))</f>
        <v/>
      </c>
      <c r="U261" s="331">
        <f>20*LOG10(((E261*K261*G261*O261)/(C261*I261*S261*M261*Q261))*Adc)</f>
        <v/>
      </c>
      <c r="V261" s="332">
        <f>((F261+L261+H261+P261)-(D261+J261+T261+N261+R261))*radconv</f>
        <v/>
      </c>
      <c r="W261" s="334">
        <f>IF(V261&gt;0,V261,V261+180)</f>
        <v/>
      </c>
      <c r="Y261" s="307">
        <f>IF(U261&lt;0,A261,1000000000)</f>
        <v/>
      </c>
      <c r="Z261" s="307">
        <f>A261^2</f>
        <v/>
      </c>
      <c r="AB261" s="333">
        <f>20*LOG10((K261/(I261*M261))*AEA)</f>
        <v/>
      </c>
      <c r="AC261" s="334">
        <f>(L261-(J261+N261))*radconv</f>
        <v/>
      </c>
      <c r="AE261" s="333">
        <f>20*LOG10((E261*G261/(C261*S261))*Acs*Am)</f>
        <v/>
      </c>
      <c r="AF261" s="334">
        <f>(F261+H261-(D261+T261))*radconv</f>
        <v/>
      </c>
      <c r="AH261">
        <f>SUM((U262&lt;0)*(U261&gt;0))*A261</f>
        <v/>
      </c>
      <c r="AI261">
        <f>IF(AH261&gt;0,W261,0)</f>
        <v/>
      </c>
    </row>
    <row r="262">
      <c r="A262" s="335" t="n">
        <v>16312.5</v>
      </c>
      <c r="B262" s="352">
        <f>A262/1000</f>
        <v/>
      </c>
      <c r="C262" s="1047">
        <f>SQRT(1+(A262/pole1)^2)</f>
        <v/>
      </c>
      <c r="D262" s="1048">
        <f>ATAN(A262/pole1)</f>
        <v/>
      </c>
      <c r="E262" s="1048">
        <f>SQRT(1+(A262/Zero1)^2)</f>
        <v/>
      </c>
      <c r="F262" s="1049">
        <f>ATAN(A262/Zero1)</f>
        <v/>
      </c>
      <c r="G262" s="1048">
        <f>IF(VIN_nom&gt;Vout, 1, SQRT(1+(A262/z_RHP)^2))</f>
        <v/>
      </c>
      <c r="H262" s="1049">
        <f>IF(VIN_nom&gt;Vout, 0, -ATAN(A262/z_RHP))</f>
        <v/>
      </c>
      <c r="I262" s="1047">
        <f>SQRT(1+(A262/Pole2)^2)</f>
        <v/>
      </c>
      <c r="J262" s="1050">
        <f>ATAN(A262/Pole2)</f>
        <v/>
      </c>
      <c r="K262" s="1056">
        <f>SQRT(1+(A262/Zero2)^2)</f>
        <v/>
      </c>
      <c r="L262" s="1057">
        <f>ATAN(A262/Zero2)</f>
        <v/>
      </c>
      <c r="M262" s="1047">
        <f>SQRT(1+(A262/pole4)^2)</f>
        <v/>
      </c>
      <c r="N262" s="1057">
        <f>ATAN(A262/pole4)</f>
        <v/>
      </c>
      <c r="O262" s="1058">
        <f>IF(VOUT_setting=1,1,SQRT(1+(A262*zterm1)^2))</f>
        <v/>
      </c>
      <c r="P262" s="1059">
        <f>IF(VOUT_setting=1,0,ATAN(((A262*zterm1))))</f>
        <v/>
      </c>
      <c r="Q262" s="1056">
        <f>IF(VOUT_setting=1,1,SQRT((1+Afbr-$Q$5*(A262)^2)^2+(A262*$Q$4)^2))</f>
        <v/>
      </c>
      <c r="R262" s="1060">
        <f>IF(VOUT_setting=1,0,ATAN(A262*$Q$4/(1+Afbr-$Q$5*(A262)^2)))</f>
        <v/>
      </c>
      <c r="S262" s="1054">
        <f>SQRT((1-(Z262/pterm2))^2+(A262/pterm1)^2)</f>
        <v/>
      </c>
      <c r="T262" s="1055">
        <f>IF((ATAN((A262/pterm1)/(1-A262^2/pterm2))&gt;0),ATAN((A262/pterm1)/(1-A262^2/pterm2)),PI()+ATAN((A262/pterm1)/(1-A262^2/pterm2)))</f>
        <v/>
      </c>
      <c r="U262" s="331">
        <f>20*LOG10(((E262*K262*G262*O262)/(C262*I262*S262*M262*Q262))*Adc)</f>
        <v/>
      </c>
      <c r="V262" s="332">
        <f>((F262+L262+H262+P262)-(D262+J262+T262+N262+R262))*radconv</f>
        <v/>
      </c>
      <c r="W262" s="334">
        <f>IF(V262&gt;0,V262,V262+180)</f>
        <v/>
      </c>
      <c r="Y262" s="307">
        <f>IF(U262&lt;0,A262,1000000000)</f>
        <v/>
      </c>
      <c r="Z262" s="307">
        <f>A262^2</f>
        <v/>
      </c>
      <c r="AB262" s="333">
        <f>20*LOG10((K262/(I262*M262))*AEA)</f>
        <v/>
      </c>
      <c r="AC262" s="334">
        <f>(L262-(J262+N262))*radconv</f>
        <v/>
      </c>
      <c r="AE262" s="333">
        <f>20*LOG10((E262*G262/(C262*S262))*Acs*Am)</f>
        <v/>
      </c>
      <c r="AF262" s="334">
        <f>(F262+H262-(D262+T262))*radconv</f>
        <v/>
      </c>
      <c r="AH262">
        <f>SUM((U263&lt;0)*(U262&gt;0))*A262</f>
        <v/>
      </c>
      <c r="AI262">
        <f>IF(AH262&gt;0,W262,0)</f>
        <v/>
      </c>
    </row>
    <row r="263">
      <c r="A263" s="335" t="n">
        <v>16407</v>
      </c>
      <c r="B263" s="352">
        <f>A263/1000</f>
        <v/>
      </c>
      <c r="C263" s="1047">
        <f>SQRT(1+(A263/pole1)^2)</f>
        <v/>
      </c>
      <c r="D263" s="1048">
        <f>ATAN(A263/pole1)</f>
        <v/>
      </c>
      <c r="E263" s="1048">
        <f>SQRT(1+(A263/Zero1)^2)</f>
        <v/>
      </c>
      <c r="F263" s="1049">
        <f>ATAN(A263/Zero1)</f>
        <v/>
      </c>
      <c r="G263" s="1048">
        <f>IF(VIN_nom&gt;Vout, 1, SQRT(1+(A263/z_RHP)^2))</f>
        <v/>
      </c>
      <c r="H263" s="1049">
        <f>IF(VIN_nom&gt;Vout, 0, -ATAN(A263/z_RHP))</f>
        <v/>
      </c>
      <c r="I263" s="1047">
        <f>SQRT(1+(A263/Pole2)^2)</f>
        <v/>
      </c>
      <c r="J263" s="1050">
        <f>ATAN(A263/Pole2)</f>
        <v/>
      </c>
      <c r="K263" s="1056">
        <f>SQRT(1+(A263/Zero2)^2)</f>
        <v/>
      </c>
      <c r="L263" s="1057">
        <f>ATAN(A263/Zero2)</f>
        <v/>
      </c>
      <c r="M263" s="1047">
        <f>SQRT(1+(A263/pole4)^2)</f>
        <v/>
      </c>
      <c r="N263" s="1057">
        <f>ATAN(A263/pole4)</f>
        <v/>
      </c>
      <c r="O263" s="1058">
        <f>IF(VOUT_setting=1,1,SQRT(1+(A263*zterm1)^2))</f>
        <v/>
      </c>
      <c r="P263" s="1059">
        <f>IF(VOUT_setting=1,0,ATAN(((A263*zterm1))))</f>
        <v/>
      </c>
      <c r="Q263" s="1056">
        <f>IF(VOUT_setting=1,1,SQRT((1+Afbr-$Q$5*(A263)^2)^2+(A263*$Q$4)^2))</f>
        <v/>
      </c>
      <c r="R263" s="1060">
        <f>IF(VOUT_setting=1,0,ATAN(A263*$Q$4/(1+Afbr-$Q$5*(A263)^2)))</f>
        <v/>
      </c>
      <c r="S263" s="1054">
        <f>SQRT((1-(Z263/pterm2))^2+(A263/pterm1)^2)</f>
        <v/>
      </c>
      <c r="T263" s="1055">
        <f>IF((ATAN((A263/pterm1)/(1-A263^2/pterm2))&gt;0),ATAN((A263/pterm1)/(1-A263^2/pterm2)),PI()+ATAN((A263/pterm1)/(1-A263^2/pterm2)))</f>
        <v/>
      </c>
      <c r="U263" s="331">
        <f>20*LOG10(((E263*K263*G263*O263)/(C263*I263*S263*M263*Q263))*Adc)</f>
        <v/>
      </c>
      <c r="V263" s="332">
        <f>((F263+L263+H263+P263)-(D263+J263+T263+N263+R263))*radconv</f>
        <v/>
      </c>
      <c r="W263" s="334">
        <f>IF(V263&gt;0,V263,V263+180)</f>
        <v/>
      </c>
      <c r="Y263" s="307">
        <f>IF(U263&lt;0,A263,1000000000)</f>
        <v/>
      </c>
      <c r="Z263" s="307">
        <f>A263^2</f>
        <v/>
      </c>
      <c r="AB263" s="333">
        <f>20*LOG10((K263/(I263*M263))*AEA)</f>
        <v/>
      </c>
      <c r="AC263" s="334">
        <f>(L263-(J263+N263))*radconv</f>
        <v/>
      </c>
      <c r="AE263" s="333">
        <f>20*LOG10((E263*G263/(C263*S263))*Acs*Am)</f>
        <v/>
      </c>
      <c r="AF263" s="334">
        <f>(F263+H263-(D263+T263))*radconv</f>
        <v/>
      </c>
      <c r="AH263">
        <f>SUM((U264&lt;0)*(U263&gt;0))*A263</f>
        <v/>
      </c>
      <c r="AI263">
        <f>IF(AH263&gt;0,W263,0)</f>
        <v/>
      </c>
    </row>
    <row r="264">
      <c r="A264" s="335" t="n">
        <v>16501.5</v>
      </c>
      <c r="B264" s="352">
        <f>A264/1000</f>
        <v/>
      </c>
      <c r="C264" s="1047">
        <f>SQRT(1+(A264/pole1)^2)</f>
        <v/>
      </c>
      <c r="D264" s="1048">
        <f>ATAN(A264/pole1)</f>
        <v/>
      </c>
      <c r="E264" s="1048">
        <f>SQRT(1+(A264/Zero1)^2)</f>
        <v/>
      </c>
      <c r="F264" s="1049">
        <f>ATAN(A264/Zero1)</f>
        <v/>
      </c>
      <c r="G264" s="1048">
        <f>IF(VIN_nom&gt;Vout, 1, SQRT(1+(A264/z_RHP)^2))</f>
        <v/>
      </c>
      <c r="H264" s="1049">
        <f>IF(VIN_nom&gt;Vout, 0, -ATAN(A264/z_RHP))</f>
        <v/>
      </c>
      <c r="I264" s="1047">
        <f>SQRT(1+(A264/Pole2)^2)</f>
        <v/>
      </c>
      <c r="J264" s="1050">
        <f>ATAN(A264/Pole2)</f>
        <v/>
      </c>
      <c r="K264" s="1056">
        <f>SQRT(1+(A264/Zero2)^2)</f>
        <v/>
      </c>
      <c r="L264" s="1057">
        <f>ATAN(A264/Zero2)</f>
        <v/>
      </c>
      <c r="M264" s="1047">
        <f>SQRT(1+(A264/pole4)^2)</f>
        <v/>
      </c>
      <c r="N264" s="1057">
        <f>ATAN(A264/pole4)</f>
        <v/>
      </c>
      <c r="O264" s="1058">
        <f>IF(VOUT_setting=1,1,SQRT(1+(A264*zterm1)^2))</f>
        <v/>
      </c>
      <c r="P264" s="1059">
        <f>IF(VOUT_setting=1,0,ATAN(((A264*zterm1))))</f>
        <v/>
      </c>
      <c r="Q264" s="1056">
        <f>IF(VOUT_setting=1,1,SQRT((1+Afbr-$Q$5*(A264)^2)^2+(A264*$Q$4)^2))</f>
        <v/>
      </c>
      <c r="R264" s="1060">
        <f>IF(VOUT_setting=1,0,ATAN(A264*$Q$4/(1+Afbr-$Q$5*(A264)^2)))</f>
        <v/>
      </c>
      <c r="S264" s="1054">
        <f>SQRT((1-(Z264/pterm2))^2+(A264/pterm1)^2)</f>
        <v/>
      </c>
      <c r="T264" s="1055">
        <f>IF((ATAN((A264/pterm1)/(1-A264^2/pterm2))&gt;0),ATAN((A264/pterm1)/(1-A264^2/pterm2)),PI()+ATAN((A264/pterm1)/(1-A264^2/pterm2)))</f>
        <v/>
      </c>
      <c r="U264" s="331">
        <f>20*LOG10(((E264*K264*G264*O264)/(C264*I264*S264*M264*Q264))*Adc)</f>
        <v/>
      </c>
      <c r="V264" s="332">
        <f>((F264+L264+H264+P264)-(D264+J264+T264+N264+R264))*radconv</f>
        <v/>
      </c>
      <c r="W264" s="334">
        <f>IF(V264&gt;0,V264,V264+180)</f>
        <v/>
      </c>
      <c r="Y264" s="307">
        <f>IF(U264&lt;0,A264,1000000000)</f>
        <v/>
      </c>
      <c r="Z264" s="307">
        <f>A264^2</f>
        <v/>
      </c>
      <c r="AB264" s="333">
        <f>20*LOG10((K264/(I264*M264))*AEA)</f>
        <v/>
      </c>
      <c r="AC264" s="334">
        <f>(L264-(J264+N264))*radconv</f>
        <v/>
      </c>
      <c r="AE264" s="333">
        <f>20*LOG10((E264*G264/(C264*S264))*Acs*Am)</f>
        <v/>
      </c>
      <c r="AF264" s="334">
        <f>(F264+H264-(D264+T264))*radconv</f>
        <v/>
      </c>
      <c r="AH264">
        <f>SUM((U265&lt;0)*(U264&gt;0))*A264</f>
        <v/>
      </c>
      <c r="AI264">
        <f>IF(AH264&gt;0,W264,0)</f>
        <v/>
      </c>
    </row>
    <row r="265">
      <c r="A265" s="335" t="n">
        <v>16596</v>
      </c>
      <c r="B265" s="352">
        <f>A265/1000</f>
        <v/>
      </c>
      <c r="C265" s="1047">
        <f>SQRT(1+(A265/pole1)^2)</f>
        <v/>
      </c>
      <c r="D265" s="1048">
        <f>ATAN(A265/pole1)</f>
        <v/>
      </c>
      <c r="E265" s="1048">
        <f>SQRT(1+(A265/Zero1)^2)</f>
        <v/>
      </c>
      <c r="F265" s="1049">
        <f>ATAN(A265/Zero1)</f>
        <v/>
      </c>
      <c r="G265" s="1048">
        <f>IF(VIN_nom&gt;Vout, 1, SQRT(1+(A265/z_RHP)^2))</f>
        <v/>
      </c>
      <c r="H265" s="1049">
        <f>IF(VIN_nom&gt;Vout, 0, -ATAN(A265/z_RHP))</f>
        <v/>
      </c>
      <c r="I265" s="1047">
        <f>SQRT(1+(A265/Pole2)^2)</f>
        <v/>
      </c>
      <c r="J265" s="1050">
        <f>ATAN(A265/Pole2)</f>
        <v/>
      </c>
      <c r="K265" s="1056">
        <f>SQRT(1+(A265/Zero2)^2)</f>
        <v/>
      </c>
      <c r="L265" s="1057">
        <f>ATAN(A265/Zero2)</f>
        <v/>
      </c>
      <c r="M265" s="1047">
        <f>SQRT(1+(A265/pole4)^2)</f>
        <v/>
      </c>
      <c r="N265" s="1057">
        <f>ATAN(A265/pole4)</f>
        <v/>
      </c>
      <c r="O265" s="1058">
        <f>IF(VOUT_setting=1,1,SQRT(1+(A265*zterm1)^2))</f>
        <v/>
      </c>
      <c r="P265" s="1059">
        <f>IF(VOUT_setting=1,0,ATAN(((A265*zterm1))))</f>
        <v/>
      </c>
      <c r="Q265" s="1056">
        <f>IF(VOUT_setting=1,1,SQRT((1+Afbr-$Q$5*(A265)^2)^2+(A265*$Q$4)^2))</f>
        <v/>
      </c>
      <c r="R265" s="1060">
        <f>IF(VOUT_setting=1,0,ATAN(A265*$Q$4/(1+Afbr-$Q$5*(A265)^2)))</f>
        <v/>
      </c>
      <c r="S265" s="1054">
        <f>SQRT((1-(Z265/pterm2))^2+(A265/pterm1)^2)</f>
        <v/>
      </c>
      <c r="T265" s="1055">
        <f>IF((ATAN((A265/pterm1)/(1-A265^2/pterm2))&gt;0),ATAN((A265/pterm1)/(1-A265^2/pterm2)),PI()+ATAN((A265/pterm1)/(1-A265^2/pterm2)))</f>
        <v/>
      </c>
      <c r="U265" s="331">
        <f>20*LOG10(((E265*K265*G265*O265)/(C265*I265*S265*M265*Q265))*Adc)</f>
        <v/>
      </c>
      <c r="V265" s="332">
        <f>((F265+L265+H265+P265)-(D265+J265+T265+N265+R265))*radconv</f>
        <v/>
      </c>
      <c r="W265" s="334">
        <f>IF(V265&gt;0,V265,V265+180)</f>
        <v/>
      </c>
      <c r="Y265" s="307">
        <f>IF(U265&lt;0,A265,1000000000)</f>
        <v/>
      </c>
      <c r="Z265" s="307">
        <f>A265^2</f>
        <v/>
      </c>
      <c r="AB265" s="333">
        <f>20*LOG10((K265/(I265*M265))*AEA)</f>
        <v/>
      </c>
      <c r="AC265" s="334">
        <f>(L265-(J265+N265))*radconv</f>
        <v/>
      </c>
      <c r="AE265" s="333">
        <f>20*LOG10((E265*G265/(C265*S265))*Acs*Am)</f>
        <v/>
      </c>
      <c r="AF265" s="334">
        <f>(F265+H265-(D265+T265))*radconv</f>
        <v/>
      </c>
      <c r="AH265">
        <f>SUM((U266&lt;0)*(U265&gt;0))*A265</f>
        <v/>
      </c>
      <c r="AI265">
        <f>IF(AH265&gt;0,W265,0)</f>
        <v/>
      </c>
    </row>
    <row r="266">
      <c r="A266" s="335" t="n">
        <v>16692.5</v>
      </c>
      <c r="B266" s="352">
        <f>A266/1000</f>
        <v/>
      </c>
      <c r="C266" s="1047">
        <f>SQRT(1+(A266/pole1)^2)</f>
        <v/>
      </c>
      <c r="D266" s="1048">
        <f>ATAN(A266/pole1)</f>
        <v/>
      </c>
      <c r="E266" s="1048">
        <f>SQRT(1+(A266/Zero1)^2)</f>
        <v/>
      </c>
      <c r="F266" s="1049">
        <f>ATAN(A266/Zero1)</f>
        <v/>
      </c>
      <c r="G266" s="1048">
        <f>IF(VIN_nom&gt;Vout, 1, SQRT(1+(A266/z_RHP)^2))</f>
        <v/>
      </c>
      <c r="H266" s="1049">
        <f>IF(VIN_nom&gt;Vout, 0, -ATAN(A266/z_RHP))</f>
        <v/>
      </c>
      <c r="I266" s="1047">
        <f>SQRT(1+(A266/Pole2)^2)</f>
        <v/>
      </c>
      <c r="J266" s="1050">
        <f>ATAN(A266/Pole2)</f>
        <v/>
      </c>
      <c r="K266" s="1056">
        <f>SQRT(1+(A266/Zero2)^2)</f>
        <v/>
      </c>
      <c r="L266" s="1057">
        <f>ATAN(A266/Zero2)</f>
        <v/>
      </c>
      <c r="M266" s="1047">
        <f>SQRT(1+(A266/pole4)^2)</f>
        <v/>
      </c>
      <c r="N266" s="1057">
        <f>ATAN(A266/pole4)</f>
        <v/>
      </c>
      <c r="O266" s="1058">
        <f>IF(VOUT_setting=1,1,SQRT(1+(A266*zterm1)^2))</f>
        <v/>
      </c>
      <c r="P266" s="1059">
        <f>IF(VOUT_setting=1,0,ATAN(((A266*zterm1))))</f>
        <v/>
      </c>
      <c r="Q266" s="1056">
        <f>IF(VOUT_setting=1,1,SQRT((1+Afbr-$Q$5*(A266)^2)^2+(A266*$Q$4)^2))</f>
        <v/>
      </c>
      <c r="R266" s="1060">
        <f>IF(VOUT_setting=1,0,ATAN(A266*$Q$4/(1+Afbr-$Q$5*(A266)^2)))</f>
        <v/>
      </c>
      <c r="S266" s="1054">
        <f>SQRT((1-(Z266/pterm2))^2+(A266/pterm1)^2)</f>
        <v/>
      </c>
      <c r="T266" s="1055">
        <f>IF((ATAN((A266/pterm1)/(1-A266^2/pterm2))&gt;0),ATAN((A266/pterm1)/(1-A266^2/pterm2)),PI()+ATAN((A266/pterm1)/(1-A266^2/pterm2)))</f>
        <v/>
      </c>
      <c r="U266" s="331">
        <f>20*LOG10(((E266*K266*G266*O266)/(C266*I266*S266*M266*Q266))*Adc)</f>
        <v/>
      </c>
      <c r="V266" s="332">
        <f>((F266+L266+H266+P266)-(D266+J266+T266+N266+R266))*radconv</f>
        <v/>
      </c>
      <c r="W266" s="334">
        <f>IF(V266&gt;0,V266,V266+180)</f>
        <v/>
      </c>
      <c r="Y266" s="307">
        <f>IF(U266&lt;0,A266,1000000000)</f>
        <v/>
      </c>
      <c r="Z266" s="307">
        <f>A266^2</f>
        <v/>
      </c>
      <c r="AB266" s="333">
        <f>20*LOG10((K266/(I266*M266))*AEA)</f>
        <v/>
      </c>
      <c r="AC266" s="334">
        <f>(L266-(J266+N266))*radconv</f>
        <v/>
      </c>
      <c r="AE266" s="333">
        <f>20*LOG10((E266*G266/(C266*S266))*Acs*Am)</f>
        <v/>
      </c>
      <c r="AF266" s="334">
        <f>(F266+H266-(D266+T266))*radconv</f>
        <v/>
      </c>
      <c r="AH266">
        <f>SUM((U267&lt;0)*(U266&gt;0))*A266</f>
        <v/>
      </c>
      <c r="AI266">
        <f>IF(AH266&gt;0,W266,0)</f>
        <v/>
      </c>
    </row>
    <row r="267">
      <c r="A267" s="335" t="n">
        <v>16789</v>
      </c>
      <c r="B267" s="352">
        <f>A267/1000</f>
        <v/>
      </c>
      <c r="C267" s="1047">
        <f>SQRT(1+(A267/pole1)^2)</f>
        <v/>
      </c>
      <c r="D267" s="1048">
        <f>ATAN(A267/pole1)</f>
        <v/>
      </c>
      <c r="E267" s="1048">
        <f>SQRT(1+(A267/Zero1)^2)</f>
        <v/>
      </c>
      <c r="F267" s="1049">
        <f>ATAN(A267/Zero1)</f>
        <v/>
      </c>
      <c r="G267" s="1048">
        <f>IF(VIN_nom&gt;Vout, 1, SQRT(1+(A267/z_RHP)^2))</f>
        <v/>
      </c>
      <c r="H267" s="1049">
        <f>IF(VIN_nom&gt;Vout, 0, -ATAN(A267/z_RHP))</f>
        <v/>
      </c>
      <c r="I267" s="1047">
        <f>SQRT(1+(A267/Pole2)^2)</f>
        <v/>
      </c>
      <c r="J267" s="1050">
        <f>ATAN(A267/Pole2)</f>
        <v/>
      </c>
      <c r="K267" s="1056">
        <f>SQRT(1+(A267/Zero2)^2)</f>
        <v/>
      </c>
      <c r="L267" s="1057">
        <f>ATAN(A267/Zero2)</f>
        <v/>
      </c>
      <c r="M267" s="1047">
        <f>SQRT(1+(A267/pole4)^2)</f>
        <v/>
      </c>
      <c r="N267" s="1057">
        <f>ATAN(A267/pole4)</f>
        <v/>
      </c>
      <c r="O267" s="1058">
        <f>IF(VOUT_setting=1,1,SQRT(1+(A267*zterm1)^2))</f>
        <v/>
      </c>
      <c r="P267" s="1059">
        <f>IF(VOUT_setting=1,0,ATAN(((A267*zterm1))))</f>
        <v/>
      </c>
      <c r="Q267" s="1056">
        <f>IF(VOUT_setting=1,1,SQRT((1+Afbr-$Q$5*(A267)^2)^2+(A267*$Q$4)^2))</f>
        <v/>
      </c>
      <c r="R267" s="1060">
        <f>IF(VOUT_setting=1,0,ATAN(A267*$Q$4/(1+Afbr-$Q$5*(A267)^2)))</f>
        <v/>
      </c>
      <c r="S267" s="1054">
        <f>SQRT((1-(Z267/pterm2))^2+(A267/pterm1)^2)</f>
        <v/>
      </c>
      <c r="T267" s="1055">
        <f>IF((ATAN((A267/pterm1)/(1-A267^2/pterm2))&gt;0),ATAN((A267/pterm1)/(1-A267^2/pterm2)),PI()+ATAN((A267/pterm1)/(1-A267^2/pterm2)))</f>
        <v/>
      </c>
      <c r="U267" s="331">
        <f>20*LOG10(((E267*K267*G267*O267)/(C267*I267*S267*M267*Q267))*Adc)</f>
        <v/>
      </c>
      <c r="V267" s="332">
        <f>((F267+L267+H267+P267)-(D267+J267+T267+N267+R267))*radconv</f>
        <v/>
      </c>
      <c r="W267" s="334">
        <f>IF(V267&gt;0,V267,V267+180)</f>
        <v/>
      </c>
      <c r="Y267" s="307">
        <f>IF(U267&lt;0,A267,1000000000)</f>
        <v/>
      </c>
      <c r="Z267" s="307">
        <f>A267^2</f>
        <v/>
      </c>
      <c r="AB267" s="333">
        <f>20*LOG10((K267/(I267*M267))*AEA)</f>
        <v/>
      </c>
      <c r="AC267" s="334">
        <f>(L267-(J267+N267))*radconv</f>
        <v/>
      </c>
      <c r="AE267" s="333">
        <f>20*LOG10((E267*G267/(C267*S267))*Acs*Am)</f>
        <v/>
      </c>
      <c r="AF267" s="334">
        <f>(F267+H267-(D267+T267))*radconv</f>
        <v/>
      </c>
      <c r="AH267">
        <f>SUM((U268&lt;0)*(U267&gt;0))*A267</f>
        <v/>
      </c>
      <c r="AI267">
        <f>IF(AH267&gt;0,W267,0)</f>
        <v/>
      </c>
    </row>
    <row r="268">
      <c r="A268" s="335" t="n">
        <v>16885.5</v>
      </c>
      <c r="B268" s="352">
        <f>A268/1000</f>
        <v/>
      </c>
      <c r="C268" s="1047">
        <f>SQRT(1+(A268/pole1)^2)</f>
        <v/>
      </c>
      <c r="D268" s="1048">
        <f>ATAN(A268/pole1)</f>
        <v/>
      </c>
      <c r="E268" s="1048">
        <f>SQRT(1+(A268/Zero1)^2)</f>
        <v/>
      </c>
      <c r="F268" s="1049">
        <f>ATAN(A268/Zero1)</f>
        <v/>
      </c>
      <c r="G268" s="1048">
        <f>IF(VIN_nom&gt;Vout, 1, SQRT(1+(A268/z_RHP)^2))</f>
        <v/>
      </c>
      <c r="H268" s="1049">
        <f>IF(VIN_nom&gt;Vout, 0, -ATAN(A268/z_RHP))</f>
        <v/>
      </c>
      <c r="I268" s="1047">
        <f>SQRT(1+(A268/Pole2)^2)</f>
        <v/>
      </c>
      <c r="J268" s="1050">
        <f>ATAN(A268/Pole2)</f>
        <v/>
      </c>
      <c r="K268" s="1056">
        <f>SQRT(1+(A268/Zero2)^2)</f>
        <v/>
      </c>
      <c r="L268" s="1057">
        <f>ATAN(A268/Zero2)</f>
        <v/>
      </c>
      <c r="M268" s="1047">
        <f>SQRT(1+(A268/pole4)^2)</f>
        <v/>
      </c>
      <c r="N268" s="1057">
        <f>ATAN(A268/pole4)</f>
        <v/>
      </c>
      <c r="O268" s="1058">
        <f>IF(VOUT_setting=1,1,SQRT(1+(A268*zterm1)^2))</f>
        <v/>
      </c>
      <c r="P268" s="1059">
        <f>IF(VOUT_setting=1,0,ATAN(((A268*zterm1))))</f>
        <v/>
      </c>
      <c r="Q268" s="1056">
        <f>IF(VOUT_setting=1,1,SQRT((1+Afbr-$Q$5*(A268)^2)^2+(A268*$Q$4)^2))</f>
        <v/>
      </c>
      <c r="R268" s="1060">
        <f>IF(VOUT_setting=1,0,ATAN(A268*$Q$4/(1+Afbr-$Q$5*(A268)^2)))</f>
        <v/>
      </c>
      <c r="S268" s="1054">
        <f>SQRT((1-(Z268/pterm2))^2+(A268/pterm1)^2)</f>
        <v/>
      </c>
      <c r="T268" s="1055">
        <f>IF((ATAN((A268/pterm1)/(1-A268^2/pterm2))&gt;0),ATAN((A268/pterm1)/(1-A268^2/pterm2)),PI()+ATAN((A268/pterm1)/(1-A268^2/pterm2)))</f>
        <v/>
      </c>
      <c r="U268" s="331">
        <f>20*LOG10(((E268*K268*G268*O268)/(C268*I268*S268*M268*Q268))*Adc)</f>
        <v/>
      </c>
      <c r="V268" s="332">
        <f>((F268+L268+H268+P268)-(D268+J268+T268+N268+R268))*radconv</f>
        <v/>
      </c>
      <c r="W268" s="334">
        <f>IF(V268&gt;0,V268,V268+180)</f>
        <v/>
      </c>
      <c r="Y268" s="307">
        <f>IF(U268&lt;0,A268,1000000000)</f>
        <v/>
      </c>
      <c r="Z268" s="307">
        <f>A268^2</f>
        <v/>
      </c>
      <c r="AB268" s="333">
        <f>20*LOG10((K268/(I268*M268))*AEA)</f>
        <v/>
      </c>
      <c r="AC268" s="334">
        <f>(L268-(J268+N268))*radconv</f>
        <v/>
      </c>
      <c r="AE268" s="333">
        <f>20*LOG10((E268*G268/(C268*S268))*Acs*Am)</f>
        <v/>
      </c>
      <c r="AF268" s="334">
        <f>(F268+H268-(D268+T268))*radconv</f>
        <v/>
      </c>
      <c r="AH268">
        <f>SUM((U269&lt;0)*(U268&gt;0))*A268</f>
        <v/>
      </c>
      <c r="AI268">
        <f>IF(AH268&gt;0,W268,0)</f>
        <v/>
      </c>
    </row>
    <row r="269">
      <c r="A269" s="335" t="n">
        <v>16982</v>
      </c>
      <c r="B269" s="352">
        <f>A269/1000</f>
        <v/>
      </c>
      <c r="C269" s="1047">
        <f>SQRT(1+(A269/pole1)^2)</f>
        <v/>
      </c>
      <c r="D269" s="1048">
        <f>ATAN(A269/pole1)</f>
        <v/>
      </c>
      <c r="E269" s="1048">
        <f>SQRT(1+(A269/Zero1)^2)</f>
        <v/>
      </c>
      <c r="F269" s="1049">
        <f>ATAN(A269/Zero1)</f>
        <v/>
      </c>
      <c r="G269" s="1048">
        <f>IF(VIN_nom&gt;Vout, 1, SQRT(1+(A269/z_RHP)^2))</f>
        <v/>
      </c>
      <c r="H269" s="1049">
        <f>IF(VIN_nom&gt;Vout, 0, -ATAN(A269/z_RHP))</f>
        <v/>
      </c>
      <c r="I269" s="1047">
        <f>SQRT(1+(A269/Pole2)^2)</f>
        <v/>
      </c>
      <c r="J269" s="1050">
        <f>ATAN(A269/Pole2)</f>
        <v/>
      </c>
      <c r="K269" s="1056">
        <f>SQRT(1+(A269/Zero2)^2)</f>
        <v/>
      </c>
      <c r="L269" s="1057">
        <f>ATAN(A269/Zero2)</f>
        <v/>
      </c>
      <c r="M269" s="1047">
        <f>SQRT(1+(A269/pole4)^2)</f>
        <v/>
      </c>
      <c r="N269" s="1057">
        <f>ATAN(A269/pole4)</f>
        <v/>
      </c>
      <c r="O269" s="1058">
        <f>IF(VOUT_setting=1,1,SQRT(1+(A269*zterm1)^2))</f>
        <v/>
      </c>
      <c r="P269" s="1059">
        <f>IF(VOUT_setting=1,0,ATAN(((A269*zterm1))))</f>
        <v/>
      </c>
      <c r="Q269" s="1056">
        <f>IF(VOUT_setting=1,1,SQRT((1+Afbr-$Q$5*(A269)^2)^2+(A269*$Q$4)^2))</f>
        <v/>
      </c>
      <c r="R269" s="1060">
        <f>IF(VOUT_setting=1,0,ATAN(A269*$Q$4/(1+Afbr-$Q$5*(A269)^2)))</f>
        <v/>
      </c>
      <c r="S269" s="1054">
        <f>SQRT((1-(Z269/pterm2))^2+(A269/pterm1)^2)</f>
        <v/>
      </c>
      <c r="T269" s="1055">
        <f>IF((ATAN((A269/pterm1)/(1-A269^2/pterm2))&gt;0),ATAN((A269/pterm1)/(1-A269^2/pterm2)),PI()+ATAN((A269/pterm1)/(1-A269^2/pterm2)))</f>
        <v/>
      </c>
      <c r="U269" s="331">
        <f>20*LOG10(((E269*K269*G269*O269)/(C269*I269*S269*M269*Q269))*Adc)</f>
        <v/>
      </c>
      <c r="V269" s="332">
        <f>((F269+L269+H269+P269)-(D269+J269+T269+N269+R269))*radconv</f>
        <v/>
      </c>
      <c r="W269" s="334">
        <f>IF(V269&gt;0,V269,V269+180)</f>
        <v/>
      </c>
      <c r="Y269" s="307">
        <f>IF(U269&lt;0,A269,1000000000)</f>
        <v/>
      </c>
      <c r="Z269" s="307">
        <f>A269^2</f>
        <v/>
      </c>
      <c r="AB269" s="333">
        <f>20*LOG10((K269/(I269*M269))*AEA)</f>
        <v/>
      </c>
      <c r="AC269" s="334">
        <f>(L269-(J269+N269))*radconv</f>
        <v/>
      </c>
      <c r="AE269" s="333">
        <f>20*LOG10((E269*G269/(C269*S269))*Acs*Am)</f>
        <v/>
      </c>
      <c r="AF269" s="334">
        <f>(F269+H269-(D269+T269))*radconv</f>
        <v/>
      </c>
      <c r="AH269">
        <f>SUM((U270&lt;0)*(U269&gt;0))*A269</f>
        <v/>
      </c>
      <c r="AI269">
        <f>IF(AH269&gt;0,W269,0)</f>
        <v/>
      </c>
    </row>
    <row r="270">
      <c r="A270" s="335" t="n">
        <v>17081</v>
      </c>
      <c r="B270" s="352">
        <f>A270/1000</f>
        <v/>
      </c>
      <c r="C270" s="1047">
        <f>SQRT(1+(A270/pole1)^2)</f>
        <v/>
      </c>
      <c r="D270" s="1048">
        <f>ATAN(A270/pole1)</f>
        <v/>
      </c>
      <c r="E270" s="1048">
        <f>SQRT(1+(A270/Zero1)^2)</f>
        <v/>
      </c>
      <c r="F270" s="1049">
        <f>ATAN(A270/Zero1)</f>
        <v/>
      </c>
      <c r="G270" s="1048">
        <f>IF(VIN_nom&gt;Vout, 1, SQRT(1+(A270/z_RHP)^2))</f>
        <v/>
      </c>
      <c r="H270" s="1049">
        <f>IF(VIN_nom&gt;Vout, 0, -ATAN(A270/z_RHP))</f>
        <v/>
      </c>
      <c r="I270" s="1047">
        <f>SQRT(1+(A270/Pole2)^2)</f>
        <v/>
      </c>
      <c r="J270" s="1050">
        <f>ATAN(A270/Pole2)</f>
        <v/>
      </c>
      <c r="K270" s="1056">
        <f>SQRT(1+(A270/Zero2)^2)</f>
        <v/>
      </c>
      <c r="L270" s="1057">
        <f>ATAN(A270/Zero2)</f>
        <v/>
      </c>
      <c r="M270" s="1047">
        <f>SQRT(1+(A270/pole4)^2)</f>
        <v/>
      </c>
      <c r="N270" s="1057">
        <f>ATAN(A270/pole4)</f>
        <v/>
      </c>
      <c r="O270" s="1058">
        <f>IF(VOUT_setting=1,1,SQRT(1+(A270*zterm1)^2))</f>
        <v/>
      </c>
      <c r="P270" s="1059">
        <f>IF(VOUT_setting=1,0,ATAN(((A270*zterm1))))</f>
        <v/>
      </c>
      <c r="Q270" s="1056">
        <f>IF(VOUT_setting=1,1,SQRT((1+Afbr-$Q$5*(A270)^2)^2+(A270*$Q$4)^2))</f>
        <v/>
      </c>
      <c r="R270" s="1060">
        <f>IF(VOUT_setting=1,0,ATAN(A270*$Q$4/(1+Afbr-$Q$5*(A270)^2)))</f>
        <v/>
      </c>
      <c r="S270" s="1054">
        <f>SQRT((1-(Z270/pterm2))^2+(A270/pterm1)^2)</f>
        <v/>
      </c>
      <c r="T270" s="1055">
        <f>IF((ATAN((A270/pterm1)/(1-A270^2/pterm2))&gt;0),ATAN((A270/pterm1)/(1-A270^2/pterm2)),PI()+ATAN((A270/pterm1)/(1-A270^2/pterm2)))</f>
        <v/>
      </c>
      <c r="U270" s="331">
        <f>20*LOG10(((E270*K270*G270*O270)/(C270*I270*S270*M270*Q270))*Adc)</f>
        <v/>
      </c>
      <c r="V270" s="332">
        <f>((F270+L270+H270+P270)-(D270+J270+T270+N270+R270))*radconv</f>
        <v/>
      </c>
      <c r="W270" s="334">
        <f>IF(V270&gt;0,V270,V270+180)</f>
        <v/>
      </c>
      <c r="Y270" s="307">
        <f>IF(U270&lt;0,A270,1000000000)</f>
        <v/>
      </c>
      <c r="Z270" s="307">
        <f>A270^2</f>
        <v/>
      </c>
      <c r="AB270" s="333">
        <f>20*LOG10((K270/(I270*M270))*AEA)</f>
        <v/>
      </c>
      <c r="AC270" s="334">
        <f>(L270-(J270+N270))*radconv</f>
        <v/>
      </c>
      <c r="AE270" s="333">
        <f>20*LOG10((E270*G270/(C270*S270))*Acs*Am)</f>
        <v/>
      </c>
      <c r="AF270" s="334">
        <f>(F270+H270-(D270+T270))*radconv</f>
        <v/>
      </c>
      <c r="AH270">
        <f>SUM((U271&lt;0)*(U270&gt;0))*A270</f>
        <v/>
      </c>
      <c r="AI270">
        <f>IF(AH270&gt;0,W270,0)</f>
        <v/>
      </c>
    </row>
    <row r="271">
      <c r="A271" s="335" t="n">
        <v>17180</v>
      </c>
      <c r="B271" s="352">
        <f>A271/1000</f>
        <v/>
      </c>
      <c r="C271" s="1047">
        <f>SQRT(1+(A271/pole1)^2)</f>
        <v/>
      </c>
      <c r="D271" s="1048">
        <f>ATAN(A271/pole1)</f>
        <v/>
      </c>
      <c r="E271" s="1048">
        <f>SQRT(1+(A271/Zero1)^2)</f>
        <v/>
      </c>
      <c r="F271" s="1049">
        <f>ATAN(A271/Zero1)</f>
        <v/>
      </c>
      <c r="G271" s="1048">
        <f>IF(VIN_nom&gt;Vout, 1, SQRT(1+(A271/z_RHP)^2))</f>
        <v/>
      </c>
      <c r="H271" s="1049">
        <f>IF(VIN_nom&gt;Vout, 0, -ATAN(A271/z_RHP))</f>
        <v/>
      </c>
      <c r="I271" s="1047">
        <f>SQRT(1+(A271/Pole2)^2)</f>
        <v/>
      </c>
      <c r="J271" s="1050">
        <f>ATAN(A271/Pole2)</f>
        <v/>
      </c>
      <c r="K271" s="1056">
        <f>SQRT(1+(A271/Zero2)^2)</f>
        <v/>
      </c>
      <c r="L271" s="1057">
        <f>ATAN(A271/Zero2)</f>
        <v/>
      </c>
      <c r="M271" s="1047">
        <f>SQRT(1+(A271/pole4)^2)</f>
        <v/>
      </c>
      <c r="N271" s="1057">
        <f>ATAN(A271/pole4)</f>
        <v/>
      </c>
      <c r="O271" s="1058">
        <f>IF(VOUT_setting=1,1,SQRT(1+(A271*zterm1)^2))</f>
        <v/>
      </c>
      <c r="P271" s="1059">
        <f>IF(VOUT_setting=1,0,ATAN(((A271*zterm1))))</f>
        <v/>
      </c>
      <c r="Q271" s="1056">
        <f>IF(VOUT_setting=1,1,SQRT((1+Afbr-$Q$5*(A271)^2)^2+(A271*$Q$4)^2))</f>
        <v/>
      </c>
      <c r="R271" s="1060">
        <f>IF(VOUT_setting=1,0,ATAN(A271*$Q$4/(1+Afbr-$Q$5*(A271)^2)))</f>
        <v/>
      </c>
      <c r="S271" s="1054">
        <f>SQRT((1-(Z271/pterm2))^2+(A271/pterm1)^2)</f>
        <v/>
      </c>
      <c r="T271" s="1055">
        <f>IF((ATAN((A271/pterm1)/(1-A271^2/pterm2))&gt;0),ATAN((A271/pterm1)/(1-A271^2/pterm2)),PI()+ATAN((A271/pterm1)/(1-A271^2/pterm2)))</f>
        <v/>
      </c>
      <c r="U271" s="331">
        <f>20*LOG10(((E271*K271*G271*O271)/(C271*I271*S271*M271*Q271))*Adc)</f>
        <v/>
      </c>
      <c r="V271" s="332">
        <f>((F271+L271+H271+P271)-(D271+J271+T271+N271+R271))*radconv</f>
        <v/>
      </c>
      <c r="W271" s="334">
        <f>IF(V271&gt;0,V271,V271+180)</f>
        <v/>
      </c>
      <c r="Y271" s="307">
        <f>IF(U271&lt;0,A271,1000000000)</f>
        <v/>
      </c>
      <c r="Z271" s="307">
        <f>A271^2</f>
        <v/>
      </c>
      <c r="AB271" s="333">
        <f>20*LOG10((K271/(I271*M271))*AEA)</f>
        <v/>
      </c>
      <c r="AC271" s="334">
        <f>(L271-(J271+N271))*radconv</f>
        <v/>
      </c>
      <c r="AE271" s="333">
        <f>20*LOG10((E271*G271/(C271*S271))*Acs*Am)</f>
        <v/>
      </c>
      <c r="AF271" s="334">
        <f>(F271+H271-(D271+T271))*radconv</f>
        <v/>
      </c>
      <c r="AH271">
        <f>SUM((U272&lt;0)*(U271&gt;0))*A271</f>
        <v/>
      </c>
      <c r="AI271">
        <f>IF(AH271&gt;0,W271,0)</f>
        <v/>
      </c>
    </row>
    <row r="272">
      <c r="A272" s="335" t="n">
        <v>17279</v>
      </c>
      <c r="B272" s="352">
        <f>A272/1000</f>
        <v/>
      </c>
      <c r="C272" s="1047">
        <f>SQRT(1+(A272/pole1)^2)</f>
        <v/>
      </c>
      <c r="D272" s="1048">
        <f>ATAN(A272/pole1)</f>
        <v/>
      </c>
      <c r="E272" s="1048">
        <f>SQRT(1+(A272/Zero1)^2)</f>
        <v/>
      </c>
      <c r="F272" s="1049">
        <f>ATAN(A272/Zero1)</f>
        <v/>
      </c>
      <c r="G272" s="1048">
        <f>IF(VIN_nom&gt;Vout, 1, SQRT(1+(A272/z_RHP)^2))</f>
        <v/>
      </c>
      <c r="H272" s="1049">
        <f>IF(VIN_nom&gt;Vout, 0, -ATAN(A272/z_RHP))</f>
        <v/>
      </c>
      <c r="I272" s="1047">
        <f>SQRT(1+(A272/Pole2)^2)</f>
        <v/>
      </c>
      <c r="J272" s="1050">
        <f>ATAN(A272/Pole2)</f>
        <v/>
      </c>
      <c r="K272" s="1056">
        <f>SQRT(1+(A272/Zero2)^2)</f>
        <v/>
      </c>
      <c r="L272" s="1057">
        <f>ATAN(A272/Zero2)</f>
        <v/>
      </c>
      <c r="M272" s="1047">
        <f>SQRT(1+(A272/pole4)^2)</f>
        <v/>
      </c>
      <c r="N272" s="1057">
        <f>ATAN(A272/pole4)</f>
        <v/>
      </c>
      <c r="O272" s="1058">
        <f>IF(VOUT_setting=1,1,SQRT(1+(A272*zterm1)^2))</f>
        <v/>
      </c>
      <c r="P272" s="1059">
        <f>IF(VOUT_setting=1,0,ATAN(((A272*zterm1))))</f>
        <v/>
      </c>
      <c r="Q272" s="1056">
        <f>IF(VOUT_setting=1,1,SQRT((1+Afbr-$Q$5*(A272)^2)^2+(A272*$Q$4)^2))</f>
        <v/>
      </c>
      <c r="R272" s="1060">
        <f>IF(VOUT_setting=1,0,ATAN(A272*$Q$4/(1+Afbr-$Q$5*(A272)^2)))</f>
        <v/>
      </c>
      <c r="S272" s="1054">
        <f>SQRT((1-(Z272/pterm2))^2+(A272/pterm1)^2)</f>
        <v/>
      </c>
      <c r="T272" s="1055">
        <f>IF((ATAN((A272/pterm1)/(1-A272^2/pterm2))&gt;0),ATAN((A272/pterm1)/(1-A272^2/pterm2)),PI()+ATAN((A272/pterm1)/(1-A272^2/pterm2)))</f>
        <v/>
      </c>
      <c r="U272" s="331">
        <f>20*LOG10(((E272*K272*G272*O272)/(C272*I272*S272*M272*Q272))*Adc)</f>
        <v/>
      </c>
      <c r="V272" s="332">
        <f>((F272+L272+H272+P272)-(D272+J272+T272+N272+R272))*radconv</f>
        <v/>
      </c>
      <c r="W272" s="334">
        <f>IF(V272&gt;0,V272,V272+180)</f>
        <v/>
      </c>
      <c r="Y272" s="307">
        <f>IF(U272&lt;0,A272,1000000000)</f>
        <v/>
      </c>
      <c r="Z272" s="307">
        <f>A272^2</f>
        <v/>
      </c>
      <c r="AB272" s="333">
        <f>20*LOG10((K272/(I272*M272))*AEA)</f>
        <v/>
      </c>
      <c r="AC272" s="334">
        <f>(L272-(J272+N272))*radconv</f>
        <v/>
      </c>
      <c r="AE272" s="333">
        <f>20*LOG10((E272*G272/(C272*S272))*Acs*Am)</f>
        <v/>
      </c>
      <c r="AF272" s="334">
        <f>(F272+H272-(D272+T272))*radconv</f>
        <v/>
      </c>
      <c r="AH272">
        <f>SUM((U273&lt;0)*(U272&gt;0))*A272</f>
        <v/>
      </c>
      <c r="AI272">
        <f>IF(AH272&gt;0,W272,0)</f>
        <v/>
      </c>
    </row>
    <row r="273">
      <c r="A273" s="335" t="n">
        <v>17378</v>
      </c>
      <c r="B273" s="352">
        <f>A273/1000</f>
        <v/>
      </c>
      <c r="C273" s="1047">
        <f>SQRT(1+(A273/pole1)^2)</f>
        <v/>
      </c>
      <c r="D273" s="1048">
        <f>ATAN(A273/pole1)</f>
        <v/>
      </c>
      <c r="E273" s="1048">
        <f>SQRT(1+(A273/Zero1)^2)</f>
        <v/>
      </c>
      <c r="F273" s="1049">
        <f>ATAN(A273/Zero1)</f>
        <v/>
      </c>
      <c r="G273" s="1048">
        <f>IF(VIN_nom&gt;Vout, 1, SQRT(1+(A273/z_RHP)^2))</f>
        <v/>
      </c>
      <c r="H273" s="1049">
        <f>IF(VIN_nom&gt;Vout, 0, -ATAN(A273/z_RHP))</f>
        <v/>
      </c>
      <c r="I273" s="1047">
        <f>SQRT(1+(A273/Pole2)^2)</f>
        <v/>
      </c>
      <c r="J273" s="1050">
        <f>ATAN(A273/Pole2)</f>
        <v/>
      </c>
      <c r="K273" s="1056">
        <f>SQRT(1+(A273/Zero2)^2)</f>
        <v/>
      </c>
      <c r="L273" s="1057">
        <f>ATAN(A273/Zero2)</f>
        <v/>
      </c>
      <c r="M273" s="1047">
        <f>SQRT(1+(A273/pole4)^2)</f>
        <v/>
      </c>
      <c r="N273" s="1057">
        <f>ATAN(A273/pole4)</f>
        <v/>
      </c>
      <c r="O273" s="1058">
        <f>IF(VOUT_setting=1,1,SQRT(1+(A273*zterm1)^2))</f>
        <v/>
      </c>
      <c r="P273" s="1059">
        <f>IF(VOUT_setting=1,0,ATAN(((A273*zterm1))))</f>
        <v/>
      </c>
      <c r="Q273" s="1056">
        <f>IF(VOUT_setting=1,1,SQRT((1+Afbr-$Q$5*(A273)^2)^2+(A273*$Q$4)^2))</f>
        <v/>
      </c>
      <c r="R273" s="1060">
        <f>IF(VOUT_setting=1,0,ATAN(A273*$Q$4/(1+Afbr-$Q$5*(A273)^2)))</f>
        <v/>
      </c>
      <c r="S273" s="1054">
        <f>SQRT((1-(Z273/pterm2))^2+(A273/pterm1)^2)</f>
        <v/>
      </c>
      <c r="T273" s="1055">
        <f>IF((ATAN((A273/pterm1)/(1-A273^2/pterm2))&gt;0),ATAN((A273/pterm1)/(1-A273^2/pterm2)),PI()+ATAN((A273/pterm1)/(1-A273^2/pterm2)))</f>
        <v/>
      </c>
      <c r="U273" s="331">
        <f>20*LOG10(((E273*K273*G273*O273)/(C273*I273*S273*M273*Q273))*Adc)</f>
        <v/>
      </c>
      <c r="V273" s="332">
        <f>((F273+L273+H273+P273)-(D273+J273+T273+N273+R273))*radconv</f>
        <v/>
      </c>
      <c r="W273" s="334">
        <f>IF(V273&gt;0,V273,V273+180)</f>
        <v/>
      </c>
      <c r="Y273" s="307">
        <f>IF(U273&lt;0,A273,1000000000)</f>
        <v/>
      </c>
      <c r="Z273" s="307">
        <f>A273^2</f>
        <v/>
      </c>
      <c r="AB273" s="333">
        <f>20*LOG10((K273/(I273*M273))*AEA)</f>
        <v/>
      </c>
      <c r="AC273" s="334">
        <f>(L273-(J273+N273))*radconv</f>
        <v/>
      </c>
      <c r="AE273" s="333">
        <f>20*LOG10((E273*G273/(C273*S273))*Acs*Am)</f>
        <v/>
      </c>
      <c r="AF273" s="334">
        <f>(F273+H273-(D273+T273))*radconv</f>
        <v/>
      </c>
      <c r="AH273">
        <f>SUM((U274&lt;0)*(U273&gt;0))*A273</f>
        <v/>
      </c>
      <c r="AI273">
        <f>IF(AH273&gt;0,W273,0)</f>
        <v/>
      </c>
    </row>
    <row r="274">
      <c r="A274" s="335" t="n">
        <v>17479.25</v>
      </c>
      <c r="B274" s="352">
        <f>A274/1000</f>
        <v/>
      </c>
      <c r="C274" s="1047">
        <f>SQRT(1+(A274/pole1)^2)</f>
        <v/>
      </c>
      <c r="D274" s="1048">
        <f>ATAN(A274/pole1)</f>
        <v/>
      </c>
      <c r="E274" s="1048">
        <f>SQRT(1+(A274/Zero1)^2)</f>
        <v/>
      </c>
      <c r="F274" s="1049">
        <f>ATAN(A274/Zero1)</f>
        <v/>
      </c>
      <c r="G274" s="1048">
        <f>IF(VIN_nom&gt;Vout, 1, SQRT(1+(A274/z_RHP)^2))</f>
        <v/>
      </c>
      <c r="H274" s="1049">
        <f>IF(VIN_nom&gt;Vout, 0, -ATAN(A274/z_RHP))</f>
        <v/>
      </c>
      <c r="I274" s="1047">
        <f>SQRT(1+(A274/Pole2)^2)</f>
        <v/>
      </c>
      <c r="J274" s="1050">
        <f>ATAN(A274/Pole2)</f>
        <v/>
      </c>
      <c r="K274" s="1056">
        <f>SQRT(1+(A274/Zero2)^2)</f>
        <v/>
      </c>
      <c r="L274" s="1057">
        <f>ATAN(A274/Zero2)</f>
        <v/>
      </c>
      <c r="M274" s="1047">
        <f>SQRT(1+(A274/pole4)^2)</f>
        <v/>
      </c>
      <c r="N274" s="1057">
        <f>ATAN(A274/pole4)</f>
        <v/>
      </c>
      <c r="O274" s="1058">
        <f>IF(VOUT_setting=1,1,SQRT(1+(A274*zterm1)^2))</f>
        <v/>
      </c>
      <c r="P274" s="1059">
        <f>IF(VOUT_setting=1,0,ATAN(((A274*zterm1))))</f>
        <v/>
      </c>
      <c r="Q274" s="1056">
        <f>IF(VOUT_setting=1,1,SQRT((1+Afbr-$Q$5*(A274)^2)^2+(A274*$Q$4)^2))</f>
        <v/>
      </c>
      <c r="R274" s="1060">
        <f>IF(VOUT_setting=1,0,ATAN(A274*$Q$4/(1+Afbr-$Q$5*(A274)^2)))</f>
        <v/>
      </c>
      <c r="S274" s="1054">
        <f>SQRT((1-(Z274/pterm2))^2+(A274/pterm1)^2)</f>
        <v/>
      </c>
      <c r="T274" s="1055">
        <f>IF((ATAN((A274/pterm1)/(1-A274^2/pterm2))&gt;0),ATAN((A274/pterm1)/(1-A274^2/pterm2)),PI()+ATAN((A274/pterm1)/(1-A274^2/pterm2)))</f>
        <v/>
      </c>
      <c r="U274" s="331">
        <f>20*LOG10(((E274*K274*G274*O274)/(C274*I274*S274*M274*Q274))*Adc)</f>
        <v/>
      </c>
      <c r="V274" s="332">
        <f>((F274+L274+H274+P274)-(D274+J274+T274+N274+R274))*radconv</f>
        <v/>
      </c>
      <c r="W274" s="334">
        <f>IF(V274&gt;0,V274,V274+180)</f>
        <v/>
      </c>
      <c r="Y274" s="307">
        <f>IF(U274&lt;0,A274,1000000000)</f>
        <v/>
      </c>
      <c r="Z274" s="307">
        <f>A274^2</f>
        <v/>
      </c>
      <c r="AB274" s="333">
        <f>20*LOG10((K274/(I274*M274))*AEA)</f>
        <v/>
      </c>
      <c r="AC274" s="334">
        <f>(L274-(J274+N274))*radconv</f>
        <v/>
      </c>
      <c r="AE274" s="333">
        <f>20*LOG10((E274*G274/(C274*S274))*Acs*Am)</f>
        <v/>
      </c>
      <c r="AF274" s="334">
        <f>(F274+H274-(D274+T274))*radconv</f>
        <v/>
      </c>
      <c r="AH274">
        <f>SUM((U275&lt;0)*(U274&gt;0))*A274</f>
        <v/>
      </c>
      <c r="AI274">
        <f>IF(AH274&gt;0,W274,0)</f>
        <v/>
      </c>
    </row>
    <row r="275">
      <c r="A275" s="335" t="n">
        <v>17580.5</v>
      </c>
      <c r="B275" s="352">
        <f>A275/1000</f>
        <v/>
      </c>
      <c r="C275" s="1047">
        <f>SQRT(1+(A275/pole1)^2)</f>
        <v/>
      </c>
      <c r="D275" s="1048">
        <f>ATAN(A275/pole1)</f>
        <v/>
      </c>
      <c r="E275" s="1048">
        <f>SQRT(1+(A275/Zero1)^2)</f>
        <v/>
      </c>
      <c r="F275" s="1049">
        <f>ATAN(A275/Zero1)</f>
        <v/>
      </c>
      <c r="G275" s="1048">
        <f>IF(VIN_nom&gt;Vout, 1, SQRT(1+(A275/z_RHP)^2))</f>
        <v/>
      </c>
      <c r="H275" s="1049">
        <f>IF(VIN_nom&gt;Vout, 0, -ATAN(A275/z_RHP))</f>
        <v/>
      </c>
      <c r="I275" s="1047">
        <f>SQRT(1+(A275/Pole2)^2)</f>
        <v/>
      </c>
      <c r="J275" s="1050">
        <f>ATAN(A275/Pole2)</f>
        <v/>
      </c>
      <c r="K275" s="1056">
        <f>SQRT(1+(A275/Zero2)^2)</f>
        <v/>
      </c>
      <c r="L275" s="1057">
        <f>ATAN(A275/Zero2)</f>
        <v/>
      </c>
      <c r="M275" s="1047">
        <f>SQRT(1+(A275/pole4)^2)</f>
        <v/>
      </c>
      <c r="N275" s="1057">
        <f>ATAN(A275/pole4)</f>
        <v/>
      </c>
      <c r="O275" s="1058">
        <f>IF(VOUT_setting=1,1,SQRT(1+(A275*zterm1)^2))</f>
        <v/>
      </c>
      <c r="P275" s="1059">
        <f>IF(VOUT_setting=1,0,ATAN(((A275*zterm1))))</f>
        <v/>
      </c>
      <c r="Q275" s="1056">
        <f>IF(VOUT_setting=1,1,SQRT((1+Afbr-$Q$5*(A275)^2)^2+(A275*$Q$4)^2))</f>
        <v/>
      </c>
      <c r="R275" s="1060">
        <f>IF(VOUT_setting=1,0,ATAN(A275*$Q$4/(1+Afbr-$Q$5*(A275)^2)))</f>
        <v/>
      </c>
      <c r="S275" s="1054">
        <f>SQRT((1-(Z275/pterm2))^2+(A275/pterm1)^2)</f>
        <v/>
      </c>
      <c r="T275" s="1055">
        <f>IF((ATAN((A275/pterm1)/(1-A275^2/pterm2))&gt;0),ATAN((A275/pterm1)/(1-A275^2/pterm2)),PI()+ATAN((A275/pterm1)/(1-A275^2/pterm2)))</f>
        <v/>
      </c>
      <c r="U275" s="331">
        <f>20*LOG10(((E275*K275*G275*O275)/(C275*I275*S275*M275*Q275))*Adc)</f>
        <v/>
      </c>
      <c r="V275" s="332">
        <f>((F275+L275+H275+P275)-(D275+J275+T275+N275+R275))*radconv</f>
        <v/>
      </c>
      <c r="W275" s="334">
        <f>IF(V275&gt;0,V275,V275+180)</f>
        <v/>
      </c>
      <c r="Y275" s="307">
        <f>IF(U275&lt;0,A275,1000000000)</f>
        <v/>
      </c>
      <c r="Z275" s="307">
        <f>A275^2</f>
        <v/>
      </c>
      <c r="AB275" s="333">
        <f>20*LOG10((K275/(I275*M275))*AEA)</f>
        <v/>
      </c>
      <c r="AC275" s="334">
        <f>(L275-(J275+N275))*radconv</f>
        <v/>
      </c>
      <c r="AE275" s="333">
        <f>20*LOG10((E275*G275/(C275*S275))*Acs*Am)</f>
        <v/>
      </c>
      <c r="AF275" s="334">
        <f>(F275+H275-(D275+T275))*radconv</f>
        <v/>
      </c>
      <c r="AH275">
        <f>SUM((U276&lt;0)*(U275&gt;0))*A275</f>
        <v/>
      </c>
      <c r="AI275">
        <f>IF(AH275&gt;0,W275,0)</f>
        <v/>
      </c>
    </row>
    <row r="276">
      <c r="A276" s="335" t="n">
        <v>17681.75</v>
      </c>
      <c r="B276" s="352">
        <f>A276/1000</f>
        <v/>
      </c>
      <c r="C276" s="1047">
        <f>SQRT(1+(A276/pole1)^2)</f>
        <v/>
      </c>
      <c r="D276" s="1048">
        <f>ATAN(A276/pole1)</f>
        <v/>
      </c>
      <c r="E276" s="1048">
        <f>SQRT(1+(A276/Zero1)^2)</f>
        <v/>
      </c>
      <c r="F276" s="1049">
        <f>ATAN(A276/Zero1)</f>
        <v/>
      </c>
      <c r="G276" s="1048">
        <f>IF(VIN_nom&gt;Vout, 1, SQRT(1+(A276/z_RHP)^2))</f>
        <v/>
      </c>
      <c r="H276" s="1049">
        <f>IF(VIN_nom&gt;Vout, 0, -ATAN(A276/z_RHP))</f>
        <v/>
      </c>
      <c r="I276" s="1047">
        <f>SQRT(1+(A276/Pole2)^2)</f>
        <v/>
      </c>
      <c r="J276" s="1050">
        <f>ATAN(A276/Pole2)</f>
        <v/>
      </c>
      <c r="K276" s="1056">
        <f>SQRT(1+(A276/Zero2)^2)</f>
        <v/>
      </c>
      <c r="L276" s="1057">
        <f>ATAN(A276/Zero2)</f>
        <v/>
      </c>
      <c r="M276" s="1047">
        <f>SQRT(1+(A276/pole4)^2)</f>
        <v/>
      </c>
      <c r="N276" s="1057">
        <f>ATAN(A276/pole4)</f>
        <v/>
      </c>
      <c r="O276" s="1058">
        <f>IF(VOUT_setting=1,1,SQRT(1+(A276*zterm1)^2))</f>
        <v/>
      </c>
      <c r="P276" s="1059">
        <f>IF(VOUT_setting=1,0,ATAN(((A276*zterm1))))</f>
        <v/>
      </c>
      <c r="Q276" s="1056">
        <f>IF(VOUT_setting=1,1,SQRT((1+Afbr-$Q$5*(A276)^2)^2+(A276*$Q$4)^2))</f>
        <v/>
      </c>
      <c r="R276" s="1060">
        <f>IF(VOUT_setting=1,0,ATAN(A276*$Q$4/(1+Afbr-$Q$5*(A276)^2)))</f>
        <v/>
      </c>
      <c r="S276" s="1054">
        <f>SQRT((1-(Z276/pterm2))^2+(A276/pterm1)^2)</f>
        <v/>
      </c>
      <c r="T276" s="1055">
        <f>IF((ATAN((A276/pterm1)/(1-A276^2/pterm2))&gt;0),ATAN((A276/pterm1)/(1-A276^2/pterm2)),PI()+ATAN((A276/pterm1)/(1-A276^2/pterm2)))</f>
        <v/>
      </c>
      <c r="U276" s="331">
        <f>20*LOG10(((E276*K276*G276*O276)/(C276*I276*S276*M276*Q276))*Adc)</f>
        <v/>
      </c>
      <c r="V276" s="332">
        <f>((F276+L276+H276+P276)-(D276+J276+T276+N276+R276))*radconv</f>
        <v/>
      </c>
      <c r="W276" s="334">
        <f>IF(V276&gt;0,V276,V276+180)</f>
        <v/>
      </c>
      <c r="Y276" s="307">
        <f>IF(U276&lt;0,A276,1000000000)</f>
        <v/>
      </c>
      <c r="Z276" s="307">
        <f>A276^2</f>
        <v/>
      </c>
      <c r="AB276" s="333">
        <f>20*LOG10((K276/(I276*M276))*AEA)</f>
        <v/>
      </c>
      <c r="AC276" s="334">
        <f>(L276-(J276+N276))*radconv</f>
        <v/>
      </c>
      <c r="AE276" s="333">
        <f>20*LOG10((E276*G276/(C276*S276))*Acs*Am)</f>
        <v/>
      </c>
      <c r="AF276" s="334">
        <f>(F276+H276-(D276+T276))*radconv</f>
        <v/>
      </c>
      <c r="AH276">
        <f>SUM((U277&lt;0)*(U276&gt;0))*A276</f>
        <v/>
      </c>
      <c r="AI276">
        <f>IF(AH276&gt;0,W276,0)</f>
        <v/>
      </c>
    </row>
    <row r="277">
      <c r="A277" s="335" t="n">
        <v>17783</v>
      </c>
      <c r="B277" s="352">
        <f>A277/1000</f>
        <v/>
      </c>
      <c r="C277" s="1047">
        <f>SQRT(1+(A277/pole1)^2)</f>
        <v/>
      </c>
      <c r="D277" s="1048">
        <f>ATAN(A277/pole1)</f>
        <v/>
      </c>
      <c r="E277" s="1048">
        <f>SQRT(1+(A277/Zero1)^2)</f>
        <v/>
      </c>
      <c r="F277" s="1049">
        <f>ATAN(A277/Zero1)</f>
        <v/>
      </c>
      <c r="G277" s="1048">
        <f>IF(VIN_nom&gt;Vout, 1, SQRT(1+(A277/z_RHP)^2))</f>
        <v/>
      </c>
      <c r="H277" s="1049">
        <f>IF(VIN_nom&gt;Vout, 0, -ATAN(A277/z_RHP))</f>
        <v/>
      </c>
      <c r="I277" s="1047">
        <f>SQRT(1+(A277/Pole2)^2)</f>
        <v/>
      </c>
      <c r="J277" s="1050">
        <f>ATAN(A277/Pole2)</f>
        <v/>
      </c>
      <c r="K277" s="1056">
        <f>SQRT(1+(A277/Zero2)^2)</f>
        <v/>
      </c>
      <c r="L277" s="1057">
        <f>ATAN(A277/Zero2)</f>
        <v/>
      </c>
      <c r="M277" s="1047">
        <f>SQRT(1+(A277/pole4)^2)</f>
        <v/>
      </c>
      <c r="N277" s="1057">
        <f>ATAN(A277/pole4)</f>
        <v/>
      </c>
      <c r="O277" s="1058">
        <f>IF(VOUT_setting=1,1,SQRT(1+(A277*zterm1)^2))</f>
        <v/>
      </c>
      <c r="P277" s="1059">
        <f>IF(VOUT_setting=1,0,ATAN(((A277*zterm1))))</f>
        <v/>
      </c>
      <c r="Q277" s="1056">
        <f>IF(VOUT_setting=1,1,SQRT((1+Afbr-$Q$5*(A277)^2)^2+(A277*$Q$4)^2))</f>
        <v/>
      </c>
      <c r="R277" s="1060">
        <f>IF(VOUT_setting=1,0,ATAN(A277*$Q$4/(1+Afbr-$Q$5*(A277)^2)))</f>
        <v/>
      </c>
      <c r="S277" s="1054">
        <f>SQRT((1-(Z277/pterm2))^2+(A277/pterm1)^2)</f>
        <v/>
      </c>
      <c r="T277" s="1055">
        <f>IF((ATAN((A277/pterm1)/(1-A277^2/pterm2))&gt;0),ATAN((A277/pterm1)/(1-A277^2/pterm2)),PI()+ATAN((A277/pterm1)/(1-A277^2/pterm2)))</f>
        <v/>
      </c>
      <c r="U277" s="331">
        <f>20*LOG10(((E277*K277*G277*O277)/(C277*I277*S277*M277*Q277))*Adc)</f>
        <v/>
      </c>
      <c r="V277" s="332">
        <f>((F277+L277+H277+P277)-(D277+J277+T277+N277+R277))*radconv</f>
        <v/>
      </c>
      <c r="W277" s="334">
        <f>IF(V277&gt;0,V277,V277+180)</f>
        <v/>
      </c>
      <c r="Y277" s="307">
        <f>IF(U277&lt;0,A277,1000000000)</f>
        <v/>
      </c>
      <c r="Z277" s="307">
        <f>A277^2</f>
        <v/>
      </c>
      <c r="AB277" s="333">
        <f>20*LOG10((K277/(I277*M277))*AEA)</f>
        <v/>
      </c>
      <c r="AC277" s="334">
        <f>(L277-(J277+N277))*radconv</f>
        <v/>
      </c>
      <c r="AE277" s="333">
        <f>20*LOG10((E277*G277/(C277*S277))*Acs*Am)</f>
        <v/>
      </c>
      <c r="AF277" s="334">
        <f>(F277+H277-(D277+T277))*radconv</f>
        <v/>
      </c>
      <c r="AH277">
        <f>SUM((U278&lt;0)*(U277&gt;0))*A277</f>
        <v/>
      </c>
      <c r="AI277">
        <f>IF(AH277&gt;0,W277,0)</f>
        <v/>
      </c>
    </row>
    <row r="278">
      <c r="A278" s="335" t="n">
        <v>17886.5</v>
      </c>
      <c r="B278" s="352">
        <f>A278/1000</f>
        <v/>
      </c>
      <c r="C278" s="1047">
        <f>SQRT(1+(A278/pole1)^2)</f>
        <v/>
      </c>
      <c r="D278" s="1048">
        <f>ATAN(A278/pole1)</f>
        <v/>
      </c>
      <c r="E278" s="1048">
        <f>SQRT(1+(A278/Zero1)^2)</f>
        <v/>
      </c>
      <c r="F278" s="1049">
        <f>ATAN(A278/Zero1)</f>
        <v/>
      </c>
      <c r="G278" s="1048">
        <f>IF(VIN_nom&gt;Vout, 1, SQRT(1+(A278/z_RHP)^2))</f>
        <v/>
      </c>
      <c r="H278" s="1049">
        <f>IF(VIN_nom&gt;Vout, 0, -ATAN(A278/z_RHP))</f>
        <v/>
      </c>
      <c r="I278" s="1047">
        <f>SQRT(1+(A278/Pole2)^2)</f>
        <v/>
      </c>
      <c r="J278" s="1050">
        <f>ATAN(A278/Pole2)</f>
        <v/>
      </c>
      <c r="K278" s="1056">
        <f>SQRT(1+(A278/Zero2)^2)</f>
        <v/>
      </c>
      <c r="L278" s="1057">
        <f>ATAN(A278/Zero2)</f>
        <v/>
      </c>
      <c r="M278" s="1047">
        <f>SQRT(1+(A278/pole4)^2)</f>
        <v/>
      </c>
      <c r="N278" s="1057">
        <f>ATAN(A278/pole4)</f>
        <v/>
      </c>
      <c r="O278" s="1058">
        <f>IF(VOUT_setting=1,1,SQRT(1+(A278*zterm1)^2))</f>
        <v/>
      </c>
      <c r="P278" s="1059">
        <f>IF(VOUT_setting=1,0,ATAN(((A278*zterm1))))</f>
        <v/>
      </c>
      <c r="Q278" s="1056">
        <f>IF(VOUT_setting=1,1,SQRT((1+Afbr-$Q$5*(A278)^2)^2+(A278*$Q$4)^2))</f>
        <v/>
      </c>
      <c r="R278" s="1060">
        <f>IF(VOUT_setting=1,0,ATAN(A278*$Q$4/(1+Afbr-$Q$5*(A278)^2)))</f>
        <v/>
      </c>
      <c r="S278" s="1054">
        <f>SQRT((1-(Z278/pterm2))^2+(A278/pterm1)^2)</f>
        <v/>
      </c>
      <c r="T278" s="1055">
        <f>IF((ATAN((A278/pterm1)/(1-A278^2/pterm2))&gt;0),ATAN((A278/pterm1)/(1-A278^2/pterm2)),PI()+ATAN((A278/pterm1)/(1-A278^2/pterm2)))</f>
        <v/>
      </c>
      <c r="U278" s="331">
        <f>20*LOG10(((E278*K278*G278*O278)/(C278*I278*S278*M278*Q278))*Adc)</f>
        <v/>
      </c>
      <c r="V278" s="332">
        <f>((F278+L278+H278+P278)-(D278+J278+T278+N278+R278))*radconv</f>
        <v/>
      </c>
      <c r="W278" s="334">
        <f>IF(V278&gt;0,V278,V278+180)</f>
        <v/>
      </c>
      <c r="Y278" s="307">
        <f>IF(U278&lt;0,A278,1000000000)</f>
        <v/>
      </c>
      <c r="Z278" s="307">
        <f>A278^2</f>
        <v/>
      </c>
      <c r="AB278" s="333">
        <f>20*LOG10((K278/(I278*M278))*AEA)</f>
        <v/>
      </c>
      <c r="AC278" s="334">
        <f>(L278-(J278+N278))*radconv</f>
        <v/>
      </c>
      <c r="AE278" s="333">
        <f>20*LOG10((E278*G278/(C278*S278))*Acs*Am)</f>
        <v/>
      </c>
      <c r="AF278" s="334">
        <f>(F278+H278-(D278+T278))*radconv</f>
        <v/>
      </c>
      <c r="AH278">
        <f>SUM((U279&lt;0)*(U278&gt;0))*A278</f>
        <v/>
      </c>
      <c r="AI278">
        <f>IF(AH278&gt;0,W278,0)</f>
        <v/>
      </c>
    </row>
    <row r="279">
      <c r="A279" s="335" t="n">
        <v>17990</v>
      </c>
      <c r="B279" s="352">
        <f>A279/1000</f>
        <v/>
      </c>
      <c r="C279" s="1047">
        <f>SQRT(1+(A279/pole1)^2)</f>
        <v/>
      </c>
      <c r="D279" s="1048">
        <f>ATAN(A279/pole1)</f>
        <v/>
      </c>
      <c r="E279" s="1048">
        <f>SQRT(1+(A279/Zero1)^2)</f>
        <v/>
      </c>
      <c r="F279" s="1049">
        <f>ATAN(A279/Zero1)</f>
        <v/>
      </c>
      <c r="G279" s="1048">
        <f>IF(VIN_nom&gt;Vout, 1, SQRT(1+(A279/z_RHP)^2))</f>
        <v/>
      </c>
      <c r="H279" s="1049">
        <f>IF(VIN_nom&gt;Vout, 0, -ATAN(A279/z_RHP))</f>
        <v/>
      </c>
      <c r="I279" s="1047">
        <f>SQRT(1+(A279/Pole2)^2)</f>
        <v/>
      </c>
      <c r="J279" s="1050">
        <f>ATAN(A279/Pole2)</f>
        <v/>
      </c>
      <c r="K279" s="1056">
        <f>SQRT(1+(A279/Zero2)^2)</f>
        <v/>
      </c>
      <c r="L279" s="1057">
        <f>ATAN(A279/Zero2)</f>
        <v/>
      </c>
      <c r="M279" s="1047">
        <f>SQRT(1+(A279/pole4)^2)</f>
        <v/>
      </c>
      <c r="N279" s="1057">
        <f>ATAN(A279/pole4)</f>
        <v/>
      </c>
      <c r="O279" s="1058">
        <f>IF(VOUT_setting=1,1,SQRT(1+(A279*zterm1)^2))</f>
        <v/>
      </c>
      <c r="P279" s="1059">
        <f>IF(VOUT_setting=1,0,ATAN(((A279*zterm1))))</f>
        <v/>
      </c>
      <c r="Q279" s="1056">
        <f>IF(VOUT_setting=1,1,SQRT((1+Afbr-$Q$5*(A279)^2)^2+(A279*$Q$4)^2))</f>
        <v/>
      </c>
      <c r="R279" s="1060">
        <f>IF(VOUT_setting=1,0,ATAN(A279*$Q$4/(1+Afbr-$Q$5*(A279)^2)))</f>
        <v/>
      </c>
      <c r="S279" s="1054">
        <f>SQRT((1-(Z279/pterm2))^2+(A279/pterm1)^2)</f>
        <v/>
      </c>
      <c r="T279" s="1055">
        <f>IF((ATAN((A279/pterm1)/(1-A279^2/pterm2))&gt;0),ATAN((A279/pterm1)/(1-A279^2/pterm2)),PI()+ATAN((A279/pterm1)/(1-A279^2/pterm2)))</f>
        <v/>
      </c>
      <c r="U279" s="331">
        <f>20*LOG10(((E279*K279*G279*O279)/(C279*I279*S279*M279*Q279))*Adc)</f>
        <v/>
      </c>
      <c r="V279" s="332">
        <f>((F279+L279+H279+P279)-(D279+J279+T279+N279+R279))*radconv</f>
        <v/>
      </c>
      <c r="W279" s="334">
        <f>IF(V279&gt;0,V279,V279+180)</f>
        <v/>
      </c>
      <c r="Y279" s="307">
        <f>IF(U279&lt;0,A279,1000000000)</f>
        <v/>
      </c>
      <c r="Z279" s="307">
        <f>A279^2</f>
        <v/>
      </c>
      <c r="AB279" s="333">
        <f>20*LOG10((K279/(I279*M279))*AEA)</f>
        <v/>
      </c>
      <c r="AC279" s="334">
        <f>(L279-(J279+N279))*radconv</f>
        <v/>
      </c>
      <c r="AE279" s="333">
        <f>20*LOG10((E279*G279/(C279*S279))*Acs*Am)</f>
        <v/>
      </c>
      <c r="AF279" s="334">
        <f>(F279+H279-(D279+T279))*radconv</f>
        <v/>
      </c>
      <c r="AH279">
        <f>SUM((U280&lt;0)*(U279&gt;0))*A279</f>
        <v/>
      </c>
      <c r="AI279">
        <f>IF(AH279&gt;0,W279,0)</f>
        <v/>
      </c>
    </row>
    <row r="280">
      <c r="A280" s="335" t="n">
        <v>18093.5</v>
      </c>
      <c r="B280" s="352">
        <f>A280/1000</f>
        <v/>
      </c>
      <c r="C280" s="1047">
        <f>SQRT(1+(A280/pole1)^2)</f>
        <v/>
      </c>
      <c r="D280" s="1048">
        <f>ATAN(A280/pole1)</f>
        <v/>
      </c>
      <c r="E280" s="1048">
        <f>SQRT(1+(A280/Zero1)^2)</f>
        <v/>
      </c>
      <c r="F280" s="1049">
        <f>ATAN(A280/Zero1)</f>
        <v/>
      </c>
      <c r="G280" s="1048">
        <f>IF(VIN_nom&gt;Vout, 1, SQRT(1+(A280/z_RHP)^2))</f>
        <v/>
      </c>
      <c r="H280" s="1049">
        <f>IF(VIN_nom&gt;Vout, 0, -ATAN(A280/z_RHP))</f>
        <v/>
      </c>
      <c r="I280" s="1047">
        <f>SQRT(1+(A280/Pole2)^2)</f>
        <v/>
      </c>
      <c r="J280" s="1050">
        <f>ATAN(A280/Pole2)</f>
        <v/>
      </c>
      <c r="K280" s="1056">
        <f>SQRT(1+(A280/Zero2)^2)</f>
        <v/>
      </c>
      <c r="L280" s="1057">
        <f>ATAN(A280/Zero2)</f>
        <v/>
      </c>
      <c r="M280" s="1047">
        <f>SQRT(1+(A280/pole4)^2)</f>
        <v/>
      </c>
      <c r="N280" s="1057">
        <f>ATAN(A280/pole4)</f>
        <v/>
      </c>
      <c r="O280" s="1058">
        <f>IF(VOUT_setting=1,1,SQRT(1+(A280*zterm1)^2))</f>
        <v/>
      </c>
      <c r="P280" s="1059">
        <f>IF(VOUT_setting=1,0,ATAN(((A280*zterm1))))</f>
        <v/>
      </c>
      <c r="Q280" s="1056">
        <f>IF(VOUT_setting=1,1,SQRT((1+Afbr-$Q$5*(A280)^2)^2+(A280*$Q$4)^2))</f>
        <v/>
      </c>
      <c r="R280" s="1060">
        <f>IF(VOUT_setting=1,0,ATAN(A280*$Q$4/(1+Afbr-$Q$5*(A280)^2)))</f>
        <v/>
      </c>
      <c r="S280" s="1054">
        <f>SQRT((1-(Z280/pterm2))^2+(A280/pterm1)^2)</f>
        <v/>
      </c>
      <c r="T280" s="1055">
        <f>IF((ATAN((A280/pterm1)/(1-A280^2/pterm2))&gt;0),ATAN((A280/pterm1)/(1-A280^2/pterm2)),PI()+ATAN((A280/pterm1)/(1-A280^2/pterm2)))</f>
        <v/>
      </c>
      <c r="U280" s="331">
        <f>20*LOG10(((E280*K280*G280*O280)/(C280*I280*S280*M280*Q280))*Adc)</f>
        <v/>
      </c>
      <c r="V280" s="332">
        <f>((F280+L280+H280+P280)-(D280+J280+T280+N280+R280))*radconv</f>
        <v/>
      </c>
      <c r="W280" s="334">
        <f>IF(V280&gt;0,V280,V280+180)</f>
        <v/>
      </c>
      <c r="Y280" s="307">
        <f>IF(U280&lt;0,A280,1000000000)</f>
        <v/>
      </c>
      <c r="Z280" s="307">
        <f>A280^2</f>
        <v/>
      </c>
      <c r="AB280" s="333">
        <f>20*LOG10((K280/(I280*M280))*AEA)</f>
        <v/>
      </c>
      <c r="AC280" s="334">
        <f>(L280-(J280+N280))*radconv</f>
        <v/>
      </c>
      <c r="AE280" s="333">
        <f>20*LOG10((E280*G280/(C280*S280))*Acs*Am)</f>
        <v/>
      </c>
      <c r="AF280" s="334">
        <f>(F280+H280-(D280+T280))*radconv</f>
        <v/>
      </c>
      <c r="AH280">
        <f>SUM((U281&lt;0)*(U280&gt;0))*A280</f>
        <v/>
      </c>
      <c r="AI280">
        <f>IF(AH280&gt;0,W280,0)</f>
        <v/>
      </c>
    </row>
    <row r="281">
      <c r="A281" s="335" t="n">
        <v>18197</v>
      </c>
      <c r="B281" s="352">
        <f>A281/1000</f>
        <v/>
      </c>
      <c r="C281" s="1047">
        <f>SQRT(1+(A281/pole1)^2)</f>
        <v/>
      </c>
      <c r="D281" s="1048">
        <f>ATAN(A281/pole1)</f>
        <v/>
      </c>
      <c r="E281" s="1048">
        <f>SQRT(1+(A281/Zero1)^2)</f>
        <v/>
      </c>
      <c r="F281" s="1049">
        <f>ATAN(A281/Zero1)</f>
        <v/>
      </c>
      <c r="G281" s="1048">
        <f>IF(VIN_nom&gt;Vout, 1, SQRT(1+(A281/z_RHP)^2))</f>
        <v/>
      </c>
      <c r="H281" s="1049">
        <f>IF(VIN_nom&gt;Vout, 0, -ATAN(A281/z_RHP))</f>
        <v/>
      </c>
      <c r="I281" s="1047">
        <f>SQRT(1+(A281/Pole2)^2)</f>
        <v/>
      </c>
      <c r="J281" s="1050">
        <f>ATAN(A281/Pole2)</f>
        <v/>
      </c>
      <c r="K281" s="1056">
        <f>SQRT(1+(A281/Zero2)^2)</f>
        <v/>
      </c>
      <c r="L281" s="1057">
        <f>ATAN(A281/Zero2)</f>
        <v/>
      </c>
      <c r="M281" s="1047">
        <f>SQRT(1+(A281/pole4)^2)</f>
        <v/>
      </c>
      <c r="N281" s="1057">
        <f>ATAN(A281/pole4)</f>
        <v/>
      </c>
      <c r="O281" s="1058">
        <f>IF(VOUT_setting=1,1,SQRT(1+(A281*zterm1)^2))</f>
        <v/>
      </c>
      <c r="P281" s="1059">
        <f>IF(VOUT_setting=1,0,ATAN(((A281*zterm1))))</f>
        <v/>
      </c>
      <c r="Q281" s="1056">
        <f>IF(VOUT_setting=1,1,SQRT((1+Afbr-$Q$5*(A281)^2)^2+(A281*$Q$4)^2))</f>
        <v/>
      </c>
      <c r="R281" s="1060">
        <f>IF(VOUT_setting=1,0,ATAN(A281*$Q$4/(1+Afbr-$Q$5*(A281)^2)))</f>
        <v/>
      </c>
      <c r="S281" s="1054">
        <f>SQRT((1-(Z281/pterm2))^2+(A281/pterm1)^2)</f>
        <v/>
      </c>
      <c r="T281" s="1055">
        <f>IF((ATAN((A281/pterm1)/(1-A281^2/pterm2))&gt;0),ATAN((A281/pterm1)/(1-A281^2/pterm2)),PI()+ATAN((A281/pterm1)/(1-A281^2/pterm2)))</f>
        <v/>
      </c>
      <c r="U281" s="331">
        <f>20*LOG10(((E281*K281*G281*O281)/(C281*I281*S281*M281*Q281))*Adc)</f>
        <v/>
      </c>
      <c r="V281" s="332">
        <f>((F281+L281+H281+P281)-(D281+J281+T281+N281+R281))*radconv</f>
        <v/>
      </c>
      <c r="W281" s="334">
        <f>IF(V281&gt;0,V281,V281+180)</f>
        <v/>
      </c>
      <c r="Y281" s="307">
        <f>IF(U281&lt;0,A281,1000000000)</f>
        <v/>
      </c>
      <c r="Z281" s="307">
        <f>A281^2</f>
        <v/>
      </c>
      <c r="AB281" s="333">
        <f>20*LOG10((K281/(I281*M281))*AEA)</f>
        <v/>
      </c>
      <c r="AC281" s="334">
        <f>(L281-(J281+N281))*radconv</f>
        <v/>
      </c>
      <c r="AE281" s="333">
        <f>20*LOG10((E281*G281/(C281*S281))*Acs*Am)</f>
        <v/>
      </c>
      <c r="AF281" s="334">
        <f>(F281+H281-(D281+T281))*radconv</f>
        <v/>
      </c>
      <c r="AH281">
        <f>SUM((U282&lt;0)*(U281&gt;0))*A281</f>
        <v/>
      </c>
      <c r="AI281">
        <f>IF(AH281&gt;0,W281,0)</f>
        <v/>
      </c>
    </row>
    <row r="282">
      <c r="A282" s="335" t="n">
        <v>18303</v>
      </c>
      <c r="B282" s="352">
        <f>A282/1000</f>
        <v/>
      </c>
      <c r="C282" s="1047">
        <f>SQRT(1+(A282/pole1)^2)</f>
        <v/>
      </c>
      <c r="D282" s="1048">
        <f>ATAN(A282/pole1)</f>
        <v/>
      </c>
      <c r="E282" s="1048">
        <f>SQRT(1+(A282/Zero1)^2)</f>
        <v/>
      </c>
      <c r="F282" s="1049">
        <f>ATAN(A282/Zero1)</f>
        <v/>
      </c>
      <c r="G282" s="1048">
        <f>IF(VIN_nom&gt;Vout, 1, SQRT(1+(A282/z_RHP)^2))</f>
        <v/>
      </c>
      <c r="H282" s="1049">
        <f>IF(VIN_nom&gt;Vout, 0, -ATAN(A282/z_RHP))</f>
        <v/>
      </c>
      <c r="I282" s="1047">
        <f>SQRT(1+(A282/Pole2)^2)</f>
        <v/>
      </c>
      <c r="J282" s="1050">
        <f>ATAN(A282/Pole2)</f>
        <v/>
      </c>
      <c r="K282" s="1056">
        <f>SQRT(1+(A282/Zero2)^2)</f>
        <v/>
      </c>
      <c r="L282" s="1057">
        <f>ATAN(A282/Zero2)</f>
        <v/>
      </c>
      <c r="M282" s="1047">
        <f>SQRT(1+(A282/pole4)^2)</f>
        <v/>
      </c>
      <c r="N282" s="1057">
        <f>ATAN(A282/pole4)</f>
        <v/>
      </c>
      <c r="O282" s="1058">
        <f>IF(VOUT_setting=1,1,SQRT(1+(A282*zterm1)^2))</f>
        <v/>
      </c>
      <c r="P282" s="1059">
        <f>IF(VOUT_setting=1,0,ATAN(((A282*zterm1))))</f>
        <v/>
      </c>
      <c r="Q282" s="1056">
        <f>IF(VOUT_setting=1,1,SQRT((1+Afbr-$Q$5*(A282)^2)^2+(A282*$Q$4)^2))</f>
        <v/>
      </c>
      <c r="R282" s="1060">
        <f>IF(VOUT_setting=1,0,ATAN(A282*$Q$4/(1+Afbr-$Q$5*(A282)^2)))</f>
        <v/>
      </c>
      <c r="S282" s="1054">
        <f>SQRT((1-(Z282/pterm2))^2+(A282/pterm1)^2)</f>
        <v/>
      </c>
      <c r="T282" s="1055">
        <f>IF((ATAN((A282/pterm1)/(1-A282^2/pterm2))&gt;0),ATAN((A282/pterm1)/(1-A282^2/pterm2)),PI()+ATAN((A282/pterm1)/(1-A282^2/pterm2)))</f>
        <v/>
      </c>
      <c r="U282" s="331">
        <f>20*LOG10(((E282*K282*G282*O282)/(C282*I282*S282*M282*Q282))*Adc)</f>
        <v/>
      </c>
      <c r="V282" s="332">
        <f>((F282+L282+H282+P282)-(D282+J282+T282+N282+R282))*radconv</f>
        <v/>
      </c>
      <c r="W282" s="334">
        <f>IF(V282&gt;0,V282,V282+180)</f>
        <v/>
      </c>
      <c r="Y282" s="307">
        <f>IF(U282&lt;0,A282,1000000000)</f>
        <v/>
      </c>
      <c r="Z282" s="307">
        <f>A282^2</f>
        <v/>
      </c>
      <c r="AB282" s="333">
        <f>20*LOG10((K282/(I282*M282))*AEA)</f>
        <v/>
      </c>
      <c r="AC282" s="334">
        <f>(L282-(J282+N282))*radconv</f>
        <v/>
      </c>
      <c r="AE282" s="333">
        <f>20*LOG10((E282*G282/(C282*S282))*Acs*Am)</f>
        <v/>
      </c>
      <c r="AF282" s="334">
        <f>(F282+H282-(D282+T282))*radconv</f>
        <v/>
      </c>
      <c r="AH282">
        <f>SUM((U283&lt;0)*(U282&gt;0))*A282</f>
        <v/>
      </c>
      <c r="AI282">
        <f>IF(AH282&gt;0,W282,0)</f>
        <v/>
      </c>
    </row>
    <row r="283">
      <c r="A283" s="335" t="n">
        <v>18409</v>
      </c>
      <c r="B283" s="352">
        <f>A283/1000</f>
        <v/>
      </c>
      <c r="C283" s="1047">
        <f>SQRT(1+(A283/pole1)^2)</f>
        <v/>
      </c>
      <c r="D283" s="1048">
        <f>ATAN(A283/pole1)</f>
        <v/>
      </c>
      <c r="E283" s="1048">
        <f>SQRT(1+(A283/Zero1)^2)</f>
        <v/>
      </c>
      <c r="F283" s="1049">
        <f>ATAN(A283/Zero1)</f>
        <v/>
      </c>
      <c r="G283" s="1048">
        <f>IF(VIN_nom&gt;Vout, 1, SQRT(1+(A283/z_RHP)^2))</f>
        <v/>
      </c>
      <c r="H283" s="1049">
        <f>IF(VIN_nom&gt;Vout, 0, -ATAN(A283/z_RHP))</f>
        <v/>
      </c>
      <c r="I283" s="1047">
        <f>SQRT(1+(A283/Pole2)^2)</f>
        <v/>
      </c>
      <c r="J283" s="1050">
        <f>ATAN(A283/Pole2)</f>
        <v/>
      </c>
      <c r="K283" s="1056">
        <f>SQRT(1+(A283/Zero2)^2)</f>
        <v/>
      </c>
      <c r="L283" s="1057">
        <f>ATAN(A283/Zero2)</f>
        <v/>
      </c>
      <c r="M283" s="1047">
        <f>SQRT(1+(A283/pole4)^2)</f>
        <v/>
      </c>
      <c r="N283" s="1057">
        <f>ATAN(A283/pole4)</f>
        <v/>
      </c>
      <c r="O283" s="1058">
        <f>IF(VOUT_setting=1,1,SQRT(1+(A283*zterm1)^2))</f>
        <v/>
      </c>
      <c r="P283" s="1059">
        <f>IF(VOUT_setting=1,0,ATAN(((A283*zterm1))))</f>
        <v/>
      </c>
      <c r="Q283" s="1056">
        <f>IF(VOUT_setting=1,1,SQRT((1+Afbr-$Q$5*(A283)^2)^2+(A283*$Q$4)^2))</f>
        <v/>
      </c>
      <c r="R283" s="1060">
        <f>IF(VOUT_setting=1,0,ATAN(A283*$Q$4/(1+Afbr-$Q$5*(A283)^2)))</f>
        <v/>
      </c>
      <c r="S283" s="1054">
        <f>SQRT((1-(Z283/pterm2))^2+(A283/pterm1)^2)</f>
        <v/>
      </c>
      <c r="T283" s="1055">
        <f>IF((ATAN((A283/pterm1)/(1-A283^2/pterm2))&gt;0),ATAN((A283/pterm1)/(1-A283^2/pterm2)),PI()+ATAN((A283/pterm1)/(1-A283^2/pterm2)))</f>
        <v/>
      </c>
      <c r="U283" s="331">
        <f>20*LOG10(((E283*K283*G283*O283)/(C283*I283*S283*M283*Q283))*Adc)</f>
        <v/>
      </c>
      <c r="V283" s="332">
        <f>((F283+L283+H283+P283)-(D283+J283+T283+N283+R283))*radconv</f>
        <v/>
      </c>
      <c r="W283" s="334">
        <f>IF(V283&gt;0,V283,V283+180)</f>
        <v/>
      </c>
      <c r="Y283" s="307">
        <f>IF(U283&lt;0,A283,1000000000)</f>
        <v/>
      </c>
      <c r="Z283" s="307">
        <f>A283^2</f>
        <v/>
      </c>
      <c r="AB283" s="333">
        <f>20*LOG10((K283/(I283*M283))*AEA)</f>
        <v/>
      </c>
      <c r="AC283" s="334">
        <f>(L283-(J283+N283))*radconv</f>
        <v/>
      </c>
      <c r="AE283" s="333">
        <f>20*LOG10((E283*G283/(C283*S283))*Acs*Am)</f>
        <v/>
      </c>
      <c r="AF283" s="334">
        <f>(F283+H283-(D283+T283))*radconv</f>
        <v/>
      </c>
      <c r="AH283">
        <f>SUM((U284&lt;0)*(U283&gt;0))*A283</f>
        <v/>
      </c>
      <c r="AI283">
        <f>IF(AH283&gt;0,W283,0)</f>
        <v/>
      </c>
    </row>
    <row r="284">
      <c r="A284" s="335" t="n">
        <v>18515</v>
      </c>
      <c r="B284" s="352">
        <f>A284/1000</f>
        <v/>
      </c>
      <c r="C284" s="1047">
        <f>SQRT(1+(A284/pole1)^2)</f>
        <v/>
      </c>
      <c r="D284" s="1048">
        <f>ATAN(A284/pole1)</f>
        <v/>
      </c>
      <c r="E284" s="1048">
        <f>SQRT(1+(A284/Zero1)^2)</f>
        <v/>
      </c>
      <c r="F284" s="1049">
        <f>ATAN(A284/Zero1)</f>
        <v/>
      </c>
      <c r="G284" s="1048">
        <f>IF(VIN_nom&gt;Vout, 1, SQRT(1+(A284/z_RHP)^2))</f>
        <v/>
      </c>
      <c r="H284" s="1049">
        <f>IF(VIN_nom&gt;Vout, 0, -ATAN(A284/z_RHP))</f>
        <v/>
      </c>
      <c r="I284" s="1047">
        <f>SQRT(1+(A284/Pole2)^2)</f>
        <v/>
      </c>
      <c r="J284" s="1050">
        <f>ATAN(A284/Pole2)</f>
        <v/>
      </c>
      <c r="K284" s="1056">
        <f>SQRT(1+(A284/Zero2)^2)</f>
        <v/>
      </c>
      <c r="L284" s="1057">
        <f>ATAN(A284/Zero2)</f>
        <v/>
      </c>
      <c r="M284" s="1047">
        <f>SQRT(1+(A284/pole4)^2)</f>
        <v/>
      </c>
      <c r="N284" s="1057">
        <f>ATAN(A284/pole4)</f>
        <v/>
      </c>
      <c r="O284" s="1058">
        <f>IF(VOUT_setting=1,1,SQRT(1+(A284*zterm1)^2))</f>
        <v/>
      </c>
      <c r="P284" s="1059">
        <f>IF(VOUT_setting=1,0,ATAN(((A284*zterm1))))</f>
        <v/>
      </c>
      <c r="Q284" s="1056">
        <f>IF(VOUT_setting=1,1,SQRT((1+Afbr-$Q$5*(A284)^2)^2+(A284*$Q$4)^2))</f>
        <v/>
      </c>
      <c r="R284" s="1060">
        <f>IF(VOUT_setting=1,0,ATAN(A284*$Q$4/(1+Afbr-$Q$5*(A284)^2)))</f>
        <v/>
      </c>
      <c r="S284" s="1054">
        <f>SQRT((1-(Z284/pterm2))^2+(A284/pterm1)^2)</f>
        <v/>
      </c>
      <c r="T284" s="1055">
        <f>IF((ATAN((A284/pterm1)/(1-A284^2/pterm2))&gt;0),ATAN((A284/pterm1)/(1-A284^2/pterm2)),PI()+ATAN((A284/pterm1)/(1-A284^2/pterm2)))</f>
        <v/>
      </c>
      <c r="U284" s="331">
        <f>20*LOG10(((E284*K284*G284*O284)/(C284*I284*S284*M284*Q284))*Adc)</f>
        <v/>
      </c>
      <c r="V284" s="332">
        <f>((F284+L284+H284+P284)-(D284+J284+T284+N284+R284))*radconv</f>
        <v/>
      </c>
      <c r="W284" s="334">
        <f>IF(V284&gt;0,V284,V284+180)</f>
        <v/>
      </c>
      <c r="Y284" s="307">
        <f>IF(U284&lt;0,A284,1000000000)</f>
        <v/>
      </c>
      <c r="Z284" s="307">
        <f>A284^2</f>
        <v/>
      </c>
      <c r="AB284" s="333">
        <f>20*LOG10((K284/(I284*M284))*AEA)</f>
        <v/>
      </c>
      <c r="AC284" s="334">
        <f>(L284-(J284+N284))*radconv</f>
        <v/>
      </c>
      <c r="AE284" s="333">
        <f>20*LOG10((E284*G284/(C284*S284))*Acs*Am)</f>
        <v/>
      </c>
      <c r="AF284" s="334">
        <f>(F284+H284-(D284+T284))*radconv</f>
        <v/>
      </c>
      <c r="AH284">
        <f>SUM((U285&lt;0)*(U284&gt;0))*A284</f>
        <v/>
      </c>
      <c r="AI284">
        <f>IF(AH284&gt;0,W284,0)</f>
        <v/>
      </c>
    </row>
    <row r="285">
      <c r="A285" s="335" t="n">
        <v>18621</v>
      </c>
      <c r="B285" s="352">
        <f>A285/1000</f>
        <v/>
      </c>
      <c r="C285" s="1047">
        <f>SQRT(1+(A285/pole1)^2)</f>
        <v/>
      </c>
      <c r="D285" s="1048">
        <f>ATAN(A285/pole1)</f>
        <v/>
      </c>
      <c r="E285" s="1048">
        <f>SQRT(1+(A285/Zero1)^2)</f>
        <v/>
      </c>
      <c r="F285" s="1049">
        <f>ATAN(A285/Zero1)</f>
        <v/>
      </c>
      <c r="G285" s="1048">
        <f>IF(VIN_nom&gt;Vout, 1, SQRT(1+(A285/z_RHP)^2))</f>
        <v/>
      </c>
      <c r="H285" s="1049">
        <f>IF(VIN_nom&gt;Vout, 0, -ATAN(A285/z_RHP))</f>
        <v/>
      </c>
      <c r="I285" s="1047">
        <f>SQRT(1+(A285/Pole2)^2)</f>
        <v/>
      </c>
      <c r="J285" s="1050">
        <f>ATAN(A285/Pole2)</f>
        <v/>
      </c>
      <c r="K285" s="1056">
        <f>SQRT(1+(A285/Zero2)^2)</f>
        <v/>
      </c>
      <c r="L285" s="1057">
        <f>ATAN(A285/Zero2)</f>
        <v/>
      </c>
      <c r="M285" s="1047">
        <f>SQRT(1+(A285/pole4)^2)</f>
        <v/>
      </c>
      <c r="N285" s="1057">
        <f>ATAN(A285/pole4)</f>
        <v/>
      </c>
      <c r="O285" s="1058">
        <f>IF(VOUT_setting=1,1,SQRT(1+(A285*zterm1)^2))</f>
        <v/>
      </c>
      <c r="P285" s="1059">
        <f>IF(VOUT_setting=1,0,ATAN(((A285*zterm1))))</f>
        <v/>
      </c>
      <c r="Q285" s="1056">
        <f>IF(VOUT_setting=1,1,SQRT((1+Afbr-$Q$5*(A285)^2)^2+(A285*$Q$4)^2))</f>
        <v/>
      </c>
      <c r="R285" s="1060">
        <f>IF(VOUT_setting=1,0,ATAN(A285*$Q$4/(1+Afbr-$Q$5*(A285)^2)))</f>
        <v/>
      </c>
      <c r="S285" s="1054">
        <f>SQRT((1-(Z285/pterm2))^2+(A285/pterm1)^2)</f>
        <v/>
      </c>
      <c r="T285" s="1055">
        <f>IF((ATAN((A285/pterm1)/(1-A285^2/pterm2))&gt;0),ATAN((A285/pterm1)/(1-A285^2/pterm2)),PI()+ATAN((A285/pterm1)/(1-A285^2/pterm2)))</f>
        <v/>
      </c>
      <c r="U285" s="331">
        <f>20*LOG10(((E285*K285*G285*O285)/(C285*I285*S285*M285*Q285))*Adc)</f>
        <v/>
      </c>
      <c r="V285" s="332">
        <f>((F285+L285+H285+P285)-(D285+J285+T285+N285+R285))*radconv</f>
        <v/>
      </c>
      <c r="W285" s="334">
        <f>IF(V285&gt;0,V285,V285+180)</f>
        <v/>
      </c>
      <c r="Y285" s="307">
        <f>IF(U285&lt;0,A285,1000000000)</f>
        <v/>
      </c>
      <c r="Z285" s="307">
        <f>A285^2</f>
        <v/>
      </c>
      <c r="AB285" s="333">
        <f>20*LOG10((K285/(I285*M285))*AEA)</f>
        <v/>
      </c>
      <c r="AC285" s="334">
        <f>(L285-(J285+N285))*radconv</f>
        <v/>
      </c>
      <c r="AE285" s="333">
        <f>20*LOG10((E285*G285/(C285*S285))*Acs*Am)</f>
        <v/>
      </c>
      <c r="AF285" s="334">
        <f>(F285+H285-(D285+T285))*radconv</f>
        <v/>
      </c>
      <c r="AH285">
        <f>SUM((U286&lt;0)*(U285&gt;0))*A285</f>
        <v/>
      </c>
      <c r="AI285">
        <f>IF(AH285&gt;0,W285,0)</f>
        <v/>
      </c>
    </row>
    <row r="286">
      <c r="A286" s="335" t="n">
        <v>18729.5</v>
      </c>
      <c r="B286" s="352">
        <f>A286/1000</f>
        <v/>
      </c>
      <c r="C286" s="1047">
        <f>SQRT(1+(A286/pole1)^2)</f>
        <v/>
      </c>
      <c r="D286" s="1048">
        <f>ATAN(A286/pole1)</f>
        <v/>
      </c>
      <c r="E286" s="1048">
        <f>SQRT(1+(A286/Zero1)^2)</f>
        <v/>
      </c>
      <c r="F286" s="1049">
        <f>ATAN(A286/Zero1)</f>
        <v/>
      </c>
      <c r="G286" s="1048">
        <f>IF(VIN_nom&gt;Vout, 1, SQRT(1+(A286/z_RHP)^2))</f>
        <v/>
      </c>
      <c r="H286" s="1049">
        <f>IF(VIN_nom&gt;Vout, 0, -ATAN(A286/z_RHP))</f>
        <v/>
      </c>
      <c r="I286" s="1047">
        <f>SQRT(1+(A286/Pole2)^2)</f>
        <v/>
      </c>
      <c r="J286" s="1050">
        <f>ATAN(A286/Pole2)</f>
        <v/>
      </c>
      <c r="K286" s="1056">
        <f>SQRT(1+(A286/Zero2)^2)</f>
        <v/>
      </c>
      <c r="L286" s="1057">
        <f>ATAN(A286/Zero2)</f>
        <v/>
      </c>
      <c r="M286" s="1047">
        <f>SQRT(1+(A286/pole4)^2)</f>
        <v/>
      </c>
      <c r="N286" s="1057">
        <f>ATAN(A286/pole4)</f>
        <v/>
      </c>
      <c r="O286" s="1058">
        <f>IF(VOUT_setting=1,1,SQRT(1+(A286*zterm1)^2))</f>
        <v/>
      </c>
      <c r="P286" s="1059">
        <f>IF(VOUT_setting=1,0,ATAN(((A286*zterm1))))</f>
        <v/>
      </c>
      <c r="Q286" s="1056">
        <f>IF(VOUT_setting=1,1,SQRT((1+Afbr-$Q$5*(A286)^2)^2+(A286*$Q$4)^2))</f>
        <v/>
      </c>
      <c r="R286" s="1060">
        <f>IF(VOUT_setting=1,0,ATAN(A286*$Q$4/(1+Afbr-$Q$5*(A286)^2)))</f>
        <v/>
      </c>
      <c r="S286" s="1054">
        <f>SQRT((1-(Z286/pterm2))^2+(A286/pterm1)^2)</f>
        <v/>
      </c>
      <c r="T286" s="1055">
        <f>IF((ATAN((A286/pterm1)/(1-A286^2/pterm2))&gt;0),ATAN((A286/pterm1)/(1-A286^2/pterm2)),PI()+ATAN((A286/pterm1)/(1-A286^2/pterm2)))</f>
        <v/>
      </c>
      <c r="U286" s="331">
        <f>20*LOG10(((E286*K286*G286*O286)/(C286*I286*S286*M286*Q286))*Adc)</f>
        <v/>
      </c>
      <c r="V286" s="332">
        <f>((F286+L286+H286+P286)-(D286+J286+T286+N286+R286))*radconv</f>
        <v/>
      </c>
      <c r="W286" s="334">
        <f>IF(V286&gt;0,V286,V286+180)</f>
        <v/>
      </c>
      <c r="Y286" s="307">
        <f>IF(U286&lt;0,A286,1000000000)</f>
        <v/>
      </c>
      <c r="Z286" s="307">
        <f>A286^2</f>
        <v/>
      </c>
      <c r="AB286" s="333">
        <f>20*LOG10((K286/(I286*M286))*AEA)</f>
        <v/>
      </c>
      <c r="AC286" s="334">
        <f>(L286-(J286+N286))*radconv</f>
        <v/>
      </c>
      <c r="AE286" s="333">
        <f>20*LOG10((E286*G286/(C286*S286))*Acs*Am)</f>
        <v/>
      </c>
      <c r="AF286" s="334">
        <f>(F286+H286-(D286+T286))*radconv</f>
        <v/>
      </c>
      <c r="AH286">
        <f>SUM((U287&lt;0)*(U286&gt;0))*A286</f>
        <v/>
      </c>
      <c r="AI286">
        <f>IF(AH286&gt;0,W286,0)</f>
        <v/>
      </c>
    </row>
    <row r="287">
      <c r="A287" s="335" t="n">
        <v>18838</v>
      </c>
      <c r="B287" s="352">
        <f>A287/1000</f>
        <v/>
      </c>
      <c r="C287" s="1047">
        <f>SQRT(1+(A287/pole1)^2)</f>
        <v/>
      </c>
      <c r="D287" s="1048">
        <f>ATAN(A287/pole1)</f>
        <v/>
      </c>
      <c r="E287" s="1048">
        <f>SQRT(1+(A287/Zero1)^2)</f>
        <v/>
      </c>
      <c r="F287" s="1049">
        <f>ATAN(A287/Zero1)</f>
        <v/>
      </c>
      <c r="G287" s="1048">
        <f>IF(VIN_nom&gt;Vout, 1, SQRT(1+(A287/z_RHP)^2))</f>
        <v/>
      </c>
      <c r="H287" s="1049">
        <f>IF(VIN_nom&gt;Vout, 0, -ATAN(A287/z_RHP))</f>
        <v/>
      </c>
      <c r="I287" s="1047">
        <f>SQRT(1+(A287/Pole2)^2)</f>
        <v/>
      </c>
      <c r="J287" s="1050">
        <f>ATAN(A287/Pole2)</f>
        <v/>
      </c>
      <c r="K287" s="1056">
        <f>SQRT(1+(A287/Zero2)^2)</f>
        <v/>
      </c>
      <c r="L287" s="1057">
        <f>ATAN(A287/Zero2)</f>
        <v/>
      </c>
      <c r="M287" s="1047">
        <f>SQRT(1+(A287/pole4)^2)</f>
        <v/>
      </c>
      <c r="N287" s="1057">
        <f>ATAN(A287/pole4)</f>
        <v/>
      </c>
      <c r="O287" s="1058">
        <f>IF(VOUT_setting=1,1,SQRT(1+(A287*zterm1)^2))</f>
        <v/>
      </c>
      <c r="P287" s="1059">
        <f>IF(VOUT_setting=1,0,ATAN(((A287*zterm1))))</f>
        <v/>
      </c>
      <c r="Q287" s="1056">
        <f>IF(VOUT_setting=1,1,SQRT((1+Afbr-$Q$5*(A287)^2)^2+(A287*$Q$4)^2))</f>
        <v/>
      </c>
      <c r="R287" s="1060">
        <f>IF(VOUT_setting=1,0,ATAN(A287*$Q$4/(1+Afbr-$Q$5*(A287)^2)))</f>
        <v/>
      </c>
      <c r="S287" s="1054">
        <f>SQRT((1-(Z287/pterm2))^2+(A287/pterm1)^2)</f>
        <v/>
      </c>
      <c r="T287" s="1055">
        <f>IF((ATAN((A287/pterm1)/(1-A287^2/pterm2))&gt;0),ATAN((A287/pterm1)/(1-A287^2/pterm2)),PI()+ATAN((A287/pterm1)/(1-A287^2/pterm2)))</f>
        <v/>
      </c>
      <c r="U287" s="331">
        <f>20*LOG10(((E287*K287*G287*O287)/(C287*I287*S287*M287*Q287))*Adc)</f>
        <v/>
      </c>
      <c r="V287" s="332">
        <f>((F287+L287+H287+P287)-(D287+J287+T287+N287+R287))*radconv</f>
        <v/>
      </c>
      <c r="W287" s="334">
        <f>IF(V287&gt;0,V287,V287+180)</f>
        <v/>
      </c>
      <c r="Y287" s="307">
        <f>IF(U287&lt;0,A287,1000000000)</f>
        <v/>
      </c>
      <c r="Z287" s="307">
        <f>A287^2</f>
        <v/>
      </c>
      <c r="AB287" s="333">
        <f>20*LOG10((K287/(I287*M287))*AEA)</f>
        <v/>
      </c>
      <c r="AC287" s="334">
        <f>(L287-(J287+N287))*radconv</f>
        <v/>
      </c>
      <c r="AE287" s="333">
        <f>20*LOG10((E287*G287/(C287*S287))*Acs*Am)</f>
        <v/>
      </c>
      <c r="AF287" s="334">
        <f>(F287+H287-(D287+T287))*radconv</f>
        <v/>
      </c>
      <c r="AH287">
        <f>SUM((U288&lt;0)*(U287&gt;0))*A287</f>
        <v/>
      </c>
      <c r="AI287">
        <f>IF(AH287&gt;0,W287,0)</f>
        <v/>
      </c>
    </row>
    <row r="288">
      <c r="A288" s="335" t="n">
        <v>18946.5</v>
      </c>
      <c r="B288" s="352">
        <f>A288/1000</f>
        <v/>
      </c>
      <c r="C288" s="1047">
        <f>SQRT(1+(A288/pole1)^2)</f>
        <v/>
      </c>
      <c r="D288" s="1048">
        <f>ATAN(A288/pole1)</f>
        <v/>
      </c>
      <c r="E288" s="1048">
        <f>SQRT(1+(A288/Zero1)^2)</f>
        <v/>
      </c>
      <c r="F288" s="1049">
        <f>ATAN(A288/Zero1)</f>
        <v/>
      </c>
      <c r="G288" s="1048">
        <f>IF(VIN_nom&gt;Vout, 1, SQRT(1+(A288/z_RHP)^2))</f>
        <v/>
      </c>
      <c r="H288" s="1049">
        <f>IF(VIN_nom&gt;Vout, 0, -ATAN(A288/z_RHP))</f>
        <v/>
      </c>
      <c r="I288" s="1047">
        <f>SQRT(1+(A288/Pole2)^2)</f>
        <v/>
      </c>
      <c r="J288" s="1050">
        <f>ATAN(A288/Pole2)</f>
        <v/>
      </c>
      <c r="K288" s="1056">
        <f>SQRT(1+(A288/Zero2)^2)</f>
        <v/>
      </c>
      <c r="L288" s="1057">
        <f>ATAN(A288/Zero2)</f>
        <v/>
      </c>
      <c r="M288" s="1047">
        <f>SQRT(1+(A288/pole4)^2)</f>
        <v/>
      </c>
      <c r="N288" s="1057">
        <f>ATAN(A288/pole4)</f>
        <v/>
      </c>
      <c r="O288" s="1058">
        <f>IF(VOUT_setting=1,1,SQRT(1+(A288*zterm1)^2))</f>
        <v/>
      </c>
      <c r="P288" s="1059">
        <f>IF(VOUT_setting=1,0,ATAN(((A288*zterm1))))</f>
        <v/>
      </c>
      <c r="Q288" s="1056">
        <f>IF(VOUT_setting=1,1,SQRT((1+Afbr-$Q$5*(A288)^2)^2+(A288*$Q$4)^2))</f>
        <v/>
      </c>
      <c r="R288" s="1060">
        <f>IF(VOUT_setting=1,0,ATAN(A288*$Q$4/(1+Afbr-$Q$5*(A288)^2)))</f>
        <v/>
      </c>
      <c r="S288" s="1054">
        <f>SQRT((1-(Z288/pterm2))^2+(A288/pterm1)^2)</f>
        <v/>
      </c>
      <c r="T288" s="1055">
        <f>IF((ATAN((A288/pterm1)/(1-A288^2/pterm2))&gt;0),ATAN((A288/pterm1)/(1-A288^2/pterm2)),PI()+ATAN((A288/pterm1)/(1-A288^2/pterm2)))</f>
        <v/>
      </c>
      <c r="U288" s="331">
        <f>20*LOG10(((E288*K288*G288*O288)/(C288*I288*S288*M288*Q288))*Adc)</f>
        <v/>
      </c>
      <c r="V288" s="332">
        <f>((F288+L288+H288+P288)-(D288+J288+T288+N288+R288))*radconv</f>
        <v/>
      </c>
      <c r="W288" s="334">
        <f>IF(V288&gt;0,V288,V288+180)</f>
        <v/>
      </c>
      <c r="Y288" s="307">
        <f>IF(U288&lt;0,A288,1000000000)</f>
        <v/>
      </c>
      <c r="Z288" s="307">
        <f>A288^2</f>
        <v/>
      </c>
      <c r="AB288" s="333">
        <f>20*LOG10((K288/(I288*M288))*AEA)</f>
        <v/>
      </c>
      <c r="AC288" s="334">
        <f>(L288-(J288+N288))*radconv</f>
        <v/>
      </c>
      <c r="AE288" s="333">
        <f>20*LOG10((E288*G288/(C288*S288))*Acs*Am)</f>
        <v/>
      </c>
      <c r="AF288" s="334">
        <f>(F288+H288-(D288+T288))*radconv</f>
        <v/>
      </c>
      <c r="AH288">
        <f>SUM((U289&lt;0)*(U288&gt;0))*A288</f>
        <v/>
      </c>
      <c r="AI288">
        <f>IF(AH288&gt;0,W288,0)</f>
        <v/>
      </c>
    </row>
    <row r="289">
      <c r="A289" s="335" t="n">
        <v>19055</v>
      </c>
      <c r="B289" s="352">
        <f>A289/1000</f>
        <v/>
      </c>
      <c r="C289" s="1047">
        <f>SQRT(1+(A289/pole1)^2)</f>
        <v/>
      </c>
      <c r="D289" s="1048">
        <f>ATAN(A289/pole1)</f>
        <v/>
      </c>
      <c r="E289" s="1048">
        <f>SQRT(1+(A289/Zero1)^2)</f>
        <v/>
      </c>
      <c r="F289" s="1049">
        <f>ATAN(A289/Zero1)</f>
        <v/>
      </c>
      <c r="G289" s="1048">
        <f>IF(VIN_nom&gt;Vout, 1, SQRT(1+(A289/z_RHP)^2))</f>
        <v/>
      </c>
      <c r="H289" s="1049">
        <f>IF(VIN_nom&gt;Vout, 0, -ATAN(A289/z_RHP))</f>
        <v/>
      </c>
      <c r="I289" s="1047">
        <f>SQRT(1+(A289/Pole2)^2)</f>
        <v/>
      </c>
      <c r="J289" s="1050">
        <f>ATAN(A289/Pole2)</f>
        <v/>
      </c>
      <c r="K289" s="1056">
        <f>SQRT(1+(A289/Zero2)^2)</f>
        <v/>
      </c>
      <c r="L289" s="1057">
        <f>ATAN(A289/Zero2)</f>
        <v/>
      </c>
      <c r="M289" s="1047">
        <f>SQRT(1+(A289/pole4)^2)</f>
        <v/>
      </c>
      <c r="N289" s="1057">
        <f>ATAN(A289/pole4)</f>
        <v/>
      </c>
      <c r="O289" s="1058">
        <f>IF(VOUT_setting=1,1,SQRT(1+(A289*zterm1)^2))</f>
        <v/>
      </c>
      <c r="P289" s="1059">
        <f>IF(VOUT_setting=1,0,ATAN(((A289*zterm1))))</f>
        <v/>
      </c>
      <c r="Q289" s="1056">
        <f>IF(VOUT_setting=1,1,SQRT((1+Afbr-$Q$5*(A289)^2)^2+(A289*$Q$4)^2))</f>
        <v/>
      </c>
      <c r="R289" s="1060">
        <f>IF(VOUT_setting=1,0,ATAN(A289*$Q$4/(1+Afbr-$Q$5*(A289)^2)))</f>
        <v/>
      </c>
      <c r="S289" s="1054">
        <f>SQRT((1-(Z289/pterm2))^2+(A289/pterm1)^2)</f>
        <v/>
      </c>
      <c r="T289" s="1055">
        <f>IF((ATAN((A289/pterm1)/(1-A289^2/pterm2))&gt;0),ATAN((A289/pterm1)/(1-A289^2/pterm2)),PI()+ATAN((A289/pterm1)/(1-A289^2/pterm2)))</f>
        <v/>
      </c>
      <c r="U289" s="331">
        <f>20*LOG10(((E289*K289*G289*O289)/(C289*I289*S289*M289*Q289))*Adc)</f>
        <v/>
      </c>
      <c r="V289" s="332">
        <f>((F289+L289+H289+P289)-(D289+J289+T289+N289+R289))*radconv</f>
        <v/>
      </c>
      <c r="W289" s="334">
        <f>IF(V289&gt;0,V289,V289+180)</f>
        <v/>
      </c>
      <c r="Y289" s="307">
        <f>IF(U289&lt;0,A289,1000000000)</f>
        <v/>
      </c>
      <c r="Z289" s="307">
        <f>A289^2</f>
        <v/>
      </c>
      <c r="AB289" s="333">
        <f>20*LOG10((K289/(I289*M289))*AEA)</f>
        <v/>
      </c>
      <c r="AC289" s="334">
        <f>(L289-(J289+N289))*radconv</f>
        <v/>
      </c>
      <c r="AE289" s="333">
        <f>20*LOG10((E289*G289/(C289*S289))*Acs*Am)</f>
        <v/>
      </c>
      <c r="AF289" s="334">
        <f>(F289+H289-(D289+T289))*radconv</f>
        <v/>
      </c>
      <c r="AH289">
        <f>SUM((U290&lt;0)*(U289&gt;0))*A289</f>
        <v/>
      </c>
      <c r="AI289">
        <f>IF(AH289&gt;0,W289,0)</f>
        <v/>
      </c>
    </row>
    <row r="290">
      <c r="A290" s="335" t="n">
        <v>19165.75</v>
      </c>
      <c r="B290" s="352">
        <f>A290/1000</f>
        <v/>
      </c>
      <c r="C290" s="1047">
        <f>SQRT(1+(A290/pole1)^2)</f>
        <v/>
      </c>
      <c r="D290" s="1048">
        <f>ATAN(A290/pole1)</f>
        <v/>
      </c>
      <c r="E290" s="1048">
        <f>SQRT(1+(A290/Zero1)^2)</f>
        <v/>
      </c>
      <c r="F290" s="1049">
        <f>ATAN(A290/Zero1)</f>
        <v/>
      </c>
      <c r="G290" s="1048">
        <f>IF(VIN_nom&gt;Vout, 1, SQRT(1+(A290/z_RHP)^2))</f>
        <v/>
      </c>
      <c r="H290" s="1049">
        <f>IF(VIN_nom&gt;Vout, 0, -ATAN(A290/z_RHP))</f>
        <v/>
      </c>
      <c r="I290" s="1047">
        <f>SQRT(1+(A290/Pole2)^2)</f>
        <v/>
      </c>
      <c r="J290" s="1050">
        <f>ATAN(A290/Pole2)</f>
        <v/>
      </c>
      <c r="K290" s="1056">
        <f>SQRT(1+(A290/Zero2)^2)</f>
        <v/>
      </c>
      <c r="L290" s="1057">
        <f>ATAN(A290/Zero2)</f>
        <v/>
      </c>
      <c r="M290" s="1047">
        <f>SQRT(1+(A290/pole4)^2)</f>
        <v/>
      </c>
      <c r="N290" s="1057">
        <f>ATAN(A290/pole4)</f>
        <v/>
      </c>
      <c r="O290" s="1058">
        <f>IF(VOUT_setting=1,1,SQRT(1+(A290*zterm1)^2))</f>
        <v/>
      </c>
      <c r="P290" s="1059">
        <f>IF(VOUT_setting=1,0,ATAN(((A290*zterm1))))</f>
        <v/>
      </c>
      <c r="Q290" s="1056">
        <f>IF(VOUT_setting=1,1,SQRT((1+Afbr-$Q$5*(A290)^2)^2+(A290*$Q$4)^2))</f>
        <v/>
      </c>
      <c r="R290" s="1060">
        <f>IF(VOUT_setting=1,0,ATAN(A290*$Q$4/(1+Afbr-$Q$5*(A290)^2)))</f>
        <v/>
      </c>
      <c r="S290" s="1054">
        <f>SQRT((1-(Z290/pterm2))^2+(A290/pterm1)^2)</f>
        <v/>
      </c>
      <c r="T290" s="1055">
        <f>IF((ATAN((A290/pterm1)/(1-A290^2/pterm2))&gt;0),ATAN((A290/pterm1)/(1-A290^2/pterm2)),PI()+ATAN((A290/pterm1)/(1-A290^2/pterm2)))</f>
        <v/>
      </c>
      <c r="U290" s="331">
        <f>20*LOG10(((E290*K290*G290*O290)/(C290*I290*S290*M290*Q290))*Adc)</f>
        <v/>
      </c>
      <c r="V290" s="332">
        <f>((F290+L290+H290+P290)-(D290+J290+T290+N290+R290))*radconv</f>
        <v/>
      </c>
      <c r="W290" s="334">
        <f>IF(V290&gt;0,V290,V290+180)</f>
        <v/>
      </c>
      <c r="Y290" s="307">
        <f>IF(U290&lt;0,A290,1000000000)</f>
        <v/>
      </c>
      <c r="Z290" s="307">
        <f>A290^2</f>
        <v/>
      </c>
      <c r="AB290" s="333">
        <f>20*LOG10((K290/(I290*M290))*AEA)</f>
        <v/>
      </c>
      <c r="AC290" s="334">
        <f>(L290-(J290+N290))*radconv</f>
        <v/>
      </c>
      <c r="AE290" s="333">
        <f>20*LOG10((E290*G290/(C290*S290))*Acs*Am)</f>
        <v/>
      </c>
      <c r="AF290" s="334">
        <f>(F290+H290-(D290+T290))*radconv</f>
        <v/>
      </c>
      <c r="AH290">
        <f>SUM((U291&lt;0)*(U290&gt;0))*A290</f>
        <v/>
      </c>
      <c r="AI290">
        <f>IF(AH290&gt;0,W290,0)</f>
        <v/>
      </c>
    </row>
    <row r="291">
      <c r="A291" s="335" t="n">
        <v>19276.5</v>
      </c>
      <c r="B291" s="352">
        <f>A291/1000</f>
        <v/>
      </c>
      <c r="C291" s="1047">
        <f>SQRT(1+(A291/pole1)^2)</f>
        <v/>
      </c>
      <c r="D291" s="1048">
        <f>ATAN(A291/pole1)</f>
        <v/>
      </c>
      <c r="E291" s="1048">
        <f>SQRT(1+(A291/Zero1)^2)</f>
        <v/>
      </c>
      <c r="F291" s="1049">
        <f>ATAN(A291/Zero1)</f>
        <v/>
      </c>
      <c r="G291" s="1048">
        <f>IF(VIN_nom&gt;Vout, 1, SQRT(1+(A291/z_RHP)^2))</f>
        <v/>
      </c>
      <c r="H291" s="1049">
        <f>IF(VIN_nom&gt;Vout, 0, -ATAN(A291/z_RHP))</f>
        <v/>
      </c>
      <c r="I291" s="1047">
        <f>SQRT(1+(A291/Pole2)^2)</f>
        <v/>
      </c>
      <c r="J291" s="1050">
        <f>ATAN(A291/Pole2)</f>
        <v/>
      </c>
      <c r="K291" s="1056">
        <f>SQRT(1+(A291/Zero2)^2)</f>
        <v/>
      </c>
      <c r="L291" s="1057">
        <f>ATAN(A291/Zero2)</f>
        <v/>
      </c>
      <c r="M291" s="1047">
        <f>SQRT(1+(A291/pole4)^2)</f>
        <v/>
      </c>
      <c r="N291" s="1057">
        <f>ATAN(A291/pole4)</f>
        <v/>
      </c>
      <c r="O291" s="1058">
        <f>IF(VOUT_setting=1,1,SQRT(1+(A291*zterm1)^2))</f>
        <v/>
      </c>
      <c r="P291" s="1059">
        <f>IF(VOUT_setting=1,0,ATAN(((A291*zterm1))))</f>
        <v/>
      </c>
      <c r="Q291" s="1056">
        <f>IF(VOUT_setting=1,1,SQRT((1+Afbr-$Q$5*(A291)^2)^2+(A291*$Q$4)^2))</f>
        <v/>
      </c>
      <c r="R291" s="1060">
        <f>IF(VOUT_setting=1,0,ATAN(A291*$Q$4/(1+Afbr-$Q$5*(A291)^2)))</f>
        <v/>
      </c>
      <c r="S291" s="1054">
        <f>SQRT((1-(Z291/pterm2))^2+(A291/pterm1)^2)</f>
        <v/>
      </c>
      <c r="T291" s="1055">
        <f>IF((ATAN((A291/pterm1)/(1-A291^2/pterm2))&gt;0),ATAN((A291/pterm1)/(1-A291^2/pterm2)),PI()+ATAN((A291/pterm1)/(1-A291^2/pterm2)))</f>
        <v/>
      </c>
      <c r="U291" s="331">
        <f>20*LOG10(((E291*K291*G291*O291)/(C291*I291*S291*M291*Q291))*Adc)</f>
        <v/>
      </c>
      <c r="V291" s="332">
        <f>((F291+L291+H291+P291)-(D291+J291+T291+N291+R291))*radconv</f>
        <v/>
      </c>
      <c r="W291" s="334">
        <f>IF(V291&gt;0,V291,V291+180)</f>
        <v/>
      </c>
      <c r="Y291" s="307">
        <f>IF(U291&lt;0,A291,1000000000)</f>
        <v/>
      </c>
      <c r="Z291" s="307">
        <f>A291^2</f>
        <v/>
      </c>
      <c r="AB291" s="333">
        <f>20*LOG10((K291/(I291*M291))*AEA)</f>
        <v/>
      </c>
      <c r="AC291" s="334">
        <f>(L291-(J291+N291))*radconv</f>
        <v/>
      </c>
      <c r="AE291" s="333">
        <f>20*LOG10((E291*G291/(C291*S291))*Acs*Am)</f>
        <v/>
      </c>
      <c r="AF291" s="334">
        <f>(F291+H291-(D291+T291))*radconv</f>
        <v/>
      </c>
      <c r="AH291">
        <f>SUM((U292&lt;0)*(U291&gt;0))*A291</f>
        <v/>
      </c>
      <c r="AI291">
        <f>IF(AH291&gt;0,W291,0)</f>
        <v/>
      </c>
    </row>
    <row r="292">
      <c r="A292" s="335" t="n">
        <v>19387.25</v>
      </c>
      <c r="B292" s="352">
        <f>A292/1000</f>
        <v/>
      </c>
      <c r="C292" s="1047">
        <f>SQRT(1+(A292/pole1)^2)</f>
        <v/>
      </c>
      <c r="D292" s="1048">
        <f>ATAN(A292/pole1)</f>
        <v/>
      </c>
      <c r="E292" s="1048">
        <f>SQRT(1+(A292/Zero1)^2)</f>
        <v/>
      </c>
      <c r="F292" s="1049">
        <f>ATAN(A292/Zero1)</f>
        <v/>
      </c>
      <c r="G292" s="1048">
        <f>IF(VIN_nom&gt;Vout, 1, SQRT(1+(A292/z_RHP)^2))</f>
        <v/>
      </c>
      <c r="H292" s="1049">
        <f>IF(VIN_nom&gt;Vout, 0, -ATAN(A292/z_RHP))</f>
        <v/>
      </c>
      <c r="I292" s="1047">
        <f>SQRT(1+(A292/Pole2)^2)</f>
        <v/>
      </c>
      <c r="J292" s="1050">
        <f>ATAN(A292/Pole2)</f>
        <v/>
      </c>
      <c r="K292" s="1056">
        <f>SQRT(1+(A292/Zero2)^2)</f>
        <v/>
      </c>
      <c r="L292" s="1057">
        <f>ATAN(A292/Zero2)</f>
        <v/>
      </c>
      <c r="M292" s="1047">
        <f>SQRT(1+(A292/pole4)^2)</f>
        <v/>
      </c>
      <c r="N292" s="1057">
        <f>ATAN(A292/pole4)</f>
        <v/>
      </c>
      <c r="O292" s="1058">
        <f>IF(VOUT_setting=1,1,SQRT(1+(A292*zterm1)^2))</f>
        <v/>
      </c>
      <c r="P292" s="1059">
        <f>IF(VOUT_setting=1,0,ATAN(((A292*zterm1))))</f>
        <v/>
      </c>
      <c r="Q292" s="1056">
        <f>IF(VOUT_setting=1,1,SQRT((1+Afbr-$Q$5*(A292)^2)^2+(A292*$Q$4)^2))</f>
        <v/>
      </c>
      <c r="R292" s="1060">
        <f>IF(VOUT_setting=1,0,ATAN(A292*$Q$4/(1+Afbr-$Q$5*(A292)^2)))</f>
        <v/>
      </c>
      <c r="S292" s="1054">
        <f>SQRT((1-(Z292/pterm2))^2+(A292/pterm1)^2)</f>
        <v/>
      </c>
      <c r="T292" s="1055">
        <f>IF((ATAN((A292/pterm1)/(1-A292^2/pterm2))&gt;0),ATAN((A292/pterm1)/(1-A292^2/pterm2)),PI()+ATAN((A292/pterm1)/(1-A292^2/pterm2)))</f>
        <v/>
      </c>
      <c r="U292" s="331">
        <f>20*LOG10(((E292*K292*G292*O292)/(C292*I292*S292*M292*Q292))*Adc)</f>
        <v/>
      </c>
      <c r="V292" s="332">
        <f>((F292+L292+H292+P292)-(D292+J292+T292+N292+R292))*radconv</f>
        <v/>
      </c>
      <c r="W292" s="334">
        <f>IF(V292&gt;0,V292,V292+180)</f>
        <v/>
      </c>
      <c r="Y292" s="307">
        <f>IF(U292&lt;0,A292,1000000000)</f>
        <v/>
      </c>
      <c r="Z292" s="307">
        <f>A292^2</f>
        <v/>
      </c>
      <c r="AB292" s="333">
        <f>20*LOG10((K292/(I292*M292))*AEA)</f>
        <v/>
      </c>
      <c r="AC292" s="334">
        <f>(L292-(J292+N292))*radconv</f>
        <v/>
      </c>
      <c r="AE292" s="333">
        <f>20*LOG10((E292*G292/(C292*S292))*Acs*Am)</f>
        <v/>
      </c>
      <c r="AF292" s="334">
        <f>(F292+H292-(D292+T292))*radconv</f>
        <v/>
      </c>
      <c r="AH292">
        <f>SUM((U293&lt;0)*(U292&gt;0))*A292</f>
        <v/>
      </c>
      <c r="AI292">
        <f>IF(AH292&gt;0,W292,0)</f>
        <v/>
      </c>
    </row>
    <row r="293">
      <c r="A293" s="335" t="n">
        <v>19498</v>
      </c>
      <c r="B293" s="352">
        <f>A293/1000</f>
        <v/>
      </c>
      <c r="C293" s="1047">
        <f>SQRT(1+(A293/pole1)^2)</f>
        <v/>
      </c>
      <c r="D293" s="1048">
        <f>ATAN(A293/pole1)</f>
        <v/>
      </c>
      <c r="E293" s="1048">
        <f>SQRT(1+(A293/Zero1)^2)</f>
        <v/>
      </c>
      <c r="F293" s="1049">
        <f>ATAN(A293/Zero1)</f>
        <v/>
      </c>
      <c r="G293" s="1048">
        <f>IF(VIN_nom&gt;Vout, 1, SQRT(1+(A293/z_RHP)^2))</f>
        <v/>
      </c>
      <c r="H293" s="1049">
        <f>IF(VIN_nom&gt;Vout, 0, -ATAN(A293/z_RHP))</f>
        <v/>
      </c>
      <c r="I293" s="1047">
        <f>SQRT(1+(A293/Pole2)^2)</f>
        <v/>
      </c>
      <c r="J293" s="1050">
        <f>ATAN(A293/Pole2)</f>
        <v/>
      </c>
      <c r="K293" s="1056">
        <f>SQRT(1+(A293/Zero2)^2)</f>
        <v/>
      </c>
      <c r="L293" s="1057">
        <f>ATAN(A293/Zero2)</f>
        <v/>
      </c>
      <c r="M293" s="1047">
        <f>SQRT(1+(A293/pole4)^2)</f>
        <v/>
      </c>
      <c r="N293" s="1057">
        <f>ATAN(A293/pole4)</f>
        <v/>
      </c>
      <c r="O293" s="1058">
        <f>IF(VOUT_setting=1,1,SQRT(1+(A293*zterm1)^2))</f>
        <v/>
      </c>
      <c r="P293" s="1059">
        <f>IF(VOUT_setting=1,0,ATAN(((A293*zterm1))))</f>
        <v/>
      </c>
      <c r="Q293" s="1056">
        <f>IF(VOUT_setting=1,1,SQRT((1+Afbr-$Q$5*(A293)^2)^2+(A293*$Q$4)^2))</f>
        <v/>
      </c>
      <c r="R293" s="1060">
        <f>IF(VOUT_setting=1,0,ATAN(A293*$Q$4/(1+Afbr-$Q$5*(A293)^2)))</f>
        <v/>
      </c>
      <c r="S293" s="1054">
        <f>SQRT((1-(Z293/pterm2))^2+(A293/pterm1)^2)</f>
        <v/>
      </c>
      <c r="T293" s="1055">
        <f>IF((ATAN((A293/pterm1)/(1-A293^2/pterm2))&gt;0),ATAN((A293/pterm1)/(1-A293^2/pterm2)),PI()+ATAN((A293/pterm1)/(1-A293^2/pterm2)))</f>
        <v/>
      </c>
      <c r="U293" s="331">
        <f>20*LOG10(((E293*K293*G293*O293)/(C293*I293*S293*M293*Q293))*Adc)</f>
        <v/>
      </c>
      <c r="V293" s="332">
        <f>((F293+L293+H293+P293)-(D293+J293+T293+N293+R293))*radconv</f>
        <v/>
      </c>
      <c r="W293" s="334">
        <f>IF(V293&gt;0,V293,V293+180)</f>
        <v/>
      </c>
      <c r="Y293" s="307">
        <f>IF(U293&lt;0,A293,1000000000)</f>
        <v/>
      </c>
      <c r="Z293" s="307">
        <f>A293^2</f>
        <v/>
      </c>
      <c r="AB293" s="333">
        <f>20*LOG10((K293/(I293*M293))*AEA)</f>
        <v/>
      </c>
      <c r="AC293" s="334">
        <f>(L293-(J293+N293))*radconv</f>
        <v/>
      </c>
      <c r="AE293" s="333">
        <f>20*LOG10((E293*G293/(C293*S293))*Acs*Am)</f>
        <v/>
      </c>
      <c r="AF293" s="334">
        <f>(F293+H293-(D293+T293))*radconv</f>
        <v/>
      </c>
      <c r="AH293">
        <f>SUM((U294&lt;0)*(U293&gt;0))*A293</f>
        <v/>
      </c>
      <c r="AI293">
        <f>IF(AH293&gt;0,W293,0)</f>
        <v/>
      </c>
    </row>
    <row r="294">
      <c r="A294" s="335" t="n">
        <v>19611.75</v>
      </c>
      <c r="B294" s="352">
        <f>A294/1000</f>
        <v/>
      </c>
      <c r="C294" s="1047">
        <f>SQRT(1+(A294/pole1)^2)</f>
        <v/>
      </c>
      <c r="D294" s="1048">
        <f>ATAN(A294/pole1)</f>
        <v/>
      </c>
      <c r="E294" s="1048">
        <f>SQRT(1+(A294/Zero1)^2)</f>
        <v/>
      </c>
      <c r="F294" s="1049">
        <f>ATAN(A294/Zero1)</f>
        <v/>
      </c>
      <c r="G294" s="1048">
        <f>IF(VIN_nom&gt;Vout, 1, SQRT(1+(A294/z_RHP)^2))</f>
        <v/>
      </c>
      <c r="H294" s="1049">
        <f>IF(VIN_nom&gt;Vout, 0, -ATAN(A294/z_RHP))</f>
        <v/>
      </c>
      <c r="I294" s="1047">
        <f>SQRT(1+(A294/Pole2)^2)</f>
        <v/>
      </c>
      <c r="J294" s="1050">
        <f>ATAN(A294/Pole2)</f>
        <v/>
      </c>
      <c r="K294" s="1056">
        <f>SQRT(1+(A294/Zero2)^2)</f>
        <v/>
      </c>
      <c r="L294" s="1057">
        <f>ATAN(A294/Zero2)</f>
        <v/>
      </c>
      <c r="M294" s="1047">
        <f>SQRT(1+(A294/pole4)^2)</f>
        <v/>
      </c>
      <c r="N294" s="1057">
        <f>ATAN(A294/pole4)</f>
        <v/>
      </c>
      <c r="O294" s="1058">
        <f>IF(VOUT_setting=1,1,SQRT(1+(A294*zterm1)^2))</f>
        <v/>
      </c>
      <c r="P294" s="1059">
        <f>IF(VOUT_setting=1,0,ATAN(((A294*zterm1))))</f>
        <v/>
      </c>
      <c r="Q294" s="1056">
        <f>IF(VOUT_setting=1,1,SQRT((1+Afbr-$Q$5*(A294)^2)^2+(A294*$Q$4)^2))</f>
        <v/>
      </c>
      <c r="R294" s="1060">
        <f>IF(VOUT_setting=1,0,ATAN(A294*$Q$4/(1+Afbr-$Q$5*(A294)^2)))</f>
        <v/>
      </c>
      <c r="S294" s="1054">
        <f>SQRT((1-(Z294/pterm2))^2+(A294/pterm1)^2)</f>
        <v/>
      </c>
      <c r="T294" s="1055">
        <f>IF((ATAN((A294/pterm1)/(1-A294^2/pterm2))&gt;0),ATAN((A294/pterm1)/(1-A294^2/pterm2)),PI()+ATAN((A294/pterm1)/(1-A294^2/pterm2)))</f>
        <v/>
      </c>
      <c r="U294" s="331">
        <f>20*LOG10(((E294*K294*G294*O294)/(C294*I294*S294*M294*Q294))*Adc)</f>
        <v/>
      </c>
      <c r="V294" s="332">
        <f>((F294+L294+H294+P294)-(D294+J294+T294+N294+R294))*radconv</f>
        <v/>
      </c>
      <c r="W294" s="334">
        <f>IF(V294&gt;0,V294,V294+180)</f>
        <v/>
      </c>
      <c r="Y294" s="307">
        <f>IF(U294&lt;0,A294,1000000000)</f>
        <v/>
      </c>
      <c r="Z294" s="307">
        <f>A294^2</f>
        <v/>
      </c>
      <c r="AB294" s="333">
        <f>20*LOG10((K294/(I294*M294))*AEA)</f>
        <v/>
      </c>
      <c r="AC294" s="334">
        <f>(L294-(J294+N294))*radconv</f>
        <v/>
      </c>
      <c r="AE294" s="333">
        <f>20*LOG10((E294*G294/(C294*S294))*Acs*Am)</f>
        <v/>
      </c>
      <c r="AF294" s="334">
        <f>(F294+H294-(D294+T294))*radconv</f>
        <v/>
      </c>
      <c r="AH294">
        <f>SUM((U295&lt;0)*(U294&gt;0))*A294</f>
        <v/>
      </c>
      <c r="AI294">
        <f>IF(AH294&gt;0,W294,0)</f>
        <v/>
      </c>
    </row>
    <row r="295">
      <c r="A295" s="335" t="n">
        <v>19725.5</v>
      </c>
      <c r="B295" s="352">
        <f>A295/1000</f>
        <v/>
      </c>
      <c r="C295" s="1047">
        <f>SQRT(1+(A295/pole1)^2)</f>
        <v/>
      </c>
      <c r="D295" s="1048">
        <f>ATAN(A295/pole1)</f>
        <v/>
      </c>
      <c r="E295" s="1048">
        <f>SQRT(1+(A295/Zero1)^2)</f>
        <v/>
      </c>
      <c r="F295" s="1049">
        <f>ATAN(A295/Zero1)</f>
        <v/>
      </c>
      <c r="G295" s="1048">
        <f>IF(VIN_nom&gt;Vout, 1, SQRT(1+(A295/z_RHP)^2))</f>
        <v/>
      </c>
      <c r="H295" s="1049">
        <f>IF(VIN_nom&gt;Vout, 0, -ATAN(A295/z_RHP))</f>
        <v/>
      </c>
      <c r="I295" s="1047">
        <f>SQRT(1+(A295/Pole2)^2)</f>
        <v/>
      </c>
      <c r="J295" s="1050">
        <f>ATAN(A295/Pole2)</f>
        <v/>
      </c>
      <c r="K295" s="1056">
        <f>SQRT(1+(A295/Zero2)^2)</f>
        <v/>
      </c>
      <c r="L295" s="1057">
        <f>ATAN(A295/Zero2)</f>
        <v/>
      </c>
      <c r="M295" s="1047">
        <f>SQRT(1+(A295/pole4)^2)</f>
        <v/>
      </c>
      <c r="N295" s="1057">
        <f>ATAN(A295/pole4)</f>
        <v/>
      </c>
      <c r="O295" s="1058">
        <f>IF(VOUT_setting=1,1,SQRT(1+(A295*zterm1)^2))</f>
        <v/>
      </c>
      <c r="P295" s="1059">
        <f>IF(VOUT_setting=1,0,ATAN(((A295*zterm1))))</f>
        <v/>
      </c>
      <c r="Q295" s="1056">
        <f>IF(VOUT_setting=1,1,SQRT((1+Afbr-$Q$5*(A295)^2)^2+(A295*$Q$4)^2))</f>
        <v/>
      </c>
      <c r="R295" s="1060">
        <f>IF(VOUT_setting=1,0,ATAN(A295*$Q$4/(1+Afbr-$Q$5*(A295)^2)))</f>
        <v/>
      </c>
      <c r="S295" s="1054">
        <f>SQRT((1-(Z295/pterm2))^2+(A295/pterm1)^2)</f>
        <v/>
      </c>
      <c r="T295" s="1055">
        <f>IF((ATAN((A295/pterm1)/(1-A295^2/pterm2))&gt;0),ATAN((A295/pterm1)/(1-A295^2/pterm2)),PI()+ATAN((A295/pterm1)/(1-A295^2/pterm2)))</f>
        <v/>
      </c>
      <c r="U295" s="331">
        <f>20*LOG10(((E295*K295*G295*O295)/(C295*I295*S295*M295*Q295))*Adc)</f>
        <v/>
      </c>
      <c r="V295" s="332">
        <f>((F295+L295+H295+P295)-(D295+J295+T295+N295+R295))*radconv</f>
        <v/>
      </c>
      <c r="W295" s="334">
        <f>IF(V295&gt;0,V295,V295+180)</f>
        <v/>
      </c>
      <c r="Y295" s="307">
        <f>IF(U295&lt;0,A295,1000000000)</f>
        <v/>
      </c>
      <c r="Z295" s="307">
        <f>A295^2</f>
        <v/>
      </c>
      <c r="AB295" s="333">
        <f>20*LOG10((K295/(I295*M295))*AEA)</f>
        <v/>
      </c>
      <c r="AC295" s="334">
        <f>(L295-(J295+N295))*radconv</f>
        <v/>
      </c>
      <c r="AE295" s="333">
        <f>20*LOG10((E295*G295/(C295*S295))*Acs*Am)</f>
        <v/>
      </c>
      <c r="AF295" s="334">
        <f>(F295+H295-(D295+T295))*radconv</f>
        <v/>
      </c>
      <c r="AH295">
        <f>SUM((U296&lt;0)*(U295&gt;0))*A295</f>
        <v/>
      </c>
      <c r="AI295">
        <f>IF(AH295&gt;0,W295,0)</f>
        <v/>
      </c>
    </row>
    <row r="296">
      <c r="A296" s="335" t="n">
        <v>19839.25</v>
      </c>
      <c r="B296" s="352">
        <f>A296/1000</f>
        <v/>
      </c>
      <c r="C296" s="1047">
        <f>SQRT(1+(A296/pole1)^2)</f>
        <v/>
      </c>
      <c r="D296" s="1048">
        <f>ATAN(A296/pole1)</f>
        <v/>
      </c>
      <c r="E296" s="1048">
        <f>SQRT(1+(A296/Zero1)^2)</f>
        <v/>
      </c>
      <c r="F296" s="1049">
        <f>ATAN(A296/Zero1)</f>
        <v/>
      </c>
      <c r="G296" s="1048">
        <f>IF(VIN_nom&gt;Vout, 1, SQRT(1+(A296/z_RHP)^2))</f>
        <v/>
      </c>
      <c r="H296" s="1049">
        <f>IF(VIN_nom&gt;Vout, 0, -ATAN(A296/z_RHP))</f>
        <v/>
      </c>
      <c r="I296" s="1047">
        <f>SQRT(1+(A296/Pole2)^2)</f>
        <v/>
      </c>
      <c r="J296" s="1050">
        <f>ATAN(A296/Pole2)</f>
        <v/>
      </c>
      <c r="K296" s="1056">
        <f>SQRT(1+(A296/Zero2)^2)</f>
        <v/>
      </c>
      <c r="L296" s="1057">
        <f>ATAN(A296/Zero2)</f>
        <v/>
      </c>
      <c r="M296" s="1047">
        <f>SQRT(1+(A296/pole4)^2)</f>
        <v/>
      </c>
      <c r="N296" s="1057">
        <f>ATAN(A296/pole4)</f>
        <v/>
      </c>
      <c r="O296" s="1058">
        <f>IF(VOUT_setting=1,1,SQRT(1+(A296*zterm1)^2))</f>
        <v/>
      </c>
      <c r="P296" s="1059">
        <f>IF(VOUT_setting=1,0,ATAN(((A296*zterm1))))</f>
        <v/>
      </c>
      <c r="Q296" s="1056">
        <f>IF(VOUT_setting=1,1,SQRT((1+Afbr-$Q$5*(A296)^2)^2+(A296*$Q$4)^2))</f>
        <v/>
      </c>
      <c r="R296" s="1060">
        <f>IF(VOUT_setting=1,0,ATAN(A296*$Q$4/(1+Afbr-$Q$5*(A296)^2)))</f>
        <v/>
      </c>
      <c r="S296" s="1054">
        <f>SQRT((1-(Z296/pterm2))^2+(A296/pterm1)^2)</f>
        <v/>
      </c>
      <c r="T296" s="1055">
        <f>IF((ATAN((A296/pterm1)/(1-A296^2/pterm2))&gt;0),ATAN((A296/pterm1)/(1-A296^2/pterm2)),PI()+ATAN((A296/pterm1)/(1-A296^2/pterm2)))</f>
        <v/>
      </c>
      <c r="U296" s="331">
        <f>20*LOG10(((E296*K296*G296*O296)/(C296*I296*S296*M296*Q296))*Adc)</f>
        <v/>
      </c>
      <c r="V296" s="332">
        <f>((F296+L296+H296+P296)-(D296+J296+T296+N296+R296))*radconv</f>
        <v/>
      </c>
      <c r="W296" s="334">
        <f>IF(V296&gt;0,V296,V296+180)</f>
        <v/>
      </c>
      <c r="Y296" s="307">
        <f>IF(U296&lt;0,A296,1000000000)</f>
        <v/>
      </c>
      <c r="Z296" s="307">
        <f>A296^2</f>
        <v/>
      </c>
      <c r="AB296" s="333">
        <f>20*LOG10((K296/(I296*M296))*AEA)</f>
        <v/>
      </c>
      <c r="AC296" s="334">
        <f>(L296-(J296+N296))*radconv</f>
        <v/>
      </c>
      <c r="AE296" s="333">
        <f>20*LOG10((E296*G296/(C296*S296))*Acs*Am)</f>
        <v/>
      </c>
      <c r="AF296" s="334">
        <f>(F296+H296-(D296+T296))*radconv</f>
        <v/>
      </c>
      <c r="AH296">
        <f>SUM((U297&lt;0)*(U296&gt;0))*A296</f>
        <v/>
      </c>
      <c r="AI296">
        <f>IF(AH296&gt;0,W296,0)</f>
        <v/>
      </c>
    </row>
    <row r="297">
      <c r="A297" s="335" t="n">
        <v>19953</v>
      </c>
      <c r="B297" s="352">
        <f>A297/1000</f>
        <v/>
      </c>
      <c r="C297" s="1047">
        <f>SQRT(1+(A297/pole1)^2)</f>
        <v/>
      </c>
      <c r="D297" s="1048">
        <f>ATAN(A297/pole1)</f>
        <v/>
      </c>
      <c r="E297" s="1048">
        <f>SQRT(1+(A297/Zero1)^2)</f>
        <v/>
      </c>
      <c r="F297" s="1049">
        <f>ATAN(A297/Zero1)</f>
        <v/>
      </c>
      <c r="G297" s="1048">
        <f>IF(VIN_nom&gt;Vout, 1, SQRT(1+(A297/z_RHP)^2))</f>
        <v/>
      </c>
      <c r="H297" s="1049">
        <f>IF(VIN_nom&gt;Vout, 0, -ATAN(A297/z_RHP))</f>
        <v/>
      </c>
      <c r="I297" s="1047">
        <f>SQRT(1+(A297/Pole2)^2)</f>
        <v/>
      </c>
      <c r="J297" s="1050">
        <f>ATAN(A297/Pole2)</f>
        <v/>
      </c>
      <c r="K297" s="1056">
        <f>SQRT(1+(A297/Zero2)^2)</f>
        <v/>
      </c>
      <c r="L297" s="1057">
        <f>ATAN(A297/Zero2)</f>
        <v/>
      </c>
      <c r="M297" s="1047">
        <f>SQRT(1+(A297/pole4)^2)</f>
        <v/>
      </c>
      <c r="N297" s="1057">
        <f>ATAN(A297/pole4)</f>
        <v/>
      </c>
      <c r="O297" s="1058">
        <f>IF(VOUT_setting=1,1,SQRT(1+(A297*zterm1)^2))</f>
        <v/>
      </c>
      <c r="P297" s="1059">
        <f>IF(VOUT_setting=1,0,ATAN(((A297*zterm1))))</f>
        <v/>
      </c>
      <c r="Q297" s="1056">
        <f>IF(VOUT_setting=1,1,SQRT((1+Afbr-$Q$5*(A297)^2)^2+(A297*$Q$4)^2))</f>
        <v/>
      </c>
      <c r="R297" s="1060">
        <f>IF(VOUT_setting=1,0,ATAN(A297*$Q$4/(1+Afbr-$Q$5*(A297)^2)))</f>
        <v/>
      </c>
      <c r="S297" s="1054">
        <f>SQRT((1-(Z297/pterm2))^2+(A297/pterm1)^2)</f>
        <v/>
      </c>
      <c r="T297" s="1055">
        <f>IF((ATAN((A297/pterm1)/(1-A297^2/pterm2))&gt;0),ATAN((A297/pterm1)/(1-A297^2/pterm2)),PI()+ATAN((A297/pterm1)/(1-A297^2/pterm2)))</f>
        <v/>
      </c>
      <c r="U297" s="331">
        <f>20*LOG10(((E297*K297*G297*O297)/(C297*I297*S297*M297*Q297))*Adc)</f>
        <v/>
      </c>
      <c r="V297" s="332">
        <f>((F297+L297+H297+P297)-(D297+J297+T297+N297+R297))*radconv</f>
        <v/>
      </c>
      <c r="W297" s="334">
        <f>IF(V297&gt;0,V297,V297+180)</f>
        <v/>
      </c>
      <c r="Y297" s="307">
        <f>IF(U297&lt;0,A297,1000000000)</f>
        <v/>
      </c>
      <c r="Z297" s="307">
        <f>A297^2</f>
        <v/>
      </c>
      <c r="AB297" s="333">
        <f>20*LOG10((K297/(I297*M297))*AEA)</f>
        <v/>
      </c>
      <c r="AC297" s="334">
        <f>(L297-(J297+N297))*radconv</f>
        <v/>
      </c>
      <c r="AE297" s="333">
        <f>20*LOG10((E297*G297/(C297*S297))*Acs*Am)</f>
        <v/>
      </c>
      <c r="AF297" s="334">
        <f>(F297+H297-(D297+T297))*radconv</f>
        <v/>
      </c>
      <c r="AH297">
        <f>SUM((U298&lt;0)*(U297&gt;0))*A297</f>
        <v/>
      </c>
      <c r="AI297">
        <f>IF(AH297&gt;0,W297,0)</f>
        <v/>
      </c>
    </row>
    <row r="298">
      <c r="A298" s="335" t="n">
        <v>20069</v>
      </c>
      <c r="B298" s="352">
        <f>A298/1000</f>
        <v/>
      </c>
      <c r="C298" s="1047">
        <f>SQRT(1+(A298/pole1)^2)</f>
        <v/>
      </c>
      <c r="D298" s="1048">
        <f>ATAN(A298/pole1)</f>
        <v/>
      </c>
      <c r="E298" s="1048">
        <f>SQRT(1+(A298/Zero1)^2)</f>
        <v/>
      </c>
      <c r="F298" s="1049">
        <f>ATAN(A298/Zero1)</f>
        <v/>
      </c>
      <c r="G298" s="1048">
        <f>IF(VIN_nom&gt;Vout, 1, SQRT(1+(A298/z_RHP)^2))</f>
        <v/>
      </c>
      <c r="H298" s="1049">
        <f>IF(VIN_nom&gt;Vout, 0, -ATAN(A298/z_RHP))</f>
        <v/>
      </c>
      <c r="I298" s="1047">
        <f>SQRT(1+(A298/Pole2)^2)</f>
        <v/>
      </c>
      <c r="J298" s="1050">
        <f>ATAN(A298/Pole2)</f>
        <v/>
      </c>
      <c r="K298" s="1056">
        <f>SQRT(1+(A298/Zero2)^2)</f>
        <v/>
      </c>
      <c r="L298" s="1057">
        <f>ATAN(A298/Zero2)</f>
        <v/>
      </c>
      <c r="M298" s="1047">
        <f>SQRT(1+(A298/pole4)^2)</f>
        <v/>
      </c>
      <c r="N298" s="1057">
        <f>ATAN(A298/pole4)</f>
        <v/>
      </c>
      <c r="O298" s="1058">
        <f>IF(VOUT_setting=1,1,SQRT(1+(A298*zterm1)^2))</f>
        <v/>
      </c>
      <c r="P298" s="1059">
        <f>IF(VOUT_setting=1,0,ATAN(((A298*zterm1))))</f>
        <v/>
      </c>
      <c r="Q298" s="1056">
        <f>IF(VOUT_setting=1,1,SQRT((1+Afbr-$Q$5*(A298)^2)^2+(A298*$Q$4)^2))</f>
        <v/>
      </c>
      <c r="R298" s="1060">
        <f>IF(VOUT_setting=1,0,ATAN(A298*$Q$4/(1+Afbr-$Q$5*(A298)^2)))</f>
        <v/>
      </c>
      <c r="S298" s="1054">
        <f>SQRT((1-(Z298/pterm2))^2+(A298/pterm1)^2)</f>
        <v/>
      </c>
      <c r="T298" s="1055">
        <f>IF((ATAN((A298/pterm1)/(1-A298^2/pterm2))&gt;0),ATAN((A298/pterm1)/(1-A298^2/pterm2)),PI()+ATAN((A298/pterm1)/(1-A298^2/pterm2)))</f>
        <v/>
      </c>
      <c r="U298" s="331">
        <f>20*LOG10(((E298*K298*G298*O298)/(C298*I298*S298*M298*Q298))*Adc)</f>
        <v/>
      </c>
      <c r="V298" s="332">
        <f>((F298+L298+H298+P298)-(D298+J298+T298+N298+R298))*radconv</f>
        <v/>
      </c>
      <c r="W298" s="334">
        <f>IF(V298&gt;0,V298,V298+180)</f>
        <v/>
      </c>
      <c r="Y298" s="307">
        <f>IF(U298&lt;0,A298,1000000000)</f>
        <v/>
      </c>
      <c r="Z298" s="307">
        <f>A298^2</f>
        <v/>
      </c>
      <c r="AB298" s="333">
        <f>20*LOG10((K298/(I298*M298))*AEA)</f>
        <v/>
      </c>
      <c r="AC298" s="334">
        <f>(L298-(J298+N298))*radconv</f>
        <v/>
      </c>
      <c r="AE298" s="333">
        <f>20*LOG10((E298*G298/(C298*S298))*Acs*Am)</f>
        <v/>
      </c>
      <c r="AF298" s="334">
        <f>(F298+H298-(D298+T298))*radconv</f>
        <v/>
      </c>
      <c r="AH298">
        <f>SUM((U299&lt;0)*(U298&gt;0))*A298</f>
        <v/>
      </c>
      <c r="AI298">
        <f>IF(AH298&gt;0,W298,0)</f>
        <v/>
      </c>
    </row>
    <row r="299">
      <c r="A299" s="335" t="n">
        <v>20185</v>
      </c>
      <c r="B299" s="352">
        <f>A299/1000</f>
        <v/>
      </c>
      <c r="C299" s="1047">
        <f>SQRT(1+(A299/pole1)^2)</f>
        <v/>
      </c>
      <c r="D299" s="1048">
        <f>ATAN(A299/pole1)</f>
        <v/>
      </c>
      <c r="E299" s="1048">
        <f>SQRT(1+(A299/Zero1)^2)</f>
        <v/>
      </c>
      <c r="F299" s="1049">
        <f>ATAN(A299/Zero1)</f>
        <v/>
      </c>
      <c r="G299" s="1048">
        <f>IF(VIN_nom&gt;Vout, 1, SQRT(1+(A299/z_RHP)^2))</f>
        <v/>
      </c>
      <c r="H299" s="1049">
        <f>IF(VIN_nom&gt;Vout, 0, -ATAN(A299/z_RHP))</f>
        <v/>
      </c>
      <c r="I299" s="1047">
        <f>SQRT(1+(A299/Pole2)^2)</f>
        <v/>
      </c>
      <c r="J299" s="1050">
        <f>ATAN(A299/Pole2)</f>
        <v/>
      </c>
      <c r="K299" s="1056">
        <f>SQRT(1+(A299/Zero2)^2)</f>
        <v/>
      </c>
      <c r="L299" s="1057">
        <f>ATAN(A299/Zero2)</f>
        <v/>
      </c>
      <c r="M299" s="1047">
        <f>SQRT(1+(A299/pole4)^2)</f>
        <v/>
      </c>
      <c r="N299" s="1057">
        <f>ATAN(A299/pole4)</f>
        <v/>
      </c>
      <c r="O299" s="1058">
        <f>IF(VOUT_setting=1,1,SQRT(1+(A299*zterm1)^2))</f>
        <v/>
      </c>
      <c r="P299" s="1059">
        <f>IF(VOUT_setting=1,0,ATAN(((A299*zterm1))))</f>
        <v/>
      </c>
      <c r="Q299" s="1056">
        <f>IF(VOUT_setting=1,1,SQRT((1+Afbr-$Q$5*(A299)^2)^2+(A299*$Q$4)^2))</f>
        <v/>
      </c>
      <c r="R299" s="1060">
        <f>IF(VOUT_setting=1,0,ATAN(A299*$Q$4/(1+Afbr-$Q$5*(A299)^2)))</f>
        <v/>
      </c>
      <c r="S299" s="1054">
        <f>SQRT((1-(Z299/pterm2))^2+(A299/pterm1)^2)</f>
        <v/>
      </c>
      <c r="T299" s="1055">
        <f>IF((ATAN((A299/pterm1)/(1-A299^2/pterm2))&gt;0),ATAN((A299/pterm1)/(1-A299^2/pterm2)),PI()+ATAN((A299/pterm1)/(1-A299^2/pterm2)))</f>
        <v/>
      </c>
      <c r="U299" s="331">
        <f>20*LOG10(((E299*K299*G299*O299)/(C299*I299*S299*M299*Q299))*Adc)</f>
        <v/>
      </c>
      <c r="V299" s="332">
        <f>((F299+L299+H299+P299)-(D299+J299+T299+N299+R299))*radconv</f>
        <v/>
      </c>
      <c r="W299" s="334">
        <f>IF(V299&gt;0,V299,V299+180)</f>
        <v/>
      </c>
      <c r="Y299" s="307">
        <f>IF(U299&lt;0,A299,1000000000)</f>
        <v/>
      </c>
      <c r="Z299" s="307">
        <f>A299^2</f>
        <v/>
      </c>
      <c r="AB299" s="333">
        <f>20*LOG10((K299/(I299*M299))*AEA)</f>
        <v/>
      </c>
      <c r="AC299" s="334">
        <f>(L299-(J299+N299))*radconv</f>
        <v/>
      </c>
      <c r="AE299" s="333">
        <f>20*LOG10((E299*G299/(C299*S299))*Acs*Am)</f>
        <v/>
      </c>
      <c r="AF299" s="334">
        <f>(F299+H299-(D299+T299))*radconv</f>
        <v/>
      </c>
      <c r="AH299">
        <f>SUM((U300&lt;0)*(U299&gt;0))*A299</f>
        <v/>
      </c>
      <c r="AI299">
        <f>IF(AH299&gt;0,W299,0)</f>
        <v/>
      </c>
    </row>
    <row r="300">
      <c r="A300" s="335" t="n">
        <v>20301</v>
      </c>
      <c r="B300" s="352">
        <f>A300/1000</f>
        <v/>
      </c>
      <c r="C300" s="1047">
        <f>SQRT(1+(A300/pole1)^2)</f>
        <v/>
      </c>
      <c r="D300" s="1048">
        <f>ATAN(A300/pole1)</f>
        <v/>
      </c>
      <c r="E300" s="1048">
        <f>SQRT(1+(A300/Zero1)^2)</f>
        <v/>
      </c>
      <c r="F300" s="1049">
        <f>ATAN(A300/Zero1)</f>
        <v/>
      </c>
      <c r="G300" s="1048">
        <f>IF(VIN_nom&gt;Vout, 1, SQRT(1+(A300/z_RHP)^2))</f>
        <v/>
      </c>
      <c r="H300" s="1049">
        <f>IF(VIN_nom&gt;Vout, 0, -ATAN(A300/z_RHP))</f>
        <v/>
      </c>
      <c r="I300" s="1047">
        <f>SQRT(1+(A300/Pole2)^2)</f>
        <v/>
      </c>
      <c r="J300" s="1050">
        <f>ATAN(A300/Pole2)</f>
        <v/>
      </c>
      <c r="K300" s="1056">
        <f>SQRT(1+(A300/Zero2)^2)</f>
        <v/>
      </c>
      <c r="L300" s="1057">
        <f>ATAN(A300/Zero2)</f>
        <v/>
      </c>
      <c r="M300" s="1047">
        <f>SQRT(1+(A300/pole4)^2)</f>
        <v/>
      </c>
      <c r="N300" s="1057">
        <f>ATAN(A300/pole4)</f>
        <v/>
      </c>
      <c r="O300" s="1058">
        <f>IF(VOUT_setting=1,1,SQRT(1+(A300*zterm1)^2))</f>
        <v/>
      </c>
      <c r="P300" s="1059">
        <f>IF(VOUT_setting=1,0,ATAN(((A300*zterm1))))</f>
        <v/>
      </c>
      <c r="Q300" s="1056">
        <f>IF(VOUT_setting=1,1,SQRT((1+Afbr-$Q$5*(A300)^2)^2+(A300*$Q$4)^2))</f>
        <v/>
      </c>
      <c r="R300" s="1060">
        <f>IF(VOUT_setting=1,0,ATAN(A300*$Q$4/(1+Afbr-$Q$5*(A300)^2)))</f>
        <v/>
      </c>
      <c r="S300" s="1054">
        <f>SQRT((1-(Z300/pterm2))^2+(A300/pterm1)^2)</f>
        <v/>
      </c>
      <c r="T300" s="1055">
        <f>IF((ATAN((A300/pterm1)/(1-A300^2/pterm2))&gt;0),ATAN((A300/pterm1)/(1-A300^2/pterm2)),PI()+ATAN((A300/pterm1)/(1-A300^2/pterm2)))</f>
        <v/>
      </c>
      <c r="U300" s="331">
        <f>20*LOG10(((E300*K300*G300*O300)/(C300*I300*S300*M300*Q300))*Adc)</f>
        <v/>
      </c>
      <c r="V300" s="332">
        <f>((F300+L300+H300+P300)-(D300+J300+T300+N300+R300))*radconv</f>
        <v/>
      </c>
      <c r="W300" s="334">
        <f>IF(V300&gt;0,V300,V300+180)</f>
        <v/>
      </c>
      <c r="Y300" s="307">
        <f>IF(U300&lt;0,A300,1000000000)</f>
        <v/>
      </c>
      <c r="Z300" s="307">
        <f>A300^2</f>
        <v/>
      </c>
      <c r="AB300" s="333">
        <f>20*LOG10((K300/(I300*M300))*AEA)</f>
        <v/>
      </c>
      <c r="AC300" s="334">
        <f>(L300-(J300+N300))*radconv</f>
        <v/>
      </c>
      <c r="AE300" s="333">
        <f>20*LOG10((E300*G300/(C300*S300))*Acs*Am)</f>
        <v/>
      </c>
      <c r="AF300" s="334">
        <f>(F300+H300-(D300+T300))*radconv</f>
        <v/>
      </c>
      <c r="AH300">
        <f>SUM((U301&lt;0)*(U300&gt;0))*A300</f>
        <v/>
      </c>
      <c r="AI300">
        <f>IF(AH300&gt;0,W300,0)</f>
        <v/>
      </c>
    </row>
    <row r="301">
      <c r="A301" s="335" t="n">
        <v>20417</v>
      </c>
      <c r="B301" s="352">
        <f>A301/1000</f>
        <v/>
      </c>
      <c r="C301" s="1047">
        <f>SQRT(1+(A301/pole1)^2)</f>
        <v/>
      </c>
      <c r="D301" s="1048">
        <f>ATAN(A301/pole1)</f>
        <v/>
      </c>
      <c r="E301" s="1048">
        <f>SQRT(1+(A301/Zero1)^2)</f>
        <v/>
      </c>
      <c r="F301" s="1049">
        <f>ATAN(A301/Zero1)</f>
        <v/>
      </c>
      <c r="G301" s="1048">
        <f>IF(VIN_nom&gt;Vout, 1, SQRT(1+(A301/z_RHP)^2))</f>
        <v/>
      </c>
      <c r="H301" s="1049">
        <f>IF(VIN_nom&gt;Vout, 0, -ATAN(A301/z_RHP))</f>
        <v/>
      </c>
      <c r="I301" s="1047">
        <f>SQRT(1+(A301/Pole2)^2)</f>
        <v/>
      </c>
      <c r="J301" s="1050">
        <f>ATAN(A301/Pole2)</f>
        <v/>
      </c>
      <c r="K301" s="1056">
        <f>SQRT(1+(A301/Zero2)^2)</f>
        <v/>
      </c>
      <c r="L301" s="1057">
        <f>ATAN(A301/Zero2)</f>
        <v/>
      </c>
      <c r="M301" s="1047">
        <f>SQRT(1+(A301/pole4)^2)</f>
        <v/>
      </c>
      <c r="N301" s="1057">
        <f>ATAN(A301/pole4)</f>
        <v/>
      </c>
      <c r="O301" s="1058">
        <f>IF(VOUT_setting=1,1,SQRT(1+(A301*zterm1)^2))</f>
        <v/>
      </c>
      <c r="P301" s="1059">
        <f>IF(VOUT_setting=1,0,ATAN(((A301*zterm1))))</f>
        <v/>
      </c>
      <c r="Q301" s="1056">
        <f>IF(VOUT_setting=1,1,SQRT((1+Afbr-$Q$5*(A301)^2)^2+(A301*$Q$4)^2))</f>
        <v/>
      </c>
      <c r="R301" s="1060">
        <f>IF(VOUT_setting=1,0,ATAN(A301*$Q$4/(1+Afbr-$Q$5*(A301)^2)))</f>
        <v/>
      </c>
      <c r="S301" s="1054">
        <f>SQRT((1-(Z301/pterm2))^2+(A301/pterm1)^2)</f>
        <v/>
      </c>
      <c r="T301" s="1055">
        <f>IF((ATAN((A301/pterm1)/(1-A301^2/pterm2))&gt;0),ATAN((A301/pterm1)/(1-A301^2/pterm2)),PI()+ATAN((A301/pterm1)/(1-A301^2/pterm2)))</f>
        <v/>
      </c>
      <c r="U301" s="331">
        <f>20*LOG10(((E301*K301*G301*O301)/(C301*I301*S301*M301*Q301))*Adc)</f>
        <v/>
      </c>
      <c r="V301" s="332">
        <f>((F301+L301+H301+P301)-(D301+J301+T301+N301+R301))*radconv</f>
        <v/>
      </c>
      <c r="W301" s="334">
        <f>IF(V301&gt;0,V301,V301+180)</f>
        <v/>
      </c>
      <c r="Y301" s="307">
        <f>IF(U301&lt;0,A301,1000000000)</f>
        <v/>
      </c>
      <c r="Z301" s="307">
        <f>A301^2</f>
        <v/>
      </c>
      <c r="AB301" s="333">
        <f>20*LOG10((K301/(I301*M301))*AEA)</f>
        <v/>
      </c>
      <c r="AC301" s="334">
        <f>(L301-(J301+N301))*radconv</f>
        <v/>
      </c>
      <c r="AE301" s="333">
        <f>20*LOG10((E301*G301/(C301*S301))*Acs*Am)</f>
        <v/>
      </c>
      <c r="AF301" s="334">
        <f>(F301+H301-(D301+T301))*radconv</f>
        <v/>
      </c>
      <c r="AH301">
        <f>SUM((U302&lt;0)*(U301&gt;0))*A301</f>
        <v/>
      </c>
      <c r="AI301">
        <f>IF(AH301&gt;0,W301,0)</f>
        <v/>
      </c>
    </row>
    <row r="302">
      <c r="A302" s="335" t="n">
        <v>20536</v>
      </c>
      <c r="B302" s="352">
        <f>A302/1000</f>
        <v/>
      </c>
      <c r="C302" s="1047">
        <f>SQRT(1+(A302/pole1)^2)</f>
        <v/>
      </c>
      <c r="D302" s="1048">
        <f>ATAN(A302/pole1)</f>
        <v/>
      </c>
      <c r="E302" s="1048">
        <f>SQRT(1+(A302/Zero1)^2)</f>
        <v/>
      </c>
      <c r="F302" s="1049">
        <f>ATAN(A302/Zero1)</f>
        <v/>
      </c>
      <c r="G302" s="1048">
        <f>IF(VIN_nom&gt;Vout, 1, SQRT(1+(A302/z_RHP)^2))</f>
        <v/>
      </c>
      <c r="H302" s="1049">
        <f>IF(VIN_nom&gt;Vout, 0, -ATAN(A302/z_RHP))</f>
        <v/>
      </c>
      <c r="I302" s="1047">
        <f>SQRT(1+(A302/Pole2)^2)</f>
        <v/>
      </c>
      <c r="J302" s="1050">
        <f>ATAN(A302/Pole2)</f>
        <v/>
      </c>
      <c r="K302" s="1056">
        <f>SQRT(1+(A302/Zero2)^2)</f>
        <v/>
      </c>
      <c r="L302" s="1057">
        <f>ATAN(A302/Zero2)</f>
        <v/>
      </c>
      <c r="M302" s="1047">
        <f>SQRT(1+(A302/pole4)^2)</f>
        <v/>
      </c>
      <c r="N302" s="1057">
        <f>ATAN(A302/pole4)</f>
        <v/>
      </c>
      <c r="O302" s="1058">
        <f>IF(VOUT_setting=1,1,SQRT(1+(A302*zterm1)^2))</f>
        <v/>
      </c>
      <c r="P302" s="1059">
        <f>IF(VOUT_setting=1,0,ATAN(((A302*zterm1))))</f>
        <v/>
      </c>
      <c r="Q302" s="1056">
        <f>IF(VOUT_setting=1,1,SQRT((1+Afbr-$Q$5*(A302)^2)^2+(A302*$Q$4)^2))</f>
        <v/>
      </c>
      <c r="R302" s="1060">
        <f>IF(VOUT_setting=1,0,ATAN(A302*$Q$4/(1+Afbr-$Q$5*(A302)^2)))</f>
        <v/>
      </c>
      <c r="S302" s="1054">
        <f>SQRT((1-(Z302/pterm2))^2+(A302/pterm1)^2)</f>
        <v/>
      </c>
      <c r="T302" s="1055">
        <f>IF((ATAN((A302/pterm1)/(1-A302^2/pterm2))&gt;0),ATAN((A302/pterm1)/(1-A302^2/pterm2)),PI()+ATAN((A302/pterm1)/(1-A302^2/pterm2)))</f>
        <v/>
      </c>
      <c r="U302" s="331">
        <f>20*LOG10(((E302*K302*G302*O302)/(C302*I302*S302*M302*Q302))*Adc)</f>
        <v/>
      </c>
      <c r="V302" s="332">
        <f>((F302+L302+H302+P302)-(D302+J302+T302+N302+R302))*radconv</f>
        <v/>
      </c>
      <c r="W302" s="334">
        <f>IF(V302&gt;0,V302,V302+180)</f>
        <v/>
      </c>
      <c r="Y302" s="307">
        <f>IF(U302&lt;0,A302,1000000000)</f>
        <v/>
      </c>
      <c r="Z302" s="307">
        <f>A302^2</f>
        <v/>
      </c>
      <c r="AB302" s="333">
        <f>20*LOG10((K302/(I302*M302))*AEA)</f>
        <v/>
      </c>
      <c r="AC302" s="334">
        <f>(L302-(J302+N302))*radconv</f>
        <v/>
      </c>
      <c r="AE302" s="333">
        <f>20*LOG10((E302*G302/(C302*S302))*Acs*Am)</f>
        <v/>
      </c>
      <c r="AF302" s="334">
        <f>(F302+H302-(D302+T302))*radconv</f>
        <v/>
      </c>
      <c r="AH302">
        <f>SUM((U303&lt;0)*(U302&gt;0))*A302</f>
        <v/>
      </c>
      <c r="AI302">
        <f>IF(AH302&gt;0,W302,0)</f>
        <v/>
      </c>
    </row>
    <row r="303">
      <c r="A303" s="335" t="n">
        <v>20655</v>
      </c>
      <c r="B303" s="352">
        <f>A303/1000</f>
        <v/>
      </c>
      <c r="C303" s="1047">
        <f>SQRT(1+(A303/pole1)^2)</f>
        <v/>
      </c>
      <c r="D303" s="1048">
        <f>ATAN(A303/pole1)</f>
        <v/>
      </c>
      <c r="E303" s="1048">
        <f>SQRT(1+(A303/Zero1)^2)</f>
        <v/>
      </c>
      <c r="F303" s="1049">
        <f>ATAN(A303/Zero1)</f>
        <v/>
      </c>
      <c r="G303" s="1048">
        <f>IF(VIN_nom&gt;Vout, 1, SQRT(1+(A303/z_RHP)^2))</f>
        <v/>
      </c>
      <c r="H303" s="1049">
        <f>IF(VIN_nom&gt;Vout, 0, -ATAN(A303/z_RHP))</f>
        <v/>
      </c>
      <c r="I303" s="1047">
        <f>SQRT(1+(A303/Pole2)^2)</f>
        <v/>
      </c>
      <c r="J303" s="1050">
        <f>ATAN(A303/Pole2)</f>
        <v/>
      </c>
      <c r="K303" s="1056">
        <f>SQRT(1+(A303/Zero2)^2)</f>
        <v/>
      </c>
      <c r="L303" s="1057">
        <f>ATAN(A303/Zero2)</f>
        <v/>
      </c>
      <c r="M303" s="1047">
        <f>SQRT(1+(A303/pole4)^2)</f>
        <v/>
      </c>
      <c r="N303" s="1057">
        <f>ATAN(A303/pole4)</f>
        <v/>
      </c>
      <c r="O303" s="1058">
        <f>IF(VOUT_setting=1,1,SQRT(1+(A303*zterm1)^2))</f>
        <v/>
      </c>
      <c r="P303" s="1059">
        <f>IF(VOUT_setting=1,0,ATAN(((A303*zterm1))))</f>
        <v/>
      </c>
      <c r="Q303" s="1056">
        <f>IF(VOUT_setting=1,1,SQRT((1+Afbr-$Q$5*(A303)^2)^2+(A303*$Q$4)^2))</f>
        <v/>
      </c>
      <c r="R303" s="1060">
        <f>IF(VOUT_setting=1,0,ATAN(A303*$Q$4/(1+Afbr-$Q$5*(A303)^2)))</f>
        <v/>
      </c>
      <c r="S303" s="1054">
        <f>SQRT((1-(Z303/pterm2))^2+(A303/pterm1)^2)</f>
        <v/>
      </c>
      <c r="T303" s="1055">
        <f>IF((ATAN((A303/pterm1)/(1-A303^2/pterm2))&gt;0),ATAN((A303/pterm1)/(1-A303^2/pterm2)),PI()+ATAN((A303/pterm1)/(1-A303^2/pterm2)))</f>
        <v/>
      </c>
      <c r="U303" s="331">
        <f>20*LOG10(((E303*K303*G303*O303)/(C303*I303*S303*M303*Q303))*Adc)</f>
        <v/>
      </c>
      <c r="V303" s="332">
        <f>((F303+L303+H303+P303)-(D303+J303+T303+N303+R303))*radconv</f>
        <v/>
      </c>
      <c r="W303" s="334">
        <f>IF(V303&gt;0,V303,V303+180)</f>
        <v/>
      </c>
      <c r="Y303" s="307">
        <f>IF(U303&lt;0,A303,1000000000)</f>
        <v/>
      </c>
      <c r="Z303" s="307">
        <f>A303^2</f>
        <v/>
      </c>
      <c r="AB303" s="333">
        <f>20*LOG10((K303/(I303*M303))*AEA)</f>
        <v/>
      </c>
      <c r="AC303" s="334">
        <f>(L303-(J303+N303))*radconv</f>
        <v/>
      </c>
      <c r="AE303" s="333">
        <f>20*LOG10((E303*G303/(C303*S303))*Acs*Am)</f>
        <v/>
      </c>
      <c r="AF303" s="334">
        <f>(F303+H303-(D303+T303))*radconv</f>
        <v/>
      </c>
      <c r="AH303">
        <f>SUM((U304&lt;0)*(U303&gt;0))*A303</f>
        <v/>
      </c>
      <c r="AI303">
        <f>IF(AH303&gt;0,W303,0)</f>
        <v/>
      </c>
    </row>
    <row r="304">
      <c r="A304" s="335" t="n">
        <v>20774</v>
      </c>
      <c r="B304" s="352">
        <f>A304/1000</f>
        <v/>
      </c>
      <c r="C304" s="1047">
        <f>SQRT(1+(A304/pole1)^2)</f>
        <v/>
      </c>
      <c r="D304" s="1048">
        <f>ATAN(A304/pole1)</f>
        <v/>
      </c>
      <c r="E304" s="1048">
        <f>SQRT(1+(A304/Zero1)^2)</f>
        <v/>
      </c>
      <c r="F304" s="1049">
        <f>ATAN(A304/Zero1)</f>
        <v/>
      </c>
      <c r="G304" s="1048">
        <f>IF(VIN_nom&gt;Vout, 1, SQRT(1+(A304/z_RHP)^2))</f>
        <v/>
      </c>
      <c r="H304" s="1049">
        <f>IF(VIN_nom&gt;Vout, 0, -ATAN(A304/z_RHP))</f>
        <v/>
      </c>
      <c r="I304" s="1047">
        <f>SQRT(1+(A304/Pole2)^2)</f>
        <v/>
      </c>
      <c r="J304" s="1050">
        <f>ATAN(A304/Pole2)</f>
        <v/>
      </c>
      <c r="K304" s="1056">
        <f>SQRT(1+(A304/Zero2)^2)</f>
        <v/>
      </c>
      <c r="L304" s="1057">
        <f>ATAN(A304/Zero2)</f>
        <v/>
      </c>
      <c r="M304" s="1047">
        <f>SQRT(1+(A304/pole4)^2)</f>
        <v/>
      </c>
      <c r="N304" s="1057">
        <f>ATAN(A304/pole4)</f>
        <v/>
      </c>
      <c r="O304" s="1058">
        <f>IF(VOUT_setting=1,1,SQRT(1+(A304*zterm1)^2))</f>
        <v/>
      </c>
      <c r="P304" s="1059">
        <f>IF(VOUT_setting=1,0,ATAN(((A304*zterm1))))</f>
        <v/>
      </c>
      <c r="Q304" s="1056">
        <f>IF(VOUT_setting=1,1,SQRT((1+Afbr-$Q$5*(A304)^2)^2+(A304*$Q$4)^2))</f>
        <v/>
      </c>
      <c r="R304" s="1060">
        <f>IF(VOUT_setting=1,0,ATAN(A304*$Q$4/(1+Afbr-$Q$5*(A304)^2)))</f>
        <v/>
      </c>
      <c r="S304" s="1054">
        <f>SQRT((1-(Z304/pterm2))^2+(A304/pterm1)^2)</f>
        <v/>
      </c>
      <c r="T304" s="1055">
        <f>IF((ATAN((A304/pterm1)/(1-A304^2/pterm2))&gt;0),ATAN((A304/pterm1)/(1-A304^2/pterm2)),PI()+ATAN((A304/pterm1)/(1-A304^2/pterm2)))</f>
        <v/>
      </c>
      <c r="U304" s="331">
        <f>20*LOG10(((E304*K304*G304*O304)/(C304*I304*S304*M304*Q304))*Adc)</f>
        <v/>
      </c>
      <c r="V304" s="332">
        <f>((F304+L304+H304+P304)-(D304+J304+T304+N304+R304))*radconv</f>
        <v/>
      </c>
      <c r="W304" s="334">
        <f>IF(V304&gt;0,V304,V304+180)</f>
        <v/>
      </c>
      <c r="Y304" s="307">
        <f>IF(U304&lt;0,A304,1000000000)</f>
        <v/>
      </c>
      <c r="Z304" s="307">
        <f>A304^2</f>
        <v/>
      </c>
      <c r="AB304" s="333">
        <f>20*LOG10((K304/(I304*M304))*AEA)</f>
        <v/>
      </c>
      <c r="AC304" s="334">
        <f>(L304-(J304+N304))*radconv</f>
        <v/>
      </c>
      <c r="AE304" s="333">
        <f>20*LOG10((E304*G304/(C304*S304))*Acs*Am)</f>
        <v/>
      </c>
      <c r="AF304" s="334">
        <f>(F304+H304-(D304+T304))*radconv</f>
        <v/>
      </c>
      <c r="AH304">
        <f>SUM((U305&lt;0)*(U304&gt;0))*A304</f>
        <v/>
      </c>
      <c r="AI304">
        <f>IF(AH304&gt;0,W304,0)</f>
        <v/>
      </c>
    </row>
    <row r="305">
      <c r="A305" s="335" t="n">
        <v>20893</v>
      </c>
      <c r="B305" s="352">
        <f>A305/1000</f>
        <v/>
      </c>
      <c r="C305" s="1047">
        <f>SQRT(1+(A305/pole1)^2)</f>
        <v/>
      </c>
      <c r="D305" s="1048">
        <f>ATAN(A305/pole1)</f>
        <v/>
      </c>
      <c r="E305" s="1048">
        <f>SQRT(1+(A305/Zero1)^2)</f>
        <v/>
      </c>
      <c r="F305" s="1049">
        <f>ATAN(A305/Zero1)</f>
        <v/>
      </c>
      <c r="G305" s="1048">
        <f>IF(VIN_nom&gt;Vout, 1, SQRT(1+(A305/z_RHP)^2))</f>
        <v/>
      </c>
      <c r="H305" s="1049">
        <f>IF(VIN_nom&gt;Vout, 0, -ATAN(A305/z_RHP))</f>
        <v/>
      </c>
      <c r="I305" s="1047">
        <f>SQRT(1+(A305/Pole2)^2)</f>
        <v/>
      </c>
      <c r="J305" s="1050">
        <f>ATAN(A305/Pole2)</f>
        <v/>
      </c>
      <c r="K305" s="1056">
        <f>SQRT(1+(A305/Zero2)^2)</f>
        <v/>
      </c>
      <c r="L305" s="1057">
        <f>ATAN(A305/Zero2)</f>
        <v/>
      </c>
      <c r="M305" s="1047">
        <f>SQRT(1+(A305/pole4)^2)</f>
        <v/>
      </c>
      <c r="N305" s="1057">
        <f>ATAN(A305/pole4)</f>
        <v/>
      </c>
      <c r="O305" s="1058">
        <f>IF(VOUT_setting=1,1,SQRT(1+(A305*zterm1)^2))</f>
        <v/>
      </c>
      <c r="P305" s="1059">
        <f>IF(VOUT_setting=1,0,ATAN(((A305*zterm1))))</f>
        <v/>
      </c>
      <c r="Q305" s="1056">
        <f>IF(VOUT_setting=1,1,SQRT((1+Afbr-$Q$5*(A305)^2)^2+(A305*$Q$4)^2))</f>
        <v/>
      </c>
      <c r="R305" s="1060">
        <f>IF(VOUT_setting=1,0,ATAN(A305*$Q$4/(1+Afbr-$Q$5*(A305)^2)))</f>
        <v/>
      </c>
      <c r="S305" s="1054">
        <f>SQRT((1-(Z305/pterm2))^2+(A305/pterm1)^2)</f>
        <v/>
      </c>
      <c r="T305" s="1055">
        <f>IF((ATAN((A305/pterm1)/(1-A305^2/pterm2))&gt;0),ATAN((A305/pterm1)/(1-A305^2/pterm2)),PI()+ATAN((A305/pterm1)/(1-A305^2/pterm2)))</f>
        <v/>
      </c>
      <c r="U305" s="331">
        <f>20*LOG10(((E305*K305*G305*O305)/(C305*I305*S305*M305*Q305))*Adc)</f>
        <v/>
      </c>
      <c r="V305" s="332">
        <f>((F305+L305+H305+P305)-(D305+J305+T305+N305+R305))*radconv</f>
        <v/>
      </c>
      <c r="W305" s="334">
        <f>IF(V305&gt;0,V305,V305+180)</f>
        <v/>
      </c>
      <c r="Y305" s="307">
        <f>IF(U305&lt;0,A305,1000000000)</f>
        <v/>
      </c>
      <c r="Z305" s="307">
        <f>A305^2</f>
        <v/>
      </c>
      <c r="AB305" s="333">
        <f>20*LOG10((K305/(I305*M305))*AEA)</f>
        <v/>
      </c>
      <c r="AC305" s="334">
        <f>(L305-(J305+N305))*radconv</f>
        <v/>
      </c>
      <c r="AE305" s="333">
        <f>20*LOG10((E305*G305/(C305*S305))*Acs*Am)</f>
        <v/>
      </c>
      <c r="AF305" s="334">
        <f>(F305+H305-(D305+T305))*radconv</f>
        <v/>
      </c>
      <c r="AH305">
        <f>SUM((U306&lt;0)*(U305&gt;0))*A305</f>
        <v/>
      </c>
      <c r="AI305">
        <f>IF(AH305&gt;0,W305,0)</f>
        <v/>
      </c>
    </row>
    <row r="306">
      <c r="A306" s="335" t="n">
        <v>21014.75</v>
      </c>
      <c r="B306" s="352">
        <f>A306/1000</f>
        <v/>
      </c>
      <c r="C306" s="1047">
        <f>SQRT(1+(A306/pole1)^2)</f>
        <v/>
      </c>
      <c r="D306" s="1048">
        <f>ATAN(A306/pole1)</f>
        <v/>
      </c>
      <c r="E306" s="1048">
        <f>SQRT(1+(A306/Zero1)^2)</f>
        <v/>
      </c>
      <c r="F306" s="1049">
        <f>ATAN(A306/Zero1)</f>
        <v/>
      </c>
      <c r="G306" s="1048">
        <f>IF(VIN_nom&gt;Vout, 1, SQRT(1+(A306/z_RHP)^2))</f>
        <v/>
      </c>
      <c r="H306" s="1049">
        <f>IF(VIN_nom&gt;Vout, 0, -ATAN(A306/z_RHP))</f>
        <v/>
      </c>
      <c r="I306" s="1047">
        <f>SQRT(1+(A306/Pole2)^2)</f>
        <v/>
      </c>
      <c r="J306" s="1050">
        <f>ATAN(A306/Pole2)</f>
        <v/>
      </c>
      <c r="K306" s="1056">
        <f>SQRT(1+(A306/Zero2)^2)</f>
        <v/>
      </c>
      <c r="L306" s="1057">
        <f>ATAN(A306/Zero2)</f>
        <v/>
      </c>
      <c r="M306" s="1047">
        <f>SQRT(1+(A306/pole4)^2)</f>
        <v/>
      </c>
      <c r="N306" s="1057">
        <f>ATAN(A306/pole4)</f>
        <v/>
      </c>
      <c r="O306" s="1058">
        <f>IF(VOUT_setting=1,1,SQRT(1+(A306*zterm1)^2))</f>
        <v/>
      </c>
      <c r="P306" s="1059">
        <f>IF(VOUT_setting=1,0,ATAN(((A306*zterm1))))</f>
        <v/>
      </c>
      <c r="Q306" s="1056">
        <f>IF(VOUT_setting=1,1,SQRT((1+Afbr-$Q$5*(A306)^2)^2+(A306*$Q$4)^2))</f>
        <v/>
      </c>
      <c r="R306" s="1060">
        <f>IF(VOUT_setting=1,0,ATAN(A306*$Q$4/(1+Afbr-$Q$5*(A306)^2)))</f>
        <v/>
      </c>
      <c r="S306" s="1054">
        <f>SQRT((1-(Z306/pterm2))^2+(A306/pterm1)^2)</f>
        <v/>
      </c>
      <c r="T306" s="1055">
        <f>IF((ATAN((A306/pterm1)/(1-A306^2/pterm2))&gt;0),ATAN((A306/pterm1)/(1-A306^2/pterm2)),PI()+ATAN((A306/pterm1)/(1-A306^2/pterm2)))</f>
        <v/>
      </c>
      <c r="U306" s="331">
        <f>20*LOG10(((E306*K306*G306*O306)/(C306*I306*S306*M306*Q306))*Adc)</f>
        <v/>
      </c>
      <c r="V306" s="332">
        <f>((F306+L306+H306+P306)-(D306+J306+T306+N306+R306))*radconv</f>
        <v/>
      </c>
      <c r="W306" s="334">
        <f>IF(V306&gt;0,V306,V306+180)</f>
        <v/>
      </c>
      <c r="Y306" s="307">
        <f>IF(U306&lt;0,A306,1000000000)</f>
        <v/>
      </c>
      <c r="Z306" s="307">
        <f>A306^2</f>
        <v/>
      </c>
      <c r="AB306" s="333">
        <f>20*LOG10((K306/(I306*M306))*AEA)</f>
        <v/>
      </c>
      <c r="AC306" s="334">
        <f>(L306-(J306+N306))*radconv</f>
        <v/>
      </c>
      <c r="AE306" s="333">
        <f>20*LOG10((E306*G306/(C306*S306))*Acs*Am)</f>
        <v/>
      </c>
      <c r="AF306" s="334">
        <f>(F306+H306-(D306+T306))*radconv</f>
        <v/>
      </c>
      <c r="AH306">
        <f>SUM((U307&lt;0)*(U306&gt;0))*A306</f>
        <v/>
      </c>
      <c r="AI306">
        <f>IF(AH306&gt;0,W306,0)</f>
        <v/>
      </c>
    </row>
    <row r="307">
      <c r="A307" s="335" t="n">
        <v>21136.5</v>
      </c>
      <c r="B307" s="352">
        <f>A307/1000</f>
        <v/>
      </c>
      <c r="C307" s="1047">
        <f>SQRT(1+(A307/pole1)^2)</f>
        <v/>
      </c>
      <c r="D307" s="1048">
        <f>ATAN(A307/pole1)</f>
        <v/>
      </c>
      <c r="E307" s="1048">
        <f>SQRT(1+(A307/Zero1)^2)</f>
        <v/>
      </c>
      <c r="F307" s="1049">
        <f>ATAN(A307/Zero1)</f>
        <v/>
      </c>
      <c r="G307" s="1048">
        <f>IF(VIN_nom&gt;Vout, 1, SQRT(1+(A307/z_RHP)^2))</f>
        <v/>
      </c>
      <c r="H307" s="1049">
        <f>IF(VIN_nom&gt;Vout, 0, -ATAN(A307/z_RHP))</f>
        <v/>
      </c>
      <c r="I307" s="1047">
        <f>SQRT(1+(A307/Pole2)^2)</f>
        <v/>
      </c>
      <c r="J307" s="1050">
        <f>ATAN(A307/Pole2)</f>
        <v/>
      </c>
      <c r="K307" s="1056">
        <f>SQRT(1+(A307/Zero2)^2)</f>
        <v/>
      </c>
      <c r="L307" s="1057">
        <f>ATAN(A307/Zero2)</f>
        <v/>
      </c>
      <c r="M307" s="1047">
        <f>SQRT(1+(A307/pole4)^2)</f>
        <v/>
      </c>
      <c r="N307" s="1057">
        <f>ATAN(A307/pole4)</f>
        <v/>
      </c>
      <c r="O307" s="1058">
        <f>IF(VOUT_setting=1,1,SQRT(1+(A307*zterm1)^2))</f>
        <v/>
      </c>
      <c r="P307" s="1059">
        <f>IF(VOUT_setting=1,0,ATAN(((A307*zterm1))))</f>
        <v/>
      </c>
      <c r="Q307" s="1056">
        <f>IF(VOUT_setting=1,1,SQRT((1+Afbr-$Q$5*(A307)^2)^2+(A307*$Q$4)^2))</f>
        <v/>
      </c>
      <c r="R307" s="1060">
        <f>IF(VOUT_setting=1,0,ATAN(A307*$Q$4/(1+Afbr-$Q$5*(A307)^2)))</f>
        <v/>
      </c>
      <c r="S307" s="1054">
        <f>SQRT((1-(Z307/pterm2))^2+(A307/pterm1)^2)</f>
        <v/>
      </c>
      <c r="T307" s="1055">
        <f>IF((ATAN((A307/pterm1)/(1-A307^2/pterm2))&gt;0),ATAN((A307/pterm1)/(1-A307^2/pterm2)),PI()+ATAN((A307/pterm1)/(1-A307^2/pterm2)))</f>
        <v/>
      </c>
      <c r="U307" s="331">
        <f>20*LOG10(((E307*K307*G307*O307)/(C307*I307*S307*M307*Q307))*Adc)</f>
        <v/>
      </c>
      <c r="V307" s="332">
        <f>((F307+L307+H307+P307)-(D307+J307+T307+N307+R307))*radconv</f>
        <v/>
      </c>
      <c r="W307" s="334">
        <f>IF(V307&gt;0,V307,V307+180)</f>
        <v/>
      </c>
      <c r="Y307" s="307">
        <f>IF(U307&lt;0,A307,1000000000)</f>
        <v/>
      </c>
      <c r="Z307" s="307">
        <f>A307^2</f>
        <v/>
      </c>
      <c r="AB307" s="333">
        <f>20*LOG10((K307/(I307*M307))*AEA)</f>
        <v/>
      </c>
      <c r="AC307" s="334">
        <f>(L307-(J307+N307))*radconv</f>
        <v/>
      </c>
      <c r="AE307" s="333">
        <f>20*LOG10((E307*G307/(C307*S307))*Acs*Am)</f>
        <v/>
      </c>
      <c r="AF307" s="334">
        <f>(F307+H307-(D307+T307))*radconv</f>
        <v/>
      </c>
      <c r="AH307">
        <f>SUM((U308&lt;0)*(U307&gt;0))*A307</f>
        <v/>
      </c>
      <c r="AI307">
        <f>IF(AH307&gt;0,W307,0)</f>
        <v/>
      </c>
    </row>
    <row r="308">
      <c r="A308" s="335" t="n">
        <v>21258.25</v>
      </c>
      <c r="B308" s="352">
        <f>A308/1000</f>
        <v/>
      </c>
      <c r="C308" s="1047">
        <f>SQRT(1+(A308/pole1)^2)</f>
        <v/>
      </c>
      <c r="D308" s="1048">
        <f>ATAN(A308/pole1)</f>
        <v/>
      </c>
      <c r="E308" s="1048">
        <f>SQRT(1+(A308/Zero1)^2)</f>
        <v/>
      </c>
      <c r="F308" s="1049">
        <f>ATAN(A308/Zero1)</f>
        <v/>
      </c>
      <c r="G308" s="1048">
        <f>IF(VIN_nom&gt;Vout, 1, SQRT(1+(A308/z_RHP)^2))</f>
        <v/>
      </c>
      <c r="H308" s="1049">
        <f>IF(VIN_nom&gt;Vout, 0, -ATAN(A308/z_RHP))</f>
        <v/>
      </c>
      <c r="I308" s="1047">
        <f>SQRT(1+(A308/Pole2)^2)</f>
        <v/>
      </c>
      <c r="J308" s="1050">
        <f>ATAN(A308/Pole2)</f>
        <v/>
      </c>
      <c r="K308" s="1056">
        <f>SQRT(1+(A308/Zero2)^2)</f>
        <v/>
      </c>
      <c r="L308" s="1057">
        <f>ATAN(A308/Zero2)</f>
        <v/>
      </c>
      <c r="M308" s="1047">
        <f>SQRT(1+(A308/pole4)^2)</f>
        <v/>
      </c>
      <c r="N308" s="1057">
        <f>ATAN(A308/pole4)</f>
        <v/>
      </c>
      <c r="O308" s="1058">
        <f>IF(VOUT_setting=1,1,SQRT(1+(A308*zterm1)^2))</f>
        <v/>
      </c>
      <c r="P308" s="1059">
        <f>IF(VOUT_setting=1,0,ATAN(((A308*zterm1))))</f>
        <v/>
      </c>
      <c r="Q308" s="1056">
        <f>IF(VOUT_setting=1,1,SQRT((1+Afbr-$Q$5*(A308)^2)^2+(A308*$Q$4)^2))</f>
        <v/>
      </c>
      <c r="R308" s="1060">
        <f>IF(VOUT_setting=1,0,ATAN(A308*$Q$4/(1+Afbr-$Q$5*(A308)^2)))</f>
        <v/>
      </c>
      <c r="S308" s="1054">
        <f>SQRT((1-(Z308/pterm2))^2+(A308/pterm1)^2)</f>
        <v/>
      </c>
      <c r="T308" s="1055">
        <f>IF((ATAN((A308/pterm1)/(1-A308^2/pterm2))&gt;0),ATAN((A308/pterm1)/(1-A308^2/pterm2)),PI()+ATAN((A308/pterm1)/(1-A308^2/pterm2)))</f>
        <v/>
      </c>
      <c r="U308" s="331">
        <f>20*LOG10(((E308*K308*G308*O308)/(C308*I308*S308*M308*Q308))*Adc)</f>
        <v/>
      </c>
      <c r="V308" s="332">
        <f>((F308+L308+H308+P308)-(D308+J308+T308+N308+R308))*radconv</f>
        <v/>
      </c>
      <c r="W308" s="334">
        <f>IF(V308&gt;0,V308,V308+180)</f>
        <v/>
      </c>
      <c r="Y308" s="307">
        <f>IF(U308&lt;0,A308,1000000000)</f>
        <v/>
      </c>
      <c r="Z308" s="307">
        <f>A308^2</f>
        <v/>
      </c>
      <c r="AB308" s="333">
        <f>20*LOG10((K308/(I308*M308))*AEA)</f>
        <v/>
      </c>
      <c r="AC308" s="334">
        <f>(L308-(J308+N308))*radconv</f>
        <v/>
      </c>
      <c r="AE308" s="333">
        <f>20*LOG10((E308*G308/(C308*S308))*Acs*Am)</f>
        <v/>
      </c>
      <c r="AF308" s="334">
        <f>(F308+H308-(D308+T308))*radconv</f>
        <v/>
      </c>
      <c r="AH308">
        <f>SUM((U309&lt;0)*(U308&gt;0))*A308</f>
        <v/>
      </c>
      <c r="AI308">
        <f>IF(AH308&gt;0,W308,0)</f>
        <v/>
      </c>
    </row>
    <row r="309">
      <c r="A309" s="335" t="n">
        <v>21380</v>
      </c>
      <c r="B309" s="352">
        <f>A309/1000</f>
        <v/>
      </c>
      <c r="C309" s="1047">
        <f>SQRT(1+(A309/pole1)^2)</f>
        <v/>
      </c>
      <c r="D309" s="1048">
        <f>ATAN(A309/pole1)</f>
        <v/>
      </c>
      <c r="E309" s="1048">
        <f>SQRT(1+(A309/Zero1)^2)</f>
        <v/>
      </c>
      <c r="F309" s="1049">
        <f>ATAN(A309/Zero1)</f>
        <v/>
      </c>
      <c r="G309" s="1048">
        <f>IF(VIN_nom&gt;Vout, 1, SQRT(1+(A309/z_RHP)^2))</f>
        <v/>
      </c>
      <c r="H309" s="1049">
        <f>IF(VIN_nom&gt;Vout, 0, -ATAN(A309/z_RHP))</f>
        <v/>
      </c>
      <c r="I309" s="1047">
        <f>SQRT(1+(A309/Pole2)^2)</f>
        <v/>
      </c>
      <c r="J309" s="1050">
        <f>ATAN(A309/Pole2)</f>
        <v/>
      </c>
      <c r="K309" s="1056">
        <f>SQRT(1+(A309/Zero2)^2)</f>
        <v/>
      </c>
      <c r="L309" s="1057">
        <f>ATAN(A309/Zero2)</f>
        <v/>
      </c>
      <c r="M309" s="1047">
        <f>SQRT(1+(A309/pole4)^2)</f>
        <v/>
      </c>
      <c r="N309" s="1057">
        <f>ATAN(A309/pole4)</f>
        <v/>
      </c>
      <c r="O309" s="1058">
        <f>IF(VOUT_setting=1,1,SQRT(1+(A309*zterm1)^2))</f>
        <v/>
      </c>
      <c r="P309" s="1059">
        <f>IF(VOUT_setting=1,0,ATAN(((A309*zterm1))))</f>
        <v/>
      </c>
      <c r="Q309" s="1056">
        <f>IF(VOUT_setting=1,1,SQRT((1+Afbr-$Q$5*(A309)^2)^2+(A309*$Q$4)^2))</f>
        <v/>
      </c>
      <c r="R309" s="1060">
        <f>IF(VOUT_setting=1,0,ATAN(A309*$Q$4/(1+Afbr-$Q$5*(A309)^2)))</f>
        <v/>
      </c>
      <c r="S309" s="1054">
        <f>SQRT((1-(Z309/pterm2))^2+(A309/pterm1)^2)</f>
        <v/>
      </c>
      <c r="T309" s="1055">
        <f>IF((ATAN((A309/pterm1)/(1-A309^2/pterm2))&gt;0),ATAN((A309/pterm1)/(1-A309^2/pterm2)),PI()+ATAN((A309/pterm1)/(1-A309^2/pterm2)))</f>
        <v/>
      </c>
      <c r="U309" s="331">
        <f>20*LOG10(((E309*K309*G309*O309)/(C309*I309*S309*M309*Q309))*Adc)</f>
        <v/>
      </c>
      <c r="V309" s="332">
        <f>((F309+L309+H309+P309)-(D309+J309+T309+N309+R309))*radconv</f>
        <v/>
      </c>
      <c r="W309" s="334">
        <f>IF(V309&gt;0,V309,V309+180)</f>
        <v/>
      </c>
      <c r="Y309" s="307">
        <f>IF(U309&lt;0,A309,1000000000)</f>
        <v/>
      </c>
      <c r="Z309" s="307">
        <f>A309^2</f>
        <v/>
      </c>
      <c r="AB309" s="333">
        <f>20*LOG10((K309/(I309*M309))*AEA)</f>
        <v/>
      </c>
      <c r="AC309" s="334">
        <f>(L309-(J309+N309))*radconv</f>
        <v/>
      </c>
      <c r="AE309" s="333">
        <f>20*LOG10((E309*G309/(C309*S309))*Acs*Am)</f>
        <v/>
      </c>
      <c r="AF309" s="334">
        <f>(F309+H309-(D309+T309))*radconv</f>
        <v/>
      </c>
      <c r="AH309">
        <f>SUM((U310&lt;0)*(U309&gt;0))*A309</f>
        <v/>
      </c>
      <c r="AI309">
        <f>IF(AH309&gt;0,W309,0)</f>
        <v/>
      </c>
    </row>
    <row r="310">
      <c r="A310" s="335" t="n">
        <v>21504.5</v>
      </c>
      <c r="B310" s="352">
        <f>A310/1000</f>
        <v/>
      </c>
      <c r="C310" s="1047">
        <f>SQRT(1+(A310/pole1)^2)</f>
        <v/>
      </c>
      <c r="D310" s="1048">
        <f>ATAN(A310/pole1)</f>
        <v/>
      </c>
      <c r="E310" s="1048">
        <f>SQRT(1+(A310/Zero1)^2)</f>
        <v/>
      </c>
      <c r="F310" s="1049">
        <f>ATAN(A310/Zero1)</f>
        <v/>
      </c>
      <c r="G310" s="1048">
        <f>IF(VIN_nom&gt;Vout, 1, SQRT(1+(A310/z_RHP)^2))</f>
        <v/>
      </c>
      <c r="H310" s="1049">
        <f>IF(VIN_nom&gt;Vout, 0, -ATAN(A310/z_RHP))</f>
        <v/>
      </c>
      <c r="I310" s="1047">
        <f>SQRT(1+(A310/Pole2)^2)</f>
        <v/>
      </c>
      <c r="J310" s="1050">
        <f>ATAN(A310/Pole2)</f>
        <v/>
      </c>
      <c r="K310" s="1056">
        <f>SQRT(1+(A310/Zero2)^2)</f>
        <v/>
      </c>
      <c r="L310" s="1057">
        <f>ATAN(A310/Zero2)</f>
        <v/>
      </c>
      <c r="M310" s="1047">
        <f>SQRT(1+(A310/pole4)^2)</f>
        <v/>
      </c>
      <c r="N310" s="1057">
        <f>ATAN(A310/pole4)</f>
        <v/>
      </c>
      <c r="O310" s="1058">
        <f>IF(VOUT_setting=1,1,SQRT(1+(A310*zterm1)^2))</f>
        <v/>
      </c>
      <c r="P310" s="1059">
        <f>IF(VOUT_setting=1,0,ATAN(((A310*zterm1))))</f>
        <v/>
      </c>
      <c r="Q310" s="1056">
        <f>IF(VOUT_setting=1,1,SQRT((1+Afbr-$Q$5*(A310)^2)^2+(A310*$Q$4)^2))</f>
        <v/>
      </c>
      <c r="R310" s="1060">
        <f>IF(VOUT_setting=1,0,ATAN(A310*$Q$4/(1+Afbr-$Q$5*(A310)^2)))</f>
        <v/>
      </c>
      <c r="S310" s="1054">
        <f>SQRT((1-(Z310/pterm2))^2+(A310/pterm1)^2)</f>
        <v/>
      </c>
      <c r="T310" s="1055">
        <f>IF((ATAN((A310/pterm1)/(1-A310^2/pterm2))&gt;0),ATAN((A310/pterm1)/(1-A310^2/pterm2)),PI()+ATAN((A310/pterm1)/(1-A310^2/pterm2)))</f>
        <v/>
      </c>
      <c r="U310" s="331">
        <f>20*LOG10(((E310*K310*G310*O310)/(C310*I310*S310*M310*Q310))*Adc)</f>
        <v/>
      </c>
      <c r="V310" s="332">
        <f>((F310+L310+H310+P310)-(D310+J310+T310+N310+R310))*radconv</f>
        <v/>
      </c>
      <c r="W310" s="334">
        <f>IF(V310&gt;0,V310,V310+180)</f>
        <v/>
      </c>
      <c r="Y310" s="307">
        <f>IF(U310&lt;0,A310,1000000000)</f>
        <v/>
      </c>
      <c r="Z310" s="307">
        <f>A310^2</f>
        <v/>
      </c>
      <c r="AB310" s="333">
        <f>20*LOG10((K310/(I310*M310))*AEA)</f>
        <v/>
      </c>
      <c r="AC310" s="334">
        <f>(L310-(J310+N310))*radconv</f>
        <v/>
      </c>
      <c r="AE310" s="333">
        <f>20*LOG10((E310*G310/(C310*S310))*Acs*Am)</f>
        <v/>
      </c>
      <c r="AF310" s="334">
        <f>(F310+H310-(D310+T310))*radconv</f>
        <v/>
      </c>
      <c r="AH310">
        <f>SUM((U311&lt;0)*(U310&gt;0))*A310</f>
        <v/>
      </c>
      <c r="AI310">
        <f>IF(AH310&gt;0,W310,0)</f>
        <v/>
      </c>
    </row>
    <row r="311">
      <c r="A311" s="335" t="n">
        <v>21629</v>
      </c>
      <c r="B311" s="352">
        <f>A311/1000</f>
        <v/>
      </c>
      <c r="C311" s="1047">
        <f>SQRT(1+(A311/pole1)^2)</f>
        <v/>
      </c>
      <c r="D311" s="1048">
        <f>ATAN(A311/pole1)</f>
        <v/>
      </c>
      <c r="E311" s="1048">
        <f>SQRT(1+(A311/Zero1)^2)</f>
        <v/>
      </c>
      <c r="F311" s="1049">
        <f>ATAN(A311/Zero1)</f>
        <v/>
      </c>
      <c r="G311" s="1048">
        <f>IF(VIN_nom&gt;Vout, 1, SQRT(1+(A311/z_RHP)^2))</f>
        <v/>
      </c>
      <c r="H311" s="1049">
        <f>IF(VIN_nom&gt;Vout, 0, -ATAN(A311/z_RHP))</f>
        <v/>
      </c>
      <c r="I311" s="1047">
        <f>SQRT(1+(A311/Pole2)^2)</f>
        <v/>
      </c>
      <c r="J311" s="1050">
        <f>ATAN(A311/Pole2)</f>
        <v/>
      </c>
      <c r="K311" s="1056">
        <f>SQRT(1+(A311/Zero2)^2)</f>
        <v/>
      </c>
      <c r="L311" s="1057">
        <f>ATAN(A311/Zero2)</f>
        <v/>
      </c>
      <c r="M311" s="1047">
        <f>SQRT(1+(A311/pole4)^2)</f>
        <v/>
      </c>
      <c r="N311" s="1057">
        <f>ATAN(A311/pole4)</f>
        <v/>
      </c>
      <c r="O311" s="1058">
        <f>IF(VOUT_setting=1,1,SQRT(1+(A311*zterm1)^2))</f>
        <v/>
      </c>
      <c r="P311" s="1059">
        <f>IF(VOUT_setting=1,0,ATAN(((A311*zterm1))))</f>
        <v/>
      </c>
      <c r="Q311" s="1056">
        <f>IF(VOUT_setting=1,1,SQRT((1+Afbr-$Q$5*(A311)^2)^2+(A311*$Q$4)^2))</f>
        <v/>
      </c>
      <c r="R311" s="1060">
        <f>IF(VOUT_setting=1,0,ATAN(A311*$Q$4/(1+Afbr-$Q$5*(A311)^2)))</f>
        <v/>
      </c>
      <c r="S311" s="1054">
        <f>SQRT((1-(Z311/pterm2))^2+(A311/pterm1)^2)</f>
        <v/>
      </c>
      <c r="T311" s="1055">
        <f>IF((ATAN((A311/pterm1)/(1-A311^2/pterm2))&gt;0),ATAN((A311/pterm1)/(1-A311^2/pterm2)),PI()+ATAN((A311/pterm1)/(1-A311^2/pterm2)))</f>
        <v/>
      </c>
      <c r="U311" s="331">
        <f>20*LOG10(((E311*K311*G311*O311)/(C311*I311*S311*M311*Q311))*Adc)</f>
        <v/>
      </c>
      <c r="V311" s="332">
        <f>((F311+L311+H311+P311)-(D311+J311+T311+N311+R311))*radconv</f>
        <v/>
      </c>
      <c r="W311" s="334">
        <f>IF(V311&gt;0,V311,V311+180)</f>
        <v/>
      </c>
      <c r="Y311" s="307">
        <f>IF(U311&lt;0,A311,1000000000)</f>
        <v/>
      </c>
      <c r="Z311" s="307">
        <f>A311^2</f>
        <v/>
      </c>
      <c r="AB311" s="333">
        <f>20*LOG10((K311/(I311*M311))*AEA)</f>
        <v/>
      </c>
      <c r="AC311" s="334">
        <f>(L311-(J311+N311))*radconv</f>
        <v/>
      </c>
      <c r="AE311" s="333">
        <f>20*LOG10((E311*G311/(C311*S311))*Acs*Am)</f>
        <v/>
      </c>
      <c r="AF311" s="334">
        <f>(F311+H311-(D311+T311))*radconv</f>
        <v/>
      </c>
      <c r="AH311">
        <f>SUM((U312&lt;0)*(U311&gt;0))*A311</f>
        <v/>
      </c>
      <c r="AI311">
        <f>IF(AH311&gt;0,W311,0)</f>
        <v/>
      </c>
    </row>
    <row r="312">
      <c r="A312" s="335" t="n">
        <v>21753.5</v>
      </c>
      <c r="B312" s="352">
        <f>A312/1000</f>
        <v/>
      </c>
      <c r="C312" s="1047">
        <f>SQRT(1+(A312/pole1)^2)</f>
        <v/>
      </c>
      <c r="D312" s="1048">
        <f>ATAN(A312/pole1)</f>
        <v/>
      </c>
      <c r="E312" s="1048">
        <f>SQRT(1+(A312/Zero1)^2)</f>
        <v/>
      </c>
      <c r="F312" s="1049">
        <f>ATAN(A312/Zero1)</f>
        <v/>
      </c>
      <c r="G312" s="1048">
        <f>IF(VIN_nom&gt;Vout, 1, SQRT(1+(A312/z_RHP)^2))</f>
        <v/>
      </c>
      <c r="H312" s="1049">
        <f>IF(VIN_nom&gt;Vout, 0, -ATAN(A312/z_RHP))</f>
        <v/>
      </c>
      <c r="I312" s="1047">
        <f>SQRT(1+(A312/Pole2)^2)</f>
        <v/>
      </c>
      <c r="J312" s="1050">
        <f>ATAN(A312/Pole2)</f>
        <v/>
      </c>
      <c r="K312" s="1056">
        <f>SQRT(1+(A312/Zero2)^2)</f>
        <v/>
      </c>
      <c r="L312" s="1057">
        <f>ATAN(A312/Zero2)</f>
        <v/>
      </c>
      <c r="M312" s="1047">
        <f>SQRT(1+(A312/pole4)^2)</f>
        <v/>
      </c>
      <c r="N312" s="1057">
        <f>ATAN(A312/pole4)</f>
        <v/>
      </c>
      <c r="O312" s="1058">
        <f>IF(VOUT_setting=1,1,SQRT(1+(A312*zterm1)^2))</f>
        <v/>
      </c>
      <c r="P312" s="1059">
        <f>IF(VOUT_setting=1,0,ATAN(((A312*zterm1))))</f>
        <v/>
      </c>
      <c r="Q312" s="1056">
        <f>IF(VOUT_setting=1,1,SQRT((1+Afbr-$Q$5*(A312)^2)^2+(A312*$Q$4)^2))</f>
        <v/>
      </c>
      <c r="R312" s="1060">
        <f>IF(VOUT_setting=1,0,ATAN(A312*$Q$4/(1+Afbr-$Q$5*(A312)^2)))</f>
        <v/>
      </c>
      <c r="S312" s="1054">
        <f>SQRT((1-(Z312/pterm2))^2+(A312/pterm1)^2)</f>
        <v/>
      </c>
      <c r="T312" s="1055">
        <f>IF((ATAN((A312/pterm1)/(1-A312^2/pterm2))&gt;0),ATAN((A312/pterm1)/(1-A312^2/pterm2)),PI()+ATAN((A312/pterm1)/(1-A312^2/pterm2)))</f>
        <v/>
      </c>
      <c r="U312" s="331">
        <f>20*LOG10(((E312*K312*G312*O312)/(C312*I312*S312*M312*Q312))*Adc)</f>
        <v/>
      </c>
      <c r="V312" s="332">
        <f>((F312+L312+H312+P312)-(D312+J312+T312+N312+R312))*radconv</f>
        <v/>
      </c>
      <c r="W312" s="334">
        <f>IF(V312&gt;0,V312,V312+180)</f>
        <v/>
      </c>
      <c r="Y312" s="307">
        <f>IF(U312&lt;0,A312,1000000000)</f>
        <v/>
      </c>
      <c r="Z312" s="307">
        <f>A312^2</f>
        <v/>
      </c>
      <c r="AB312" s="333">
        <f>20*LOG10((K312/(I312*M312))*AEA)</f>
        <v/>
      </c>
      <c r="AC312" s="334">
        <f>(L312-(J312+N312))*radconv</f>
        <v/>
      </c>
      <c r="AE312" s="333">
        <f>20*LOG10((E312*G312/(C312*S312))*Acs*Am)</f>
        <v/>
      </c>
      <c r="AF312" s="334">
        <f>(F312+H312-(D312+T312))*radconv</f>
        <v/>
      </c>
      <c r="AH312">
        <f>SUM((U313&lt;0)*(U312&gt;0))*A312</f>
        <v/>
      </c>
      <c r="AI312">
        <f>IF(AH312&gt;0,W312,0)</f>
        <v/>
      </c>
    </row>
    <row r="313">
      <c r="A313" s="335" t="n">
        <v>21878</v>
      </c>
      <c r="B313" s="352">
        <f>A313/1000</f>
        <v/>
      </c>
      <c r="C313" s="1047">
        <f>SQRT(1+(A313/pole1)^2)</f>
        <v/>
      </c>
      <c r="D313" s="1048">
        <f>ATAN(A313/pole1)</f>
        <v/>
      </c>
      <c r="E313" s="1048">
        <f>SQRT(1+(A313/Zero1)^2)</f>
        <v/>
      </c>
      <c r="F313" s="1049">
        <f>ATAN(A313/Zero1)</f>
        <v/>
      </c>
      <c r="G313" s="1048">
        <f>IF(VIN_nom&gt;Vout, 1, SQRT(1+(A313/z_RHP)^2))</f>
        <v/>
      </c>
      <c r="H313" s="1049">
        <f>IF(VIN_nom&gt;Vout, 0, -ATAN(A313/z_RHP))</f>
        <v/>
      </c>
      <c r="I313" s="1047">
        <f>SQRT(1+(A313/Pole2)^2)</f>
        <v/>
      </c>
      <c r="J313" s="1050">
        <f>ATAN(A313/Pole2)</f>
        <v/>
      </c>
      <c r="K313" s="1056">
        <f>SQRT(1+(A313/Zero2)^2)</f>
        <v/>
      </c>
      <c r="L313" s="1057">
        <f>ATAN(A313/Zero2)</f>
        <v/>
      </c>
      <c r="M313" s="1047">
        <f>SQRT(1+(A313/pole4)^2)</f>
        <v/>
      </c>
      <c r="N313" s="1057">
        <f>ATAN(A313/pole4)</f>
        <v/>
      </c>
      <c r="O313" s="1058">
        <f>IF(VOUT_setting=1,1,SQRT(1+(A313*zterm1)^2))</f>
        <v/>
      </c>
      <c r="P313" s="1059">
        <f>IF(VOUT_setting=1,0,ATAN(((A313*zterm1))))</f>
        <v/>
      </c>
      <c r="Q313" s="1056">
        <f>IF(VOUT_setting=1,1,SQRT((1+Afbr-$Q$5*(A313)^2)^2+(A313*$Q$4)^2))</f>
        <v/>
      </c>
      <c r="R313" s="1060">
        <f>IF(VOUT_setting=1,0,ATAN(A313*$Q$4/(1+Afbr-$Q$5*(A313)^2)))</f>
        <v/>
      </c>
      <c r="S313" s="1054">
        <f>SQRT((1-(Z313/pterm2))^2+(A313/pterm1)^2)</f>
        <v/>
      </c>
      <c r="T313" s="1055">
        <f>IF((ATAN((A313/pterm1)/(1-A313^2/pterm2))&gt;0),ATAN((A313/pterm1)/(1-A313^2/pterm2)),PI()+ATAN((A313/pterm1)/(1-A313^2/pterm2)))</f>
        <v/>
      </c>
      <c r="U313" s="331">
        <f>20*LOG10(((E313*K313*G313*O313)/(C313*I313*S313*M313*Q313))*Adc)</f>
        <v/>
      </c>
      <c r="V313" s="332">
        <f>((F313+L313+H313+P313)-(D313+J313+T313+N313+R313))*radconv</f>
        <v/>
      </c>
      <c r="W313" s="334">
        <f>IF(V313&gt;0,V313,V313+180)</f>
        <v/>
      </c>
      <c r="Y313" s="307">
        <f>IF(U313&lt;0,A313,1000000000)</f>
        <v/>
      </c>
      <c r="Z313" s="307">
        <f>A313^2</f>
        <v/>
      </c>
      <c r="AB313" s="333">
        <f>20*LOG10((K313/(I313*M313))*AEA)</f>
        <v/>
      </c>
      <c r="AC313" s="334">
        <f>(L313-(J313+N313))*radconv</f>
        <v/>
      </c>
      <c r="AE313" s="333">
        <f>20*LOG10((E313*G313/(C313*S313))*Acs*Am)</f>
        <v/>
      </c>
      <c r="AF313" s="334">
        <f>(F313+H313-(D313+T313))*radconv</f>
        <v/>
      </c>
      <c r="AH313">
        <f>SUM((U314&lt;0)*(U313&gt;0))*A313</f>
        <v/>
      </c>
      <c r="AI313">
        <f>IF(AH313&gt;0,W313,0)</f>
        <v/>
      </c>
    </row>
    <row r="314">
      <c r="A314" s="335" t="n">
        <v>22005.25</v>
      </c>
      <c r="B314" s="352">
        <f>A314/1000</f>
        <v/>
      </c>
      <c r="C314" s="1047">
        <f>SQRT(1+(A314/pole1)^2)</f>
        <v/>
      </c>
      <c r="D314" s="1048">
        <f>ATAN(A314/pole1)</f>
        <v/>
      </c>
      <c r="E314" s="1048">
        <f>SQRT(1+(A314/Zero1)^2)</f>
        <v/>
      </c>
      <c r="F314" s="1049">
        <f>ATAN(A314/Zero1)</f>
        <v/>
      </c>
      <c r="G314" s="1048">
        <f>IF(VIN_nom&gt;Vout, 1, SQRT(1+(A314/z_RHP)^2))</f>
        <v/>
      </c>
      <c r="H314" s="1049">
        <f>IF(VIN_nom&gt;Vout, 0, -ATAN(A314/z_RHP))</f>
        <v/>
      </c>
      <c r="I314" s="1047">
        <f>SQRT(1+(A314/Pole2)^2)</f>
        <v/>
      </c>
      <c r="J314" s="1050">
        <f>ATAN(A314/Pole2)</f>
        <v/>
      </c>
      <c r="K314" s="1056">
        <f>SQRT(1+(A314/Zero2)^2)</f>
        <v/>
      </c>
      <c r="L314" s="1057">
        <f>ATAN(A314/Zero2)</f>
        <v/>
      </c>
      <c r="M314" s="1047">
        <f>SQRT(1+(A314/pole4)^2)</f>
        <v/>
      </c>
      <c r="N314" s="1057">
        <f>ATAN(A314/pole4)</f>
        <v/>
      </c>
      <c r="O314" s="1058">
        <f>IF(VOUT_setting=1,1,SQRT(1+(A314*zterm1)^2))</f>
        <v/>
      </c>
      <c r="P314" s="1059">
        <f>IF(VOUT_setting=1,0,ATAN(((A314*zterm1))))</f>
        <v/>
      </c>
      <c r="Q314" s="1056">
        <f>IF(VOUT_setting=1,1,SQRT((1+Afbr-$Q$5*(A314)^2)^2+(A314*$Q$4)^2))</f>
        <v/>
      </c>
      <c r="R314" s="1060">
        <f>IF(VOUT_setting=1,0,ATAN(A314*$Q$4/(1+Afbr-$Q$5*(A314)^2)))</f>
        <v/>
      </c>
      <c r="S314" s="1054">
        <f>SQRT((1-(Z314/pterm2))^2+(A314/pterm1)^2)</f>
        <v/>
      </c>
      <c r="T314" s="1055">
        <f>IF((ATAN((A314/pterm1)/(1-A314^2/pterm2))&gt;0),ATAN((A314/pterm1)/(1-A314^2/pterm2)),PI()+ATAN((A314/pterm1)/(1-A314^2/pterm2)))</f>
        <v/>
      </c>
      <c r="U314" s="331">
        <f>20*LOG10(((E314*K314*G314*O314)/(C314*I314*S314*M314*Q314))*Adc)</f>
        <v/>
      </c>
      <c r="V314" s="332">
        <f>((F314+L314+H314+P314)-(D314+J314+T314+N314+R314))*radconv</f>
        <v/>
      </c>
      <c r="W314" s="334">
        <f>IF(V314&gt;0,V314,V314+180)</f>
        <v/>
      </c>
      <c r="Y314" s="307">
        <f>IF(U314&lt;0,A314,1000000000)</f>
        <v/>
      </c>
      <c r="Z314" s="307">
        <f>A314^2</f>
        <v/>
      </c>
      <c r="AB314" s="333">
        <f>20*LOG10((K314/(I314*M314))*AEA)</f>
        <v/>
      </c>
      <c r="AC314" s="334">
        <f>(L314-(J314+N314))*radconv</f>
        <v/>
      </c>
      <c r="AE314" s="333">
        <f>20*LOG10((E314*G314/(C314*S314))*Acs*Am)</f>
        <v/>
      </c>
      <c r="AF314" s="334">
        <f>(F314+H314-(D314+T314))*radconv</f>
        <v/>
      </c>
      <c r="AH314">
        <f>SUM((U315&lt;0)*(U314&gt;0))*A314</f>
        <v/>
      </c>
      <c r="AI314">
        <f>IF(AH314&gt;0,W314,0)</f>
        <v/>
      </c>
    </row>
    <row r="315">
      <c r="A315" s="335" t="n">
        <v>22132.5</v>
      </c>
      <c r="B315" s="352">
        <f>A315/1000</f>
        <v/>
      </c>
      <c r="C315" s="1047">
        <f>SQRT(1+(A315/pole1)^2)</f>
        <v/>
      </c>
      <c r="D315" s="1048">
        <f>ATAN(A315/pole1)</f>
        <v/>
      </c>
      <c r="E315" s="1048">
        <f>SQRT(1+(A315/Zero1)^2)</f>
        <v/>
      </c>
      <c r="F315" s="1049">
        <f>ATAN(A315/Zero1)</f>
        <v/>
      </c>
      <c r="G315" s="1048">
        <f>IF(VIN_nom&gt;Vout, 1, SQRT(1+(A315/z_RHP)^2))</f>
        <v/>
      </c>
      <c r="H315" s="1049">
        <f>IF(VIN_nom&gt;Vout, 0, -ATAN(A315/z_RHP))</f>
        <v/>
      </c>
      <c r="I315" s="1047">
        <f>SQRT(1+(A315/Pole2)^2)</f>
        <v/>
      </c>
      <c r="J315" s="1050">
        <f>ATAN(A315/Pole2)</f>
        <v/>
      </c>
      <c r="K315" s="1056">
        <f>SQRT(1+(A315/Zero2)^2)</f>
        <v/>
      </c>
      <c r="L315" s="1057">
        <f>ATAN(A315/Zero2)</f>
        <v/>
      </c>
      <c r="M315" s="1047">
        <f>SQRT(1+(A315/pole4)^2)</f>
        <v/>
      </c>
      <c r="N315" s="1057">
        <f>ATAN(A315/pole4)</f>
        <v/>
      </c>
      <c r="O315" s="1058">
        <f>IF(VOUT_setting=1,1,SQRT(1+(A315*zterm1)^2))</f>
        <v/>
      </c>
      <c r="P315" s="1059">
        <f>IF(VOUT_setting=1,0,ATAN(((A315*zterm1))))</f>
        <v/>
      </c>
      <c r="Q315" s="1056">
        <f>IF(VOUT_setting=1,1,SQRT((1+Afbr-$Q$5*(A315)^2)^2+(A315*$Q$4)^2))</f>
        <v/>
      </c>
      <c r="R315" s="1060">
        <f>IF(VOUT_setting=1,0,ATAN(A315*$Q$4/(1+Afbr-$Q$5*(A315)^2)))</f>
        <v/>
      </c>
      <c r="S315" s="1054">
        <f>SQRT((1-(Z315/pterm2))^2+(A315/pterm1)^2)</f>
        <v/>
      </c>
      <c r="T315" s="1055">
        <f>IF((ATAN((A315/pterm1)/(1-A315^2/pterm2))&gt;0),ATAN((A315/pterm1)/(1-A315^2/pterm2)),PI()+ATAN((A315/pterm1)/(1-A315^2/pterm2)))</f>
        <v/>
      </c>
      <c r="U315" s="331">
        <f>20*LOG10(((E315*K315*G315*O315)/(C315*I315*S315*M315*Q315))*Adc)</f>
        <v/>
      </c>
      <c r="V315" s="332">
        <f>((F315+L315+H315+P315)-(D315+J315+T315+N315+R315))*radconv</f>
        <v/>
      </c>
      <c r="W315" s="334">
        <f>IF(V315&gt;0,V315,V315+180)</f>
        <v/>
      </c>
      <c r="Y315" s="307">
        <f>IF(U315&lt;0,A315,1000000000)</f>
        <v/>
      </c>
      <c r="Z315" s="307">
        <f>A315^2</f>
        <v/>
      </c>
      <c r="AB315" s="333">
        <f>20*LOG10((K315/(I315*M315))*AEA)</f>
        <v/>
      </c>
      <c r="AC315" s="334">
        <f>(L315-(J315+N315))*radconv</f>
        <v/>
      </c>
      <c r="AE315" s="333">
        <f>20*LOG10((E315*G315/(C315*S315))*Acs*Am)</f>
        <v/>
      </c>
      <c r="AF315" s="334">
        <f>(F315+H315-(D315+T315))*radconv</f>
        <v/>
      </c>
      <c r="AH315">
        <f>SUM((U316&lt;0)*(U315&gt;0))*A315</f>
        <v/>
      </c>
      <c r="AI315">
        <f>IF(AH315&gt;0,W315,0)</f>
        <v/>
      </c>
    </row>
    <row r="316">
      <c r="A316" s="335" t="n">
        <v>22259.75</v>
      </c>
      <c r="B316" s="352">
        <f>A316/1000</f>
        <v/>
      </c>
      <c r="C316" s="1047">
        <f>SQRT(1+(A316/pole1)^2)</f>
        <v/>
      </c>
      <c r="D316" s="1048">
        <f>ATAN(A316/pole1)</f>
        <v/>
      </c>
      <c r="E316" s="1048">
        <f>SQRT(1+(A316/Zero1)^2)</f>
        <v/>
      </c>
      <c r="F316" s="1049">
        <f>ATAN(A316/Zero1)</f>
        <v/>
      </c>
      <c r="G316" s="1048">
        <f>IF(VIN_nom&gt;Vout, 1, SQRT(1+(A316/z_RHP)^2))</f>
        <v/>
      </c>
      <c r="H316" s="1049">
        <f>IF(VIN_nom&gt;Vout, 0, -ATAN(A316/z_RHP))</f>
        <v/>
      </c>
      <c r="I316" s="1047">
        <f>SQRT(1+(A316/Pole2)^2)</f>
        <v/>
      </c>
      <c r="J316" s="1050">
        <f>ATAN(A316/Pole2)</f>
        <v/>
      </c>
      <c r="K316" s="1056">
        <f>SQRT(1+(A316/Zero2)^2)</f>
        <v/>
      </c>
      <c r="L316" s="1057">
        <f>ATAN(A316/Zero2)</f>
        <v/>
      </c>
      <c r="M316" s="1047">
        <f>SQRT(1+(A316/pole4)^2)</f>
        <v/>
      </c>
      <c r="N316" s="1057">
        <f>ATAN(A316/pole4)</f>
        <v/>
      </c>
      <c r="O316" s="1058">
        <f>IF(VOUT_setting=1,1,SQRT(1+(A316*zterm1)^2))</f>
        <v/>
      </c>
      <c r="P316" s="1059">
        <f>IF(VOUT_setting=1,0,ATAN(((A316*zterm1))))</f>
        <v/>
      </c>
      <c r="Q316" s="1056">
        <f>IF(VOUT_setting=1,1,SQRT((1+Afbr-$Q$5*(A316)^2)^2+(A316*$Q$4)^2))</f>
        <v/>
      </c>
      <c r="R316" s="1060">
        <f>IF(VOUT_setting=1,0,ATAN(A316*$Q$4/(1+Afbr-$Q$5*(A316)^2)))</f>
        <v/>
      </c>
      <c r="S316" s="1054">
        <f>SQRT((1-(Z316/pterm2))^2+(A316/pterm1)^2)</f>
        <v/>
      </c>
      <c r="T316" s="1055">
        <f>IF((ATAN((A316/pterm1)/(1-A316^2/pterm2))&gt;0),ATAN((A316/pterm1)/(1-A316^2/pterm2)),PI()+ATAN((A316/pterm1)/(1-A316^2/pterm2)))</f>
        <v/>
      </c>
      <c r="U316" s="331">
        <f>20*LOG10(((E316*K316*G316*O316)/(C316*I316*S316*M316*Q316))*Adc)</f>
        <v/>
      </c>
      <c r="V316" s="332">
        <f>((F316+L316+H316+P316)-(D316+J316+T316+N316+R316))*radconv</f>
        <v/>
      </c>
      <c r="W316" s="334">
        <f>IF(V316&gt;0,V316,V316+180)</f>
        <v/>
      </c>
      <c r="Y316" s="307">
        <f>IF(U316&lt;0,A316,1000000000)</f>
        <v/>
      </c>
      <c r="Z316" s="307">
        <f>A316^2</f>
        <v/>
      </c>
      <c r="AB316" s="333">
        <f>20*LOG10((K316/(I316*M316))*AEA)</f>
        <v/>
      </c>
      <c r="AC316" s="334">
        <f>(L316-(J316+N316))*radconv</f>
        <v/>
      </c>
      <c r="AE316" s="333">
        <f>20*LOG10((E316*G316/(C316*S316))*Acs*Am)</f>
        <v/>
      </c>
      <c r="AF316" s="334">
        <f>(F316+H316-(D316+T316))*radconv</f>
        <v/>
      </c>
      <c r="AH316">
        <f>SUM((U317&lt;0)*(U316&gt;0))*A316</f>
        <v/>
      </c>
      <c r="AI316">
        <f>IF(AH316&gt;0,W316,0)</f>
        <v/>
      </c>
    </row>
    <row r="317">
      <c r="A317" s="335" t="n">
        <v>22387</v>
      </c>
      <c r="B317" s="352">
        <f>A317/1000</f>
        <v/>
      </c>
      <c r="C317" s="1047">
        <f>SQRT(1+(A317/pole1)^2)</f>
        <v/>
      </c>
      <c r="D317" s="1048">
        <f>ATAN(A317/pole1)</f>
        <v/>
      </c>
      <c r="E317" s="1048">
        <f>SQRT(1+(A317/Zero1)^2)</f>
        <v/>
      </c>
      <c r="F317" s="1049">
        <f>ATAN(A317/Zero1)</f>
        <v/>
      </c>
      <c r="G317" s="1048">
        <f>IF(VIN_nom&gt;Vout, 1, SQRT(1+(A317/z_RHP)^2))</f>
        <v/>
      </c>
      <c r="H317" s="1049">
        <f>IF(VIN_nom&gt;Vout, 0, -ATAN(A317/z_RHP))</f>
        <v/>
      </c>
      <c r="I317" s="1047">
        <f>SQRT(1+(A317/Pole2)^2)</f>
        <v/>
      </c>
      <c r="J317" s="1050">
        <f>ATAN(A317/Pole2)</f>
        <v/>
      </c>
      <c r="K317" s="1056">
        <f>SQRT(1+(A317/Zero2)^2)</f>
        <v/>
      </c>
      <c r="L317" s="1057">
        <f>ATAN(A317/Zero2)</f>
        <v/>
      </c>
      <c r="M317" s="1047">
        <f>SQRT(1+(A317/pole4)^2)</f>
        <v/>
      </c>
      <c r="N317" s="1057">
        <f>ATAN(A317/pole4)</f>
        <v/>
      </c>
      <c r="O317" s="1058">
        <f>IF(VOUT_setting=1,1,SQRT(1+(A317*zterm1)^2))</f>
        <v/>
      </c>
      <c r="P317" s="1059">
        <f>IF(VOUT_setting=1,0,ATAN(((A317*zterm1))))</f>
        <v/>
      </c>
      <c r="Q317" s="1056">
        <f>IF(VOUT_setting=1,1,SQRT((1+Afbr-$Q$5*(A317)^2)^2+(A317*$Q$4)^2))</f>
        <v/>
      </c>
      <c r="R317" s="1060">
        <f>IF(VOUT_setting=1,0,ATAN(A317*$Q$4/(1+Afbr-$Q$5*(A317)^2)))</f>
        <v/>
      </c>
      <c r="S317" s="1054">
        <f>SQRT((1-(Z317/pterm2))^2+(A317/pterm1)^2)</f>
        <v/>
      </c>
      <c r="T317" s="1055">
        <f>IF((ATAN((A317/pterm1)/(1-A317^2/pterm2))&gt;0),ATAN((A317/pterm1)/(1-A317^2/pterm2)),PI()+ATAN((A317/pterm1)/(1-A317^2/pterm2)))</f>
        <v/>
      </c>
      <c r="U317" s="331">
        <f>20*LOG10(((E317*K317*G317*O317)/(C317*I317*S317*M317*Q317))*Adc)</f>
        <v/>
      </c>
      <c r="V317" s="332">
        <f>((F317+L317+H317+P317)-(D317+J317+T317+N317+R317))*radconv</f>
        <v/>
      </c>
      <c r="W317" s="334">
        <f>IF(V317&gt;0,V317,V317+180)</f>
        <v/>
      </c>
      <c r="Y317" s="307">
        <f>IF(U317&lt;0,A317,1000000000)</f>
        <v/>
      </c>
      <c r="Z317" s="307">
        <f>A317^2</f>
        <v/>
      </c>
      <c r="AB317" s="333">
        <f>20*LOG10((K317/(I317*M317))*AEA)</f>
        <v/>
      </c>
      <c r="AC317" s="334">
        <f>(L317-(J317+N317))*radconv</f>
        <v/>
      </c>
      <c r="AE317" s="333">
        <f>20*LOG10((E317*G317/(C317*S317))*Acs*Am)</f>
        <v/>
      </c>
      <c r="AF317" s="334">
        <f>(F317+H317-(D317+T317))*radconv</f>
        <v/>
      </c>
      <c r="AH317">
        <f>SUM((U318&lt;0)*(U317&gt;0))*A317</f>
        <v/>
      </c>
      <c r="AI317">
        <f>IF(AH317&gt;0,W317,0)</f>
        <v/>
      </c>
    </row>
    <row r="318">
      <c r="A318" s="335" t="n">
        <v>22517.5</v>
      </c>
      <c r="B318" s="352">
        <f>A318/1000</f>
        <v/>
      </c>
      <c r="C318" s="1047">
        <f>SQRT(1+(A318/pole1)^2)</f>
        <v/>
      </c>
      <c r="D318" s="1048">
        <f>ATAN(A318/pole1)</f>
        <v/>
      </c>
      <c r="E318" s="1048">
        <f>SQRT(1+(A318/Zero1)^2)</f>
        <v/>
      </c>
      <c r="F318" s="1049">
        <f>ATAN(A318/Zero1)</f>
        <v/>
      </c>
      <c r="G318" s="1048">
        <f>IF(VIN_nom&gt;Vout, 1, SQRT(1+(A318/z_RHP)^2))</f>
        <v/>
      </c>
      <c r="H318" s="1049">
        <f>IF(VIN_nom&gt;Vout, 0, -ATAN(A318/z_RHP))</f>
        <v/>
      </c>
      <c r="I318" s="1047">
        <f>SQRT(1+(A318/Pole2)^2)</f>
        <v/>
      </c>
      <c r="J318" s="1050">
        <f>ATAN(A318/Pole2)</f>
        <v/>
      </c>
      <c r="K318" s="1056">
        <f>SQRT(1+(A318/Zero2)^2)</f>
        <v/>
      </c>
      <c r="L318" s="1057">
        <f>ATAN(A318/Zero2)</f>
        <v/>
      </c>
      <c r="M318" s="1047">
        <f>SQRT(1+(A318/pole4)^2)</f>
        <v/>
      </c>
      <c r="N318" s="1057">
        <f>ATAN(A318/pole4)</f>
        <v/>
      </c>
      <c r="O318" s="1058">
        <f>IF(VOUT_setting=1,1,SQRT(1+(A318*zterm1)^2))</f>
        <v/>
      </c>
      <c r="P318" s="1059">
        <f>IF(VOUT_setting=1,0,ATAN(((A318*zterm1))))</f>
        <v/>
      </c>
      <c r="Q318" s="1056">
        <f>IF(VOUT_setting=1,1,SQRT((1+Afbr-$Q$5*(A318)^2)^2+(A318*$Q$4)^2))</f>
        <v/>
      </c>
      <c r="R318" s="1060">
        <f>IF(VOUT_setting=1,0,ATAN(A318*$Q$4/(1+Afbr-$Q$5*(A318)^2)))</f>
        <v/>
      </c>
      <c r="S318" s="1054">
        <f>SQRT((1-(Z318/pterm2))^2+(A318/pterm1)^2)</f>
        <v/>
      </c>
      <c r="T318" s="1055">
        <f>IF((ATAN((A318/pterm1)/(1-A318^2/pterm2))&gt;0),ATAN((A318/pterm1)/(1-A318^2/pterm2)),PI()+ATAN((A318/pterm1)/(1-A318^2/pterm2)))</f>
        <v/>
      </c>
      <c r="U318" s="331">
        <f>20*LOG10(((E318*K318*G318*O318)/(C318*I318*S318*M318*Q318))*Adc)</f>
        <v/>
      </c>
      <c r="V318" s="332">
        <f>((F318+L318+H318+P318)-(D318+J318+T318+N318+R318))*radconv</f>
        <v/>
      </c>
      <c r="W318" s="334">
        <f>IF(V318&gt;0,V318,V318+180)</f>
        <v/>
      </c>
      <c r="Y318" s="307">
        <f>IF(U318&lt;0,A318,1000000000)</f>
        <v/>
      </c>
      <c r="Z318" s="307">
        <f>A318^2</f>
        <v/>
      </c>
      <c r="AB318" s="333">
        <f>20*LOG10((K318/(I318*M318))*AEA)</f>
        <v/>
      </c>
      <c r="AC318" s="334">
        <f>(L318-(J318+N318))*radconv</f>
        <v/>
      </c>
      <c r="AE318" s="333">
        <f>20*LOG10((E318*G318/(C318*S318))*Acs*Am)</f>
        <v/>
      </c>
      <c r="AF318" s="334">
        <f>(F318+H318-(D318+T318))*radconv</f>
        <v/>
      </c>
      <c r="AH318">
        <f>SUM((U319&lt;0)*(U318&gt;0))*A318</f>
        <v/>
      </c>
      <c r="AI318">
        <f>IF(AH318&gt;0,W318,0)</f>
        <v/>
      </c>
    </row>
    <row r="319">
      <c r="A319" s="335" t="n">
        <v>22648</v>
      </c>
      <c r="B319" s="352">
        <f>A319/1000</f>
        <v/>
      </c>
      <c r="C319" s="1047">
        <f>SQRT(1+(A319/pole1)^2)</f>
        <v/>
      </c>
      <c r="D319" s="1048">
        <f>ATAN(A319/pole1)</f>
        <v/>
      </c>
      <c r="E319" s="1048">
        <f>SQRT(1+(A319/Zero1)^2)</f>
        <v/>
      </c>
      <c r="F319" s="1049">
        <f>ATAN(A319/Zero1)</f>
        <v/>
      </c>
      <c r="G319" s="1048">
        <f>IF(VIN_nom&gt;Vout, 1, SQRT(1+(A319/z_RHP)^2))</f>
        <v/>
      </c>
      <c r="H319" s="1049">
        <f>IF(VIN_nom&gt;Vout, 0, -ATAN(A319/z_RHP))</f>
        <v/>
      </c>
      <c r="I319" s="1047">
        <f>SQRT(1+(A319/Pole2)^2)</f>
        <v/>
      </c>
      <c r="J319" s="1050">
        <f>ATAN(A319/Pole2)</f>
        <v/>
      </c>
      <c r="K319" s="1056">
        <f>SQRT(1+(A319/Zero2)^2)</f>
        <v/>
      </c>
      <c r="L319" s="1057">
        <f>ATAN(A319/Zero2)</f>
        <v/>
      </c>
      <c r="M319" s="1047">
        <f>SQRT(1+(A319/pole4)^2)</f>
        <v/>
      </c>
      <c r="N319" s="1057">
        <f>ATAN(A319/pole4)</f>
        <v/>
      </c>
      <c r="O319" s="1058">
        <f>IF(VOUT_setting=1,1,SQRT(1+(A319*zterm1)^2))</f>
        <v/>
      </c>
      <c r="P319" s="1059">
        <f>IF(VOUT_setting=1,0,ATAN(((A319*zterm1))))</f>
        <v/>
      </c>
      <c r="Q319" s="1056">
        <f>IF(VOUT_setting=1,1,SQRT((1+Afbr-$Q$5*(A319)^2)^2+(A319*$Q$4)^2))</f>
        <v/>
      </c>
      <c r="R319" s="1060">
        <f>IF(VOUT_setting=1,0,ATAN(A319*$Q$4/(1+Afbr-$Q$5*(A319)^2)))</f>
        <v/>
      </c>
      <c r="S319" s="1054">
        <f>SQRT((1-(Z319/pterm2))^2+(A319/pterm1)^2)</f>
        <v/>
      </c>
      <c r="T319" s="1055">
        <f>IF((ATAN((A319/pterm1)/(1-A319^2/pterm2))&gt;0),ATAN((A319/pterm1)/(1-A319^2/pterm2)),PI()+ATAN((A319/pterm1)/(1-A319^2/pterm2)))</f>
        <v/>
      </c>
      <c r="U319" s="331">
        <f>20*LOG10(((E319*K319*G319*O319)/(C319*I319*S319*M319*Q319))*Adc)</f>
        <v/>
      </c>
      <c r="V319" s="332">
        <f>((F319+L319+H319+P319)-(D319+J319+T319+N319+R319))*radconv</f>
        <v/>
      </c>
      <c r="W319" s="334">
        <f>IF(V319&gt;0,V319,V319+180)</f>
        <v/>
      </c>
      <c r="Y319" s="307">
        <f>IF(U319&lt;0,A319,1000000000)</f>
        <v/>
      </c>
      <c r="Z319" s="307">
        <f>A319^2</f>
        <v/>
      </c>
      <c r="AB319" s="333">
        <f>20*LOG10((K319/(I319*M319))*AEA)</f>
        <v/>
      </c>
      <c r="AC319" s="334">
        <f>(L319-(J319+N319))*radconv</f>
        <v/>
      </c>
      <c r="AE319" s="333">
        <f>20*LOG10((E319*G319/(C319*S319))*Acs*Am)</f>
        <v/>
      </c>
      <c r="AF319" s="334">
        <f>(F319+H319-(D319+T319))*radconv</f>
        <v/>
      </c>
      <c r="AH319">
        <f>SUM((U320&lt;0)*(U319&gt;0))*A319</f>
        <v/>
      </c>
      <c r="AI319">
        <f>IF(AH319&gt;0,W319,0)</f>
        <v/>
      </c>
    </row>
    <row r="320">
      <c r="A320" s="335" t="n">
        <v>22778.5</v>
      </c>
      <c r="B320" s="352">
        <f>A320/1000</f>
        <v/>
      </c>
      <c r="C320" s="1047">
        <f>SQRT(1+(A320/pole1)^2)</f>
        <v/>
      </c>
      <c r="D320" s="1048">
        <f>ATAN(A320/pole1)</f>
        <v/>
      </c>
      <c r="E320" s="1048">
        <f>SQRT(1+(A320/Zero1)^2)</f>
        <v/>
      </c>
      <c r="F320" s="1049">
        <f>ATAN(A320/Zero1)</f>
        <v/>
      </c>
      <c r="G320" s="1048">
        <f>IF(VIN_nom&gt;Vout, 1, SQRT(1+(A320/z_RHP)^2))</f>
        <v/>
      </c>
      <c r="H320" s="1049">
        <f>IF(VIN_nom&gt;Vout, 0, -ATAN(A320/z_RHP))</f>
        <v/>
      </c>
      <c r="I320" s="1047">
        <f>SQRT(1+(A320/Pole2)^2)</f>
        <v/>
      </c>
      <c r="J320" s="1050">
        <f>ATAN(A320/Pole2)</f>
        <v/>
      </c>
      <c r="K320" s="1056">
        <f>SQRT(1+(A320/Zero2)^2)</f>
        <v/>
      </c>
      <c r="L320" s="1057">
        <f>ATAN(A320/Zero2)</f>
        <v/>
      </c>
      <c r="M320" s="1047">
        <f>SQRT(1+(A320/pole4)^2)</f>
        <v/>
      </c>
      <c r="N320" s="1057">
        <f>ATAN(A320/pole4)</f>
        <v/>
      </c>
      <c r="O320" s="1058">
        <f>IF(VOUT_setting=1,1,SQRT(1+(A320*zterm1)^2))</f>
        <v/>
      </c>
      <c r="P320" s="1059">
        <f>IF(VOUT_setting=1,0,ATAN(((A320*zterm1))))</f>
        <v/>
      </c>
      <c r="Q320" s="1056">
        <f>IF(VOUT_setting=1,1,SQRT((1+Afbr-$Q$5*(A320)^2)^2+(A320*$Q$4)^2))</f>
        <v/>
      </c>
      <c r="R320" s="1060">
        <f>IF(VOUT_setting=1,0,ATAN(A320*$Q$4/(1+Afbr-$Q$5*(A320)^2)))</f>
        <v/>
      </c>
      <c r="S320" s="1054">
        <f>SQRT((1-(Z320/pterm2))^2+(A320/pterm1)^2)</f>
        <v/>
      </c>
      <c r="T320" s="1055">
        <f>IF((ATAN((A320/pterm1)/(1-A320^2/pterm2))&gt;0),ATAN((A320/pterm1)/(1-A320^2/pterm2)),PI()+ATAN((A320/pterm1)/(1-A320^2/pterm2)))</f>
        <v/>
      </c>
      <c r="U320" s="331">
        <f>20*LOG10(((E320*K320*G320*O320)/(C320*I320*S320*M320*Q320))*Adc)</f>
        <v/>
      </c>
      <c r="V320" s="332">
        <f>((F320+L320+H320+P320)-(D320+J320+T320+N320+R320))*radconv</f>
        <v/>
      </c>
      <c r="W320" s="334">
        <f>IF(V320&gt;0,V320,V320+180)</f>
        <v/>
      </c>
      <c r="Y320" s="307">
        <f>IF(U320&lt;0,A320,1000000000)</f>
        <v/>
      </c>
      <c r="Z320" s="307">
        <f>A320^2</f>
        <v/>
      </c>
      <c r="AB320" s="333">
        <f>20*LOG10((K320/(I320*M320))*AEA)</f>
        <v/>
      </c>
      <c r="AC320" s="334">
        <f>(L320-(J320+N320))*radconv</f>
        <v/>
      </c>
      <c r="AE320" s="333">
        <f>20*LOG10((E320*G320/(C320*S320))*Acs*Am)</f>
        <v/>
      </c>
      <c r="AF320" s="334">
        <f>(F320+H320-(D320+T320))*radconv</f>
        <v/>
      </c>
      <c r="AH320">
        <f>SUM((U321&lt;0)*(U320&gt;0))*A320</f>
        <v/>
      </c>
      <c r="AI320">
        <f>IF(AH320&gt;0,W320,0)</f>
        <v/>
      </c>
    </row>
    <row r="321">
      <c r="A321" s="335" t="n">
        <v>22909</v>
      </c>
      <c r="B321" s="352">
        <f>A321/1000</f>
        <v/>
      </c>
      <c r="C321" s="1047">
        <f>SQRT(1+(A321/pole1)^2)</f>
        <v/>
      </c>
      <c r="D321" s="1048">
        <f>ATAN(A321/pole1)</f>
        <v/>
      </c>
      <c r="E321" s="1048">
        <f>SQRT(1+(A321/Zero1)^2)</f>
        <v/>
      </c>
      <c r="F321" s="1049">
        <f>ATAN(A321/Zero1)</f>
        <v/>
      </c>
      <c r="G321" s="1048">
        <f>IF(VIN_nom&gt;Vout, 1, SQRT(1+(A321/z_RHP)^2))</f>
        <v/>
      </c>
      <c r="H321" s="1049">
        <f>IF(VIN_nom&gt;Vout, 0, -ATAN(A321/z_RHP))</f>
        <v/>
      </c>
      <c r="I321" s="1047">
        <f>SQRT(1+(A321/Pole2)^2)</f>
        <v/>
      </c>
      <c r="J321" s="1050">
        <f>ATAN(A321/Pole2)</f>
        <v/>
      </c>
      <c r="K321" s="1056">
        <f>SQRT(1+(A321/Zero2)^2)</f>
        <v/>
      </c>
      <c r="L321" s="1057">
        <f>ATAN(A321/Zero2)</f>
        <v/>
      </c>
      <c r="M321" s="1047">
        <f>SQRT(1+(A321/pole4)^2)</f>
        <v/>
      </c>
      <c r="N321" s="1057">
        <f>ATAN(A321/pole4)</f>
        <v/>
      </c>
      <c r="O321" s="1058">
        <f>IF(VOUT_setting=1,1,SQRT(1+(A321*zterm1)^2))</f>
        <v/>
      </c>
      <c r="P321" s="1059">
        <f>IF(VOUT_setting=1,0,ATAN(((A321*zterm1))))</f>
        <v/>
      </c>
      <c r="Q321" s="1056">
        <f>IF(VOUT_setting=1,1,SQRT((1+Afbr-$Q$5*(A321)^2)^2+(A321*$Q$4)^2))</f>
        <v/>
      </c>
      <c r="R321" s="1060">
        <f>IF(VOUT_setting=1,0,ATAN(A321*$Q$4/(1+Afbr-$Q$5*(A321)^2)))</f>
        <v/>
      </c>
      <c r="S321" s="1054">
        <f>SQRT((1-(Z321/pterm2))^2+(A321/pterm1)^2)</f>
        <v/>
      </c>
      <c r="T321" s="1055">
        <f>IF((ATAN((A321/pterm1)/(1-A321^2/pterm2))&gt;0),ATAN((A321/pterm1)/(1-A321^2/pterm2)),PI()+ATAN((A321/pterm1)/(1-A321^2/pterm2)))</f>
        <v/>
      </c>
      <c r="U321" s="331">
        <f>20*LOG10(((E321*K321*G321*O321)/(C321*I321*S321*M321*Q321))*Adc)</f>
        <v/>
      </c>
      <c r="V321" s="332">
        <f>((F321+L321+H321+P321)-(D321+J321+T321+N321+R321))*radconv</f>
        <v/>
      </c>
      <c r="W321" s="334">
        <f>IF(V321&gt;0,V321,V321+180)</f>
        <v/>
      </c>
      <c r="Y321" s="307">
        <f>IF(U321&lt;0,A321,1000000000)</f>
        <v/>
      </c>
      <c r="Z321" s="307">
        <f>A321^2</f>
        <v/>
      </c>
      <c r="AB321" s="333">
        <f>20*LOG10((K321/(I321*M321))*AEA)</f>
        <v/>
      </c>
      <c r="AC321" s="334">
        <f>(L321-(J321+N321))*radconv</f>
        <v/>
      </c>
      <c r="AE321" s="333">
        <f>20*LOG10((E321*G321/(C321*S321))*Acs*Am)</f>
        <v/>
      </c>
      <c r="AF321" s="334">
        <f>(F321+H321-(D321+T321))*radconv</f>
        <v/>
      </c>
      <c r="AH321">
        <f>SUM((U322&lt;0)*(U321&gt;0))*A321</f>
        <v/>
      </c>
      <c r="AI321">
        <f>IF(AH321&gt;0,W321,0)</f>
        <v/>
      </c>
    </row>
    <row r="322">
      <c r="A322" s="335" t="n">
        <v>23042.25</v>
      </c>
      <c r="B322" s="352">
        <f>A322/1000</f>
        <v/>
      </c>
      <c r="C322" s="1047">
        <f>SQRT(1+(A322/pole1)^2)</f>
        <v/>
      </c>
      <c r="D322" s="1048">
        <f>ATAN(A322/pole1)</f>
        <v/>
      </c>
      <c r="E322" s="1048">
        <f>SQRT(1+(A322/Zero1)^2)</f>
        <v/>
      </c>
      <c r="F322" s="1049">
        <f>ATAN(A322/Zero1)</f>
        <v/>
      </c>
      <c r="G322" s="1048">
        <f>IF(VIN_nom&gt;Vout, 1, SQRT(1+(A322/z_RHP)^2))</f>
        <v/>
      </c>
      <c r="H322" s="1049">
        <f>IF(VIN_nom&gt;Vout, 0, -ATAN(A322/z_RHP))</f>
        <v/>
      </c>
      <c r="I322" s="1047">
        <f>SQRT(1+(A322/Pole2)^2)</f>
        <v/>
      </c>
      <c r="J322" s="1050">
        <f>ATAN(A322/Pole2)</f>
        <v/>
      </c>
      <c r="K322" s="1056">
        <f>SQRT(1+(A322/Zero2)^2)</f>
        <v/>
      </c>
      <c r="L322" s="1057">
        <f>ATAN(A322/Zero2)</f>
        <v/>
      </c>
      <c r="M322" s="1047">
        <f>SQRT(1+(A322/pole4)^2)</f>
        <v/>
      </c>
      <c r="N322" s="1057">
        <f>ATAN(A322/pole4)</f>
        <v/>
      </c>
      <c r="O322" s="1058">
        <f>IF(VOUT_setting=1,1,SQRT(1+(A322*zterm1)^2))</f>
        <v/>
      </c>
      <c r="P322" s="1059">
        <f>IF(VOUT_setting=1,0,ATAN(((A322*zterm1))))</f>
        <v/>
      </c>
      <c r="Q322" s="1056">
        <f>IF(VOUT_setting=1,1,SQRT((1+Afbr-$Q$5*(A322)^2)^2+(A322*$Q$4)^2))</f>
        <v/>
      </c>
      <c r="R322" s="1060">
        <f>IF(VOUT_setting=1,0,ATAN(A322*$Q$4/(1+Afbr-$Q$5*(A322)^2)))</f>
        <v/>
      </c>
      <c r="S322" s="1054">
        <f>SQRT((1-(Z322/pterm2))^2+(A322/pterm1)^2)</f>
        <v/>
      </c>
      <c r="T322" s="1055">
        <f>IF((ATAN((A322/pterm1)/(1-A322^2/pterm2))&gt;0),ATAN((A322/pterm1)/(1-A322^2/pterm2)),PI()+ATAN((A322/pterm1)/(1-A322^2/pterm2)))</f>
        <v/>
      </c>
      <c r="U322" s="331">
        <f>20*LOG10(((E322*K322*G322*O322)/(C322*I322*S322*M322*Q322))*Adc)</f>
        <v/>
      </c>
      <c r="V322" s="332">
        <f>((F322+L322+H322+P322)-(D322+J322+T322+N322+R322))*radconv</f>
        <v/>
      </c>
      <c r="W322" s="334">
        <f>IF(V322&gt;0,V322,V322+180)</f>
        <v/>
      </c>
      <c r="Y322" s="307">
        <f>IF(U322&lt;0,A322,1000000000)</f>
        <v/>
      </c>
      <c r="Z322" s="307">
        <f>A322^2</f>
        <v/>
      </c>
      <c r="AB322" s="333">
        <f>20*LOG10((K322/(I322*M322))*AEA)</f>
        <v/>
      </c>
      <c r="AC322" s="334">
        <f>(L322-(J322+N322))*radconv</f>
        <v/>
      </c>
      <c r="AE322" s="333">
        <f>20*LOG10((E322*G322/(C322*S322))*Acs*Am)</f>
        <v/>
      </c>
      <c r="AF322" s="334">
        <f>(F322+H322-(D322+T322))*radconv</f>
        <v/>
      </c>
      <c r="AH322">
        <f>SUM((U323&lt;0)*(U322&gt;0))*A322</f>
        <v/>
      </c>
      <c r="AI322">
        <f>IF(AH322&gt;0,W322,0)</f>
        <v/>
      </c>
    </row>
    <row r="323">
      <c r="A323" s="335" t="n">
        <v>23175.5</v>
      </c>
      <c r="B323" s="352">
        <f>A323/1000</f>
        <v/>
      </c>
      <c r="C323" s="1047">
        <f>SQRT(1+(A323/pole1)^2)</f>
        <v/>
      </c>
      <c r="D323" s="1048">
        <f>ATAN(A323/pole1)</f>
        <v/>
      </c>
      <c r="E323" s="1048">
        <f>SQRT(1+(A323/Zero1)^2)</f>
        <v/>
      </c>
      <c r="F323" s="1049">
        <f>ATAN(A323/Zero1)</f>
        <v/>
      </c>
      <c r="G323" s="1048">
        <f>IF(VIN_nom&gt;Vout, 1, SQRT(1+(A323/z_RHP)^2))</f>
        <v/>
      </c>
      <c r="H323" s="1049">
        <f>IF(VIN_nom&gt;Vout, 0, -ATAN(A323/z_RHP))</f>
        <v/>
      </c>
      <c r="I323" s="1047">
        <f>SQRT(1+(A323/Pole2)^2)</f>
        <v/>
      </c>
      <c r="J323" s="1050">
        <f>ATAN(A323/Pole2)</f>
        <v/>
      </c>
      <c r="K323" s="1056">
        <f>SQRT(1+(A323/Zero2)^2)</f>
        <v/>
      </c>
      <c r="L323" s="1057">
        <f>ATAN(A323/Zero2)</f>
        <v/>
      </c>
      <c r="M323" s="1047">
        <f>SQRT(1+(A323/pole4)^2)</f>
        <v/>
      </c>
      <c r="N323" s="1057">
        <f>ATAN(A323/pole4)</f>
        <v/>
      </c>
      <c r="O323" s="1058">
        <f>IF(VOUT_setting=1,1,SQRT(1+(A323*zterm1)^2))</f>
        <v/>
      </c>
      <c r="P323" s="1059">
        <f>IF(VOUT_setting=1,0,ATAN(((A323*zterm1))))</f>
        <v/>
      </c>
      <c r="Q323" s="1056">
        <f>IF(VOUT_setting=1,1,SQRT((1+Afbr-$Q$5*(A323)^2)^2+(A323*$Q$4)^2))</f>
        <v/>
      </c>
      <c r="R323" s="1060">
        <f>IF(VOUT_setting=1,0,ATAN(A323*$Q$4/(1+Afbr-$Q$5*(A323)^2)))</f>
        <v/>
      </c>
      <c r="S323" s="1054">
        <f>SQRT((1-(Z323/pterm2))^2+(A323/pterm1)^2)</f>
        <v/>
      </c>
      <c r="T323" s="1055">
        <f>IF((ATAN((A323/pterm1)/(1-A323^2/pterm2))&gt;0),ATAN((A323/pterm1)/(1-A323^2/pterm2)),PI()+ATAN((A323/pterm1)/(1-A323^2/pterm2)))</f>
        <v/>
      </c>
      <c r="U323" s="331">
        <f>20*LOG10(((E323*K323*G323*O323)/(C323*I323*S323*M323*Q323))*Adc)</f>
        <v/>
      </c>
      <c r="V323" s="332">
        <f>((F323+L323+H323+P323)-(D323+J323+T323+N323+R323))*radconv</f>
        <v/>
      </c>
      <c r="W323" s="334">
        <f>IF(V323&gt;0,V323,V323+180)</f>
        <v/>
      </c>
      <c r="Y323" s="307">
        <f>IF(U323&lt;0,A323,1000000000)</f>
        <v/>
      </c>
      <c r="Z323" s="307">
        <f>A323^2</f>
        <v/>
      </c>
      <c r="AB323" s="333">
        <f>20*LOG10((K323/(I323*M323))*AEA)</f>
        <v/>
      </c>
      <c r="AC323" s="334">
        <f>(L323-(J323+N323))*radconv</f>
        <v/>
      </c>
      <c r="AE323" s="333">
        <f>20*LOG10((E323*G323/(C323*S323))*Acs*Am)</f>
        <v/>
      </c>
      <c r="AF323" s="334">
        <f>(F323+H323-(D323+T323))*radconv</f>
        <v/>
      </c>
      <c r="AH323">
        <f>SUM((U324&lt;0)*(U323&gt;0))*A323</f>
        <v/>
      </c>
      <c r="AI323">
        <f>IF(AH323&gt;0,W323,0)</f>
        <v/>
      </c>
    </row>
    <row r="324">
      <c r="A324" s="335" t="n">
        <v>23308.75</v>
      </c>
      <c r="B324" s="352">
        <f>A324/1000</f>
        <v/>
      </c>
      <c r="C324" s="1047">
        <f>SQRT(1+(A324/pole1)^2)</f>
        <v/>
      </c>
      <c r="D324" s="1048">
        <f>ATAN(A324/pole1)</f>
        <v/>
      </c>
      <c r="E324" s="1048">
        <f>SQRT(1+(A324/Zero1)^2)</f>
        <v/>
      </c>
      <c r="F324" s="1049">
        <f>ATAN(A324/Zero1)</f>
        <v/>
      </c>
      <c r="G324" s="1048">
        <f>IF(VIN_nom&gt;Vout, 1, SQRT(1+(A324/z_RHP)^2))</f>
        <v/>
      </c>
      <c r="H324" s="1049">
        <f>IF(VIN_nom&gt;Vout, 0, -ATAN(A324/z_RHP))</f>
        <v/>
      </c>
      <c r="I324" s="1047">
        <f>SQRT(1+(A324/Pole2)^2)</f>
        <v/>
      </c>
      <c r="J324" s="1050">
        <f>ATAN(A324/Pole2)</f>
        <v/>
      </c>
      <c r="K324" s="1056">
        <f>SQRT(1+(A324/Zero2)^2)</f>
        <v/>
      </c>
      <c r="L324" s="1057">
        <f>ATAN(A324/Zero2)</f>
        <v/>
      </c>
      <c r="M324" s="1047">
        <f>SQRT(1+(A324/pole4)^2)</f>
        <v/>
      </c>
      <c r="N324" s="1057">
        <f>ATAN(A324/pole4)</f>
        <v/>
      </c>
      <c r="O324" s="1058">
        <f>IF(VOUT_setting=1,1,SQRT(1+(A324*zterm1)^2))</f>
        <v/>
      </c>
      <c r="P324" s="1059">
        <f>IF(VOUT_setting=1,0,ATAN(((A324*zterm1))))</f>
        <v/>
      </c>
      <c r="Q324" s="1056">
        <f>IF(VOUT_setting=1,1,SQRT((1+Afbr-$Q$5*(A324)^2)^2+(A324*$Q$4)^2))</f>
        <v/>
      </c>
      <c r="R324" s="1060">
        <f>IF(VOUT_setting=1,0,ATAN(A324*$Q$4/(1+Afbr-$Q$5*(A324)^2)))</f>
        <v/>
      </c>
      <c r="S324" s="1054">
        <f>SQRT((1-(Z324/pterm2))^2+(A324/pterm1)^2)</f>
        <v/>
      </c>
      <c r="T324" s="1055">
        <f>IF((ATAN((A324/pterm1)/(1-A324^2/pterm2))&gt;0),ATAN((A324/pterm1)/(1-A324^2/pterm2)),PI()+ATAN((A324/pterm1)/(1-A324^2/pterm2)))</f>
        <v/>
      </c>
      <c r="U324" s="331">
        <f>20*LOG10(((E324*K324*G324*O324)/(C324*I324*S324*M324*Q324))*Adc)</f>
        <v/>
      </c>
      <c r="V324" s="332">
        <f>((F324+L324+H324+P324)-(D324+J324+T324+N324+R324))*radconv</f>
        <v/>
      </c>
      <c r="W324" s="334">
        <f>IF(V324&gt;0,V324,V324+180)</f>
        <v/>
      </c>
      <c r="Y324" s="307">
        <f>IF(U324&lt;0,A324,1000000000)</f>
        <v/>
      </c>
      <c r="Z324" s="307">
        <f>A324^2</f>
        <v/>
      </c>
      <c r="AB324" s="333">
        <f>20*LOG10((K324/(I324*M324))*AEA)</f>
        <v/>
      </c>
      <c r="AC324" s="334">
        <f>(L324-(J324+N324))*radconv</f>
        <v/>
      </c>
      <c r="AE324" s="333">
        <f>20*LOG10((E324*G324/(C324*S324))*Acs*Am)</f>
        <v/>
      </c>
      <c r="AF324" s="334">
        <f>(F324+H324-(D324+T324))*radconv</f>
        <v/>
      </c>
      <c r="AH324">
        <f>SUM((U325&lt;0)*(U324&gt;0))*A324</f>
        <v/>
      </c>
      <c r="AI324">
        <f>IF(AH324&gt;0,W324,0)</f>
        <v/>
      </c>
    </row>
    <row r="325">
      <c r="A325" s="335" t="n">
        <v>23442</v>
      </c>
      <c r="B325" s="352">
        <f>A325/1000</f>
        <v/>
      </c>
      <c r="C325" s="1047">
        <f>SQRT(1+(A325/pole1)^2)</f>
        <v/>
      </c>
      <c r="D325" s="1048">
        <f>ATAN(A325/pole1)</f>
        <v/>
      </c>
      <c r="E325" s="1048">
        <f>SQRT(1+(A325/Zero1)^2)</f>
        <v/>
      </c>
      <c r="F325" s="1049">
        <f>ATAN(A325/Zero1)</f>
        <v/>
      </c>
      <c r="G325" s="1048">
        <f>IF(VIN_nom&gt;Vout, 1, SQRT(1+(A325/z_RHP)^2))</f>
        <v/>
      </c>
      <c r="H325" s="1049">
        <f>IF(VIN_nom&gt;Vout, 0, -ATAN(A325/z_RHP))</f>
        <v/>
      </c>
      <c r="I325" s="1047">
        <f>SQRT(1+(A325/Pole2)^2)</f>
        <v/>
      </c>
      <c r="J325" s="1050">
        <f>ATAN(A325/Pole2)</f>
        <v/>
      </c>
      <c r="K325" s="1056">
        <f>SQRT(1+(A325/Zero2)^2)</f>
        <v/>
      </c>
      <c r="L325" s="1057">
        <f>ATAN(A325/Zero2)</f>
        <v/>
      </c>
      <c r="M325" s="1047">
        <f>SQRT(1+(A325/pole4)^2)</f>
        <v/>
      </c>
      <c r="N325" s="1057">
        <f>ATAN(A325/pole4)</f>
        <v/>
      </c>
      <c r="O325" s="1058">
        <f>IF(VOUT_setting=1,1,SQRT(1+(A325*zterm1)^2))</f>
        <v/>
      </c>
      <c r="P325" s="1059">
        <f>IF(VOUT_setting=1,0,ATAN(((A325*zterm1))))</f>
        <v/>
      </c>
      <c r="Q325" s="1056">
        <f>IF(VOUT_setting=1,1,SQRT((1+Afbr-$Q$5*(A325)^2)^2+(A325*$Q$4)^2))</f>
        <v/>
      </c>
      <c r="R325" s="1060">
        <f>IF(VOUT_setting=1,0,ATAN(A325*$Q$4/(1+Afbr-$Q$5*(A325)^2)))</f>
        <v/>
      </c>
      <c r="S325" s="1054">
        <f>SQRT((1-(Z325/pterm2))^2+(A325/pterm1)^2)</f>
        <v/>
      </c>
      <c r="T325" s="1055">
        <f>IF((ATAN((A325/pterm1)/(1-A325^2/pterm2))&gt;0),ATAN((A325/pterm1)/(1-A325^2/pterm2)),PI()+ATAN((A325/pterm1)/(1-A325^2/pterm2)))</f>
        <v/>
      </c>
      <c r="U325" s="331">
        <f>20*LOG10(((E325*K325*G325*O325)/(C325*I325*S325*M325*Q325))*Adc)</f>
        <v/>
      </c>
      <c r="V325" s="332">
        <f>((F325+L325+H325+P325)-(D325+J325+T325+N325+R325))*radconv</f>
        <v/>
      </c>
      <c r="W325" s="334">
        <f>IF(V325&gt;0,V325,V325+180)</f>
        <v/>
      </c>
      <c r="Y325" s="307">
        <f>IF(U325&lt;0,A325,1000000000)</f>
        <v/>
      </c>
      <c r="Z325" s="307">
        <f>A325^2</f>
        <v/>
      </c>
      <c r="AB325" s="333">
        <f>20*LOG10((K325/(I325*M325))*AEA)</f>
        <v/>
      </c>
      <c r="AC325" s="334">
        <f>(L325-(J325+N325))*radconv</f>
        <v/>
      </c>
      <c r="AE325" s="333">
        <f>20*LOG10((E325*G325/(C325*S325))*Acs*Am)</f>
        <v/>
      </c>
      <c r="AF325" s="334">
        <f>(F325+H325-(D325+T325))*radconv</f>
        <v/>
      </c>
      <c r="AH325">
        <f>SUM((U326&lt;0)*(U325&gt;0))*A325</f>
        <v/>
      </c>
      <c r="AI325">
        <f>IF(AH325&gt;0,W325,0)</f>
        <v/>
      </c>
    </row>
    <row r="326">
      <c r="A326" s="335" t="n">
        <v>23578.5</v>
      </c>
      <c r="B326" s="352">
        <f>A326/1000</f>
        <v/>
      </c>
      <c r="C326" s="1047">
        <f>SQRT(1+(A326/pole1)^2)</f>
        <v/>
      </c>
      <c r="D326" s="1048">
        <f>ATAN(A326/pole1)</f>
        <v/>
      </c>
      <c r="E326" s="1048">
        <f>SQRT(1+(A326/Zero1)^2)</f>
        <v/>
      </c>
      <c r="F326" s="1049">
        <f>ATAN(A326/Zero1)</f>
        <v/>
      </c>
      <c r="G326" s="1048">
        <f>IF(VIN_nom&gt;Vout, 1, SQRT(1+(A326/z_RHP)^2))</f>
        <v/>
      </c>
      <c r="H326" s="1049">
        <f>IF(VIN_nom&gt;Vout, 0, -ATAN(A326/z_RHP))</f>
        <v/>
      </c>
      <c r="I326" s="1047">
        <f>SQRT(1+(A326/Pole2)^2)</f>
        <v/>
      </c>
      <c r="J326" s="1050">
        <f>ATAN(A326/Pole2)</f>
        <v/>
      </c>
      <c r="K326" s="1056">
        <f>SQRT(1+(A326/Zero2)^2)</f>
        <v/>
      </c>
      <c r="L326" s="1057">
        <f>ATAN(A326/Zero2)</f>
        <v/>
      </c>
      <c r="M326" s="1047">
        <f>SQRT(1+(A326/pole4)^2)</f>
        <v/>
      </c>
      <c r="N326" s="1057">
        <f>ATAN(A326/pole4)</f>
        <v/>
      </c>
      <c r="O326" s="1058">
        <f>IF(VOUT_setting=1,1,SQRT(1+(A326*zterm1)^2))</f>
        <v/>
      </c>
      <c r="P326" s="1059">
        <f>IF(VOUT_setting=1,0,ATAN(((A326*zterm1))))</f>
        <v/>
      </c>
      <c r="Q326" s="1056">
        <f>IF(VOUT_setting=1,1,SQRT((1+Afbr-$Q$5*(A326)^2)^2+(A326*$Q$4)^2))</f>
        <v/>
      </c>
      <c r="R326" s="1060">
        <f>IF(VOUT_setting=1,0,ATAN(A326*$Q$4/(1+Afbr-$Q$5*(A326)^2)))</f>
        <v/>
      </c>
      <c r="S326" s="1054">
        <f>SQRT((1-(Z326/pterm2))^2+(A326/pterm1)^2)</f>
        <v/>
      </c>
      <c r="T326" s="1055">
        <f>IF((ATAN((A326/pterm1)/(1-A326^2/pterm2))&gt;0),ATAN((A326/pterm1)/(1-A326^2/pterm2)),PI()+ATAN((A326/pterm1)/(1-A326^2/pterm2)))</f>
        <v/>
      </c>
      <c r="U326" s="331">
        <f>20*LOG10(((E326*K326*G326*O326)/(C326*I326*S326*M326*Q326))*Adc)</f>
        <v/>
      </c>
      <c r="V326" s="332">
        <f>((F326+L326+H326+P326)-(D326+J326+T326+N326+R326))*radconv</f>
        <v/>
      </c>
      <c r="W326" s="334">
        <f>IF(V326&gt;0,V326,V326+180)</f>
        <v/>
      </c>
      <c r="Y326" s="307">
        <f>IF(U326&lt;0,A326,1000000000)</f>
        <v/>
      </c>
      <c r="Z326" s="307">
        <f>A326^2</f>
        <v/>
      </c>
      <c r="AB326" s="333">
        <f>20*LOG10((K326/(I326*M326))*AEA)</f>
        <v/>
      </c>
      <c r="AC326" s="334">
        <f>(L326-(J326+N326))*radconv</f>
        <v/>
      </c>
      <c r="AE326" s="333">
        <f>20*LOG10((E326*G326/(C326*S326))*Acs*Am)</f>
        <v/>
      </c>
      <c r="AF326" s="334">
        <f>(F326+H326-(D326+T326))*radconv</f>
        <v/>
      </c>
      <c r="AH326">
        <f>SUM((U327&lt;0)*(U326&gt;0))*A326</f>
        <v/>
      </c>
      <c r="AI326">
        <f>IF(AH326&gt;0,W326,0)</f>
        <v/>
      </c>
    </row>
    <row r="327">
      <c r="A327" s="335" t="n">
        <v>23715</v>
      </c>
      <c r="B327" s="352">
        <f>A327/1000</f>
        <v/>
      </c>
      <c r="C327" s="1047">
        <f>SQRT(1+(A327/pole1)^2)</f>
        <v/>
      </c>
      <c r="D327" s="1048">
        <f>ATAN(A327/pole1)</f>
        <v/>
      </c>
      <c r="E327" s="1048">
        <f>SQRT(1+(A327/Zero1)^2)</f>
        <v/>
      </c>
      <c r="F327" s="1049">
        <f>ATAN(A327/Zero1)</f>
        <v/>
      </c>
      <c r="G327" s="1048">
        <f>IF(VIN_nom&gt;Vout, 1, SQRT(1+(A327/z_RHP)^2))</f>
        <v/>
      </c>
      <c r="H327" s="1049">
        <f>IF(VIN_nom&gt;Vout, 0, -ATAN(A327/z_RHP))</f>
        <v/>
      </c>
      <c r="I327" s="1047">
        <f>SQRT(1+(A327/Pole2)^2)</f>
        <v/>
      </c>
      <c r="J327" s="1050">
        <f>ATAN(A327/Pole2)</f>
        <v/>
      </c>
      <c r="K327" s="1056">
        <f>SQRT(1+(A327/Zero2)^2)</f>
        <v/>
      </c>
      <c r="L327" s="1057">
        <f>ATAN(A327/Zero2)</f>
        <v/>
      </c>
      <c r="M327" s="1047">
        <f>SQRT(1+(A327/pole4)^2)</f>
        <v/>
      </c>
      <c r="N327" s="1057">
        <f>ATAN(A327/pole4)</f>
        <v/>
      </c>
      <c r="O327" s="1058">
        <f>IF(VOUT_setting=1,1,SQRT(1+(A327*zterm1)^2))</f>
        <v/>
      </c>
      <c r="P327" s="1059">
        <f>IF(VOUT_setting=1,0,ATAN(((A327*zterm1))))</f>
        <v/>
      </c>
      <c r="Q327" s="1056">
        <f>IF(VOUT_setting=1,1,SQRT((1+Afbr-$Q$5*(A327)^2)^2+(A327*$Q$4)^2))</f>
        <v/>
      </c>
      <c r="R327" s="1060">
        <f>IF(VOUT_setting=1,0,ATAN(A327*$Q$4/(1+Afbr-$Q$5*(A327)^2)))</f>
        <v/>
      </c>
      <c r="S327" s="1054">
        <f>SQRT((1-(Z327/pterm2))^2+(A327/pterm1)^2)</f>
        <v/>
      </c>
      <c r="T327" s="1055">
        <f>IF((ATAN((A327/pterm1)/(1-A327^2/pterm2))&gt;0),ATAN((A327/pterm1)/(1-A327^2/pterm2)),PI()+ATAN((A327/pterm1)/(1-A327^2/pterm2)))</f>
        <v/>
      </c>
      <c r="U327" s="331">
        <f>20*LOG10(((E327*K327*G327*O327)/(C327*I327*S327*M327*Q327))*Adc)</f>
        <v/>
      </c>
      <c r="V327" s="332">
        <f>((F327+L327+H327+P327)-(D327+J327+T327+N327+R327))*radconv</f>
        <v/>
      </c>
      <c r="W327" s="334">
        <f>IF(V327&gt;0,V327,V327+180)</f>
        <v/>
      </c>
      <c r="Y327" s="307">
        <f>IF(U327&lt;0,A327,1000000000)</f>
        <v/>
      </c>
      <c r="Z327" s="307">
        <f>A327^2</f>
        <v/>
      </c>
      <c r="AB327" s="333">
        <f>20*LOG10((K327/(I327*M327))*AEA)</f>
        <v/>
      </c>
      <c r="AC327" s="334">
        <f>(L327-(J327+N327))*radconv</f>
        <v/>
      </c>
      <c r="AE327" s="333">
        <f>20*LOG10((E327*G327/(C327*S327))*Acs*Am)</f>
        <v/>
      </c>
      <c r="AF327" s="334">
        <f>(F327+H327-(D327+T327))*radconv</f>
        <v/>
      </c>
      <c r="AH327">
        <f>SUM((U328&lt;0)*(U327&gt;0))*A327</f>
        <v/>
      </c>
      <c r="AI327">
        <f>IF(AH327&gt;0,W327,0)</f>
        <v/>
      </c>
    </row>
    <row r="328">
      <c r="A328" s="335" t="n">
        <v>23851.5</v>
      </c>
      <c r="B328" s="352">
        <f>A328/1000</f>
        <v/>
      </c>
      <c r="C328" s="1047">
        <f>SQRT(1+(A328/pole1)^2)</f>
        <v/>
      </c>
      <c r="D328" s="1048">
        <f>ATAN(A328/pole1)</f>
        <v/>
      </c>
      <c r="E328" s="1048">
        <f>SQRT(1+(A328/Zero1)^2)</f>
        <v/>
      </c>
      <c r="F328" s="1049">
        <f>ATAN(A328/Zero1)</f>
        <v/>
      </c>
      <c r="G328" s="1048">
        <f>IF(VIN_nom&gt;Vout, 1, SQRT(1+(A328/z_RHP)^2))</f>
        <v/>
      </c>
      <c r="H328" s="1049">
        <f>IF(VIN_nom&gt;Vout, 0, -ATAN(A328/z_RHP))</f>
        <v/>
      </c>
      <c r="I328" s="1047">
        <f>SQRT(1+(A328/Pole2)^2)</f>
        <v/>
      </c>
      <c r="J328" s="1050">
        <f>ATAN(A328/Pole2)</f>
        <v/>
      </c>
      <c r="K328" s="1056">
        <f>SQRT(1+(A328/Zero2)^2)</f>
        <v/>
      </c>
      <c r="L328" s="1057">
        <f>ATAN(A328/Zero2)</f>
        <v/>
      </c>
      <c r="M328" s="1047">
        <f>SQRT(1+(A328/pole4)^2)</f>
        <v/>
      </c>
      <c r="N328" s="1057">
        <f>ATAN(A328/pole4)</f>
        <v/>
      </c>
      <c r="O328" s="1058">
        <f>IF(VOUT_setting=1,1,SQRT(1+(A328*zterm1)^2))</f>
        <v/>
      </c>
      <c r="P328" s="1059">
        <f>IF(VOUT_setting=1,0,ATAN(((A328*zterm1))))</f>
        <v/>
      </c>
      <c r="Q328" s="1056">
        <f>IF(VOUT_setting=1,1,SQRT((1+Afbr-$Q$5*(A328)^2)^2+(A328*$Q$4)^2))</f>
        <v/>
      </c>
      <c r="R328" s="1060">
        <f>IF(VOUT_setting=1,0,ATAN(A328*$Q$4/(1+Afbr-$Q$5*(A328)^2)))</f>
        <v/>
      </c>
      <c r="S328" s="1054">
        <f>SQRT((1-(Z328/pterm2))^2+(A328/pterm1)^2)</f>
        <v/>
      </c>
      <c r="T328" s="1055">
        <f>IF((ATAN((A328/pterm1)/(1-A328^2/pterm2))&gt;0),ATAN((A328/pterm1)/(1-A328^2/pterm2)),PI()+ATAN((A328/pterm1)/(1-A328^2/pterm2)))</f>
        <v/>
      </c>
      <c r="U328" s="331">
        <f>20*LOG10(((E328*K328*G328*O328)/(C328*I328*S328*M328*Q328))*Adc)</f>
        <v/>
      </c>
      <c r="V328" s="332">
        <f>((F328+L328+H328+P328)-(D328+J328+T328+N328+R328))*radconv</f>
        <v/>
      </c>
      <c r="W328" s="334">
        <f>IF(V328&gt;0,V328,V328+180)</f>
        <v/>
      </c>
      <c r="Y328" s="307">
        <f>IF(U328&lt;0,A328,1000000000)</f>
        <v/>
      </c>
      <c r="Z328" s="307">
        <f>A328^2</f>
        <v/>
      </c>
      <c r="AB328" s="333">
        <f>20*LOG10((K328/(I328*M328))*AEA)</f>
        <v/>
      </c>
      <c r="AC328" s="334">
        <f>(L328-(J328+N328))*radconv</f>
        <v/>
      </c>
      <c r="AE328" s="333">
        <f>20*LOG10((E328*G328/(C328*S328))*Acs*Am)</f>
        <v/>
      </c>
      <c r="AF328" s="334">
        <f>(F328+H328-(D328+T328))*radconv</f>
        <v/>
      </c>
      <c r="AH328">
        <f>SUM((U329&lt;0)*(U328&gt;0))*A328</f>
        <v/>
      </c>
      <c r="AI328">
        <f>IF(AH328&gt;0,W328,0)</f>
        <v/>
      </c>
    </row>
    <row r="329">
      <c r="A329" s="335" t="n">
        <v>23988</v>
      </c>
      <c r="B329" s="352">
        <f>A329/1000</f>
        <v/>
      </c>
      <c r="C329" s="1047">
        <f>SQRT(1+(A329/pole1)^2)</f>
        <v/>
      </c>
      <c r="D329" s="1048">
        <f>ATAN(A329/pole1)</f>
        <v/>
      </c>
      <c r="E329" s="1048">
        <f>SQRT(1+(A329/Zero1)^2)</f>
        <v/>
      </c>
      <c r="F329" s="1049">
        <f>ATAN(A329/Zero1)</f>
        <v/>
      </c>
      <c r="G329" s="1048">
        <f>IF(VIN_nom&gt;Vout, 1, SQRT(1+(A329/z_RHP)^2))</f>
        <v/>
      </c>
      <c r="H329" s="1049">
        <f>IF(VIN_nom&gt;Vout, 0, -ATAN(A329/z_RHP))</f>
        <v/>
      </c>
      <c r="I329" s="1047">
        <f>SQRT(1+(A329/Pole2)^2)</f>
        <v/>
      </c>
      <c r="J329" s="1050">
        <f>ATAN(A329/Pole2)</f>
        <v/>
      </c>
      <c r="K329" s="1056">
        <f>SQRT(1+(A329/Zero2)^2)</f>
        <v/>
      </c>
      <c r="L329" s="1057">
        <f>ATAN(A329/Zero2)</f>
        <v/>
      </c>
      <c r="M329" s="1047">
        <f>SQRT(1+(A329/pole4)^2)</f>
        <v/>
      </c>
      <c r="N329" s="1057">
        <f>ATAN(A329/pole4)</f>
        <v/>
      </c>
      <c r="O329" s="1058">
        <f>IF(VOUT_setting=1,1,SQRT(1+(A329*zterm1)^2))</f>
        <v/>
      </c>
      <c r="P329" s="1059">
        <f>IF(VOUT_setting=1,0,ATAN(((A329*zterm1))))</f>
        <v/>
      </c>
      <c r="Q329" s="1056">
        <f>IF(VOUT_setting=1,1,SQRT((1+Afbr-$Q$5*(A329)^2)^2+(A329*$Q$4)^2))</f>
        <v/>
      </c>
      <c r="R329" s="1060">
        <f>IF(VOUT_setting=1,0,ATAN(A329*$Q$4/(1+Afbr-$Q$5*(A329)^2)))</f>
        <v/>
      </c>
      <c r="S329" s="1054">
        <f>SQRT((1-(Z329/pterm2))^2+(A329/pterm1)^2)</f>
        <v/>
      </c>
      <c r="T329" s="1055">
        <f>IF((ATAN((A329/pterm1)/(1-A329^2/pterm2))&gt;0),ATAN((A329/pterm1)/(1-A329^2/pterm2)),PI()+ATAN((A329/pterm1)/(1-A329^2/pterm2)))</f>
        <v/>
      </c>
      <c r="U329" s="331">
        <f>20*LOG10(((E329*K329*G329*O329)/(C329*I329*S329*M329*Q329))*Adc)</f>
        <v/>
      </c>
      <c r="V329" s="332">
        <f>((F329+L329+H329+P329)-(D329+J329+T329+N329+R329))*radconv</f>
        <v/>
      </c>
      <c r="W329" s="334">
        <f>IF(V329&gt;0,V329,V329+180)</f>
        <v/>
      </c>
      <c r="Y329" s="307">
        <f>IF(U329&lt;0,A329,1000000000)</f>
        <v/>
      </c>
      <c r="Z329" s="307">
        <f>A329^2</f>
        <v/>
      </c>
      <c r="AB329" s="333">
        <f>20*LOG10((K329/(I329*M329))*AEA)</f>
        <v/>
      </c>
      <c r="AC329" s="334">
        <f>(L329-(J329+N329))*radconv</f>
        <v/>
      </c>
      <c r="AE329" s="333">
        <f>20*LOG10((E329*G329/(C329*S329))*Acs*Am)</f>
        <v/>
      </c>
      <c r="AF329" s="334">
        <f>(F329+H329-(D329+T329))*radconv</f>
        <v/>
      </c>
      <c r="AH329">
        <f>SUM((U330&lt;0)*(U329&gt;0))*A329</f>
        <v/>
      </c>
      <c r="AI329">
        <f>IF(AH329&gt;0,W329,0)</f>
        <v/>
      </c>
    </row>
    <row r="330">
      <c r="A330" s="335" t="n">
        <v>24127.75</v>
      </c>
      <c r="B330" s="352">
        <f>A330/1000</f>
        <v/>
      </c>
      <c r="C330" s="1047">
        <f>SQRT(1+(A330/pole1)^2)</f>
        <v/>
      </c>
      <c r="D330" s="1048">
        <f>ATAN(A330/pole1)</f>
        <v/>
      </c>
      <c r="E330" s="1048">
        <f>SQRT(1+(A330/Zero1)^2)</f>
        <v/>
      </c>
      <c r="F330" s="1049">
        <f>ATAN(A330/Zero1)</f>
        <v/>
      </c>
      <c r="G330" s="1048">
        <f>IF(VIN_nom&gt;Vout, 1, SQRT(1+(A330/z_RHP)^2))</f>
        <v/>
      </c>
      <c r="H330" s="1049">
        <f>IF(VIN_nom&gt;Vout, 0, -ATAN(A330/z_RHP))</f>
        <v/>
      </c>
      <c r="I330" s="1047">
        <f>SQRT(1+(A330/Pole2)^2)</f>
        <v/>
      </c>
      <c r="J330" s="1050">
        <f>ATAN(A330/Pole2)</f>
        <v/>
      </c>
      <c r="K330" s="1056">
        <f>SQRT(1+(A330/Zero2)^2)</f>
        <v/>
      </c>
      <c r="L330" s="1057">
        <f>ATAN(A330/Zero2)</f>
        <v/>
      </c>
      <c r="M330" s="1047">
        <f>SQRT(1+(A330/pole4)^2)</f>
        <v/>
      </c>
      <c r="N330" s="1057">
        <f>ATAN(A330/pole4)</f>
        <v/>
      </c>
      <c r="O330" s="1058">
        <f>IF(VOUT_setting=1,1,SQRT(1+(A330*zterm1)^2))</f>
        <v/>
      </c>
      <c r="P330" s="1059">
        <f>IF(VOUT_setting=1,0,ATAN(((A330*zterm1))))</f>
        <v/>
      </c>
      <c r="Q330" s="1056">
        <f>IF(VOUT_setting=1,1,SQRT((1+Afbr-$Q$5*(A330)^2)^2+(A330*$Q$4)^2))</f>
        <v/>
      </c>
      <c r="R330" s="1060">
        <f>IF(VOUT_setting=1,0,ATAN(A330*$Q$4/(1+Afbr-$Q$5*(A330)^2)))</f>
        <v/>
      </c>
      <c r="S330" s="1054">
        <f>SQRT((1-(Z330/pterm2))^2+(A330/pterm1)^2)</f>
        <v/>
      </c>
      <c r="T330" s="1055">
        <f>IF((ATAN((A330/pterm1)/(1-A330^2/pterm2))&gt;0),ATAN((A330/pterm1)/(1-A330^2/pterm2)),PI()+ATAN((A330/pterm1)/(1-A330^2/pterm2)))</f>
        <v/>
      </c>
      <c r="U330" s="331">
        <f>20*LOG10(((E330*K330*G330*O330)/(C330*I330*S330*M330*Q330))*Adc)</f>
        <v/>
      </c>
      <c r="V330" s="332">
        <f>((F330+L330+H330+P330)-(D330+J330+T330+N330+R330))*radconv</f>
        <v/>
      </c>
      <c r="W330" s="334">
        <f>IF(V330&gt;0,V330,V330+180)</f>
        <v/>
      </c>
      <c r="Y330" s="307">
        <f>IF(U330&lt;0,A330,1000000000)</f>
        <v/>
      </c>
      <c r="Z330" s="307">
        <f>A330^2</f>
        <v/>
      </c>
      <c r="AB330" s="333">
        <f>20*LOG10((K330/(I330*M330))*AEA)</f>
        <v/>
      </c>
      <c r="AC330" s="334">
        <f>(L330-(J330+N330))*radconv</f>
        <v/>
      </c>
      <c r="AE330" s="333">
        <f>20*LOG10((E330*G330/(C330*S330))*Acs*Am)</f>
        <v/>
      </c>
      <c r="AF330" s="334">
        <f>(F330+H330-(D330+T330))*radconv</f>
        <v/>
      </c>
      <c r="AH330">
        <f>SUM((U331&lt;0)*(U330&gt;0))*A330</f>
        <v/>
      </c>
      <c r="AI330">
        <f>IF(AH330&gt;0,W330,0)</f>
        <v/>
      </c>
    </row>
    <row r="331">
      <c r="A331" s="335" t="n">
        <v>24267.5</v>
      </c>
      <c r="B331" s="352">
        <f>A331/1000</f>
        <v/>
      </c>
      <c r="C331" s="1047">
        <f>SQRT(1+(A331/pole1)^2)</f>
        <v/>
      </c>
      <c r="D331" s="1048">
        <f>ATAN(A331/pole1)</f>
        <v/>
      </c>
      <c r="E331" s="1048">
        <f>SQRT(1+(A331/Zero1)^2)</f>
        <v/>
      </c>
      <c r="F331" s="1049">
        <f>ATAN(A331/Zero1)</f>
        <v/>
      </c>
      <c r="G331" s="1048">
        <f>IF(VIN_nom&gt;Vout, 1, SQRT(1+(A331/z_RHP)^2))</f>
        <v/>
      </c>
      <c r="H331" s="1049">
        <f>IF(VIN_nom&gt;Vout, 0, -ATAN(A331/z_RHP))</f>
        <v/>
      </c>
      <c r="I331" s="1047">
        <f>SQRT(1+(A331/Pole2)^2)</f>
        <v/>
      </c>
      <c r="J331" s="1050">
        <f>ATAN(A331/Pole2)</f>
        <v/>
      </c>
      <c r="K331" s="1056">
        <f>SQRT(1+(A331/Zero2)^2)</f>
        <v/>
      </c>
      <c r="L331" s="1057">
        <f>ATAN(A331/Zero2)</f>
        <v/>
      </c>
      <c r="M331" s="1047">
        <f>SQRT(1+(A331/pole4)^2)</f>
        <v/>
      </c>
      <c r="N331" s="1057">
        <f>ATAN(A331/pole4)</f>
        <v/>
      </c>
      <c r="O331" s="1058">
        <f>IF(VOUT_setting=1,1,SQRT(1+(A331*zterm1)^2))</f>
        <v/>
      </c>
      <c r="P331" s="1059">
        <f>IF(VOUT_setting=1,0,ATAN(((A331*zterm1))))</f>
        <v/>
      </c>
      <c r="Q331" s="1056">
        <f>IF(VOUT_setting=1,1,SQRT((1+Afbr-$Q$5*(A331)^2)^2+(A331*$Q$4)^2))</f>
        <v/>
      </c>
      <c r="R331" s="1060">
        <f>IF(VOUT_setting=1,0,ATAN(A331*$Q$4/(1+Afbr-$Q$5*(A331)^2)))</f>
        <v/>
      </c>
      <c r="S331" s="1054">
        <f>SQRT((1-(Z331/pterm2))^2+(A331/pterm1)^2)</f>
        <v/>
      </c>
      <c r="T331" s="1055">
        <f>IF((ATAN((A331/pterm1)/(1-A331^2/pterm2))&gt;0),ATAN((A331/pterm1)/(1-A331^2/pterm2)),PI()+ATAN((A331/pterm1)/(1-A331^2/pterm2)))</f>
        <v/>
      </c>
      <c r="U331" s="331">
        <f>20*LOG10(((E331*K331*G331*O331)/(C331*I331*S331*M331*Q331))*Adc)</f>
        <v/>
      </c>
      <c r="V331" s="332">
        <f>((F331+L331+H331+P331)-(D331+J331+T331+N331+R331))*radconv</f>
        <v/>
      </c>
      <c r="W331" s="334">
        <f>IF(V331&gt;0,V331,V331+180)</f>
        <v/>
      </c>
      <c r="Y331" s="307">
        <f>IF(U331&lt;0,A331,1000000000)</f>
        <v/>
      </c>
      <c r="Z331" s="307">
        <f>A331^2</f>
        <v/>
      </c>
      <c r="AB331" s="333">
        <f>20*LOG10((K331/(I331*M331))*AEA)</f>
        <v/>
      </c>
      <c r="AC331" s="334">
        <f>(L331-(J331+N331))*radconv</f>
        <v/>
      </c>
      <c r="AE331" s="333">
        <f>20*LOG10((E331*G331/(C331*S331))*Acs*Am)</f>
        <v/>
      </c>
      <c r="AF331" s="334">
        <f>(F331+H331-(D331+T331))*radconv</f>
        <v/>
      </c>
      <c r="AH331">
        <f>SUM((U332&lt;0)*(U331&gt;0))*A331</f>
        <v/>
      </c>
      <c r="AI331">
        <f>IF(AH331&gt;0,W331,0)</f>
        <v/>
      </c>
    </row>
    <row r="332">
      <c r="A332" s="335" t="n">
        <v>24407.25</v>
      </c>
      <c r="B332" s="352">
        <f>A332/1000</f>
        <v/>
      </c>
      <c r="C332" s="1047">
        <f>SQRT(1+(A332/pole1)^2)</f>
        <v/>
      </c>
      <c r="D332" s="1048">
        <f>ATAN(A332/pole1)</f>
        <v/>
      </c>
      <c r="E332" s="1048">
        <f>SQRT(1+(A332/Zero1)^2)</f>
        <v/>
      </c>
      <c r="F332" s="1049">
        <f>ATAN(A332/Zero1)</f>
        <v/>
      </c>
      <c r="G332" s="1048">
        <f>IF(VIN_nom&gt;Vout, 1, SQRT(1+(A332/z_RHP)^2))</f>
        <v/>
      </c>
      <c r="H332" s="1049">
        <f>IF(VIN_nom&gt;Vout, 0, -ATAN(A332/z_RHP))</f>
        <v/>
      </c>
      <c r="I332" s="1047">
        <f>SQRT(1+(A332/Pole2)^2)</f>
        <v/>
      </c>
      <c r="J332" s="1050">
        <f>ATAN(A332/Pole2)</f>
        <v/>
      </c>
      <c r="K332" s="1056">
        <f>SQRT(1+(A332/Zero2)^2)</f>
        <v/>
      </c>
      <c r="L332" s="1057">
        <f>ATAN(A332/Zero2)</f>
        <v/>
      </c>
      <c r="M332" s="1047">
        <f>SQRT(1+(A332/pole4)^2)</f>
        <v/>
      </c>
      <c r="N332" s="1057">
        <f>ATAN(A332/pole4)</f>
        <v/>
      </c>
      <c r="O332" s="1058">
        <f>IF(VOUT_setting=1,1,SQRT(1+(A332*zterm1)^2))</f>
        <v/>
      </c>
      <c r="P332" s="1059">
        <f>IF(VOUT_setting=1,0,ATAN(((A332*zterm1))))</f>
        <v/>
      </c>
      <c r="Q332" s="1056">
        <f>IF(VOUT_setting=1,1,SQRT((1+Afbr-$Q$5*(A332)^2)^2+(A332*$Q$4)^2))</f>
        <v/>
      </c>
      <c r="R332" s="1060">
        <f>IF(VOUT_setting=1,0,ATAN(A332*$Q$4/(1+Afbr-$Q$5*(A332)^2)))</f>
        <v/>
      </c>
      <c r="S332" s="1054">
        <f>SQRT((1-(Z332/pterm2))^2+(A332/pterm1)^2)</f>
        <v/>
      </c>
      <c r="T332" s="1055">
        <f>IF((ATAN((A332/pterm1)/(1-A332^2/pterm2))&gt;0),ATAN((A332/pterm1)/(1-A332^2/pterm2)),PI()+ATAN((A332/pterm1)/(1-A332^2/pterm2)))</f>
        <v/>
      </c>
      <c r="U332" s="331">
        <f>20*LOG10(((E332*K332*G332*O332)/(C332*I332*S332*M332*Q332))*Adc)</f>
        <v/>
      </c>
      <c r="V332" s="332">
        <f>((F332+L332+H332+P332)-(D332+J332+T332+N332+R332))*radconv</f>
        <v/>
      </c>
      <c r="W332" s="334">
        <f>IF(V332&gt;0,V332,V332+180)</f>
        <v/>
      </c>
      <c r="Y332" s="307">
        <f>IF(U332&lt;0,A332,1000000000)</f>
        <v/>
      </c>
      <c r="Z332" s="307">
        <f>A332^2</f>
        <v/>
      </c>
      <c r="AB332" s="333">
        <f>20*LOG10((K332/(I332*M332))*AEA)</f>
        <v/>
      </c>
      <c r="AC332" s="334">
        <f>(L332-(J332+N332))*radconv</f>
        <v/>
      </c>
      <c r="AE332" s="333">
        <f>20*LOG10((E332*G332/(C332*S332))*Acs*Am)</f>
        <v/>
      </c>
      <c r="AF332" s="334">
        <f>(F332+H332-(D332+T332))*radconv</f>
        <v/>
      </c>
      <c r="AH332">
        <f>SUM((U333&lt;0)*(U332&gt;0))*A332</f>
        <v/>
      </c>
      <c r="AI332">
        <f>IF(AH332&gt;0,W332,0)</f>
        <v/>
      </c>
    </row>
    <row r="333">
      <c r="A333" s="335" t="n">
        <v>24547</v>
      </c>
      <c r="B333" s="352">
        <f>A333/1000</f>
        <v/>
      </c>
      <c r="C333" s="1047">
        <f>SQRT(1+(A333/pole1)^2)</f>
        <v/>
      </c>
      <c r="D333" s="1048">
        <f>ATAN(A333/pole1)</f>
        <v/>
      </c>
      <c r="E333" s="1048">
        <f>SQRT(1+(A333/Zero1)^2)</f>
        <v/>
      </c>
      <c r="F333" s="1049">
        <f>ATAN(A333/Zero1)</f>
        <v/>
      </c>
      <c r="G333" s="1048">
        <f>IF(VIN_nom&gt;Vout, 1, SQRT(1+(A333/z_RHP)^2))</f>
        <v/>
      </c>
      <c r="H333" s="1049">
        <f>IF(VIN_nom&gt;Vout, 0, -ATAN(A333/z_RHP))</f>
        <v/>
      </c>
      <c r="I333" s="1047">
        <f>SQRT(1+(A333/Pole2)^2)</f>
        <v/>
      </c>
      <c r="J333" s="1050">
        <f>ATAN(A333/Pole2)</f>
        <v/>
      </c>
      <c r="K333" s="1056">
        <f>SQRT(1+(A333/Zero2)^2)</f>
        <v/>
      </c>
      <c r="L333" s="1057">
        <f>ATAN(A333/Zero2)</f>
        <v/>
      </c>
      <c r="M333" s="1047">
        <f>SQRT(1+(A333/pole4)^2)</f>
        <v/>
      </c>
      <c r="N333" s="1057">
        <f>ATAN(A333/pole4)</f>
        <v/>
      </c>
      <c r="O333" s="1058">
        <f>IF(VOUT_setting=1,1,SQRT(1+(A333*zterm1)^2))</f>
        <v/>
      </c>
      <c r="P333" s="1059">
        <f>IF(VOUT_setting=1,0,ATAN(((A333*zterm1))))</f>
        <v/>
      </c>
      <c r="Q333" s="1056">
        <f>IF(VOUT_setting=1,1,SQRT((1+Afbr-$Q$5*(A333)^2)^2+(A333*$Q$4)^2))</f>
        <v/>
      </c>
      <c r="R333" s="1060">
        <f>IF(VOUT_setting=1,0,ATAN(A333*$Q$4/(1+Afbr-$Q$5*(A333)^2)))</f>
        <v/>
      </c>
      <c r="S333" s="1054">
        <f>SQRT((1-(Z333/pterm2))^2+(A333/pterm1)^2)</f>
        <v/>
      </c>
      <c r="T333" s="1055">
        <f>IF((ATAN((A333/pterm1)/(1-A333^2/pterm2))&gt;0),ATAN((A333/pterm1)/(1-A333^2/pterm2)),PI()+ATAN((A333/pterm1)/(1-A333^2/pterm2)))</f>
        <v/>
      </c>
      <c r="U333" s="331">
        <f>20*LOG10(((E333*K333*G333*O333)/(C333*I333*S333*M333*Q333))*Adc)</f>
        <v/>
      </c>
      <c r="V333" s="332">
        <f>((F333+L333+H333+P333)-(D333+J333+T333+N333+R333))*radconv</f>
        <v/>
      </c>
      <c r="W333" s="334">
        <f>IF(V333&gt;0,V333,V333+180)</f>
        <v/>
      </c>
      <c r="Y333" s="307">
        <f>IF(U333&lt;0,A333,1000000000)</f>
        <v/>
      </c>
      <c r="Z333" s="307">
        <f>A333^2</f>
        <v/>
      </c>
      <c r="AB333" s="333">
        <f>20*LOG10((K333/(I333*M333))*AEA)</f>
        <v/>
      </c>
      <c r="AC333" s="334">
        <f>(L333-(J333+N333))*radconv</f>
        <v/>
      </c>
      <c r="AE333" s="333">
        <f>20*LOG10((E333*G333/(C333*S333))*Acs*Am)</f>
        <v/>
      </c>
      <c r="AF333" s="334">
        <f>(F333+H333-(D333+T333))*radconv</f>
        <v/>
      </c>
      <c r="AH333">
        <f>SUM((U334&lt;0)*(U333&gt;0))*A333</f>
        <v/>
      </c>
      <c r="AI333">
        <f>IF(AH333&gt;0,W333,0)</f>
        <v/>
      </c>
    </row>
    <row r="334">
      <c r="A334" s="335" t="n">
        <v>24690</v>
      </c>
      <c r="B334" s="352">
        <f>A334/1000</f>
        <v/>
      </c>
      <c r="C334" s="1047">
        <f>SQRT(1+(A334/pole1)^2)</f>
        <v/>
      </c>
      <c r="D334" s="1048">
        <f>ATAN(A334/pole1)</f>
        <v/>
      </c>
      <c r="E334" s="1048">
        <f>SQRT(1+(A334/Zero1)^2)</f>
        <v/>
      </c>
      <c r="F334" s="1049">
        <f>ATAN(A334/Zero1)</f>
        <v/>
      </c>
      <c r="G334" s="1048">
        <f>IF(VIN_nom&gt;Vout, 1, SQRT(1+(A334/z_RHP)^2))</f>
        <v/>
      </c>
      <c r="H334" s="1049">
        <f>IF(VIN_nom&gt;Vout, 0, -ATAN(A334/z_RHP))</f>
        <v/>
      </c>
      <c r="I334" s="1047">
        <f>SQRT(1+(A334/Pole2)^2)</f>
        <v/>
      </c>
      <c r="J334" s="1050">
        <f>ATAN(A334/Pole2)</f>
        <v/>
      </c>
      <c r="K334" s="1056">
        <f>SQRT(1+(A334/Zero2)^2)</f>
        <v/>
      </c>
      <c r="L334" s="1057">
        <f>ATAN(A334/Zero2)</f>
        <v/>
      </c>
      <c r="M334" s="1047">
        <f>SQRT(1+(A334/pole4)^2)</f>
        <v/>
      </c>
      <c r="N334" s="1057">
        <f>ATAN(A334/pole4)</f>
        <v/>
      </c>
      <c r="O334" s="1058">
        <f>IF(VOUT_setting=1,1,SQRT(1+(A334*zterm1)^2))</f>
        <v/>
      </c>
      <c r="P334" s="1059">
        <f>IF(VOUT_setting=1,0,ATAN(((A334*zterm1))))</f>
        <v/>
      </c>
      <c r="Q334" s="1056">
        <f>IF(VOUT_setting=1,1,SQRT((1+Afbr-$Q$5*(A334)^2)^2+(A334*$Q$4)^2))</f>
        <v/>
      </c>
      <c r="R334" s="1060">
        <f>IF(VOUT_setting=1,0,ATAN(A334*$Q$4/(1+Afbr-$Q$5*(A334)^2)))</f>
        <v/>
      </c>
      <c r="S334" s="1054">
        <f>SQRT((1-(Z334/pterm2))^2+(A334/pterm1)^2)</f>
        <v/>
      </c>
      <c r="T334" s="1055">
        <f>IF((ATAN((A334/pterm1)/(1-A334^2/pterm2))&gt;0),ATAN((A334/pterm1)/(1-A334^2/pterm2)),PI()+ATAN((A334/pterm1)/(1-A334^2/pterm2)))</f>
        <v/>
      </c>
      <c r="U334" s="331">
        <f>20*LOG10(((E334*K334*G334*O334)/(C334*I334*S334*M334*Q334))*Adc)</f>
        <v/>
      </c>
      <c r="V334" s="332">
        <f>((F334+L334+H334+P334)-(D334+J334+T334+N334+R334))*radconv</f>
        <v/>
      </c>
      <c r="W334" s="334">
        <f>IF(V334&gt;0,V334,V334+180)</f>
        <v/>
      </c>
      <c r="Y334" s="307">
        <f>IF(U334&lt;0,A334,1000000000)</f>
        <v/>
      </c>
      <c r="Z334" s="307">
        <f>A334^2</f>
        <v/>
      </c>
      <c r="AB334" s="333">
        <f>20*LOG10((K334/(I334*M334))*AEA)</f>
        <v/>
      </c>
      <c r="AC334" s="334">
        <f>(L334-(J334+N334))*radconv</f>
        <v/>
      </c>
      <c r="AE334" s="333">
        <f>20*LOG10((E334*G334/(C334*S334))*Acs*Am)</f>
        <v/>
      </c>
      <c r="AF334" s="334">
        <f>(F334+H334-(D334+T334))*radconv</f>
        <v/>
      </c>
      <c r="AH334">
        <f>SUM((U335&lt;0)*(U334&gt;0))*A334</f>
        <v/>
      </c>
      <c r="AI334">
        <f>IF(AH334&gt;0,W334,0)</f>
        <v/>
      </c>
    </row>
    <row r="335">
      <c r="A335" s="335" t="n">
        <v>24833</v>
      </c>
      <c r="B335" s="352">
        <f>A335/1000</f>
        <v/>
      </c>
      <c r="C335" s="1047">
        <f>SQRT(1+(A335/pole1)^2)</f>
        <v/>
      </c>
      <c r="D335" s="1048">
        <f>ATAN(A335/pole1)</f>
        <v/>
      </c>
      <c r="E335" s="1048">
        <f>SQRT(1+(A335/Zero1)^2)</f>
        <v/>
      </c>
      <c r="F335" s="1049">
        <f>ATAN(A335/Zero1)</f>
        <v/>
      </c>
      <c r="G335" s="1048">
        <f>IF(VIN_nom&gt;Vout, 1, SQRT(1+(A335/z_RHP)^2))</f>
        <v/>
      </c>
      <c r="H335" s="1049">
        <f>IF(VIN_nom&gt;Vout, 0, -ATAN(A335/z_RHP))</f>
        <v/>
      </c>
      <c r="I335" s="1047">
        <f>SQRT(1+(A335/Pole2)^2)</f>
        <v/>
      </c>
      <c r="J335" s="1050">
        <f>ATAN(A335/Pole2)</f>
        <v/>
      </c>
      <c r="K335" s="1056">
        <f>SQRT(1+(A335/Zero2)^2)</f>
        <v/>
      </c>
      <c r="L335" s="1057">
        <f>ATAN(A335/Zero2)</f>
        <v/>
      </c>
      <c r="M335" s="1047">
        <f>SQRT(1+(A335/pole4)^2)</f>
        <v/>
      </c>
      <c r="N335" s="1057">
        <f>ATAN(A335/pole4)</f>
        <v/>
      </c>
      <c r="O335" s="1058">
        <f>IF(VOUT_setting=1,1,SQRT(1+(A335*zterm1)^2))</f>
        <v/>
      </c>
      <c r="P335" s="1059">
        <f>IF(VOUT_setting=1,0,ATAN(((A335*zterm1))))</f>
        <v/>
      </c>
      <c r="Q335" s="1056">
        <f>IF(VOUT_setting=1,1,SQRT((1+Afbr-$Q$5*(A335)^2)^2+(A335*$Q$4)^2))</f>
        <v/>
      </c>
      <c r="R335" s="1060">
        <f>IF(VOUT_setting=1,0,ATAN(A335*$Q$4/(1+Afbr-$Q$5*(A335)^2)))</f>
        <v/>
      </c>
      <c r="S335" s="1054">
        <f>SQRT((1-(Z335/pterm2))^2+(A335/pterm1)^2)</f>
        <v/>
      </c>
      <c r="T335" s="1055">
        <f>IF((ATAN((A335/pterm1)/(1-A335^2/pterm2))&gt;0),ATAN((A335/pterm1)/(1-A335^2/pterm2)),PI()+ATAN((A335/pterm1)/(1-A335^2/pterm2)))</f>
        <v/>
      </c>
      <c r="U335" s="331">
        <f>20*LOG10(((E335*K335*G335*O335)/(C335*I335*S335*M335*Q335))*Adc)</f>
        <v/>
      </c>
      <c r="V335" s="332">
        <f>((F335+L335+H335+P335)-(D335+J335+T335+N335+R335))*radconv</f>
        <v/>
      </c>
      <c r="W335" s="334">
        <f>IF(V335&gt;0,V335,V335+180)</f>
        <v/>
      </c>
      <c r="Y335" s="307">
        <f>IF(U335&lt;0,A335,1000000000)</f>
        <v/>
      </c>
      <c r="Z335" s="307">
        <f>A335^2</f>
        <v/>
      </c>
      <c r="AB335" s="333">
        <f>20*LOG10((K335/(I335*M335))*AEA)</f>
        <v/>
      </c>
      <c r="AC335" s="334">
        <f>(L335-(J335+N335))*radconv</f>
        <v/>
      </c>
      <c r="AE335" s="333">
        <f>20*LOG10((E335*G335/(C335*S335))*Acs*Am)</f>
        <v/>
      </c>
      <c r="AF335" s="334">
        <f>(F335+H335-(D335+T335))*radconv</f>
        <v/>
      </c>
      <c r="AH335">
        <f>SUM((U336&lt;0)*(U335&gt;0))*A335</f>
        <v/>
      </c>
      <c r="AI335">
        <f>IF(AH335&gt;0,W335,0)</f>
        <v/>
      </c>
    </row>
    <row r="336">
      <c r="A336" s="335" t="n">
        <v>24976</v>
      </c>
      <c r="B336" s="352">
        <f>A336/1000</f>
        <v/>
      </c>
      <c r="C336" s="1047">
        <f>SQRT(1+(A336/pole1)^2)</f>
        <v/>
      </c>
      <c r="D336" s="1048">
        <f>ATAN(A336/pole1)</f>
        <v/>
      </c>
      <c r="E336" s="1048">
        <f>SQRT(1+(A336/Zero1)^2)</f>
        <v/>
      </c>
      <c r="F336" s="1049">
        <f>ATAN(A336/Zero1)</f>
        <v/>
      </c>
      <c r="G336" s="1048">
        <f>IF(VIN_nom&gt;Vout, 1, SQRT(1+(A336/z_RHP)^2))</f>
        <v/>
      </c>
      <c r="H336" s="1049">
        <f>IF(VIN_nom&gt;Vout, 0, -ATAN(A336/z_RHP))</f>
        <v/>
      </c>
      <c r="I336" s="1047">
        <f>SQRT(1+(A336/Pole2)^2)</f>
        <v/>
      </c>
      <c r="J336" s="1050">
        <f>ATAN(A336/Pole2)</f>
        <v/>
      </c>
      <c r="K336" s="1056">
        <f>SQRT(1+(A336/Zero2)^2)</f>
        <v/>
      </c>
      <c r="L336" s="1057">
        <f>ATAN(A336/Zero2)</f>
        <v/>
      </c>
      <c r="M336" s="1047">
        <f>SQRT(1+(A336/pole4)^2)</f>
        <v/>
      </c>
      <c r="N336" s="1057">
        <f>ATAN(A336/pole4)</f>
        <v/>
      </c>
      <c r="O336" s="1058">
        <f>IF(VOUT_setting=1,1,SQRT(1+(A336*zterm1)^2))</f>
        <v/>
      </c>
      <c r="P336" s="1059">
        <f>IF(VOUT_setting=1,0,ATAN(((A336*zterm1))))</f>
        <v/>
      </c>
      <c r="Q336" s="1056">
        <f>IF(VOUT_setting=1,1,SQRT((1+Afbr-$Q$5*(A336)^2)^2+(A336*$Q$4)^2))</f>
        <v/>
      </c>
      <c r="R336" s="1060">
        <f>IF(VOUT_setting=1,0,ATAN(A336*$Q$4/(1+Afbr-$Q$5*(A336)^2)))</f>
        <v/>
      </c>
      <c r="S336" s="1054">
        <f>SQRT((1-(Z336/pterm2))^2+(A336/pterm1)^2)</f>
        <v/>
      </c>
      <c r="T336" s="1055">
        <f>IF((ATAN((A336/pterm1)/(1-A336^2/pterm2))&gt;0),ATAN((A336/pterm1)/(1-A336^2/pterm2)),PI()+ATAN((A336/pterm1)/(1-A336^2/pterm2)))</f>
        <v/>
      </c>
      <c r="U336" s="331">
        <f>20*LOG10(((E336*K336*G336*O336)/(C336*I336*S336*M336*Q336))*Adc)</f>
        <v/>
      </c>
      <c r="V336" s="332">
        <f>((F336+L336+H336+P336)-(D336+J336+T336+N336+R336))*radconv</f>
        <v/>
      </c>
      <c r="W336" s="334">
        <f>IF(V336&gt;0,V336,V336+180)</f>
        <v/>
      </c>
      <c r="Y336" s="307">
        <f>IF(U336&lt;0,A336,1000000000)</f>
        <v/>
      </c>
      <c r="Z336" s="307">
        <f>A336^2</f>
        <v/>
      </c>
      <c r="AB336" s="333">
        <f>20*LOG10((K336/(I336*M336))*AEA)</f>
        <v/>
      </c>
      <c r="AC336" s="334">
        <f>(L336-(J336+N336))*radconv</f>
        <v/>
      </c>
      <c r="AE336" s="333">
        <f>20*LOG10((E336*G336/(C336*S336))*Acs*Am)</f>
        <v/>
      </c>
      <c r="AF336" s="334">
        <f>(F336+H336-(D336+T336))*radconv</f>
        <v/>
      </c>
      <c r="AH336">
        <f>SUM((U337&lt;0)*(U336&gt;0))*A336</f>
        <v/>
      </c>
      <c r="AI336">
        <f>IF(AH336&gt;0,W336,0)</f>
        <v/>
      </c>
    </row>
    <row r="337">
      <c r="A337" s="335" t="n">
        <v>25119</v>
      </c>
      <c r="B337" s="352">
        <f>A337/1000</f>
        <v/>
      </c>
      <c r="C337" s="1047">
        <f>SQRT(1+(A337/pole1)^2)</f>
        <v/>
      </c>
      <c r="D337" s="1048">
        <f>ATAN(A337/pole1)</f>
        <v/>
      </c>
      <c r="E337" s="1048">
        <f>SQRT(1+(A337/Zero1)^2)</f>
        <v/>
      </c>
      <c r="F337" s="1049">
        <f>ATAN(A337/Zero1)</f>
        <v/>
      </c>
      <c r="G337" s="1048">
        <f>IF(VIN_nom&gt;Vout, 1, SQRT(1+(A337/z_RHP)^2))</f>
        <v/>
      </c>
      <c r="H337" s="1049">
        <f>IF(VIN_nom&gt;Vout, 0, -ATAN(A337/z_RHP))</f>
        <v/>
      </c>
      <c r="I337" s="1047">
        <f>SQRT(1+(A337/Pole2)^2)</f>
        <v/>
      </c>
      <c r="J337" s="1050">
        <f>ATAN(A337/Pole2)</f>
        <v/>
      </c>
      <c r="K337" s="1056">
        <f>SQRT(1+(A337/Zero2)^2)</f>
        <v/>
      </c>
      <c r="L337" s="1057">
        <f>ATAN(A337/Zero2)</f>
        <v/>
      </c>
      <c r="M337" s="1047">
        <f>SQRT(1+(A337/pole4)^2)</f>
        <v/>
      </c>
      <c r="N337" s="1057">
        <f>ATAN(A337/pole4)</f>
        <v/>
      </c>
      <c r="O337" s="1058">
        <f>IF(VOUT_setting=1,1,SQRT(1+(A337*zterm1)^2))</f>
        <v/>
      </c>
      <c r="P337" s="1059">
        <f>IF(VOUT_setting=1,0,ATAN(((A337*zterm1))))</f>
        <v/>
      </c>
      <c r="Q337" s="1056">
        <f>IF(VOUT_setting=1,1,SQRT((1+Afbr-$Q$5*(A337)^2)^2+(A337*$Q$4)^2))</f>
        <v/>
      </c>
      <c r="R337" s="1060">
        <f>IF(VOUT_setting=1,0,ATAN(A337*$Q$4/(1+Afbr-$Q$5*(A337)^2)))</f>
        <v/>
      </c>
      <c r="S337" s="1054">
        <f>SQRT((1-(Z337/pterm2))^2+(A337/pterm1)^2)</f>
        <v/>
      </c>
      <c r="T337" s="1055">
        <f>IF((ATAN((A337/pterm1)/(1-A337^2/pterm2))&gt;0),ATAN((A337/pterm1)/(1-A337^2/pterm2)),PI()+ATAN((A337/pterm1)/(1-A337^2/pterm2)))</f>
        <v/>
      </c>
      <c r="U337" s="331">
        <f>20*LOG10(((E337*K337*G337*O337)/(C337*I337*S337*M337*Q337))*Adc)</f>
        <v/>
      </c>
      <c r="V337" s="332">
        <f>((F337+L337+H337+P337)-(D337+J337+T337+N337+R337))*radconv</f>
        <v/>
      </c>
      <c r="W337" s="334">
        <f>IF(V337&gt;0,V337,V337+180)</f>
        <v/>
      </c>
      <c r="Y337" s="307">
        <f>IF(U337&lt;0,A337,1000000000)</f>
        <v/>
      </c>
      <c r="Z337" s="307">
        <f>A337^2</f>
        <v/>
      </c>
      <c r="AB337" s="333">
        <f>20*LOG10((K337/(I337*M337))*AEA)</f>
        <v/>
      </c>
      <c r="AC337" s="334">
        <f>(L337-(J337+N337))*radconv</f>
        <v/>
      </c>
      <c r="AE337" s="333">
        <f>20*LOG10((E337*G337/(C337*S337))*Acs*Am)</f>
        <v/>
      </c>
      <c r="AF337" s="334">
        <f>(F337+H337-(D337+T337))*radconv</f>
        <v/>
      </c>
      <c r="AH337">
        <f>SUM((U338&lt;0)*(U337&gt;0))*A337</f>
        <v/>
      </c>
      <c r="AI337">
        <f>IF(AH337&gt;0,W337,0)</f>
        <v/>
      </c>
    </row>
    <row r="338">
      <c r="A338" s="335" t="n">
        <v>25265.25</v>
      </c>
      <c r="B338" s="352">
        <f>A338/1000</f>
        <v/>
      </c>
      <c r="C338" s="1047">
        <f>SQRT(1+(A338/pole1)^2)</f>
        <v/>
      </c>
      <c r="D338" s="1048">
        <f>ATAN(A338/pole1)</f>
        <v/>
      </c>
      <c r="E338" s="1048">
        <f>SQRT(1+(A338/Zero1)^2)</f>
        <v/>
      </c>
      <c r="F338" s="1049">
        <f>ATAN(A338/Zero1)</f>
        <v/>
      </c>
      <c r="G338" s="1048">
        <f>IF(VIN_nom&gt;Vout, 1, SQRT(1+(A338/z_RHP)^2))</f>
        <v/>
      </c>
      <c r="H338" s="1049">
        <f>IF(VIN_nom&gt;Vout, 0, -ATAN(A338/z_RHP))</f>
        <v/>
      </c>
      <c r="I338" s="1047">
        <f>SQRT(1+(A338/Pole2)^2)</f>
        <v/>
      </c>
      <c r="J338" s="1050">
        <f>ATAN(A338/Pole2)</f>
        <v/>
      </c>
      <c r="K338" s="1056">
        <f>SQRT(1+(A338/Zero2)^2)</f>
        <v/>
      </c>
      <c r="L338" s="1057">
        <f>ATAN(A338/Zero2)</f>
        <v/>
      </c>
      <c r="M338" s="1047">
        <f>SQRT(1+(A338/pole4)^2)</f>
        <v/>
      </c>
      <c r="N338" s="1057">
        <f>ATAN(A338/pole4)</f>
        <v/>
      </c>
      <c r="O338" s="1058">
        <f>IF(VOUT_setting=1,1,SQRT(1+(A338*zterm1)^2))</f>
        <v/>
      </c>
      <c r="P338" s="1059">
        <f>IF(VOUT_setting=1,0,ATAN(((A338*zterm1))))</f>
        <v/>
      </c>
      <c r="Q338" s="1056">
        <f>IF(VOUT_setting=1,1,SQRT((1+Afbr-$Q$5*(A338)^2)^2+(A338*$Q$4)^2))</f>
        <v/>
      </c>
      <c r="R338" s="1060">
        <f>IF(VOUT_setting=1,0,ATAN(A338*$Q$4/(1+Afbr-$Q$5*(A338)^2)))</f>
        <v/>
      </c>
      <c r="S338" s="1054">
        <f>SQRT((1-(Z338/pterm2))^2+(A338/pterm1)^2)</f>
        <v/>
      </c>
      <c r="T338" s="1055">
        <f>IF((ATAN((A338/pterm1)/(1-A338^2/pterm2))&gt;0),ATAN((A338/pterm1)/(1-A338^2/pterm2)),PI()+ATAN((A338/pterm1)/(1-A338^2/pterm2)))</f>
        <v/>
      </c>
      <c r="U338" s="331">
        <f>20*LOG10(((E338*K338*G338*O338)/(C338*I338*S338*M338*Q338))*Adc)</f>
        <v/>
      </c>
      <c r="V338" s="332">
        <f>((F338+L338+H338+P338)-(D338+J338+T338+N338+R338))*radconv</f>
        <v/>
      </c>
      <c r="W338" s="334">
        <f>IF(V338&gt;0,V338,V338+180)</f>
        <v/>
      </c>
      <c r="Y338" s="307">
        <f>IF(U338&lt;0,A338,1000000000)</f>
        <v/>
      </c>
      <c r="Z338" s="307">
        <f>A338^2</f>
        <v/>
      </c>
      <c r="AB338" s="333">
        <f>20*LOG10((K338/(I338*M338))*AEA)</f>
        <v/>
      </c>
      <c r="AC338" s="334">
        <f>(L338-(J338+N338))*radconv</f>
        <v/>
      </c>
      <c r="AE338" s="333">
        <f>20*LOG10((E338*G338/(C338*S338))*Acs*Am)</f>
        <v/>
      </c>
      <c r="AF338" s="334">
        <f>(F338+H338-(D338+T338))*radconv</f>
        <v/>
      </c>
      <c r="AH338">
        <f>SUM((U339&lt;0)*(U338&gt;0))*A338</f>
        <v/>
      </c>
      <c r="AI338">
        <f>IF(AH338&gt;0,W338,0)</f>
        <v/>
      </c>
    </row>
    <row r="339">
      <c r="A339" s="335" t="n">
        <v>25411.5</v>
      </c>
      <c r="B339" s="352">
        <f>A339/1000</f>
        <v/>
      </c>
      <c r="C339" s="1047">
        <f>SQRT(1+(A339/pole1)^2)</f>
        <v/>
      </c>
      <c r="D339" s="1048">
        <f>ATAN(A339/pole1)</f>
        <v/>
      </c>
      <c r="E339" s="1048">
        <f>SQRT(1+(A339/Zero1)^2)</f>
        <v/>
      </c>
      <c r="F339" s="1049">
        <f>ATAN(A339/Zero1)</f>
        <v/>
      </c>
      <c r="G339" s="1048">
        <f>IF(VIN_nom&gt;Vout, 1, SQRT(1+(A339/z_RHP)^2))</f>
        <v/>
      </c>
      <c r="H339" s="1049">
        <f>IF(VIN_nom&gt;Vout, 0, -ATAN(A339/z_RHP))</f>
        <v/>
      </c>
      <c r="I339" s="1047">
        <f>SQRT(1+(A339/Pole2)^2)</f>
        <v/>
      </c>
      <c r="J339" s="1050">
        <f>ATAN(A339/Pole2)</f>
        <v/>
      </c>
      <c r="K339" s="1056">
        <f>SQRT(1+(A339/Zero2)^2)</f>
        <v/>
      </c>
      <c r="L339" s="1057">
        <f>ATAN(A339/Zero2)</f>
        <v/>
      </c>
      <c r="M339" s="1047">
        <f>SQRT(1+(A339/pole4)^2)</f>
        <v/>
      </c>
      <c r="N339" s="1057">
        <f>ATAN(A339/pole4)</f>
        <v/>
      </c>
      <c r="O339" s="1058">
        <f>IF(VOUT_setting=1,1,SQRT(1+(A339*zterm1)^2))</f>
        <v/>
      </c>
      <c r="P339" s="1059">
        <f>IF(VOUT_setting=1,0,ATAN(((A339*zterm1))))</f>
        <v/>
      </c>
      <c r="Q339" s="1056">
        <f>IF(VOUT_setting=1,1,SQRT((1+Afbr-$Q$5*(A339)^2)^2+(A339*$Q$4)^2))</f>
        <v/>
      </c>
      <c r="R339" s="1060">
        <f>IF(VOUT_setting=1,0,ATAN(A339*$Q$4/(1+Afbr-$Q$5*(A339)^2)))</f>
        <v/>
      </c>
      <c r="S339" s="1054">
        <f>SQRT((1-(Z339/pterm2))^2+(A339/pterm1)^2)</f>
        <v/>
      </c>
      <c r="T339" s="1055">
        <f>IF((ATAN((A339/pterm1)/(1-A339^2/pterm2))&gt;0),ATAN((A339/pterm1)/(1-A339^2/pterm2)),PI()+ATAN((A339/pterm1)/(1-A339^2/pterm2)))</f>
        <v/>
      </c>
      <c r="U339" s="331">
        <f>20*LOG10(((E339*K339*G339*O339)/(C339*I339*S339*M339*Q339))*Adc)</f>
        <v/>
      </c>
      <c r="V339" s="332">
        <f>((F339+L339+H339+P339)-(D339+J339+T339+N339+R339))*radconv</f>
        <v/>
      </c>
      <c r="W339" s="334">
        <f>IF(V339&gt;0,V339,V339+180)</f>
        <v/>
      </c>
      <c r="Y339" s="307">
        <f>IF(U339&lt;0,A339,1000000000)</f>
        <v/>
      </c>
      <c r="Z339" s="307">
        <f>A339^2</f>
        <v/>
      </c>
      <c r="AB339" s="333">
        <f>20*LOG10((K339/(I339*M339))*AEA)</f>
        <v/>
      </c>
      <c r="AC339" s="334">
        <f>(L339-(J339+N339))*radconv</f>
        <v/>
      </c>
      <c r="AE339" s="333">
        <f>20*LOG10((E339*G339/(C339*S339))*Acs*Am)</f>
        <v/>
      </c>
      <c r="AF339" s="334">
        <f>(F339+H339-(D339+T339))*radconv</f>
        <v/>
      </c>
      <c r="AH339">
        <f>SUM((U340&lt;0)*(U339&gt;0))*A339</f>
        <v/>
      </c>
      <c r="AI339">
        <f>IF(AH339&gt;0,W339,0)</f>
        <v/>
      </c>
    </row>
    <row r="340">
      <c r="A340" s="335" t="n">
        <v>25557.75</v>
      </c>
      <c r="B340" s="352">
        <f>A340/1000</f>
        <v/>
      </c>
      <c r="C340" s="1047">
        <f>SQRT(1+(A340/pole1)^2)</f>
        <v/>
      </c>
      <c r="D340" s="1048">
        <f>ATAN(A340/pole1)</f>
        <v/>
      </c>
      <c r="E340" s="1048">
        <f>SQRT(1+(A340/Zero1)^2)</f>
        <v/>
      </c>
      <c r="F340" s="1049">
        <f>ATAN(A340/Zero1)</f>
        <v/>
      </c>
      <c r="G340" s="1048">
        <f>IF(VIN_nom&gt;Vout, 1, SQRT(1+(A340/z_RHP)^2))</f>
        <v/>
      </c>
      <c r="H340" s="1049">
        <f>IF(VIN_nom&gt;Vout, 0, -ATAN(A340/z_RHP))</f>
        <v/>
      </c>
      <c r="I340" s="1047">
        <f>SQRT(1+(A340/Pole2)^2)</f>
        <v/>
      </c>
      <c r="J340" s="1050">
        <f>ATAN(A340/Pole2)</f>
        <v/>
      </c>
      <c r="K340" s="1056">
        <f>SQRT(1+(A340/Zero2)^2)</f>
        <v/>
      </c>
      <c r="L340" s="1057">
        <f>ATAN(A340/Zero2)</f>
        <v/>
      </c>
      <c r="M340" s="1047">
        <f>SQRT(1+(A340/pole4)^2)</f>
        <v/>
      </c>
      <c r="N340" s="1057">
        <f>ATAN(A340/pole4)</f>
        <v/>
      </c>
      <c r="O340" s="1058">
        <f>IF(VOUT_setting=1,1,SQRT(1+(A340*zterm1)^2))</f>
        <v/>
      </c>
      <c r="P340" s="1059">
        <f>IF(VOUT_setting=1,0,ATAN(((A340*zterm1))))</f>
        <v/>
      </c>
      <c r="Q340" s="1056">
        <f>IF(VOUT_setting=1,1,SQRT((1+Afbr-$Q$5*(A340)^2)^2+(A340*$Q$4)^2))</f>
        <v/>
      </c>
      <c r="R340" s="1060">
        <f>IF(VOUT_setting=1,0,ATAN(A340*$Q$4/(1+Afbr-$Q$5*(A340)^2)))</f>
        <v/>
      </c>
      <c r="S340" s="1054">
        <f>SQRT((1-(Z340/pterm2))^2+(A340/pterm1)^2)</f>
        <v/>
      </c>
      <c r="T340" s="1055">
        <f>IF((ATAN((A340/pterm1)/(1-A340^2/pterm2))&gt;0),ATAN((A340/pterm1)/(1-A340^2/pterm2)),PI()+ATAN((A340/pterm1)/(1-A340^2/pterm2)))</f>
        <v/>
      </c>
      <c r="U340" s="331">
        <f>20*LOG10(((E340*K340*G340*O340)/(C340*I340*S340*M340*Q340))*Adc)</f>
        <v/>
      </c>
      <c r="V340" s="332">
        <f>((F340+L340+H340+P340)-(D340+J340+T340+N340+R340))*radconv</f>
        <v/>
      </c>
      <c r="W340" s="334">
        <f>IF(V340&gt;0,V340,V340+180)</f>
        <v/>
      </c>
      <c r="Y340" s="307">
        <f>IF(U340&lt;0,A340,1000000000)</f>
        <v/>
      </c>
      <c r="Z340" s="307">
        <f>A340^2</f>
        <v/>
      </c>
      <c r="AB340" s="333">
        <f>20*LOG10((K340/(I340*M340))*AEA)</f>
        <v/>
      </c>
      <c r="AC340" s="334">
        <f>(L340-(J340+N340))*radconv</f>
        <v/>
      </c>
      <c r="AE340" s="333">
        <f>20*LOG10((E340*G340/(C340*S340))*Acs*Am)</f>
        <v/>
      </c>
      <c r="AF340" s="334">
        <f>(F340+H340-(D340+T340))*radconv</f>
        <v/>
      </c>
      <c r="AH340">
        <f>SUM((U341&lt;0)*(U340&gt;0))*A340</f>
        <v/>
      </c>
      <c r="AI340">
        <f>IF(AH340&gt;0,W340,0)</f>
        <v/>
      </c>
    </row>
    <row r="341">
      <c r="A341" s="335" t="n">
        <v>25704</v>
      </c>
      <c r="B341" s="352">
        <f>A341/1000</f>
        <v/>
      </c>
      <c r="C341" s="1047">
        <f>SQRT(1+(A341/pole1)^2)</f>
        <v/>
      </c>
      <c r="D341" s="1048">
        <f>ATAN(A341/pole1)</f>
        <v/>
      </c>
      <c r="E341" s="1048">
        <f>SQRT(1+(A341/Zero1)^2)</f>
        <v/>
      </c>
      <c r="F341" s="1049">
        <f>ATAN(A341/Zero1)</f>
        <v/>
      </c>
      <c r="G341" s="1048">
        <f>IF(VIN_nom&gt;Vout, 1, SQRT(1+(A341/z_RHP)^2))</f>
        <v/>
      </c>
      <c r="H341" s="1049">
        <f>IF(VIN_nom&gt;Vout, 0, -ATAN(A341/z_RHP))</f>
        <v/>
      </c>
      <c r="I341" s="1047">
        <f>SQRT(1+(A341/Pole2)^2)</f>
        <v/>
      </c>
      <c r="J341" s="1050">
        <f>ATAN(A341/Pole2)</f>
        <v/>
      </c>
      <c r="K341" s="1056">
        <f>SQRT(1+(A341/Zero2)^2)</f>
        <v/>
      </c>
      <c r="L341" s="1057">
        <f>ATAN(A341/Zero2)</f>
        <v/>
      </c>
      <c r="M341" s="1047">
        <f>SQRT(1+(A341/pole4)^2)</f>
        <v/>
      </c>
      <c r="N341" s="1057">
        <f>ATAN(A341/pole4)</f>
        <v/>
      </c>
      <c r="O341" s="1058">
        <f>IF(VOUT_setting=1,1,SQRT(1+(A341*zterm1)^2))</f>
        <v/>
      </c>
      <c r="P341" s="1059">
        <f>IF(VOUT_setting=1,0,ATAN(((A341*zterm1))))</f>
        <v/>
      </c>
      <c r="Q341" s="1056">
        <f>IF(VOUT_setting=1,1,SQRT((1+Afbr-$Q$5*(A341)^2)^2+(A341*$Q$4)^2))</f>
        <v/>
      </c>
      <c r="R341" s="1060">
        <f>IF(VOUT_setting=1,0,ATAN(A341*$Q$4/(1+Afbr-$Q$5*(A341)^2)))</f>
        <v/>
      </c>
      <c r="S341" s="1054">
        <f>SQRT((1-(Z341/pterm2))^2+(A341/pterm1)^2)</f>
        <v/>
      </c>
      <c r="T341" s="1055">
        <f>IF((ATAN((A341/pterm1)/(1-A341^2/pterm2))&gt;0),ATAN((A341/pterm1)/(1-A341^2/pterm2)),PI()+ATAN((A341/pterm1)/(1-A341^2/pterm2)))</f>
        <v/>
      </c>
      <c r="U341" s="331">
        <f>20*LOG10(((E341*K341*G341*O341)/(C341*I341*S341*M341*Q341))*Adc)</f>
        <v/>
      </c>
      <c r="V341" s="332">
        <f>((F341+L341+H341+P341)-(D341+J341+T341+N341+R341))*radconv</f>
        <v/>
      </c>
      <c r="W341" s="334">
        <f>IF(V341&gt;0,V341,V341+180)</f>
        <v/>
      </c>
      <c r="Y341" s="307">
        <f>IF(U341&lt;0,A341,1000000000)</f>
        <v/>
      </c>
      <c r="Z341" s="307">
        <f>A341^2</f>
        <v/>
      </c>
      <c r="AB341" s="333">
        <f>20*LOG10((K341/(I341*M341))*AEA)</f>
        <v/>
      </c>
      <c r="AC341" s="334">
        <f>(L341-(J341+N341))*radconv</f>
        <v/>
      </c>
      <c r="AE341" s="333">
        <f>20*LOG10((E341*G341/(C341*S341))*Acs*Am)</f>
        <v/>
      </c>
      <c r="AF341" s="334">
        <f>(F341+H341-(D341+T341))*radconv</f>
        <v/>
      </c>
      <c r="AH341">
        <f>SUM((U342&lt;0)*(U341&gt;0))*A341</f>
        <v/>
      </c>
      <c r="AI341">
        <f>IF(AH341&gt;0,W341,0)</f>
        <v/>
      </c>
    </row>
    <row r="342">
      <c r="A342" s="335" t="n">
        <v>25853.75</v>
      </c>
      <c r="B342" s="352">
        <f>A342/1000</f>
        <v/>
      </c>
      <c r="C342" s="1047">
        <f>SQRT(1+(A342/pole1)^2)</f>
        <v/>
      </c>
      <c r="D342" s="1048">
        <f>ATAN(A342/pole1)</f>
        <v/>
      </c>
      <c r="E342" s="1048">
        <f>SQRT(1+(A342/Zero1)^2)</f>
        <v/>
      </c>
      <c r="F342" s="1049">
        <f>ATAN(A342/Zero1)</f>
        <v/>
      </c>
      <c r="G342" s="1048">
        <f>IF(VIN_nom&gt;Vout, 1, SQRT(1+(A342/z_RHP)^2))</f>
        <v/>
      </c>
      <c r="H342" s="1049">
        <f>IF(VIN_nom&gt;Vout, 0, -ATAN(A342/z_RHP))</f>
        <v/>
      </c>
      <c r="I342" s="1047">
        <f>SQRT(1+(A342/Pole2)^2)</f>
        <v/>
      </c>
      <c r="J342" s="1050">
        <f>ATAN(A342/Pole2)</f>
        <v/>
      </c>
      <c r="K342" s="1056">
        <f>SQRT(1+(A342/Zero2)^2)</f>
        <v/>
      </c>
      <c r="L342" s="1057">
        <f>ATAN(A342/Zero2)</f>
        <v/>
      </c>
      <c r="M342" s="1047">
        <f>SQRT(1+(A342/pole4)^2)</f>
        <v/>
      </c>
      <c r="N342" s="1057">
        <f>ATAN(A342/pole4)</f>
        <v/>
      </c>
      <c r="O342" s="1058">
        <f>IF(VOUT_setting=1,1,SQRT(1+(A342*zterm1)^2))</f>
        <v/>
      </c>
      <c r="P342" s="1059">
        <f>IF(VOUT_setting=1,0,ATAN(((A342*zterm1))))</f>
        <v/>
      </c>
      <c r="Q342" s="1056">
        <f>IF(VOUT_setting=1,1,SQRT((1+Afbr-$Q$5*(A342)^2)^2+(A342*$Q$4)^2))</f>
        <v/>
      </c>
      <c r="R342" s="1060">
        <f>IF(VOUT_setting=1,0,ATAN(A342*$Q$4/(1+Afbr-$Q$5*(A342)^2)))</f>
        <v/>
      </c>
      <c r="S342" s="1054">
        <f>SQRT((1-(Z342/pterm2))^2+(A342/pterm1)^2)</f>
        <v/>
      </c>
      <c r="T342" s="1055">
        <f>IF((ATAN((A342/pterm1)/(1-A342^2/pterm2))&gt;0),ATAN((A342/pterm1)/(1-A342^2/pterm2)),PI()+ATAN((A342/pterm1)/(1-A342^2/pterm2)))</f>
        <v/>
      </c>
      <c r="U342" s="331">
        <f>20*LOG10(((E342*K342*G342*O342)/(C342*I342*S342*M342*Q342))*Adc)</f>
        <v/>
      </c>
      <c r="V342" s="332">
        <f>((F342+L342+H342+P342)-(D342+J342+T342+N342+R342))*radconv</f>
        <v/>
      </c>
      <c r="W342" s="334">
        <f>IF(V342&gt;0,V342,V342+180)</f>
        <v/>
      </c>
      <c r="Y342" s="307">
        <f>IF(U342&lt;0,A342,1000000000)</f>
        <v/>
      </c>
      <c r="Z342" s="307">
        <f>A342^2</f>
        <v/>
      </c>
      <c r="AB342" s="333">
        <f>20*LOG10((K342/(I342*M342))*AEA)</f>
        <v/>
      </c>
      <c r="AC342" s="334">
        <f>(L342-(J342+N342))*radconv</f>
        <v/>
      </c>
      <c r="AE342" s="333">
        <f>20*LOG10((E342*G342/(C342*S342))*Acs*Am)</f>
        <v/>
      </c>
      <c r="AF342" s="334">
        <f>(F342+H342-(D342+T342))*radconv</f>
        <v/>
      </c>
      <c r="AH342">
        <f>SUM((U343&lt;0)*(U342&gt;0))*A342</f>
        <v/>
      </c>
      <c r="AI342">
        <f>IF(AH342&gt;0,W342,0)</f>
        <v/>
      </c>
    </row>
    <row r="343">
      <c r="A343" s="335" t="n">
        <v>26003.5</v>
      </c>
      <c r="B343" s="352">
        <f>A343/1000</f>
        <v/>
      </c>
      <c r="C343" s="1047">
        <f>SQRT(1+(A343/pole1)^2)</f>
        <v/>
      </c>
      <c r="D343" s="1048">
        <f>ATAN(A343/pole1)</f>
        <v/>
      </c>
      <c r="E343" s="1048">
        <f>SQRT(1+(A343/Zero1)^2)</f>
        <v/>
      </c>
      <c r="F343" s="1049">
        <f>ATAN(A343/Zero1)</f>
        <v/>
      </c>
      <c r="G343" s="1048">
        <f>IF(VIN_nom&gt;Vout, 1, SQRT(1+(A343/z_RHP)^2))</f>
        <v/>
      </c>
      <c r="H343" s="1049">
        <f>IF(VIN_nom&gt;Vout, 0, -ATAN(A343/z_RHP))</f>
        <v/>
      </c>
      <c r="I343" s="1047">
        <f>SQRT(1+(A343/Pole2)^2)</f>
        <v/>
      </c>
      <c r="J343" s="1050">
        <f>ATAN(A343/Pole2)</f>
        <v/>
      </c>
      <c r="K343" s="1056">
        <f>SQRT(1+(A343/Zero2)^2)</f>
        <v/>
      </c>
      <c r="L343" s="1057">
        <f>ATAN(A343/Zero2)</f>
        <v/>
      </c>
      <c r="M343" s="1047">
        <f>SQRT(1+(A343/pole4)^2)</f>
        <v/>
      </c>
      <c r="N343" s="1057">
        <f>ATAN(A343/pole4)</f>
        <v/>
      </c>
      <c r="O343" s="1058">
        <f>IF(VOUT_setting=1,1,SQRT(1+(A343*zterm1)^2))</f>
        <v/>
      </c>
      <c r="P343" s="1059">
        <f>IF(VOUT_setting=1,0,ATAN(((A343*zterm1))))</f>
        <v/>
      </c>
      <c r="Q343" s="1056">
        <f>IF(VOUT_setting=1,1,SQRT((1+Afbr-$Q$5*(A343)^2)^2+(A343*$Q$4)^2))</f>
        <v/>
      </c>
      <c r="R343" s="1060">
        <f>IF(VOUT_setting=1,0,ATAN(A343*$Q$4/(1+Afbr-$Q$5*(A343)^2)))</f>
        <v/>
      </c>
      <c r="S343" s="1054">
        <f>SQRT((1-(Z343/pterm2))^2+(A343/pterm1)^2)</f>
        <v/>
      </c>
      <c r="T343" s="1055">
        <f>IF((ATAN((A343/pterm1)/(1-A343^2/pterm2))&gt;0),ATAN((A343/pterm1)/(1-A343^2/pterm2)),PI()+ATAN((A343/pterm1)/(1-A343^2/pterm2)))</f>
        <v/>
      </c>
      <c r="U343" s="331">
        <f>20*LOG10(((E343*K343*G343*O343)/(C343*I343*S343*M343*Q343))*Adc)</f>
        <v/>
      </c>
      <c r="V343" s="332">
        <f>((F343+L343+H343+P343)-(D343+J343+T343+N343+R343))*radconv</f>
        <v/>
      </c>
      <c r="W343" s="334">
        <f>IF(V343&gt;0,V343,V343+180)</f>
        <v/>
      </c>
      <c r="Y343" s="307">
        <f>IF(U343&lt;0,A343,1000000000)</f>
        <v/>
      </c>
      <c r="Z343" s="307">
        <f>A343^2</f>
        <v/>
      </c>
      <c r="AB343" s="333">
        <f>20*LOG10((K343/(I343*M343))*AEA)</f>
        <v/>
      </c>
      <c r="AC343" s="334">
        <f>(L343-(J343+N343))*radconv</f>
        <v/>
      </c>
      <c r="AE343" s="333">
        <f>20*LOG10((E343*G343/(C343*S343))*Acs*Am)</f>
        <v/>
      </c>
      <c r="AF343" s="334">
        <f>(F343+H343-(D343+T343))*radconv</f>
        <v/>
      </c>
      <c r="AH343">
        <f>SUM((U344&lt;0)*(U343&gt;0))*A343</f>
        <v/>
      </c>
      <c r="AI343">
        <f>IF(AH343&gt;0,W343,0)</f>
        <v/>
      </c>
    </row>
    <row r="344">
      <c r="A344" s="335" t="n">
        <v>26153.25</v>
      </c>
      <c r="B344" s="352">
        <f>A344/1000</f>
        <v/>
      </c>
      <c r="C344" s="1047">
        <f>SQRT(1+(A344/pole1)^2)</f>
        <v/>
      </c>
      <c r="D344" s="1048">
        <f>ATAN(A344/pole1)</f>
        <v/>
      </c>
      <c r="E344" s="1048">
        <f>SQRT(1+(A344/Zero1)^2)</f>
        <v/>
      </c>
      <c r="F344" s="1049">
        <f>ATAN(A344/Zero1)</f>
        <v/>
      </c>
      <c r="G344" s="1048">
        <f>IF(VIN_nom&gt;Vout, 1, SQRT(1+(A344/z_RHP)^2))</f>
        <v/>
      </c>
      <c r="H344" s="1049">
        <f>IF(VIN_nom&gt;Vout, 0, -ATAN(A344/z_RHP))</f>
        <v/>
      </c>
      <c r="I344" s="1047">
        <f>SQRT(1+(A344/Pole2)^2)</f>
        <v/>
      </c>
      <c r="J344" s="1050">
        <f>ATAN(A344/Pole2)</f>
        <v/>
      </c>
      <c r="K344" s="1056">
        <f>SQRT(1+(A344/Zero2)^2)</f>
        <v/>
      </c>
      <c r="L344" s="1057">
        <f>ATAN(A344/Zero2)</f>
        <v/>
      </c>
      <c r="M344" s="1047">
        <f>SQRT(1+(A344/pole4)^2)</f>
        <v/>
      </c>
      <c r="N344" s="1057">
        <f>ATAN(A344/pole4)</f>
        <v/>
      </c>
      <c r="O344" s="1058">
        <f>IF(VOUT_setting=1,1,SQRT(1+(A344*zterm1)^2))</f>
        <v/>
      </c>
      <c r="P344" s="1059">
        <f>IF(VOUT_setting=1,0,ATAN(((A344*zterm1))))</f>
        <v/>
      </c>
      <c r="Q344" s="1056">
        <f>IF(VOUT_setting=1,1,SQRT((1+Afbr-$Q$5*(A344)^2)^2+(A344*$Q$4)^2))</f>
        <v/>
      </c>
      <c r="R344" s="1060">
        <f>IF(VOUT_setting=1,0,ATAN(A344*$Q$4/(1+Afbr-$Q$5*(A344)^2)))</f>
        <v/>
      </c>
      <c r="S344" s="1054">
        <f>SQRT((1-(Z344/pterm2))^2+(A344/pterm1)^2)</f>
        <v/>
      </c>
      <c r="T344" s="1055">
        <f>IF((ATAN((A344/pterm1)/(1-A344^2/pterm2))&gt;0),ATAN((A344/pterm1)/(1-A344^2/pterm2)),PI()+ATAN((A344/pterm1)/(1-A344^2/pterm2)))</f>
        <v/>
      </c>
      <c r="U344" s="331">
        <f>20*LOG10(((E344*K344*G344*O344)/(C344*I344*S344*M344*Q344))*Adc)</f>
        <v/>
      </c>
      <c r="V344" s="332">
        <f>((F344+L344+H344+P344)-(D344+J344+T344+N344+R344))*radconv</f>
        <v/>
      </c>
      <c r="W344" s="334">
        <f>IF(V344&gt;0,V344,V344+180)</f>
        <v/>
      </c>
      <c r="Y344" s="307">
        <f>IF(U344&lt;0,A344,1000000000)</f>
        <v/>
      </c>
      <c r="Z344" s="307">
        <f>A344^2</f>
        <v/>
      </c>
      <c r="AB344" s="333">
        <f>20*LOG10((K344/(I344*M344))*AEA)</f>
        <v/>
      </c>
      <c r="AC344" s="334">
        <f>(L344-(J344+N344))*radconv</f>
        <v/>
      </c>
      <c r="AE344" s="333">
        <f>20*LOG10((E344*G344/(C344*S344))*Acs*Am)</f>
        <v/>
      </c>
      <c r="AF344" s="334">
        <f>(F344+H344-(D344+T344))*radconv</f>
        <v/>
      </c>
      <c r="AH344">
        <f>SUM((U345&lt;0)*(U344&gt;0))*A344</f>
        <v/>
      </c>
      <c r="AI344">
        <f>IF(AH344&gt;0,W344,0)</f>
        <v/>
      </c>
    </row>
    <row r="345">
      <c r="A345" s="335" t="n">
        <v>26303</v>
      </c>
      <c r="B345" s="352">
        <f>A345/1000</f>
        <v/>
      </c>
      <c r="C345" s="1047">
        <f>SQRT(1+(A345/pole1)^2)</f>
        <v/>
      </c>
      <c r="D345" s="1048">
        <f>ATAN(A345/pole1)</f>
        <v/>
      </c>
      <c r="E345" s="1048">
        <f>SQRT(1+(A345/Zero1)^2)</f>
        <v/>
      </c>
      <c r="F345" s="1049">
        <f>ATAN(A345/Zero1)</f>
        <v/>
      </c>
      <c r="G345" s="1048">
        <f>IF(VIN_nom&gt;Vout, 1, SQRT(1+(A345/z_RHP)^2))</f>
        <v/>
      </c>
      <c r="H345" s="1049">
        <f>IF(VIN_nom&gt;Vout, 0, -ATAN(A345/z_RHP))</f>
        <v/>
      </c>
      <c r="I345" s="1047">
        <f>SQRT(1+(A345/Pole2)^2)</f>
        <v/>
      </c>
      <c r="J345" s="1050">
        <f>ATAN(A345/Pole2)</f>
        <v/>
      </c>
      <c r="K345" s="1056">
        <f>SQRT(1+(A345/Zero2)^2)</f>
        <v/>
      </c>
      <c r="L345" s="1057">
        <f>ATAN(A345/Zero2)</f>
        <v/>
      </c>
      <c r="M345" s="1047">
        <f>SQRT(1+(A345/pole4)^2)</f>
        <v/>
      </c>
      <c r="N345" s="1057">
        <f>ATAN(A345/pole4)</f>
        <v/>
      </c>
      <c r="O345" s="1058">
        <f>IF(VOUT_setting=1,1,SQRT(1+(A345*zterm1)^2))</f>
        <v/>
      </c>
      <c r="P345" s="1059">
        <f>IF(VOUT_setting=1,0,ATAN(((A345*zterm1))))</f>
        <v/>
      </c>
      <c r="Q345" s="1056">
        <f>IF(VOUT_setting=1,1,SQRT((1+Afbr-$Q$5*(A345)^2)^2+(A345*$Q$4)^2))</f>
        <v/>
      </c>
      <c r="R345" s="1060">
        <f>IF(VOUT_setting=1,0,ATAN(A345*$Q$4/(1+Afbr-$Q$5*(A345)^2)))</f>
        <v/>
      </c>
      <c r="S345" s="1054">
        <f>SQRT((1-(Z345/pterm2))^2+(A345/pterm1)^2)</f>
        <v/>
      </c>
      <c r="T345" s="1055">
        <f>IF((ATAN((A345/pterm1)/(1-A345^2/pterm2))&gt;0),ATAN((A345/pterm1)/(1-A345^2/pterm2)),PI()+ATAN((A345/pterm1)/(1-A345^2/pterm2)))</f>
        <v/>
      </c>
      <c r="U345" s="331">
        <f>20*LOG10(((E345*K345*G345*O345)/(C345*I345*S345*M345*Q345))*Adc)</f>
        <v/>
      </c>
      <c r="V345" s="332">
        <f>((F345+L345+H345+P345)-(D345+J345+T345+N345+R345))*radconv</f>
        <v/>
      </c>
      <c r="W345" s="334">
        <f>IF(V345&gt;0,V345,V345+180)</f>
        <v/>
      </c>
      <c r="Y345" s="307">
        <f>IF(U345&lt;0,A345,1000000000)</f>
        <v/>
      </c>
      <c r="Z345" s="307">
        <f>A345^2</f>
        <v/>
      </c>
      <c r="AB345" s="333">
        <f>20*LOG10((K345/(I345*M345))*AEA)</f>
        <v/>
      </c>
      <c r="AC345" s="334">
        <f>(L345-(J345+N345))*radconv</f>
        <v/>
      </c>
      <c r="AE345" s="333">
        <f>20*LOG10((E345*G345/(C345*S345))*Acs*Am)</f>
        <v/>
      </c>
      <c r="AF345" s="334">
        <f>(F345+H345-(D345+T345))*radconv</f>
        <v/>
      </c>
      <c r="AH345">
        <f>SUM((U346&lt;0)*(U345&gt;0))*A345</f>
        <v/>
      </c>
      <c r="AI345">
        <f>IF(AH345&gt;0,W345,0)</f>
        <v/>
      </c>
    </row>
    <row r="346">
      <c r="A346" s="335" t="n">
        <v>26456</v>
      </c>
      <c r="B346" s="352">
        <f>A346/1000</f>
        <v/>
      </c>
      <c r="C346" s="1047">
        <f>SQRT(1+(A346/pole1)^2)</f>
        <v/>
      </c>
      <c r="D346" s="1048">
        <f>ATAN(A346/pole1)</f>
        <v/>
      </c>
      <c r="E346" s="1048">
        <f>SQRT(1+(A346/Zero1)^2)</f>
        <v/>
      </c>
      <c r="F346" s="1049">
        <f>ATAN(A346/Zero1)</f>
        <v/>
      </c>
      <c r="G346" s="1048">
        <f>IF(VIN_nom&gt;Vout, 1, SQRT(1+(A346/z_RHP)^2))</f>
        <v/>
      </c>
      <c r="H346" s="1049">
        <f>IF(VIN_nom&gt;Vout, 0, -ATAN(A346/z_RHP))</f>
        <v/>
      </c>
      <c r="I346" s="1047">
        <f>SQRT(1+(A346/Pole2)^2)</f>
        <v/>
      </c>
      <c r="J346" s="1050">
        <f>ATAN(A346/Pole2)</f>
        <v/>
      </c>
      <c r="K346" s="1056">
        <f>SQRT(1+(A346/Zero2)^2)</f>
        <v/>
      </c>
      <c r="L346" s="1057">
        <f>ATAN(A346/Zero2)</f>
        <v/>
      </c>
      <c r="M346" s="1047">
        <f>SQRT(1+(A346/pole4)^2)</f>
        <v/>
      </c>
      <c r="N346" s="1057">
        <f>ATAN(A346/pole4)</f>
        <v/>
      </c>
      <c r="O346" s="1058">
        <f>IF(VOUT_setting=1,1,SQRT(1+(A346*zterm1)^2))</f>
        <v/>
      </c>
      <c r="P346" s="1059">
        <f>IF(VOUT_setting=1,0,ATAN(((A346*zterm1))))</f>
        <v/>
      </c>
      <c r="Q346" s="1056">
        <f>IF(VOUT_setting=1,1,SQRT((1+Afbr-$Q$5*(A346)^2)^2+(A346*$Q$4)^2))</f>
        <v/>
      </c>
      <c r="R346" s="1060">
        <f>IF(VOUT_setting=1,0,ATAN(A346*$Q$4/(1+Afbr-$Q$5*(A346)^2)))</f>
        <v/>
      </c>
      <c r="S346" s="1054">
        <f>SQRT((1-(Z346/pterm2))^2+(A346/pterm1)^2)</f>
        <v/>
      </c>
      <c r="T346" s="1055">
        <f>IF((ATAN((A346/pterm1)/(1-A346^2/pterm2))&gt;0),ATAN((A346/pterm1)/(1-A346^2/pterm2)),PI()+ATAN((A346/pterm1)/(1-A346^2/pterm2)))</f>
        <v/>
      </c>
      <c r="U346" s="331">
        <f>20*LOG10(((E346*K346*G346*O346)/(C346*I346*S346*M346*Q346))*Adc)</f>
        <v/>
      </c>
      <c r="V346" s="332">
        <f>((F346+L346+H346+P346)-(D346+J346+T346+N346+R346))*radconv</f>
        <v/>
      </c>
      <c r="W346" s="334">
        <f>IF(V346&gt;0,V346,V346+180)</f>
        <v/>
      </c>
      <c r="Y346" s="307">
        <f>IF(U346&lt;0,A346,1000000000)</f>
        <v/>
      </c>
      <c r="Z346" s="307">
        <f>A346^2</f>
        <v/>
      </c>
      <c r="AB346" s="333">
        <f>20*LOG10((K346/(I346*M346))*AEA)</f>
        <v/>
      </c>
      <c r="AC346" s="334">
        <f>(L346-(J346+N346))*radconv</f>
        <v/>
      </c>
      <c r="AE346" s="333">
        <f>20*LOG10((E346*G346/(C346*S346))*Acs*Am)</f>
        <v/>
      </c>
      <c r="AF346" s="334">
        <f>(F346+H346-(D346+T346))*radconv</f>
        <v/>
      </c>
      <c r="AH346">
        <f>SUM((U347&lt;0)*(U346&gt;0))*A346</f>
        <v/>
      </c>
      <c r="AI346">
        <f>IF(AH346&gt;0,W346,0)</f>
        <v/>
      </c>
    </row>
    <row r="347">
      <c r="A347" s="335" t="n">
        <v>26609</v>
      </c>
      <c r="B347" s="352">
        <f>A347/1000</f>
        <v/>
      </c>
      <c r="C347" s="1047">
        <f>SQRT(1+(A347/pole1)^2)</f>
        <v/>
      </c>
      <c r="D347" s="1048">
        <f>ATAN(A347/pole1)</f>
        <v/>
      </c>
      <c r="E347" s="1048">
        <f>SQRT(1+(A347/Zero1)^2)</f>
        <v/>
      </c>
      <c r="F347" s="1049">
        <f>ATAN(A347/Zero1)</f>
        <v/>
      </c>
      <c r="G347" s="1048">
        <f>IF(VIN_nom&gt;Vout, 1, SQRT(1+(A347/z_RHP)^2))</f>
        <v/>
      </c>
      <c r="H347" s="1049">
        <f>IF(VIN_nom&gt;Vout, 0, -ATAN(A347/z_RHP))</f>
        <v/>
      </c>
      <c r="I347" s="1047">
        <f>SQRT(1+(A347/Pole2)^2)</f>
        <v/>
      </c>
      <c r="J347" s="1050">
        <f>ATAN(A347/Pole2)</f>
        <v/>
      </c>
      <c r="K347" s="1056">
        <f>SQRT(1+(A347/Zero2)^2)</f>
        <v/>
      </c>
      <c r="L347" s="1057">
        <f>ATAN(A347/Zero2)</f>
        <v/>
      </c>
      <c r="M347" s="1047">
        <f>SQRT(1+(A347/pole4)^2)</f>
        <v/>
      </c>
      <c r="N347" s="1057">
        <f>ATAN(A347/pole4)</f>
        <v/>
      </c>
      <c r="O347" s="1058">
        <f>IF(VOUT_setting=1,1,SQRT(1+(A347*zterm1)^2))</f>
        <v/>
      </c>
      <c r="P347" s="1059">
        <f>IF(VOUT_setting=1,0,ATAN(((A347*zterm1))))</f>
        <v/>
      </c>
      <c r="Q347" s="1056">
        <f>IF(VOUT_setting=1,1,SQRT((1+Afbr-$Q$5*(A347)^2)^2+(A347*$Q$4)^2))</f>
        <v/>
      </c>
      <c r="R347" s="1060">
        <f>IF(VOUT_setting=1,0,ATAN(A347*$Q$4/(1+Afbr-$Q$5*(A347)^2)))</f>
        <v/>
      </c>
      <c r="S347" s="1054">
        <f>SQRT((1-(Z347/pterm2))^2+(A347/pterm1)^2)</f>
        <v/>
      </c>
      <c r="T347" s="1055">
        <f>IF((ATAN((A347/pterm1)/(1-A347^2/pterm2))&gt;0),ATAN((A347/pterm1)/(1-A347^2/pterm2)),PI()+ATAN((A347/pterm1)/(1-A347^2/pterm2)))</f>
        <v/>
      </c>
      <c r="U347" s="331">
        <f>20*LOG10(((E347*K347*G347*O347)/(C347*I347*S347*M347*Q347))*Adc)</f>
        <v/>
      </c>
      <c r="V347" s="332">
        <f>((F347+L347+H347+P347)-(D347+J347+T347+N347+R347))*radconv</f>
        <v/>
      </c>
      <c r="W347" s="334">
        <f>IF(V347&gt;0,V347,V347+180)</f>
        <v/>
      </c>
      <c r="Y347" s="307">
        <f>IF(U347&lt;0,A347,1000000000)</f>
        <v/>
      </c>
      <c r="Z347" s="307">
        <f>A347^2</f>
        <v/>
      </c>
      <c r="AB347" s="333">
        <f>20*LOG10((K347/(I347*M347))*AEA)</f>
        <v/>
      </c>
      <c r="AC347" s="334">
        <f>(L347-(J347+N347))*radconv</f>
        <v/>
      </c>
      <c r="AE347" s="333">
        <f>20*LOG10((E347*G347/(C347*S347))*Acs*Am)</f>
        <v/>
      </c>
      <c r="AF347" s="334">
        <f>(F347+H347-(D347+T347))*radconv</f>
        <v/>
      </c>
      <c r="AH347">
        <f>SUM((U348&lt;0)*(U347&gt;0))*A347</f>
        <v/>
      </c>
      <c r="AI347">
        <f>IF(AH347&gt;0,W347,0)</f>
        <v/>
      </c>
    </row>
    <row r="348">
      <c r="A348" s="335" t="n">
        <v>26762</v>
      </c>
      <c r="B348" s="352">
        <f>A348/1000</f>
        <v/>
      </c>
      <c r="C348" s="1047">
        <f>SQRT(1+(A348/pole1)^2)</f>
        <v/>
      </c>
      <c r="D348" s="1048">
        <f>ATAN(A348/pole1)</f>
        <v/>
      </c>
      <c r="E348" s="1048">
        <f>SQRT(1+(A348/Zero1)^2)</f>
        <v/>
      </c>
      <c r="F348" s="1049">
        <f>ATAN(A348/Zero1)</f>
        <v/>
      </c>
      <c r="G348" s="1048">
        <f>IF(VIN_nom&gt;Vout, 1, SQRT(1+(A348/z_RHP)^2))</f>
        <v/>
      </c>
      <c r="H348" s="1049">
        <f>IF(VIN_nom&gt;Vout, 0, -ATAN(A348/z_RHP))</f>
        <v/>
      </c>
      <c r="I348" s="1047">
        <f>SQRT(1+(A348/Pole2)^2)</f>
        <v/>
      </c>
      <c r="J348" s="1050">
        <f>ATAN(A348/Pole2)</f>
        <v/>
      </c>
      <c r="K348" s="1056">
        <f>SQRT(1+(A348/Zero2)^2)</f>
        <v/>
      </c>
      <c r="L348" s="1057">
        <f>ATAN(A348/Zero2)</f>
        <v/>
      </c>
      <c r="M348" s="1047">
        <f>SQRT(1+(A348/pole4)^2)</f>
        <v/>
      </c>
      <c r="N348" s="1057">
        <f>ATAN(A348/pole4)</f>
        <v/>
      </c>
      <c r="O348" s="1058">
        <f>IF(VOUT_setting=1,1,SQRT(1+(A348*zterm1)^2))</f>
        <v/>
      </c>
      <c r="P348" s="1059">
        <f>IF(VOUT_setting=1,0,ATAN(((A348*zterm1))))</f>
        <v/>
      </c>
      <c r="Q348" s="1056">
        <f>IF(VOUT_setting=1,1,SQRT((1+Afbr-$Q$5*(A348)^2)^2+(A348*$Q$4)^2))</f>
        <v/>
      </c>
      <c r="R348" s="1060">
        <f>IF(VOUT_setting=1,0,ATAN(A348*$Q$4/(1+Afbr-$Q$5*(A348)^2)))</f>
        <v/>
      </c>
      <c r="S348" s="1054">
        <f>SQRT((1-(Z348/pterm2))^2+(A348/pterm1)^2)</f>
        <v/>
      </c>
      <c r="T348" s="1055">
        <f>IF((ATAN((A348/pterm1)/(1-A348^2/pterm2))&gt;0),ATAN((A348/pterm1)/(1-A348^2/pterm2)),PI()+ATAN((A348/pterm1)/(1-A348^2/pterm2)))</f>
        <v/>
      </c>
      <c r="U348" s="331">
        <f>20*LOG10(((E348*K348*G348*O348)/(C348*I348*S348*M348*Q348))*Adc)</f>
        <v/>
      </c>
      <c r="V348" s="332">
        <f>((F348+L348+H348+P348)-(D348+J348+T348+N348+R348))*radconv</f>
        <v/>
      </c>
      <c r="W348" s="334">
        <f>IF(V348&gt;0,V348,V348+180)</f>
        <v/>
      </c>
      <c r="Y348" s="307">
        <f>IF(U348&lt;0,A348,1000000000)</f>
        <v/>
      </c>
      <c r="Z348" s="307">
        <f>A348^2</f>
        <v/>
      </c>
      <c r="AB348" s="333">
        <f>20*LOG10((K348/(I348*M348))*AEA)</f>
        <v/>
      </c>
      <c r="AC348" s="334">
        <f>(L348-(J348+N348))*radconv</f>
        <v/>
      </c>
      <c r="AE348" s="333">
        <f>20*LOG10((E348*G348/(C348*S348))*Acs*Am)</f>
        <v/>
      </c>
      <c r="AF348" s="334">
        <f>(F348+H348-(D348+T348))*radconv</f>
        <v/>
      </c>
      <c r="AH348">
        <f>SUM((U349&lt;0)*(U348&gt;0))*A348</f>
        <v/>
      </c>
      <c r="AI348">
        <f>IF(AH348&gt;0,W348,0)</f>
        <v/>
      </c>
    </row>
    <row r="349">
      <c r="A349" s="335" t="n">
        <v>26915</v>
      </c>
      <c r="B349" s="352">
        <f>A349/1000</f>
        <v/>
      </c>
      <c r="C349" s="1047">
        <f>SQRT(1+(A349/pole1)^2)</f>
        <v/>
      </c>
      <c r="D349" s="1048">
        <f>ATAN(A349/pole1)</f>
        <v/>
      </c>
      <c r="E349" s="1048">
        <f>SQRT(1+(A349/Zero1)^2)</f>
        <v/>
      </c>
      <c r="F349" s="1049">
        <f>ATAN(A349/Zero1)</f>
        <v/>
      </c>
      <c r="G349" s="1048">
        <f>IF(VIN_nom&gt;Vout, 1, SQRT(1+(A349/z_RHP)^2))</f>
        <v/>
      </c>
      <c r="H349" s="1049">
        <f>IF(VIN_nom&gt;Vout, 0, -ATAN(A349/z_RHP))</f>
        <v/>
      </c>
      <c r="I349" s="1047">
        <f>SQRT(1+(A349/Pole2)^2)</f>
        <v/>
      </c>
      <c r="J349" s="1050">
        <f>ATAN(A349/Pole2)</f>
        <v/>
      </c>
      <c r="K349" s="1056">
        <f>SQRT(1+(A349/Zero2)^2)</f>
        <v/>
      </c>
      <c r="L349" s="1057">
        <f>ATAN(A349/Zero2)</f>
        <v/>
      </c>
      <c r="M349" s="1047">
        <f>SQRT(1+(A349/pole4)^2)</f>
        <v/>
      </c>
      <c r="N349" s="1057">
        <f>ATAN(A349/pole4)</f>
        <v/>
      </c>
      <c r="O349" s="1058">
        <f>IF(VOUT_setting=1,1,SQRT(1+(A349*zterm1)^2))</f>
        <v/>
      </c>
      <c r="P349" s="1059">
        <f>IF(VOUT_setting=1,0,ATAN(((A349*zterm1))))</f>
        <v/>
      </c>
      <c r="Q349" s="1056">
        <f>IF(VOUT_setting=1,1,SQRT((1+Afbr-$Q$5*(A349)^2)^2+(A349*$Q$4)^2))</f>
        <v/>
      </c>
      <c r="R349" s="1060">
        <f>IF(VOUT_setting=1,0,ATAN(A349*$Q$4/(1+Afbr-$Q$5*(A349)^2)))</f>
        <v/>
      </c>
      <c r="S349" s="1054">
        <f>SQRT((1-(Z349/pterm2))^2+(A349/pterm1)^2)</f>
        <v/>
      </c>
      <c r="T349" s="1055">
        <f>IF((ATAN((A349/pterm1)/(1-A349^2/pterm2))&gt;0),ATAN((A349/pterm1)/(1-A349^2/pterm2)),PI()+ATAN((A349/pterm1)/(1-A349^2/pterm2)))</f>
        <v/>
      </c>
      <c r="U349" s="331">
        <f>20*LOG10(((E349*K349*G349*O349)/(C349*I349*S349*M349*Q349))*Adc)</f>
        <v/>
      </c>
      <c r="V349" s="332">
        <f>((F349+L349+H349+P349)-(D349+J349+T349+N349+R349))*radconv</f>
        <v/>
      </c>
      <c r="W349" s="334">
        <f>IF(V349&gt;0,V349,V349+180)</f>
        <v/>
      </c>
      <c r="Y349" s="307">
        <f>IF(U349&lt;0,A349,1000000000)</f>
        <v/>
      </c>
      <c r="Z349" s="307">
        <f>A349^2</f>
        <v/>
      </c>
      <c r="AB349" s="333">
        <f>20*LOG10((K349/(I349*M349))*AEA)</f>
        <v/>
      </c>
      <c r="AC349" s="334">
        <f>(L349-(J349+N349))*radconv</f>
        <v/>
      </c>
      <c r="AE349" s="333">
        <f>20*LOG10((E349*G349/(C349*S349))*Acs*Am)</f>
        <v/>
      </c>
      <c r="AF349" s="334">
        <f>(F349+H349-(D349+T349))*radconv</f>
        <v/>
      </c>
      <c r="AH349">
        <f>SUM((U350&lt;0)*(U349&gt;0))*A349</f>
        <v/>
      </c>
      <c r="AI349">
        <f>IF(AH349&gt;0,W349,0)</f>
        <v/>
      </c>
    </row>
    <row r="350">
      <c r="A350" s="335" t="n">
        <v>27071.75</v>
      </c>
      <c r="B350" s="352">
        <f>A350/1000</f>
        <v/>
      </c>
      <c r="C350" s="1047">
        <f>SQRT(1+(A350/pole1)^2)</f>
        <v/>
      </c>
      <c r="D350" s="1048">
        <f>ATAN(A350/pole1)</f>
        <v/>
      </c>
      <c r="E350" s="1048">
        <f>SQRT(1+(A350/Zero1)^2)</f>
        <v/>
      </c>
      <c r="F350" s="1049">
        <f>ATAN(A350/Zero1)</f>
        <v/>
      </c>
      <c r="G350" s="1048">
        <f>IF(VIN_nom&gt;Vout, 1, SQRT(1+(A350/z_RHP)^2))</f>
        <v/>
      </c>
      <c r="H350" s="1049">
        <f>IF(VIN_nom&gt;Vout, 0, -ATAN(A350/z_RHP))</f>
        <v/>
      </c>
      <c r="I350" s="1047">
        <f>SQRT(1+(A350/Pole2)^2)</f>
        <v/>
      </c>
      <c r="J350" s="1050">
        <f>ATAN(A350/Pole2)</f>
        <v/>
      </c>
      <c r="K350" s="1056">
        <f>SQRT(1+(A350/Zero2)^2)</f>
        <v/>
      </c>
      <c r="L350" s="1057">
        <f>ATAN(A350/Zero2)</f>
        <v/>
      </c>
      <c r="M350" s="1047">
        <f>SQRT(1+(A350/pole4)^2)</f>
        <v/>
      </c>
      <c r="N350" s="1057">
        <f>ATAN(A350/pole4)</f>
        <v/>
      </c>
      <c r="O350" s="1058">
        <f>IF(VOUT_setting=1,1,SQRT(1+(A350*zterm1)^2))</f>
        <v/>
      </c>
      <c r="P350" s="1059">
        <f>IF(VOUT_setting=1,0,ATAN(((A350*zterm1))))</f>
        <v/>
      </c>
      <c r="Q350" s="1056">
        <f>IF(VOUT_setting=1,1,SQRT((1+Afbr-$Q$5*(A350)^2)^2+(A350*$Q$4)^2))</f>
        <v/>
      </c>
      <c r="R350" s="1060">
        <f>IF(VOUT_setting=1,0,ATAN(A350*$Q$4/(1+Afbr-$Q$5*(A350)^2)))</f>
        <v/>
      </c>
      <c r="S350" s="1054">
        <f>SQRT((1-(Z350/pterm2))^2+(A350/pterm1)^2)</f>
        <v/>
      </c>
      <c r="T350" s="1055">
        <f>IF((ATAN((A350/pterm1)/(1-A350^2/pterm2))&gt;0),ATAN((A350/pterm1)/(1-A350^2/pterm2)),PI()+ATAN((A350/pterm1)/(1-A350^2/pterm2)))</f>
        <v/>
      </c>
      <c r="U350" s="331">
        <f>20*LOG10(((E350*K350*G350*O350)/(C350*I350*S350*M350*Q350))*Adc)</f>
        <v/>
      </c>
      <c r="V350" s="332">
        <f>((F350+L350+H350+P350)-(D350+J350+T350+N350+R350))*radconv</f>
        <v/>
      </c>
      <c r="W350" s="334">
        <f>IF(V350&gt;0,V350,V350+180)</f>
        <v/>
      </c>
      <c r="Y350" s="307">
        <f>IF(U350&lt;0,A350,1000000000)</f>
        <v/>
      </c>
      <c r="Z350" s="307">
        <f>A350^2</f>
        <v/>
      </c>
      <c r="AB350" s="333">
        <f>20*LOG10((K350/(I350*M350))*AEA)</f>
        <v/>
      </c>
      <c r="AC350" s="334">
        <f>(L350-(J350+N350))*radconv</f>
        <v/>
      </c>
      <c r="AE350" s="333">
        <f>20*LOG10((E350*G350/(C350*S350))*Acs*Am)</f>
        <v/>
      </c>
      <c r="AF350" s="334">
        <f>(F350+H350-(D350+T350))*radconv</f>
        <v/>
      </c>
      <c r="AH350">
        <f>SUM((U351&lt;0)*(U350&gt;0))*A350</f>
        <v/>
      </c>
      <c r="AI350">
        <f>IF(AH350&gt;0,W350,0)</f>
        <v/>
      </c>
    </row>
    <row r="351">
      <c r="A351" s="335" t="n">
        <v>27228.5</v>
      </c>
      <c r="B351" s="352">
        <f>A351/1000</f>
        <v/>
      </c>
      <c r="C351" s="1047">
        <f>SQRT(1+(A351/pole1)^2)</f>
        <v/>
      </c>
      <c r="D351" s="1048">
        <f>ATAN(A351/pole1)</f>
        <v/>
      </c>
      <c r="E351" s="1048">
        <f>SQRT(1+(A351/Zero1)^2)</f>
        <v/>
      </c>
      <c r="F351" s="1049">
        <f>ATAN(A351/Zero1)</f>
        <v/>
      </c>
      <c r="G351" s="1048">
        <f>IF(VIN_nom&gt;Vout, 1, SQRT(1+(A351/z_RHP)^2))</f>
        <v/>
      </c>
      <c r="H351" s="1049">
        <f>IF(VIN_nom&gt;Vout, 0, -ATAN(A351/z_RHP))</f>
        <v/>
      </c>
      <c r="I351" s="1047">
        <f>SQRT(1+(A351/Pole2)^2)</f>
        <v/>
      </c>
      <c r="J351" s="1050">
        <f>ATAN(A351/Pole2)</f>
        <v/>
      </c>
      <c r="K351" s="1056">
        <f>SQRT(1+(A351/Zero2)^2)</f>
        <v/>
      </c>
      <c r="L351" s="1057">
        <f>ATAN(A351/Zero2)</f>
        <v/>
      </c>
      <c r="M351" s="1047">
        <f>SQRT(1+(A351/pole4)^2)</f>
        <v/>
      </c>
      <c r="N351" s="1057">
        <f>ATAN(A351/pole4)</f>
        <v/>
      </c>
      <c r="O351" s="1058">
        <f>IF(VOUT_setting=1,1,SQRT(1+(A351*zterm1)^2))</f>
        <v/>
      </c>
      <c r="P351" s="1059">
        <f>IF(VOUT_setting=1,0,ATAN(((A351*zterm1))))</f>
        <v/>
      </c>
      <c r="Q351" s="1056">
        <f>IF(VOUT_setting=1,1,SQRT((1+Afbr-$Q$5*(A351)^2)^2+(A351*$Q$4)^2))</f>
        <v/>
      </c>
      <c r="R351" s="1060">
        <f>IF(VOUT_setting=1,0,ATAN(A351*$Q$4/(1+Afbr-$Q$5*(A351)^2)))</f>
        <v/>
      </c>
      <c r="S351" s="1054">
        <f>SQRT((1-(Z351/pterm2))^2+(A351/pterm1)^2)</f>
        <v/>
      </c>
      <c r="T351" s="1055">
        <f>IF((ATAN((A351/pterm1)/(1-A351^2/pterm2))&gt;0),ATAN((A351/pterm1)/(1-A351^2/pterm2)),PI()+ATAN((A351/pterm1)/(1-A351^2/pterm2)))</f>
        <v/>
      </c>
      <c r="U351" s="331">
        <f>20*LOG10(((E351*K351*G351*O351)/(C351*I351*S351*M351*Q351))*Adc)</f>
        <v/>
      </c>
      <c r="V351" s="332">
        <f>((F351+L351+H351+P351)-(D351+J351+T351+N351+R351))*radconv</f>
        <v/>
      </c>
      <c r="W351" s="334">
        <f>IF(V351&gt;0,V351,V351+180)</f>
        <v/>
      </c>
      <c r="Y351" s="307">
        <f>IF(U351&lt;0,A351,1000000000)</f>
        <v/>
      </c>
      <c r="Z351" s="307">
        <f>A351^2</f>
        <v/>
      </c>
      <c r="AB351" s="333">
        <f>20*LOG10((K351/(I351*M351))*AEA)</f>
        <v/>
      </c>
      <c r="AC351" s="334">
        <f>(L351-(J351+N351))*radconv</f>
        <v/>
      </c>
      <c r="AE351" s="333">
        <f>20*LOG10((E351*G351/(C351*S351))*Acs*Am)</f>
        <v/>
      </c>
      <c r="AF351" s="334">
        <f>(F351+H351-(D351+T351))*radconv</f>
        <v/>
      </c>
      <c r="AH351">
        <f>SUM((U352&lt;0)*(U351&gt;0))*A351</f>
        <v/>
      </c>
      <c r="AI351">
        <f>IF(AH351&gt;0,W351,0)</f>
        <v/>
      </c>
    </row>
    <row r="352">
      <c r="A352" s="335" t="n">
        <v>27385.25</v>
      </c>
      <c r="B352" s="352">
        <f>A352/1000</f>
        <v/>
      </c>
      <c r="C352" s="1047">
        <f>SQRT(1+(A352/pole1)^2)</f>
        <v/>
      </c>
      <c r="D352" s="1048">
        <f>ATAN(A352/pole1)</f>
        <v/>
      </c>
      <c r="E352" s="1048">
        <f>SQRT(1+(A352/Zero1)^2)</f>
        <v/>
      </c>
      <c r="F352" s="1049">
        <f>ATAN(A352/Zero1)</f>
        <v/>
      </c>
      <c r="G352" s="1048">
        <f>IF(VIN_nom&gt;Vout, 1, SQRT(1+(A352/z_RHP)^2))</f>
        <v/>
      </c>
      <c r="H352" s="1049">
        <f>IF(VIN_nom&gt;Vout, 0, -ATAN(A352/z_RHP))</f>
        <v/>
      </c>
      <c r="I352" s="1047">
        <f>SQRT(1+(A352/Pole2)^2)</f>
        <v/>
      </c>
      <c r="J352" s="1050">
        <f>ATAN(A352/Pole2)</f>
        <v/>
      </c>
      <c r="K352" s="1056">
        <f>SQRT(1+(A352/Zero2)^2)</f>
        <v/>
      </c>
      <c r="L352" s="1057">
        <f>ATAN(A352/Zero2)</f>
        <v/>
      </c>
      <c r="M352" s="1047">
        <f>SQRT(1+(A352/pole4)^2)</f>
        <v/>
      </c>
      <c r="N352" s="1057">
        <f>ATAN(A352/pole4)</f>
        <v/>
      </c>
      <c r="O352" s="1058">
        <f>IF(VOUT_setting=1,1,SQRT(1+(A352*zterm1)^2))</f>
        <v/>
      </c>
      <c r="P352" s="1059">
        <f>IF(VOUT_setting=1,0,ATAN(((A352*zterm1))))</f>
        <v/>
      </c>
      <c r="Q352" s="1056">
        <f>IF(VOUT_setting=1,1,SQRT((1+Afbr-$Q$5*(A352)^2)^2+(A352*$Q$4)^2))</f>
        <v/>
      </c>
      <c r="R352" s="1060">
        <f>IF(VOUT_setting=1,0,ATAN(A352*$Q$4/(1+Afbr-$Q$5*(A352)^2)))</f>
        <v/>
      </c>
      <c r="S352" s="1054">
        <f>SQRT((1-(Z352/pterm2))^2+(A352/pterm1)^2)</f>
        <v/>
      </c>
      <c r="T352" s="1055">
        <f>IF((ATAN((A352/pterm1)/(1-A352^2/pterm2))&gt;0),ATAN((A352/pterm1)/(1-A352^2/pterm2)),PI()+ATAN((A352/pterm1)/(1-A352^2/pterm2)))</f>
        <v/>
      </c>
      <c r="U352" s="331">
        <f>20*LOG10(((E352*K352*G352*O352)/(C352*I352*S352*M352*Q352))*Adc)</f>
        <v/>
      </c>
      <c r="V352" s="332">
        <f>((F352+L352+H352+P352)-(D352+J352+T352+N352+R352))*radconv</f>
        <v/>
      </c>
      <c r="W352" s="334">
        <f>IF(V352&gt;0,V352,V352+180)</f>
        <v/>
      </c>
      <c r="Y352" s="307">
        <f>IF(U352&lt;0,A352,1000000000)</f>
        <v/>
      </c>
      <c r="Z352" s="307">
        <f>A352^2</f>
        <v/>
      </c>
      <c r="AB352" s="333">
        <f>20*LOG10((K352/(I352*M352))*AEA)</f>
        <v/>
      </c>
      <c r="AC352" s="334">
        <f>(L352-(J352+N352))*radconv</f>
        <v/>
      </c>
      <c r="AE352" s="333">
        <f>20*LOG10((E352*G352/(C352*S352))*Acs*Am)</f>
        <v/>
      </c>
      <c r="AF352" s="334">
        <f>(F352+H352-(D352+T352))*radconv</f>
        <v/>
      </c>
      <c r="AH352">
        <f>SUM((U353&lt;0)*(U352&gt;0))*A352</f>
        <v/>
      </c>
      <c r="AI352">
        <f>IF(AH352&gt;0,W352,0)</f>
        <v/>
      </c>
    </row>
    <row r="353">
      <c r="A353" s="335" t="n">
        <v>27542</v>
      </c>
      <c r="B353" s="352">
        <f>A353/1000</f>
        <v/>
      </c>
      <c r="C353" s="1047">
        <f>SQRT(1+(A353/pole1)^2)</f>
        <v/>
      </c>
      <c r="D353" s="1048">
        <f>ATAN(A353/pole1)</f>
        <v/>
      </c>
      <c r="E353" s="1048">
        <f>SQRT(1+(A353/Zero1)^2)</f>
        <v/>
      </c>
      <c r="F353" s="1049">
        <f>ATAN(A353/Zero1)</f>
        <v/>
      </c>
      <c r="G353" s="1048">
        <f>IF(VIN_nom&gt;Vout, 1, SQRT(1+(A353/z_RHP)^2))</f>
        <v/>
      </c>
      <c r="H353" s="1049">
        <f>IF(VIN_nom&gt;Vout, 0, -ATAN(A353/z_RHP))</f>
        <v/>
      </c>
      <c r="I353" s="1047">
        <f>SQRT(1+(A353/Pole2)^2)</f>
        <v/>
      </c>
      <c r="J353" s="1050">
        <f>ATAN(A353/Pole2)</f>
        <v/>
      </c>
      <c r="K353" s="1056">
        <f>SQRT(1+(A353/Zero2)^2)</f>
        <v/>
      </c>
      <c r="L353" s="1057">
        <f>ATAN(A353/Zero2)</f>
        <v/>
      </c>
      <c r="M353" s="1047">
        <f>SQRT(1+(A353/pole4)^2)</f>
        <v/>
      </c>
      <c r="N353" s="1057">
        <f>ATAN(A353/pole4)</f>
        <v/>
      </c>
      <c r="O353" s="1058">
        <f>IF(VOUT_setting=1,1,SQRT(1+(A353*zterm1)^2))</f>
        <v/>
      </c>
      <c r="P353" s="1059">
        <f>IF(VOUT_setting=1,0,ATAN(((A353*zterm1))))</f>
        <v/>
      </c>
      <c r="Q353" s="1056">
        <f>IF(VOUT_setting=1,1,SQRT((1+Afbr-$Q$5*(A353)^2)^2+(A353*$Q$4)^2))</f>
        <v/>
      </c>
      <c r="R353" s="1060">
        <f>IF(VOUT_setting=1,0,ATAN(A353*$Q$4/(1+Afbr-$Q$5*(A353)^2)))</f>
        <v/>
      </c>
      <c r="S353" s="1054">
        <f>SQRT((1-(Z353/pterm2))^2+(A353/pterm1)^2)</f>
        <v/>
      </c>
      <c r="T353" s="1055">
        <f>IF((ATAN((A353/pterm1)/(1-A353^2/pterm2))&gt;0),ATAN((A353/pterm1)/(1-A353^2/pterm2)),PI()+ATAN((A353/pterm1)/(1-A353^2/pterm2)))</f>
        <v/>
      </c>
      <c r="U353" s="331">
        <f>20*LOG10(((E353*K353*G353*O353)/(C353*I353*S353*M353*Q353))*Adc)</f>
        <v/>
      </c>
      <c r="V353" s="332">
        <f>((F353+L353+H353+P353)-(D353+J353+T353+N353+R353))*radconv</f>
        <v/>
      </c>
      <c r="W353" s="334">
        <f>IF(V353&gt;0,V353,V353+180)</f>
        <v/>
      </c>
      <c r="Y353" s="307">
        <f>IF(U353&lt;0,A353,1000000000)</f>
        <v/>
      </c>
      <c r="Z353" s="307">
        <f>A353^2</f>
        <v/>
      </c>
      <c r="AB353" s="333">
        <f>20*LOG10((K353/(I353*M353))*AEA)</f>
        <v/>
      </c>
      <c r="AC353" s="334">
        <f>(L353-(J353+N353))*radconv</f>
        <v/>
      </c>
      <c r="AE353" s="333">
        <f>20*LOG10((E353*G353/(C353*S353))*Acs*Am)</f>
        <v/>
      </c>
      <c r="AF353" s="334">
        <f>(F353+H353-(D353+T353))*radconv</f>
        <v/>
      </c>
      <c r="AH353">
        <f>SUM((U354&lt;0)*(U353&gt;0))*A353</f>
        <v/>
      </c>
      <c r="AI353">
        <f>IF(AH353&gt;0,W353,0)</f>
        <v/>
      </c>
    </row>
    <row r="354">
      <c r="A354" s="335" t="n">
        <v>27702.5</v>
      </c>
      <c r="B354" s="352">
        <f>A354/1000</f>
        <v/>
      </c>
      <c r="C354" s="1047">
        <f>SQRT(1+(A354/pole1)^2)</f>
        <v/>
      </c>
      <c r="D354" s="1048">
        <f>ATAN(A354/pole1)</f>
        <v/>
      </c>
      <c r="E354" s="1048">
        <f>SQRT(1+(A354/Zero1)^2)</f>
        <v/>
      </c>
      <c r="F354" s="1049">
        <f>ATAN(A354/Zero1)</f>
        <v/>
      </c>
      <c r="G354" s="1048">
        <f>IF(VIN_nom&gt;Vout, 1, SQRT(1+(A354/z_RHP)^2))</f>
        <v/>
      </c>
      <c r="H354" s="1049">
        <f>IF(VIN_nom&gt;Vout, 0, -ATAN(A354/z_RHP))</f>
        <v/>
      </c>
      <c r="I354" s="1047">
        <f>SQRT(1+(A354/Pole2)^2)</f>
        <v/>
      </c>
      <c r="J354" s="1050">
        <f>ATAN(A354/Pole2)</f>
        <v/>
      </c>
      <c r="K354" s="1056">
        <f>SQRT(1+(A354/Zero2)^2)</f>
        <v/>
      </c>
      <c r="L354" s="1057">
        <f>ATAN(A354/Zero2)</f>
        <v/>
      </c>
      <c r="M354" s="1047">
        <f>SQRT(1+(A354/pole4)^2)</f>
        <v/>
      </c>
      <c r="N354" s="1057">
        <f>ATAN(A354/pole4)</f>
        <v/>
      </c>
      <c r="O354" s="1058">
        <f>IF(VOUT_setting=1,1,SQRT(1+(A354*zterm1)^2))</f>
        <v/>
      </c>
      <c r="P354" s="1059">
        <f>IF(VOUT_setting=1,0,ATAN(((A354*zterm1))))</f>
        <v/>
      </c>
      <c r="Q354" s="1056">
        <f>IF(VOUT_setting=1,1,SQRT((1+Afbr-$Q$5*(A354)^2)^2+(A354*$Q$4)^2))</f>
        <v/>
      </c>
      <c r="R354" s="1060">
        <f>IF(VOUT_setting=1,0,ATAN(A354*$Q$4/(1+Afbr-$Q$5*(A354)^2)))</f>
        <v/>
      </c>
      <c r="S354" s="1054">
        <f>SQRT((1-(Z354/pterm2))^2+(A354/pterm1)^2)</f>
        <v/>
      </c>
      <c r="T354" s="1055">
        <f>IF((ATAN((A354/pterm1)/(1-A354^2/pterm2))&gt;0),ATAN((A354/pterm1)/(1-A354^2/pterm2)),PI()+ATAN((A354/pterm1)/(1-A354^2/pterm2)))</f>
        <v/>
      </c>
      <c r="U354" s="331">
        <f>20*LOG10(((E354*K354*G354*O354)/(C354*I354*S354*M354*Q354))*Adc)</f>
        <v/>
      </c>
      <c r="V354" s="332">
        <f>((F354+L354+H354+P354)-(D354+J354+T354+N354+R354))*radconv</f>
        <v/>
      </c>
      <c r="W354" s="334">
        <f>IF(V354&gt;0,V354,V354+180)</f>
        <v/>
      </c>
      <c r="Y354" s="307">
        <f>IF(U354&lt;0,A354,1000000000)</f>
        <v/>
      </c>
      <c r="Z354" s="307">
        <f>A354^2</f>
        <v/>
      </c>
      <c r="AB354" s="333">
        <f>20*LOG10((K354/(I354*M354))*AEA)</f>
        <v/>
      </c>
      <c r="AC354" s="334">
        <f>(L354-(J354+N354))*radconv</f>
        <v/>
      </c>
      <c r="AE354" s="333">
        <f>20*LOG10((E354*G354/(C354*S354))*Acs*Am)</f>
        <v/>
      </c>
      <c r="AF354" s="334">
        <f>(F354+H354-(D354+T354))*radconv</f>
        <v/>
      </c>
      <c r="AH354">
        <f>SUM((U355&lt;0)*(U354&gt;0))*A354</f>
        <v/>
      </c>
      <c r="AI354">
        <f>IF(AH354&gt;0,W354,0)</f>
        <v/>
      </c>
    </row>
    <row r="355">
      <c r="A355" s="335" t="n">
        <v>27863</v>
      </c>
      <c r="B355" s="352">
        <f>A355/1000</f>
        <v/>
      </c>
      <c r="C355" s="1047">
        <f>SQRT(1+(A355/pole1)^2)</f>
        <v/>
      </c>
      <c r="D355" s="1048">
        <f>ATAN(A355/pole1)</f>
        <v/>
      </c>
      <c r="E355" s="1048">
        <f>SQRT(1+(A355/Zero1)^2)</f>
        <v/>
      </c>
      <c r="F355" s="1049">
        <f>ATAN(A355/Zero1)</f>
        <v/>
      </c>
      <c r="G355" s="1048">
        <f>IF(VIN_nom&gt;Vout, 1, SQRT(1+(A355/z_RHP)^2))</f>
        <v/>
      </c>
      <c r="H355" s="1049">
        <f>IF(VIN_nom&gt;Vout, 0, -ATAN(A355/z_RHP))</f>
        <v/>
      </c>
      <c r="I355" s="1047">
        <f>SQRT(1+(A355/Pole2)^2)</f>
        <v/>
      </c>
      <c r="J355" s="1050">
        <f>ATAN(A355/Pole2)</f>
        <v/>
      </c>
      <c r="K355" s="1056">
        <f>SQRT(1+(A355/Zero2)^2)</f>
        <v/>
      </c>
      <c r="L355" s="1057">
        <f>ATAN(A355/Zero2)</f>
        <v/>
      </c>
      <c r="M355" s="1047">
        <f>SQRT(1+(A355/pole4)^2)</f>
        <v/>
      </c>
      <c r="N355" s="1057">
        <f>ATAN(A355/pole4)</f>
        <v/>
      </c>
      <c r="O355" s="1058">
        <f>IF(VOUT_setting=1,1,SQRT(1+(A355*zterm1)^2))</f>
        <v/>
      </c>
      <c r="P355" s="1059">
        <f>IF(VOUT_setting=1,0,ATAN(((A355*zterm1))))</f>
        <v/>
      </c>
      <c r="Q355" s="1056">
        <f>IF(VOUT_setting=1,1,SQRT((1+Afbr-$Q$5*(A355)^2)^2+(A355*$Q$4)^2))</f>
        <v/>
      </c>
      <c r="R355" s="1060">
        <f>IF(VOUT_setting=1,0,ATAN(A355*$Q$4/(1+Afbr-$Q$5*(A355)^2)))</f>
        <v/>
      </c>
      <c r="S355" s="1054">
        <f>SQRT((1-(Z355/pterm2))^2+(A355/pterm1)^2)</f>
        <v/>
      </c>
      <c r="T355" s="1055">
        <f>IF((ATAN((A355/pterm1)/(1-A355^2/pterm2))&gt;0),ATAN((A355/pterm1)/(1-A355^2/pterm2)),PI()+ATAN((A355/pterm1)/(1-A355^2/pterm2)))</f>
        <v/>
      </c>
      <c r="U355" s="331">
        <f>20*LOG10(((E355*K355*G355*O355)/(C355*I355*S355*M355*Q355))*Adc)</f>
        <v/>
      </c>
      <c r="V355" s="332">
        <f>((F355+L355+H355+P355)-(D355+J355+T355+N355+R355))*radconv</f>
        <v/>
      </c>
      <c r="W355" s="334">
        <f>IF(V355&gt;0,V355,V355+180)</f>
        <v/>
      </c>
      <c r="Y355" s="307">
        <f>IF(U355&lt;0,A355,1000000000)</f>
        <v/>
      </c>
      <c r="Z355" s="307">
        <f>A355^2</f>
        <v/>
      </c>
      <c r="AB355" s="333">
        <f>20*LOG10((K355/(I355*M355))*AEA)</f>
        <v/>
      </c>
      <c r="AC355" s="334">
        <f>(L355-(J355+N355))*radconv</f>
        <v/>
      </c>
      <c r="AE355" s="333">
        <f>20*LOG10((E355*G355/(C355*S355))*Acs*Am)</f>
        <v/>
      </c>
      <c r="AF355" s="334">
        <f>(F355+H355-(D355+T355))*radconv</f>
        <v/>
      </c>
      <c r="AH355">
        <f>SUM((U356&lt;0)*(U355&gt;0))*A355</f>
        <v/>
      </c>
      <c r="AI355">
        <f>IF(AH355&gt;0,W355,0)</f>
        <v/>
      </c>
    </row>
    <row r="356">
      <c r="A356" s="335" t="n">
        <v>28023.5</v>
      </c>
      <c r="B356" s="352">
        <f>A356/1000</f>
        <v/>
      </c>
      <c r="C356" s="1047">
        <f>SQRT(1+(A356/pole1)^2)</f>
        <v/>
      </c>
      <c r="D356" s="1048">
        <f>ATAN(A356/pole1)</f>
        <v/>
      </c>
      <c r="E356" s="1048">
        <f>SQRT(1+(A356/Zero1)^2)</f>
        <v/>
      </c>
      <c r="F356" s="1049">
        <f>ATAN(A356/Zero1)</f>
        <v/>
      </c>
      <c r="G356" s="1048">
        <f>IF(VIN_nom&gt;Vout, 1, SQRT(1+(A356/z_RHP)^2))</f>
        <v/>
      </c>
      <c r="H356" s="1049">
        <f>IF(VIN_nom&gt;Vout, 0, -ATAN(A356/z_RHP))</f>
        <v/>
      </c>
      <c r="I356" s="1047">
        <f>SQRT(1+(A356/Pole2)^2)</f>
        <v/>
      </c>
      <c r="J356" s="1050">
        <f>ATAN(A356/Pole2)</f>
        <v/>
      </c>
      <c r="K356" s="1056">
        <f>SQRT(1+(A356/Zero2)^2)</f>
        <v/>
      </c>
      <c r="L356" s="1057">
        <f>ATAN(A356/Zero2)</f>
        <v/>
      </c>
      <c r="M356" s="1047">
        <f>SQRT(1+(A356/pole4)^2)</f>
        <v/>
      </c>
      <c r="N356" s="1057">
        <f>ATAN(A356/pole4)</f>
        <v/>
      </c>
      <c r="O356" s="1058">
        <f>IF(VOUT_setting=1,1,SQRT(1+(A356*zterm1)^2))</f>
        <v/>
      </c>
      <c r="P356" s="1059">
        <f>IF(VOUT_setting=1,0,ATAN(((A356*zterm1))))</f>
        <v/>
      </c>
      <c r="Q356" s="1056">
        <f>IF(VOUT_setting=1,1,SQRT((1+Afbr-$Q$5*(A356)^2)^2+(A356*$Q$4)^2))</f>
        <v/>
      </c>
      <c r="R356" s="1060">
        <f>IF(VOUT_setting=1,0,ATAN(A356*$Q$4/(1+Afbr-$Q$5*(A356)^2)))</f>
        <v/>
      </c>
      <c r="S356" s="1054">
        <f>SQRT((1-(Z356/pterm2))^2+(A356/pterm1)^2)</f>
        <v/>
      </c>
      <c r="T356" s="1055">
        <f>IF((ATAN((A356/pterm1)/(1-A356^2/pterm2))&gt;0),ATAN((A356/pterm1)/(1-A356^2/pterm2)),PI()+ATAN((A356/pterm1)/(1-A356^2/pterm2)))</f>
        <v/>
      </c>
      <c r="U356" s="331">
        <f>20*LOG10(((E356*K356*G356*O356)/(C356*I356*S356*M356*Q356))*Adc)</f>
        <v/>
      </c>
      <c r="V356" s="332">
        <f>((F356+L356+H356+P356)-(D356+J356+T356+N356+R356))*radconv</f>
        <v/>
      </c>
      <c r="W356" s="334">
        <f>IF(V356&gt;0,V356,V356+180)</f>
        <v/>
      </c>
      <c r="Y356" s="307">
        <f>IF(U356&lt;0,A356,1000000000)</f>
        <v/>
      </c>
      <c r="Z356" s="307">
        <f>A356^2</f>
        <v/>
      </c>
      <c r="AB356" s="333">
        <f>20*LOG10((K356/(I356*M356))*AEA)</f>
        <v/>
      </c>
      <c r="AC356" s="334">
        <f>(L356-(J356+N356))*radconv</f>
        <v/>
      </c>
      <c r="AE356" s="333">
        <f>20*LOG10((E356*G356/(C356*S356))*Acs*Am)</f>
        <v/>
      </c>
      <c r="AF356" s="334">
        <f>(F356+H356-(D356+T356))*radconv</f>
        <v/>
      </c>
      <c r="AH356">
        <f>SUM((U357&lt;0)*(U356&gt;0))*A356</f>
        <v/>
      </c>
      <c r="AI356">
        <f>IF(AH356&gt;0,W356,0)</f>
        <v/>
      </c>
    </row>
    <row r="357">
      <c r="A357" s="335" t="n">
        <v>28184</v>
      </c>
      <c r="B357" s="352">
        <f>A357/1000</f>
        <v/>
      </c>
      <c r="C357" s="1047">
        <f>SQRT(1+(A357/pole1)^2)</f>
        <v/>
      </c>
      <c r="D357" s="1048">
        <f>ATAN(A357/pole1)</f>
        <v/>
      </c>
      <c r="E357" s="1048">
        <f>SQRT(1+(A357/Zero1)^2)</f>
        <v/>
      </c>
      <c r="F357" s="1049">
        <f>ATAN(A357/Zero1)</f>
        <v/>
      </c>
      <c r="G357" s="1048">
        <f>IF(VIN_nom&gt;Vout, 1, SQRT(1+(A357/z_RHP)^2))</f>
        <v/>
      </c>
      <c r="H357" s="1049">
        <f>IF(VIN_nom&gt;Vout, 0, -ATAN(A357/z_RHP))</f>
        <v/>
      </c>
      <c r="I357" s="1047">
        <f>SQRT(1+(A357/Pole2)^2)</f>
        <v/>
      </c>
      <c r="J357" s="1050">
        <f>ATAN(A357/Pole2)</f>
        <v/>
      </c>
      <c r="K357" s="1056">
        <f>SQRT(1+(A357/Zero2)^2)</f>
        <v/>
      </c>
      <c r="L357" s="1057">
        <f>ATAN(A357/Zero2)</f>
        <v/>
      </c>
      <c r="M357" s="1047">
        <f>SQRT(1+(A357/pole4)^2)</f>
        <v/>
      </c>
      <c r="N357" s="1057">
        <f>ATAN(A357/pole4)</f>
        <v/>
      </c>
      <c r="O357" s="1058">
        <f>IF(VOUT_setting=1,1,SQRT(1+(A357*zterm1)^2))</f>
        <v/>
      </c>
      <c r="P357" s="1059">
        <f>IF(VOUT_setting=1,0,ATAN(((A357*zterm1))))</f>
        <v/>
      </c>
      <c r="Q357" s="1056">
        <f>IF(VOUT_setting=1,1,SQRT((1+Afbr-$Q$5*(A357)^2)^2+(A357*$Q$4)^2))</f>
        <v/>
      </c>
      <c r="R357" s="1060">
        <f>IF(VOUT_setting=1,0,ATAN(A357*$Q$4/(1+Afbr-$Q$5*(A357)^2)))</f>
        <v/>
      </c>
      <c r="S357" s="1054">
        <f>SQRT((1-(Z357/pterm2))^2+(A357/pterm1)^2)</f>
        <v/>
      </c>
      <c r="T357" s="1055">
        <f>IF((ATAN((A357/pterm1)/(1-A357^2/pterm2))&gt;0),ATAN((A357/pterm1)/(1-A357^2/pterm2)),PI()+ATAN((A357/pterm1)/(1-A357^2/pterm2)))</f>
        <v/>
      </c>
      <c r="U357" s="331">
        <f>20*LOG10(((E357*K357*G357*O357)/(C357*I357*S357*M357*Q357))*Adc)</f>
        <v/>
      </c>
      <c r="V357" s="332">
        <f>((F357+L357+H357+P357)-(D357+J357+T357+N357+R357))*radconv</f>
        <v/>
      </c>
      <c r="W357" s="334">
        <f>IF(V357&gt;0,V357,V357+180)</f>
        <v/>
      </c>
      <c r="Y357" s="307">
        <f>IF(U357&lt;0,A357,1000000000)</f>
        <v/>
      </c>
      <c r="Z357" s="307">
        <f>A357^2</f>
        <v/>
      </c>
      <c r="AB357" s="333">
        <f>20*LOG10((K357/(I357*M357))*AEA)</f>
        <v/>
      </c>
      <c r="AC357" s="334">
        <f>(L357-(J357+N357))*radconv</f>
        <v/>
      </c>
      <c r="AE357" s="333">
        <f>20*LOG10((E357*G357/(C357*S357))*Acs*Am)</f>
        <v/>
      </c>
      <c r="AF357" s="334">
        <f>(F357+H357-(D357+T357))*radconv</f>
        <v/>
      </c>
      <c r="AH357">
        <f>SUM((U358&lt;0)*(U357&gt;0))*A357</f>
        <v/>
      </c>
      <c r="AI357">
        <f>IF(AH357&gt;0,W357,0)</f>
        <v/>
      </c>
    </row>
    <row r="358">
      <c r="A358" s="335" t="n">
        <v>28348</v>
      </c>
      <c r="B358" s="352">
        <f>A358/1000</f>
        <v/>
      </c>
      <c r="C358" s="1047">
        <f>SQRT(1+(A358/pole1)^2)</f>
        <v/>
      </c>
      <c r="D358" s="1048">
        <f>ATAN(A358/pole1)</f>
        <v/>
      </c>
      <c r="E358" s="1048">
        <f>SQRT(1+(A358/Zero1)^2)</f>
        <v/>
      </c>
      <c r="F358" s="1049">
        <f>ATAN(A358/Zero1)</f>
        <v/>
      </c>
      <c r="G358" s="1048">
        <f>IF(VIN_nom&gt;Vout, 1, SQRT(1+(A358/z_RHP)^2))</f>
        <v/>
      </c>
      <c r="H358" s="1049">
        <f>IF(VIN_nom&gt;Vout, 0, -ATAN(A358/z_RHP))</f>
        <v/>
      </c>
      <c r="I358" s="1047">
        <f>SQRT(1+(A358/Pole2)^2)</f>
        <v/>
      </c>
      <c r="J358" s="1050">
        <f>ATAN(A358/Pole2)</f>
        <v/>
      </c>
      <c r="K358" s="1056">
        <f>SQRT(1+(A358/Zero2)^2)</f>
        <v/>
      </c>
      <c r="L358" s="1057">
        <f>ATAN(A358/Zero2)</f>
        <v/>
      </c>
      <c r="M358" s="1047">
        <f>SQRT(1+(A358/pole4)^2)</f>
        <v/>
      </c>
      <c r="N358" s="1057">
        <f>ATAN(A358/pole4)</f>
        <v/>
      </c>
      <c r="O358" s="1058">
        <f>IF(VOUT_setting=1,1,SQRT(1+(A358*zterm1)^2))</f>
        <v/>
      </c>
      <c r="P358" s="1059">
        <f>IF(VOUT_setting=1,0,ATAN(((A358*zterm1))))</f>
        <v/>
      </c>
      <c r="Q358" s="1056">
        <f>IF(VOUT_setting=1,1,SQRT((1+Afbr-$Q$5*(A358)^2)^2+(A358*$Q$4)^2))</f>
        <v/>
      </c>
      <c r="R358" s="1060">
        <f>IF(VOUT_setting=1,0,ATAN(A358*$Q$4/(1+Afbr-$Q$5*(A358)^2)))</f>
        <v/>
      </c>
      <c r="S358" s="1054">
        <f>SQRT((1-(Z358/pterm2))^2+(A358/pterm1)^2)</f>
        <v/>
      </c>
      <c r="T358" s="1055">
        <f>IF((ATAN((A358/pterm1)/(1-A358^2/pterm2))&gt;0),ATAN((A358/pterm1)/(1-A358^2/pterm2)),PI()+ATAN((A358/pterm1)/(1-A358^2/pterm2)))</f>
        <v/>
      </c>
      <c r="U358" s="331">
        <f>20*LOG10(((E358*K358*G358*O358)/(C358*I358*S358*M358*Q358))*Adc)</f>
        <v/>
      </c>
      <c r="V358" s="332">
        <f>((F358+L358+H358+P358)-(D358+J358+T358+N358+R358))*radconv</f>
        <v/>
      </c>
      <c r="W358" s="334">
        <f>IF(V358&gt;0,V358,V358+180)</f>
        <v/>
      </c>
      <c r="Y358" s="307">
        <f>IF(U358&lt;0,A358,1000000000)</f>
        <v/>
      </c>
      <c r="Z358" s="307">
        <f>A358^2</f>
        <v/>
      </c>
      <c r="AB358" s="333">
        <f>20*LOG10((K358/(I358*M358))*AEA)</f>
        <v/>
      </c>
      <c r="AC358" s="334">
        <f>(L358-(J358+N358))*radconv</f>
        <v/>
      </c>
      <c r="AE358" s="333">
        <f>20*LOG10((E358*G358/(C358*S358))*Acs*Am)</f>
        <v/>
      </c>
      <c r="AF358" s="334">
        <f>(F358+H358-(D358+T358))*radconv</f>
        <v/>
      </c>
      <c r="AH358">
        <f>SUM((U359&lt;0)*(U358&gt;0))*A358</f>
        <v/>
      </c>
      <c r="AI358">
        <f>IF(AH358&gt;0,W358,0)</f>
        <v/>
      </c>
    </row>
    <row r="359">
      <c r="A359" s="335" t="n">
        <v>28512</v>
      </c>
      <c r="B359" s="352">
        <f>A359/1000</f>
        <v/>
      </c>
      <c r="C359" s="1047">
        <f>SQRT(1+(A359/pole1)^2)</f>
        <v/>
      </c>
      <c r="D359" s="1048">
        <f>ATAN(A359/pole1)</f>
        <v/>
      </c>
      <c r="E359" s="1048">
        <f>SQRT(1+(A359/Zero1)^2)</f>
        <v/>
      </c>
      <c r="F359" s="1049">
        <f>ATAN(A359/Zero1)</f>
        <v/>
      </c>
      <c r="G359" s="1048">
        <f>IF(VIN_nom&gt;Vout, 1, SQRT(1+(A359/z_RHP)^2))</f>
        <v/>
      </c>
      <c r="H359" s="1049">
        <f>IF(VIN_nom&gt;Vout, 0, -ATAN(A359/z_RHP))</f>
        <v/>
      </c>
      <c r="I359" s="1047">
        <f>SQRT(1+(A359/Pole2)^2)</f>
        <v/>
      </c>
      <c r="J359" s="1050">
        <f>ATAN(A359/Pole2)</f>
        <v/>
      </c>
      <c r="K359" s="1056">
        <f>SQRT(1+(A359/Zero2)^2)</f>
        <v/>
      </c>
      <c r="L359" s="1057">
        <f>ATAN(A359/Zero2)</f>
        <v/>
      </c>
      <c r="M359" s="1047">
        <f>SQRT(1+(A359/pole4)^2)</f>
        <v/>
      </c>
      <c r="N359" s="1057">
        <f>ATAN(A359/pole4)</f>
        <v/>
      </c>
      <c r="O359" s="1058">
        <f>IF(VOUT_setting=1,1,SQRT(1+(A359*zterm1)^2))</f>
        <v/>
      </c>
      <c r="P359" s="1059">
        <f>IF(VOUT_setting=1,0,ATAN(((A359*zterm1))))</f>
        <v/>
      </c>
      <c r="Q359" s="1056">
        <f>IF(VOUT_setting=1,1,SQRT((1+Afbr-$Q$5*(A359)^2)^2+(A359*$Q$4)^2))</f>
        <v/>
      </c>
      <c r="R359" s="1060">
        <f>IF(VOUT_setting=1,0,ATAN(A359*$Q$4/(1+Afbr-$Q$5*(A359)^2)))</f>
        <v/>
      </c>
      <c r="S359" s="1054">
        <f>SQRT((1-(Z359/pterm2))^2+(A359/pterm1)^2)</f>
        <v/>
      </c>
      <c r="T359" s="1055">
        <f>IF((ATAN((A359/pterm1)/(1-A359^2/pterm2))&gt;0),ATAN((A359/pterm1)/(1-A359^2/pterm2)),PI()+ATAN((A359/pterm1)/(1-A359^2/pterm2)))</f>
        <v/>
      </c>
      <c r="U359" s="331">
        <f>20*LOG10(((E359*K359*G359*O359)/(C359*I359*S359*M359*Q359))*Adc)</f>
        <v/>
      </c>
      <c r="V359" s="332">
        <f>((F359+L359+H359+P359)-(D359+J359+T359+N359+R359))*radconv</f>
        <v/>
      </c>
      <c r="W359" s="334">
        <f>IF(V359&gt;0,V359,V359+180)</f>
        <v/>
      </c>
      <c r="Y359" s="307">
        <f>IF(U359&lt;0,A359,1000000000)</f>
        <v/>
      </c>
      <c r="Z359" s="307">
        <f>A359^2</f>
        <v/>
      </c>
      <c r="AB359" s="333">
        <f>20*LOG10((K359/(I359*M359))*AEA)</f>
        <v/>
      </c>
      <c r="AC359" s="334">
        <f>(L359-(J359+N359))*radconv</f>
        <v/>
      </c>
      <c r="AE359" s="333">
        <f>20*LOG10((E359*G359/(C359*S359))*Acs*Am)</f>
        <v/>
      </c>
      <c r="AF359" s="334">
        <f>(F359+H359-(D359+T359))*radconv</f>
        <v/>
      </c>
      <c r="AH359">
        <f>SUM((U360&lt;0)*(U359&gt;0))*A359</f>
        <v/>
      </c>
      <c r="AI359">
        <f>IF(AH359&gt;0,W359,0)</f>
        <v/>
      </c>
    </row>
    <row r="360">
      <c r="A360" s="335" t="n">
        <v>28676</v>
      </c>
      <c r="B360" s="352">
        <f>A360/1000</f>
        <v/>
      </c>
      <c r="C360" s="1047">
        <f>SQRT(1+(A360/pole1)^2)</f>
        <v/>
      </c>
      <c r="D360" s="1048">
        <f>ATAN(A360/pole1)</f>
        <v/>
      </c>
      <c r="E360" s="1048">
        <f>SQRT(1+(A360/Zero1)^2)</f>
        <v/>
      </c>
      <c r="F360" s="1049">
        <f>ATAN(A360/Zero1)</f>
        <v/>
      </c>
      <c r="G360" s="1048">
        <f>IF(VIN_nom&gt;Vout, 1, SQRT(1+(A360/z_RHP)^2))</f>
        <v/>
      </c>
      <c r="H360" s="1049">
        <f>IF(VIN_nom&gt;Vout, 0, -ATAN(A360/z_RHP))</f>
        <v/>
      </c>
      <c r="I360" s="1047">
        <f>SQRT(1+(A360/Pole2)^2)</f>
        <v/>
      </c>
      <c r="J360" s="1050">
        <f>ATAN(A360/Pole2)</f>
        <v/>
      </c>
      <c r="K360" s="1056">
        <f>SQRT(1+(A360/Zero2)^2)</f>
        <v/>
      </c>
      <c r="L360" s="1057">
        <f>ATAN(A360/Zero2)</f>
        <v/>
      </c>
      <c r="M360" s="1047">
        <f>SQRT(1+(A360/pole4)^2)</f>
        <v/>
      </c>
      <c r="N360" s="1057">
        <f>ATAN(A360/pole4)</f>
        <v/>
      </c>
      <c r="O360" s="1058">
        <f>IF(VOUT_setting=1,1,SQRT(1+(A360*zterm1)^2))</f>
        <v/>
      </c>
      <c r="P360" s="1059">
        <f>IF(VOUT_setting=1,0,ATAN(((A360*zterm1))))</f>
        <v/>
      </c>
      <c r="Q360" s="1056">
        <f>IF(VOUT_setting=1,1,SQRT((1+Afbr-$Q$5*(A360)^2)^2+(A360*$Q$4)^2))</f>
        <v/>
      </c>
      <c r="R360" s="1060">
        <f>IF(VOUT_setting=1,0,ATAN(A360*$Q$4/(1+Afbr-$Q$5*(A360)^2)))</f>
        <v/>
      </c>
      <c r="S360" s="1054">
        <f>SQRT((1-(Z360/pterm2))^2+(A360/pterm1)^2)</f>
        <v/>
      </c>
      <c r="T360" s="1055">
        <f>IF((ATAN((A360/pterm1)/(1-A360^2/pterm2))&gt;0),ATAN((A360/pterm1)/(1-A360^2/pterm2)),PI()+ATAN((A360/pterm1)/(1-A360^2/pterm2)))</f>
        <v/>
      </c>
      <c r="U360" s="331">
        <f>20*LOG10(((E360*K360*G360*O360)/(C360*I360*S360*M360*Q360))*Adc)</f>
        <v/>
      </c>
      <c r="V360" s="332">
        <f>((F360+L360+H360+P360)-(D360+J360+T360+N360+R360))*radconv</f>
        <v/>
      </c>
      <c r="W360" s="334">
        <f>IF(V360&gt;0,V360,V360+180)</f>
        <v/>
      </c>
      <c r="Y360" s="307">
        <f>IF(U360&lt;0,A360,1000000000)</f>
        <v/>
      </c>
      <c r="Z360" s="307">
        <f>A360^2</f>
        <v/>
      </c>
      <c r="AB360" s="333">
        <f>20*LOG10((K360/(I360*M360))*AEA)</f>
        <v/>
      </c>
      <c r="AC360" s="334">
        <f>(L360-(J360+N360))*radconv</f>
        <v/>
      </c>
      <c r="AE360" s="333">
        <f>20*LOG10((E360*G360/(C360*S360))*Acs*Am)</f>
        <v/>
      </c>
      <c r="AF360" s="334">
        <f>(F360+H360-(D360+T360))*radconv</f>
        <v/>
      </c>
      <c r="AH360">
        <f>SUM((U361&lt;0)*(U360&gt;0))*A360</f>
        <v/>
      </c>
      <c r="AI360">
        <f>IF(AH360&gt;0,W360,0)</f>
        <v/>
      </c>
    </row>
    <row r="361">
      <c r="A361" s="335" t="n">
        <v>28840</v>
      </c>
      <c r="B361" s="352">
        <f>A361/1000</f>
        <v/>
      </c>
      <c r="C361" s="1047">
        <f>SQRT(1+(A361/pole1)^2)</f>
        <v/>
      </c>
      <c r="D361" s="1048">
        <f>ATAN(A361/pole1)</f>
        <v/>
      </c>
      <c r="E361" s="1048">
        <f>SQRT(1+(A361/Zero1)^2)</f>
        <v/>
      </c>
      <c r="F361" s="1049">
        <f>ATAN(A361/Zero1)</f>
        <v/>
      </c>
      <c r="G361" s="1048">
        <f>IF(VIN_nom&gt;Vout, 1, SQRT(1+(A361/z_RHP)^2))</f>
        <v/>
      </c>
      <c r="H361" s="1049">
        <f>IF(VIN_nom&gt;Vout, 0, -ATAN(A361/z_RHP))</f>
        <v/>
      </c>
      <c r="I361" s="1047">
        <f>SQRT(1+(A361/Pole2)^2)</f>
        <v/>
      </c>
      <c r="J361" s="1050">
        <f>ATAN(A361/Pole2)</f>
        <v/>
      </c>
      <c r="K361" s="1056">
        <f>SQRT(1+(A361/Zero2)^2)</f>
        <v/>
      </c>
      <c r="L361" s="1057">
        <f>ATAN(A361/Zero2)</f>
        <v/>
      </c>
      <c r="M361" s="1047">
        <f>SQRT(1+(A361/pole4)^2)</f>
        <v/>
      </c>
      <c r="N361" s="1057">
        <f>ATAN(A361/pole4)</f>
        <v/>
      </c>
      <c r="O361" s="1058">
        <f>IF(VOUT_setting=1,1,SQRT(1+(A361*zterm1)^2))</f>
        <v/>
      </c>
      <c r="P361" s="1059">
        <f>IF(VOUT_setting=1,0,ATAN(((A361*zterm1))))</f>
        <v/>
      </c>
      <c r="Q361" s="1056">
        <f>IF(VOUT_setting=1,1,SQRT((1+Afbr-$Q$5*(A361)^2)^2+(A361*$Q$4)^2))</f>
        <v/>
      </c>
      <c r="R361" s="1060">
        <f>IF(VOUT_setting=1,0,ATAN(A361*$Q$4/(1+Afbr-$Q$5*(A361)^2)))</f>
        <v/>
      </c>
      <c r="S361" s="1054">
        <f>SQRT((1-(Z361/pterm2))^2+(A361/pterm1)^2)</f>
        <v/>
      </c>
      <c r="T361" s="1055">
        <f>IF((ATAN((A361/pterm1)/(1-A361^2/pterm2))&gt;0),ATAN((A361/pterm1)/(1-A361^2/pterm2)),PI()+ATAN((A361/pterm1)/(1-A361^2/pterm2)))</f>
        <v/>
      </c>
      <c r="U361" s="331">
        <f>20*LOG10(((E361*K361*G361*O361)/(C361*I361*S361*M361*Q361))*Adc)</f>
        <v/>
      </c>
      <c r="V361" s="332">
        <f>((F361+L361+H361+P361)-(D361+J361+T361+N361+R361))*radconv</f>
        <v/>
      </c>
      <c r="W361" s="334">
        <f>IF(V361&gt;0,V361,V361+180)</f>
        <v/>
      </c>
      <c r="Y361" s="307">
        <f>IF(U361&lt;0,A361,1000000000)</f>
        <v/>
      </c>
      <c r="Z361" s="307">
        <f>A361^2</f>
        <v/>
      </c>
      <c r="AB361" s="333">
        <f>20*LOG10((K361/(I361*M361))*AEA)</f>
        <v/>
      </c>
      <c r="AC361" s="334">
        <f>(L361-(J361+N361))*radconv</f>
        <v/>
      </c>
      <c r="AE361" s="333">
        <f>20*LOG10((E361*G361/(C361*S361))*Acs*Am)</f>
        <v/>
      </c>
      <c r="AF361" s="334">
        <f>(F361+H361-(D361+T361))*radconv</f>
        <v/>
      </c>
      <c r="AH361">
        <f>SUM((U362&lt;0)*(U361&gt;0))*A361</f>
        <v/>
      </c>
      <c r="AI361">
        <f>IF(AH361&gt;0,W361,0)</f>
        <v/>
      </c>
    </row>
    <row r="362">
      <c r="A362" s="335" t="n">
        <v>29008</v>
      </c>
      <c r="B362" s="352">
        <f>A362/1000</f>
        <v/>
      </c>
      <c r="C362" s="1047">
        <f>SQRT(1+(A362/pole1)^2)</f>
        <v/>
      </c>
      <c r="D362" s="1048">
        <f>ATAN(A362/pole1)</f>
        <v/>
      </c>
      <c r="E362" s="1048">
        <f>SQRT(1+(A362/Zero1)^2)</f>
        <v/>
      </c>
      <c r="F362" s="1049">
        <f>ATAN(A362/Zero1)</f>
        <v/>
      </c>
      <c r="G362" s="1048">
        <f>IF(VIN_nom&gt;Vout, 1, SQRT(1+(A362/z_RHP)^2))</f>
        <v/>
      </c>
      <c r="H362" s="1049">
        <f>IF(VIN_nom&gt;Vout, 0, -ATAN(A362/z_RHP))</f>
        <v/>
      </c>
      <c r="I362" s="1047">
        <f>SQRT(1+(A362/Pole2)^2)</f>
        <v/>
      </c>
      <c r="J362" s="1050">
        <f>ATAN(A362/Pole2)</f>
        <v/>
      </c>
      <c r="K362" s="1056">
        <f>SQRT(1+(A362/Zero2)^2)</f>
        <v/>
      </c>
      <c r="L362" s="1057">
        <f>ATAN(A362/Zero2)</f>
        <v/>
      </c>
      <c r="M362" s="1047">
        <f>SQRT(1+(A362/pole4)^2)</f>
        <v/>
      </c>
      <c r="N362" s="1057">
        <f>ATAN(A362/pole4)</f>
        <v/>
      </c>
      <c r="O362" s="1058">
        <f>IF(VOUT_setting=1,1,SQRT(1+(A362*zterm1)^2))</f>
        <v/>
      </c>
      <c r="P362" s="1059">
        <f>IF(VOUT_setting=1,0,ATAN(((A362*zterm1))))</f>
        <v/>
      </c>
      <c r="Q362" s="1056">
        <f>IF(VOUT_setting=1,1,SQRT((1+Afbr-$Q$5*(A362)^2)^2+(A362*$Q$4)^2))</f>
        <v/>
      </c>
      <c r="R362" s="1060">
        <f>IF(VOUT_setting=1,0,ATAN(A362*$Q$4/(1+Afbr-$Q$5*(A362)^2)))</f>
        <v/>
      </c>
      <c r="S362" s="1054">
        <f>SQRT((1-(Z362/pterm2))^2+(A362/pterm1)^2)</f>
        <v/>
      </c>
      <c r="T362" s="1055">
        <f>IF((ATAN((A362/pterm1)/(1-A362^2/pterm2))&gt;0),ATAN((A362/pterm1)/(1-A362^2/pterm2)),PI()+ATAN((A362/pterm1)/(1-A362^2/pterm2)))</f>
        <v/>
      </c>
      <c r="U362" s="331">
        <f>20*LOG10(((E362*K362*G362*O362)/(C362*I362*S362*M362*Q362))*Adc)</f>
        <v/>
      </c>
      <c r="V362" s="332">
        <f>((F362+L362+H362+P362)-(D362+J362+T362+N362+R362))*radconv</f>
        <v/>
      </c>
      <c r="W362" s="334">
        <f>IF(V362&gt;0,V362,V362+180)</f>
        <v/>
      </c>
      <c r="Y362" s="307">
        <f>IF(U362&lt;0,A362,1000000000)</f>
        <v/>
      </c>
      <c r="Z362" s="307">
        <f>A362^2</f>
        <v/>
      </c>
      <c r="AB362" s="333">
        <f>20*LOG10((K362/(I362*M362))*AEA)</f>
        <v/>
      </c>
      <c r="AC362" s="334">
        <f>(L362-(J362+N362))*radconv</f>
        <v/>
      </c>
      <c r="AE362" s="333">
        <f>20*LOG10((E362*G362/(C362*S362))*Acs*Am)</f>
        <v/>
      </c>
      <c r="AF362" s="334">
        <f>(F362+H362-(D362+T362))*radconv</f>
        <v/>
      </c>
      <c r="AH362">
        <f>SUM((U363&lt;0)*(U362&gt;0))*A362</f>
        <v/>
      </c>
      <c r="AI362">
        <f>IF(AH362&gt;0,W362,0)</f>
        <v/>
      </c>
    </row>
    <row r="363">
      <c r="A363" s="335" t="n">
        <v>29176</v>
      </c>
      <c r="B363" s="352">
        <f>A363/1000</f>
        <v/>
      </c>
      <c r="C363" s="1047">
        <f>SQRT(1+(A363/pole1)^2)</f>
        <v/>
      </c>
      <c r="D363" s="1048">
        <f>ATAN(A363/pole1)</f>
        <v/>
      </c>
      <c r="E363" s="1048">
        <f>SQRT(1+(A363/Zero1)^2)</f>
        <v/>
      </c>
      <c r="F363" s="1049">
        <f>ATAN(A363/Zero1)</f>
        <v/>
      </c>
      <c r="G363" s="1048">
        <f>IF(VIN_nom&gt;Vout, 1, SQRT(1+(A363/z_RHP)^2))</f>
        <v/>
      </c>
      <c r="H363" s="1049">
        <f>IF(VIN_nom&gt;Vout, 0, -ATAN(A363/z_RHP))</f>
        <v/>
      </c>
      <c r="I363" s="1047">
        <f>SQRT(1+(A363/Pole2)^2)</f>
        <v/>
      </c>
      <c r="J363" s="1050">
        <f>ATAN(A363/Pole2)</f>
        <v/>
      </c>
      <c r="K363" s="1056">
        <f>SQRT(1+(A363/Zero2)^2)</f>
        <v/>
      </c>
      <c r="L363" s="1057">
        <f>ATAN(A363/Zero2)</f>
        <v/>
      </c>
      <c r="M363" s="1047">
        <f>SQRT(1+(A363/pole4)^2)</f>
        <v/>
      </c>
      <c r="N363" s="1057">
        <f>ATAN(A363/pole4)</f>
        <v/>
      </c>
      <c r="O363" s="1058">
        <f>IF(VOUT_setting=1,1,SQRT(1+(A363*zterm1)^2))</f>
        <v/>
      </c>
      <c r="P363" s="1059">
        <f>IF(VOUT_setting=1,0,ATAN(((A363*zterm1))))</f>
        <v/>
      </c>
      <c r="Q363" s="1056">
        <f>IF(VOUT_setting=1,1,SQRT((1+Afbr-$Q$5*(A363)^2)^2+(A363*$Q$4)^2))</f>
        <v/>
      </c>
      <c r="R363" s="1060">
        <f>IF(VOUT_setting=1,0,ATAN(A363*$Q$4/(1+Afbr-$Q$5*(A363)^2)))</f>
        <v/>
      </c>
      <c r="S363" s="1054">
        <f>SQRT((1-(Z363/pterm2))^2+(A363/pterm1)^2)</f>
        <v/>
      </c>
      <c r="T363" s="1055">
        <f>IF((ATAN((A363/pterm1)/(1-A363^2/pterm2))&gt;0),ATAN((A363/pterm1)/(1-A363^2/pterm2)),PI()+ATAN((A363/pterm1)/(1-A363^2/pterm2)))</f>
        <v/>
      </c>
      <c r="U363" s="331">
        <f>20*LOG10(((E363*K363*G363*O363)/(C363*I363*S363*M363*Q363))*Adc)</f>
        <v/>
      </c>
      <c r="V363" s="332">
        <f>((F363+L363+H363+P363)-(D363+J363+T363+N363+R363))*radconv</f>
        <v/>
      </c>
      <c r="W363" s="334">
        <f>IF(V363&gt;0,V363,V363+180)</f>
        <v/>
      </c>
      <c r="Y363" s="307">
        <f>IF(U363&lt;0,A363,1000000000)</f>
        <v/>
      </c>
      <c r="Z363" s="307">
        <f>A363^2</f>
        <v/>
      </c>
      <c r="AB363" s="333">
        <f>20*LOG10((K363/(I363*M363))*AEA)</f>
        <v/>
      </c>
      <c r="AC363" s="334">
        <f>(L363-(J363+N363))*radconv</f>
        <v/>
      </c>
      <c r="AE363" s="333">
        <f>20*LOG10((E363*G363/(C363*S363))*Acs*Am)</f>
        <v/>
      </c>
      <c r="AF363" s="334">
        <f>(F363+H363-(D363+T363))*radconv</f>
        <v/>
      </c>
      <c r="AH363">
        <f>SUM((U364&lt;0)*(U363&gt;0))*A363</f>
        <v/>
      </c>
      <c r="AI363">
        <f>IF(AH363&gt;0,W363,0)</f>
        <v/>
      </c>
    </row>
    <row r="364">
      <c r="A364" s="335" t="n">
        <v>29344</v>
      </c>
      <c r="B364" s="352">
        <f>A364/1000</f>
        <v/>
      </c>
      <c r="C364" s="1047">
        <f>SQRT(1+(A364/pole1)^2)</f>
        <v/>
      </c>
      <c r="D364" s="1048">
        <f>ATAN(A364/pole1)</f>
        <v/>
      </c>
      <c r="E364" s="1048">
        <f>SQRT(1+(A364/Zero1)^2)</f>
        <v/>
      </c>
      <c r="F364" s="1049">
        <f>ATAN(A364/Zero1)</f>
        <v/>
      </c>
      <c r="G364" s="1048">
        <f>IF(VIN_nom&gt;Vout, 1, SQRT(1+(A364/z_RHP)^2))</f>
        <v/>
      </c>
      <c r="H364" s="1049">
        <f>IF(VIN_nom&gt;Vout, 0, -ATAN(A364/z_RHP))</f>
        <v/>
      </c>
      <c r="I364" s="1047">
        <f>SQRT(1+(A364/Pole2)^2)</f>
        <v/>
      </c>
      <c r="J364" s="1050">
        <f>ATAN(A364/Pole2)</f>
        <v/>
      </c>
      <c r="K364" s="1056">
        <f>SQRT(1+(A364/Zero2)^2)</f>
        <v/>
      </c>
      <c r="L364" s="1057">
        <f>ATAN(A364/Zero2)</f>
        <v/>
      </c>
      <c r="M364" s="1047">
        <f>SQRT(1+(A364/pole4)^2)</f>
        <v/>
      </c>
      <c r="N364" s="1057">
        <f>ATAN(A364/pole4)</f>
        <v/>
      </c>
      <c r="O364" s="1058">
        <f>IF(VOUT_setting=1,1,SQRT(1+(A364*zterm1)^2))</f>
        <v/>
      </c>
      <c r="P364" s="1059">
        <f>IF(VOUT_setting=1,0,ATAN(((A364*zterm1))))</f>
        <v/>
      </c>
      <c r="Q364" s="1056">
        <f>IF(VOUT_setting=1,1,SQRT((1+Afbr-$Q$5*(A364)^2)^2+(A364*$Q$4)^2))</f>
        <v/>
      </c>
      <c r="R364" s="1060">
        <f>IF(VOUT_setting=1,0,ATAN(A364*$Q$4/(1+Afbr-$Q$5*(A364)^2)))</f>
        <v/>
      </c>
      <c r="S364" s="1054">
        <f>SQRT((1-(Z364/pterm2))^2+(A364/pterm1)^2)</f>
        <v/>
      </c>
      <c r="T364" s="1055">
        <f>IF((ATAN((A364/pterm1)/(1-A364^2/pterm2))&gt;0),ATAN((A364/pterm1)/(1-A364^2/pterm2)),PI()+ATAN((A364/pterm1)/(1-A364^2/pterm2)))</f>
        <v/>
      </c>
      <c r="U364" s="331">
        <f>20*LOG10(((E364*K364*G364*O364)/(C364*I364*S364*M364*Q364))*Adc)</f>
        <v/>
      </c>
      <c r="V364" s="332">
        <f>((F364+L364+H364+P364)-(D364+J364+T364+N364+R364))*radconv</f>
        <v/>
      </c>
      <c r="W364" s="334">
        <f>IF(V364&gt;0,V364,V364+180)</f>
        <v/>
      </c>
      <c r="Y364" s="307">
        <f>IF(U364&lt;0,A364,1000000000)</f>
        <v/>
      </c>
      <c r="Z364" s="307">
        <f>A364^2</f>
        <v/>
      </c>
      <c r="AB364" s="333">
        <f>20*LOG10((K364/(I364*M364))*AEA)</f>
        <v/>
      </c>
      <c r="AC364" s="334">
        <f>(L364-(J364+N364))*radconv</f>
        <v/>
      </c>
      <c r="AE364" s="333">
        <f>20*LOG10((E364*G364/(C364*S364))*Acs*Am)</f>
        <v/>
      </c>
      <c r="AF364" s="334">
        <f>(F364+H364-(D364+T364))*radconv</f>
        <v/>
      </c>
      <c r="AH364">
        <f>SUM((U365&lt;0)*(U364&gt;0))*A364</f>
        <v/>
      </c>
      <c r="AI364">
        <f>IF(AH364&gt;0,W364,0)</f>
        <v/>
      </c>
    </row>
    <row r="365">
      <c r="A365" s="335" t="n">
        <v>29512</v>
      </c>
      <c r="B365" s="352">
        <f>A365/1000</f>
        <v/>
      </c>
      <c r="C365" s="1047">
        <f>SQRT(1+(A365/pole1)^2)</f>
        <v/>
      </c>
      <c r="D365" s="1048">
        <f>ATAN(A365/pole1)</f>
        <v/>
      </c>
      <c r="E365" s="1048">
        <f>SQRT(1+(A365/Zero1)^2)</f>
        <v/>
      </c>
      <c r="F365" s="1049">
        <f>ATAN(A365/Zero1)</f>
        <v/>
      </c>
      <c r="G365" s="1048">
        <f>IF(VIN_nom&gt;Vout, 1, SQRT(1+(A365/z_RHP)^2))</f>
        <v/>
      </c>
      <c r="H365" s="1049">
        <f>IF(VIN_nom&gt;Vout, 0, -ATAN(A365/z_RHP))</f>
        <v/>
      </c>
      <c r="I365" s="1047">
        <f>SQRT(1+(A365/Pole2)^2)</f>
        <v/>
      </c>
      <c r="J365" s="1050">
        <f>ATAN(A365/Pole2)</f>
        <v/>
      </c>
      <c r="K365" s="1056">
        <f>SQRT(1+(A365/Zero2)^2)</f>
        <v/>
      </c>
      <c r="L365" s="1057">
        <f>ATAN(A365/Zero2)</f>
        <v/>
      </c>
      <c r="M365" s="1047">
        <f>SQRT(1+(A365/pole4)^2)</f>
        <v/>
      </c>
      <c r="N365" s="1057">
        <f>ATAN(A365/pole4)</f>
        <v/>
      </c>
      <c r="O365" s="1058">
        <f>IF(VOUT_setting=1,1,SQRT(1+(A365*zterm1)^2))</f>
        <v/>
      </c>
      <c r="P365" s="1059">
        <f>IF(VOUT_setting=1,0,ATAN(((A365*zterm1))))</f>
        <v/>
      </c>
      <c r="Q365" s="1056">
        <f>IF(VOUT_setting=1,1,SQRT((1+Afbr-$Q$5*(A365)^2)^2+(A365*$Q$4)^2))</f>
        <v/>
      </c>
      <c r="R365" s="1060">
        <f>IF(VOUT_setting=1,0,ATAN(A365*$Q$4/(1+Afbr-$Q$5*(A365)^2)))</f>
        <v/>
      </c>
      <c r="S365" s="1054">
        <f>SQRT((1-(Z365/pterm2))^2+(A365/pterm1)^2)</f>
        <v/>
      </c>
      <c r="T365" s="1055">
        <f>IF((ATAN((A365/pterm1)/(1-A365^2/pterm2))&gt;0),ATAN((A365/pterm1)/(1-A365^2/pterm2)),PI()+ATAN((A365/pterm1)/(1-A365^2/pterm2)))</f>
        <v/>
      </c>
      <c r="U365" s="331">
        <f>20*LOG10(((E365*K365*G365*O365)/(C365*I365*S365*M365*Q365))*Adc)</f>
        <v/>
      </c>
      <c r="V365" s="332">
        <f>((F365+L365+H365+P365)-(D365+J365+T365+N365+R365))*radconv</f>
        <v/>
      </c>
      <c r="W365" s="334">
        <f>IF(V365&gt;0,V365,V365+180)</f>
        <v/>
      </c>
      <c r="Y365" s="307">
        <f>IF(U365&lt;0,A365,1000000000)</f>
        <v/>
      </c>
      <c r="Z365" s="307">
        <f>A365^2</f>
        <v/>
      </c>
      <c r="AB365" s="333">
        <f>20*LOG10((K365/(I365*M365))*AEA)</f>
        <v/>
      </c>
      <c r="AC365" s="334">
        <f>(L365-(J365+N365))*radconv</f>
        <v/>
      </c>
      <c r="AE365" s="333">
        <f>20*LOG10((E365*G365/(C365*S365))*Acs*Am)</f>
        <v/>
      </c>
      <c r="AF365" s="334">
        <f>(F365+H365-(D365+T365))*radconv</f>
        <v/>
      </c>
      <c r="AH365">
        <f>SUM((U366&lt;0)*(U365&gt;0))*A365</f>
        <v/>
      </c>
      <c r="AI365">
        <f>IF(AH365&gt;0,W365,0)</f>
        <v/>
      </c>
    </row>
    <row r="366">
      <c r="A366" s="335" t="n">
        <v>29684</v>
      </c>
      <c r="B366" s="352">
        <f>A366/1000</f>
        <v/>
      </c>
      <c r="C366" s="1047">
        <f>SQRT(1+(A366/pole1)^2)</f>
        <v/>
      </c>
      <c r="D366" s="1048">
        <f>ATAN(A366/pole1)</f>
        <v/>
      </c>
      <c r="E366" s="1048">
        <f>SQRT(1+(A366/Zero1)^2)</f>
        <v/>
      </c>
      <c r="F366" s="1049">
        <f>ATAN(A366/Zero1)</f>
        <v/>
      </c>
      <c r="G366" s="1048">
        <f>IF(VIN_nom&gt;Vout, 1, SQRT(1+(A366/z_RHP)^2))</f>
        <v/>
      </c>
      <c r="H366" s="1049">
        <f>IF(VIN_nom&gt;Vout, 0, -ATAN(A366/z_RHP))</f>
        <v/>
      </c>
      <c r="I366" s="1047">
        <f>SQRT(1+(A366/Pole2)^2)</f>
        <v/>
      </c>
      <c r="J366" s="1050">
        <f>ATAN(A366/Pole2)</f>
        <v/>
      </c>
      <c r="K366" s="1056">
        <f>SQRT(1+(A366/Zero2)^2)</f>
        <v/>
      </c>
      <c r="L366" s="1057">
        <f>ATAN(A366/Zero2)</f>
        <v/>
      </c>
      <c r="M366" s="1047">
        <f>SQRT(1+(A366/pole4)^2)</f>
        <v/>
      </c>
      <c r="N366" s="1057">
        <f>ATAN(A366/pole4)</f>
        <v/>
      </c>
      <c r="O366" s="1058">
        <f>IF(VOUT_setting=1,1,SQRT(1+(A366*zterm1)^2))</f>
        <v/>
      </c>
      <c r="P366" s="1059">
        <f>IF(VOUT_setting=1,0,ATAN(((A366*zterm1))))</f>
        <v/>
      </c>
      <c r="Q366" s="1056">
        <f>IF(VOUT_setting=1,1,SQRT((1+Afbr-$Q$5*(A366)^2)^2+(A366*$Q$4)^2))</f>
        <v/>
      </c>
      <c r="R366" s="1060">
        <f>IF(VOUT_setting=1,0,ATAN(A366*$Q$4/(1+Afbr-$Q$5*(A366)^2)))</f>
        <v/>
      </c>
      <c r="S366" s="1054">
        <f>SQRT((1-(Z366/pterm2))^2+(A366/pterm1)^2)</f>
        <v/>
      </c>
      <c r="T366" s="1055">
        <f>IF((ATAN((A366/pterm1)/(1-A366^2/pterm2))&gt;0),ATAN((A366/pterm1)/(1-A366^2/pterm2)),PI()+ATAN((A366/pterm1)/(1-A366^2/pterm2)))</f>
        <v/>
      </c>
      <c r="U366" s="331">
        <f>20*LOG10(((E366*K366*G366*O366)/(C366*I366*S366*M366*Q366))*Adc)</f>
        <v/>
      </c>
      <c r="V366" s="332">
        <f>((F366+L366+H366+P366)-(D366+J366+T366+N366+R366))*radconv</f>
        <v/>
      </c>
      <c r="W366" s="334">
        <f>IF(V366&gt;0,V366,V366+180)</f>
        <v/>
      </c>
      <c r="Y366" s="307">
        <f>IF(U366&lt;0,A366,1000000000)</f>
        <v/>
      </c>
      <c r="Z366" s="307">
        <f>A366^2</f>
        <v/>
      </c>
      <c r="AB366" s="333">
        <f>20*LOG10((K366/(I366*M366))*AEA)</f>
        <v/>
      </c>
      <c r="AC366" s="334">
        <f>(L366-(J366+N366))*radconv</f>
        <v/>
      </c>
      <c r="AE366" s="333">
        <f>20*LOG10((E366*G366/(C366*S366))*Acs*Am)</f>
        <v/>
      </c>
      <c r="AF366" s="334">
        <f>(F366+H366-(D366+T366))*radconv</f>
        <v/>
      </c>
      <c r="AH366">
        <f>SUM((U367&lt;0)*(U366&gt;0))*A366</f>
        <v/>
      </c>
      <c r="AI366">
        <f>IF(AH366&gt;0,W366,0)</f>
        <v/>
      </c>
    </row>
    <row r="367">
      <c r="A367" s="335" t="n">
        <v>29856</v>
      </c>
      <c r="B367" s="352">
        <f>A367/1000</f>
        <v/>
      </c>
      <c r="C367" s="1047">
        <f>SQRT(1+(A367/pole1)^2)</f>
        <v/>
      </c>
      <c r="D367" s="1048">
        <f>ATAN(A367/pole1)</f>
        <v/>
      </c>
      <c r="E367" s="1048">
        <f>SQRT(1+(A367/Zero1)^2)</f>
        <v/>
      </c>
      <c r="F367" s="1049">
        <f>ATAN(A367/Zero1)</f>
        <v/>
      </c>
      <c r="G367" s="1048">
        <f>IF(VIN_nom&gt;Vout, 1, SQRT(1+(A367/z_RHP)^2))</f>
        <v/>
      </c>
      <c r="H367" s="1049">
        <f>IF(VIN_nom&gt;Vout, 0, -ATAN(A367/z_RHP))</f>
        <v/>
      </c>
      <c r="I367" s="1047">
        <f>SQRT(1+(A367/Pole2)^2)</f>
        <v/>
      </c>
      <c r="J367" s="1050">
        <f>ATAN(A367/Pole2)</f>
        <v/>
      </c>
      <c r="K367" s="1056">
        <f>SQRT(1+(A367/Zero2)^2)</f>
        <v/>
      </c>
      <c r="L367" s="1057">
        <f>ATAN(A367/Zero2)</f>
        <v/>
      </c>
      <c r="M367" s="1047">
        <f>SQRT(1+(A367/pole4)^2)</f>
        <v/>
      </c>
      <c r="N367" s="1057">
        <f>ATAN(A367/pole4)</f>
        <v/>
      </c>
      <c r="O367" s="1058">
        <f>IF(VOUT_setting=1,1,SQRT(1+(A367*zterm1)^2))</f>
        <v/>
      </c>
      <c r="P367" s="1059">
        <f>IF(VOUT_setting=1,0,ATAN(((A367*zterm1))))</f>
        <v/>
      </c>
      <c r="Q367" s="1056">
        <f>IF(VOUT_setting=1,1,SQRT((1+Afbr-$Q$5*(A367)^2)^2+(A367*$Q$4)^2))</f>
        <v/>
      </c>
      <c r="R367" s="1060">
        <f>IF(VOUT_setting=1,0,ATAN(A367*$Q$4/(1+Afbr-$Q$5*(A367)^2)))</f>
        <v/>
      </c>
      <c r="S367" s="1054">
        <f>SQRT((1-(Z367/pterm2))^2+(A367/pterm1)^2)</f>
        <v/>
      </c>
      <c r="T367" s="1055">
        <f>IF((ATAN((A367/pterm1)/(1-A367^2/pterm2))&gt;0),ATAN((A367/pterm1)/(1-A367^2/pterm2)),PI()+ATAN((A367/pterm1)/(1-A367^2/pterm2)))</f>
        <v/>
      </c>
      <c r="U367" s="331">
        <f>20*LOG10(((E367*K367*G367*O367)/(C367*I367*S367*M367*Q367))*Adc)</f>
        <v/>
      </c>
      <c r="V367" s="332">
        <f>((F367+L367+H367+P367)-(D367+J367+T367+N367+R367))*radconv</f>
        <v/>
      </c>
      <c r="W367" s="334">
        <f>IF(V367&gt;0,V367,V367+180)</f>
        <v/>
      </c>
      <c r="Y367" s="307">
        <f>IF(U367&lt;0,A367,1000000000)</f>
        <v/>
      </c>
      <c r="Z367" s="307">
        <f>A367^2</f>
        <v/>
      </c>
      <c r="AB367" s="333">
        <f>20*LOG10((K367/(I367*M367))*AEA)</f>
        <v/>
      </c>
      <c r="AC367" s="334">
        <f>(L367-(J367+N367))*radconv</f>
        <v/>
      </c>
      <c r="AE367" s="333">
        <f>20*LOG10((E367*G367/(C367*S367))*Acs*Am)</f>
        <v/>
      </c>
      <c r="AF367" s="334">
        <f>(F367+H367-(D367+T367))*radconv</f>
        <v/>
      </c>
      <c r="AH367">
        <f>SUM((U368&lt;0)*(U367&gt;0))*A367</f>
        <v/>
      </c>
      <c r="AI367">
        <f>IF(AH367&gt;0,W367,0)</f>
        <v/>
      </c>
    </row>
    <row r="368">
      <c r="A368" s="335" t="n">
        <v>30028</v>
      </c>
      <c r="B368" s="352">
        <f>A368/1000</f>
        <v/>
      </c>
      <c r="C368" s="1047">
        <f>SQRT(1+(A368/pole1)^2)</f>
        <v/>
      </c>
      <c r="D368" s="1048">
        <f>ATAN(A368/pole1)</f>
        <v/>
      </c>
      <c r="E368" s="1048">
        <f>SQRT(1+(A368/Zero1)^2)</f>
        <v/>
      </c>
      <c r="F368" s="1049">
        <f>ATAN(A368/Zero1)</f>
        <v/>
      </c>
      <c r="G368" s="1048">
        <f>IF(VIN_nom&gt;Vout, 1, SQRT(1+(A368/z_RHP)^2))</f>
        <v/>
      </c>
      <c r="H368" s="1049">
        <f>IF(VIN_nom&gt;Vout, 0, -ATAN(A368/z_RHP))</f>
        <v/>
      </c>
      <c r="I368" s="1047">
        <f>SQRT(1+(A368/Pole2)^2)</f>
        <v/>
      </c>
      <c r="J368" s="1050">
        <f>ATAN(A368/Pole2)</f>
        <v/>
      </c>
      <c r="K368" s="1056">
        <f>SQRT(1+(A368/Zero2)^2)</f>
        <v/>
      </c>
      <c r="L368" s="1057">
        <f>ATAN(A368/Zero2)</f>
        <v/>
      </c>
      <c r="M368" s="1047">
        <f>SQRT(1+(A368/pole4)^2)</f>
        <v/>
      </c>
      <c r="N368" s="1057">
        <f>ATAN(A368/pole4)</f>
        <v/>
      </c>
      <c r="O368" s="1058">
        <f>IF(VOUT_setting=1,1,SQRT(1+(A368*zterm1)^2))</f>
        <v/>
      </c>
      <c r="P368" s="1059">
        <f>IF(VOUT_setting=1,0,ATAN(((A368*zterm1))))</f>
        <v/>
      </c>
      <c r="Q368" s="1056">
        <f>IF(VOUT_setting=1,1,SQRT((1+Afbr-$Q$5*(A368)^2)^2+(A368*$Q$4)^2))</f>
        <v/>
      </c>
      <c r="R368" s="1060">
        <f>IF(VOUT_setting=1,0,ATAN(A368*$Q$4/(1+Afbr-$Q$5*(A368)^2)))</f>
        <v/>
      </c>
      <c r="S368" s="1054">
        <f>SQRT((1-(Z368/pterm2))^2+(A368/pterm1)^2)</f>
        <v/>
      </c>
      <c r="T368" s="1055">
        <f>IF((ATAN((A368/pterm1)/(1-A368^2/pterm2))&gt;0),ATAN((A368/pterm1)/(1-A368^2/pterm2)),PI()+ATAN((A368/pterm1)/(1-A368^2/pterm2)))</f>
        <v/>
      </c>
      <c r="U368" s="331">
        <f>20*LOG10(((E368*K368*G368*O368)/(C368*I368*S368*M368*Q368))*Adc)</f>
        <v/>
      </c>
      <c r="V368" s="332">
        <f>((F368+L368+H368+P368)-(D368+J368+T368+N368+R368))*radconv</f>
        <v/>
      </c>
      <c r="W368" s="334">
        <f>IF(V368&gt;0,V368,V368+180)</f>
        <v/>
      </c>
      <c r="Y368" s="307">
        <f>IF(U368&lt;0,A368,1000000000)</f>
        <v/>
      </c>
      <c r="Z368" s="307">
        <f>A368^2</f>
        <v/>
      </c>
      <c r="AB368" s="333">
        <f>20*LOG10((K368/(I368*M368))*AEA)</f>
        <v/>
      </c>
      <c r="AC368" s="334">
        <f>(L368-(J368+N368))*radconv</f>
        <v/>
      </c>
      <c r="AE368" s="333">
        <f>20*LOG10((E368*G368/(C368*S368))*Acs*Am)</f>
        <v/>
      </c>
      <c r="AF368" s="334">
        <f>(F368+H368-(D368+T368))*radconv</f>
        <v/>
      </c>
      <c r="AH368">
        <f>SUM((U369&lt;0)*(U368&gt;0))*A368</f>
        <v/>
      </c>
      <c r="AI368">
        <f>IF(AH368&gt;0,W368,0)</f>
        <v/>
      </c>
    </row>
    <row r="369">
      <c r="A369" s="335" t="n">
        <v>30200</v>
      </c>
      <c r="B369" s="352">
        <f>A369/1000</f>
        <v/>
      </c>
      <c r="C369" s="1047">
        <f>SQRT(1+(A369/pole1)^2)</f>
        <v/>
      </c>
      <c r="D369" s="1048">
        <f>ATAN(A369/pole1)</f>
        <v/>
      </c>
      <c r="E369" s="1048">
        <f>SQRT(1+(A369/Zero1)^2)</f>
        <v/>
      </c>
      <c r="F369" s="1049">
        <f>ATAN(A369/Zero1)</f>
        <v/>
      </c>
      <c r="G369" s="1048">
        <f>IF(VIN_nom&gt;Vout, 1, SQRT(1+(A369/z_RHP)^2))</f>
        <v/>
      </c>
      <c r="H369" s="1049">
        <f>IF(VIN_nom&gt;Vout, 0, -ATAN(A369/z_RHP))</f>
        <v/>
      </c>
      <c r="I369" s="1047">
        <f>SQRT(1+(A369/Pole2)^2)</f>
        <v/>
      </c>
      <c r="J369" s="1050">
        <f>ATAN(A369/Pole2)</f>
        <v/>
      </c>
      <c r="K369" s="1056">
        <f>SQRT(1+(A369/Zero2)^2)</f>
        <v/>
      </c>
      <c r="L369" s="1057">
        <f>ATAN(A369/Zero2)</f>
        <v/>
      </c>
      <c r="M369" s="1047">
        <f>SQRT(1+(A369/pole4)^2)</f>
        <v/>
      </c>
      <c r="N369" s="1057">
        <f>ATAN(A369/pole4)</f>
        <v/>
      </c>
      <c r="O369" s="1058">
        <f>IF(VOUT_setting=1,1,SQRT(1+(A369*zterm1)^2))</f>
        <v/>
      </c>
      <c r="P369" s="1059">
        <f>IF(VOUT_setting=1,0,ATAN(((A369*zterm1))))</f>
        <v/>
      </c>
      <c r="Q369" s="1056">
        <f>IF(VOUT_setting=1,1,SQRT((1+Afbr-$Q$5*(A369)^2)^2+(A369*$Q$4)^2))</f>
        <v/>
      </c>
      <c r="R369" s="1060">
        <f>IF(VOUT_setting=1,0,ATAN(A369*$Q$4/(1+Afbr-$Q$5*(A369)^2)))</f>
        <v/>
      </c>
      <c r="S369" s="1054">
        <f>SQRT((1-(Z369/pterm2))^2+(A369/pterm1)^2)</f>
        <v/>
      </c>
      <c r="T369" s="1055">
        <f>IF((ATAN((A369/pterm1)/(1-A369^2/pterm2))&gt;0),ATAN((A369/pterm1)/(1-A369^2/pterm2)),PI()+ATAN((A369/pterm1)/(1-A369^2/pterm2)))</f>
        <v/>
      </c>
      <c r="U369" s="331">
        <f>20*LOG10(((E369*K369*G369*O369)/(C369*I369*S369*M369*Q369))*Adc)</f>
        <v/>
      </c>
      <c r="V369" s="332">
        <f>((F369+L369+H369+P369)-(D369+J369+T369+N369+R369))*radconv</f>
        <v/>
      </c>
      <c r="W369" s="334">
        <f>IF(V369&gt;0,V369,V369+180)</f>
        <v/>
      </c>
      <c r="Y369" s="307">
        <f>IF(U369&lt;0,A369,1000000000)</f>
        <v/>
      </c>
      <c r="Z369" s="307">
        <f>A369^2</f>
        <v/>
      </c>
      <c r="AB369" s="333">
        <f>20*LOG10((K369/(I369*M369))*AEA)</f>
        <v/>
      </c>
      <c r="AC369" s="334">
        <f>(L369-(J369+N369))*radconv</f>
        <v/>
      </c>
      <c r="AE369" s="333">
        <f>20*LOG10((E369*G369/(C369*S369))*Acs*Am)</f>
        <v/>
      </c>
      <c r="AF369" s="334">
        <f>(F369+H369-(D369+T369))*radconv</f>
        <v/>
      </c>
      <c r="AH369">
        <f>SUM((U370&lt;0)*(U369&gt;0))*A369</f>
        <v/>
      </c>
      <c r="AI369">
        <f>IF(AH369&gt;0,W369,0)</f>
        <v/>
      </c>
    </row>
    <row r="370">
      <c r="A370" s="335" t="n">
        <v>30375.75</v>
      </c>
      <c r="B370" s="352">
        <f>A370/1000</f>
        <v/>
      </c>
      <c r="C370" s="1047">
        <f>SQRT(1+(A370/pole1)^2)</f>
        <v/>
      </c>
      <c r="D370" s="1048">
        <f>ATAN(A370/pole1)</f>
        <v/>
      </c>
      <c r="E370" s="1048">
        <f>SQRT(1+(A370/Zero1)^2)</f>
        <v/>
      </c>
      <c r="F370" s="1049">
        <f>ATAN(A370/Zero1)</f>
        <v/>
      </c>
      <c r="G370" s="1048">
        <f>IF(VIN_nom&gt;Vout, 1, SQRT(1+(A370/z_RHP)^2))</f>
        <v/>
      </c>
      <c r="H370" s="1049">
        <f>IF(VIN_nom&gt;Vout, 0, -ATAN(A370/z_RHP))</f>
        <v/>
      </c>
      <c r="I370" s="1047">
        <f>SQRT(1+(A370/Pole2)^2)</f>
        <v/>
      </c>
      <c r="J370" s="1050">
        <f>ATAN(A370/Pole2)</f>
        <v/>
      </c>
      <c r="K370" s="1056">
        <f>SQRT(1+(A370/Zero2)^2)</f>
        <v/>
      </c>
      <c r="L370" s="1057">
        <f>ATAN(A370/Zero2)</f>
        <v/>
      </c>
      <c r="M370" s="1047">
        <f>SQRT(1+(A370/pole4)^2)</f>
        <v/>
      </c>
      <c r="N370" s="1057">
        <f>ATAN(A370/pole4)</f>
        <v/>
      </c>
      <c r="O370" s="1058">
        <f>IF(VOUT_setting=1,1,SQRT(1+(A370*zterm1)^2))</f>
        <v/>
      </c>
      <c r="P370" s="1059">
        <f>IF(VOUT_setting=1,0,ATAN(((A370*zterm1))))</f>
        <v/>
      </c>
      <c r="Q370" s="1056">
        <f>IF(VOUT_setting=1,1,SQRT((1+Afbr-$Q$5*(A370)^2)^2+(A370*$Q$4)^2))</f>
        <v/>
      </c>
      <c r="R370" s="1060">
        <f>IF(VOUT_setting=1,0,ATAN(A370*$Q$4/(1+Afbr-$Q$5*(A370)^2)))</f>
        <v/>
      </c>
      <c r="S370" s="1054">
        <f>SQRT((1-(Z370/pterm2))^2+(A370/pterm1)^2)</f>
        <v/>
      </c>
      <c r="T370" s="1055">
        <f>IF((ATAN((A370/pterm1)/(1-A370^2/pterm2))&gt;0),ATAN((A370/pterm1)/(1-A370^2/pterm2)),PI()+ATAN((A370/pterm1)/(1-A370^2/pterm2)))</f>
        <v/>
      </c>
      <c r="U370" s="331">
        <f>20*LOG10(((E370*K370*G370*O370)/(C370*I370*S370*M370*Q370))*Adc)</f>
        <v/>
      </c>
      <c r="V370" s="332">
        <f>((F370+L370+H370+P370)-(D370+J370+T370+N370+R370))*radconv</f>
        <v/>
      </c>
      <c r="W370" s="334">
        <f>IF(V370&gt;0,V370,V370+180)</f>
        <v/>
      </c>
      <c r="Y370" s="307">
        <f>IF(U370&lt;0,A370,1000000000)</f>
        <v/>
      </c>
      <c r="Z370" s="307">
        <f>A370^2</f>
        <v/>
      </c>
      <c r="AB370" s="333">
        <f>20*LOG10((K370/(I370*M370))*AEA)</f>
        <v/>
      </c>
      <c r="AC370" s="334">
        <f>(L370-(J370+N370))*radconv</f>
        <v/>
      </c>
      <c r="AE370" s="333">
        <f>20*LOG10((E370*G370/(C370*S370))*Acs*Am)</f>
        <v/>
      </c>
      <c r="AF370" s="334">
        <f>(F370+H370-(D370+T370))*radconv</f>
        <v/>
      </c>
      <c r="AH370">
        <f>SUM((U371&lt;0)*(U370&gt;0))*A370</f>
        <v/>
      </c>
      <c r="AI370">
        <f>IF(AH370&gt;0,W370,0)</f>
        <v/>
      </c>
    </row>
    <row r="371">
      <c r="A371" s="335" t="n">
        <v>30551.5</v>
      </c>
      <c r="B371" s="352">
        <f>A371/1000</f>
        <v/>
      </c>
      <c r="C371" s="1047">
        <f>SQRT(1+(A371/pole1)^2)</f>
        <v/>
      </c>
      <c r="D371" s="1048">
        <f>ATAN(A371/pole1)</f>
        <v/>
      </c>
      <c r="E371" s="1048">
        <f>SQRT(1+(A371/Zero1)^2)</f>
        <v/>
      </c>
      <c r="F371" s="1049">
        <f>ATAN(A371/Zero1)</f>
        <v/>
      </c>
      <c r="G371" s="1048">
        <f>IF(VIN_nom&gt;Vout, 1, SQRT(1+(A371/z_RHP)^2))</f>
        <v/>
      </c>
      <c r="H371" s="1049">
        <f>IF(VIN_nom&gt;Vout, 0, -ATAN(A371/z_RHP))</f>
        <v/>
      </c>
      <c r="I371" s="1047">
        <f>SQRT(1+(A371/Pole2)^2)</f>
        <v/>
      </c>
      <c r="J371" s="1050">
        <f>ATAN(A371/Pole2)</f>
        <v/>
      </c>
      <c r="K371" s="1056">
        <f>SQRT(1+(A371/Zero2)^2)</f>
        <v/>
      </c>
      <c r="L371" s="1057">
        <f>ATAN(A371/Zero2)</f>
        <v/>
      </c>
      <c r="M371" s="1047">
        <f>SQRT(1+(A371/pole4)^2)</f>
        <v/>
      </c>
      <c r="N371" s="1057">
        <f>ATAN(A371/pole4)</f>
        <v/>
      </c>
      <c r="O371" s="1058">
        <f>IF(VOUT_setting=1,1,SQRT(1+(A371*zterm1)^2))</f>
        <v/>
      </c>
      <c r="P371" s="1059">
        <f>IF(VOUT_setting=1,0,ATAN(((A371*zterm1))))</f>
        <v/>
      </c>
      <c r="Q371" s="1056">
        <f>IF(VOUT_setting=1,1,SQRT((1+Afbr-$Q$5*(A371)^2)^2+(A371*$Q$4)^2))</f>
        <v/>
      </c>
      <c r="R371" s="1060">
        <f>IF(VOUT_setting=1,0,ATAN(A371*$Q$4/(1+Afbr-$Q$5*(A371)^2)))</f>
        <v/>
      </c>
      <c r="S371" s="1054">
        <f>SQRT((1-(Z371/pterm2))^2+(A371/pterm1)^2)</f>
        <v/>
      </c>
      <c r="T371" s="1055">
        <f>IF((ATAN((A371/pterm1)/(1-A371^2/pterm2))&gt;0),ATAN((A371/pterm1)/(1-A371^2/pterm2)),PI()+ATAN((A371/pterm1)/(1-A371^2/pterm2)))</f>
        <v/>
      </c>
      <c r="U371" s="331">
        <f>20*LOG10(((E371*K371*G371*O371)/(C371*I371*S371*M371*Q371))*Adc)</f>
        <v/>
      </c>
      <c r="V371" s="332">
        <f>((F371+L371+H371+P371)-(D371+J371+T371+N371+R371))*radconv</f>
        <v/>
      </c>
      <c r="W371" s="334">
        <f>IF(V371&gt;0,V371,V371+180)</f>
        <v/>
      </c>
      <c r="Y371" s="307">
        <f>IF(U371&lt;0,A371,1000000000)</f>
        <v/>
      </c>
      <c r="Z371" s="307">
        <f>A371^2</f>
        <v/>
      </c>
      <c r="AB371" s="333">
        <f>20*LOG10((K371/(I371*M371))*AEA)</f>
        <v/>
      </c>
      <c r="AC371" s="334">
        <f>(L371-(J371+N371))*radconv</f>
        <v/>
      </c>
      <c r="AE371" s="333">
        <f>20*LOG10((E371*G371/(C371*S371))*Acs*Am)</f>
        <v/>
      </c>
      <c r="AF371" s="334">
        <f>(F371+H371-(D371+T371))*radconv</f>
        <v/>
      </c>
      <c r="AH371">
        <f>SUM((U372&lt;0)*(U371&gt;0))*A371</f>
        <v/>
      </c>
      <c r="AI371">
        <f>IF(AH371&gt;0,W371,0)</f>
        <v/>
      </c>
    </row>
    <row r="372">
      <c r="A372" s="335" t="n">
        <v>30727.25</v>
      </c>
      <c r="B372" s="352">
        <f>A372/1000</f>
        <v/>
      </c>
      <c r="C372" s="1047">
        <f>SQRT(1+(A372/pole1)^2)</f>
        <v/>
      </c>
      <c r="D372" s="1048">
        <f>ATAN(A372/pole1)</f>
        <v/>
      </c>
      <c r="E372" s="1048">
        <f>SQRT(1+(A372/Zero1)^2)</f>
        <v/>
      </c>
      <c r="F372" s="1049">
        <f>ATAN(A372/Zero1)</f>
        <v/>
      </c>
      <c r="G372" s="1048">
        <f>IF(VIN_nom&gt;Vout, 1, SQRT(1+(A372/z_RHP)^2))</f>
        <v/>
      </c>
      <c r="H372" s="1049">
        <f>IF(VIN_nom&gt;Vout, 0, -ATAN(A372/z_RHP))</f>
        <v/>
      </c>
      <c r="I372" s="1047">
        <f>SQRT(1+(A372/Pole2)^2)</f>
        <v/>
      </c>
      <c r="J372" s="1050">
        <f>ATAN(A372/Pole2)</f>
        <v/>
      </c>
      <c r="K372" s="1056">
        <f>SQRT(1+(A372/Zero2)^2)</f>
        <v/>
      </c>
      <c r="L372" s="1057">
        <f>ATAN(A372/Zero2)</f>
        <v/>
      </c>
      <c r="M372" s="1047">
        <f>SQRT(1+(A372/pole4)^2)</f>
        <v/>
      </c>
      <c r="N372" s="1057">
        <f>ATAN(A372/pole4)</f>
        <v/>
      </c>
      <c r="O372" s="1058">
        <f>IF(VOUT_setting=1,1,SQRT(1+(A372*zterm1)^2))</f>
        <v/>
      </c>
      <c r="P372" s="1059">
        <f>IF(VOUT_setting=1,0,ATAN(((A372*zterm1))))</f>
        <v/>
      </c>
      <c r="Q372" s="1056">
        <f>IF(VOUT_setting=1,1,SQRT((1+Afbr-$Q$5*(A372)^2)^2+(A372*$Q$4)^2))</f>
        <v/>
      </c>
      <c r="R372" s="1060">
        <f>IF(VOUT_setting=1,0,ATAN(A372*$Q$4/(1+Afbr-$Q$5*(A372)^2)))</f>
        <v/>
      </c>
      <c r="S372" s="1054">
        <f>SQRT((1-(Z372/pterm2))^2+(A372/pterm1)^2)</f>
        <v/>
      </c>
      <c r="T372" s="1055">
        <f>IF((ATAN((A372/pterm1)/(1-A372^2/pterm2))&gt;0),ATAN((A372/pterm1)/(1-A372^2/pterm2)),PI()+ATAN((A372/pterm1)/(1-A372^2/pterm2)))</f>
        <v/>
      </c>
      <c r="U372" s="331">
        <f>20*LOG10(((E372*K372*G372*O372)/(C372*I372*S372*M372*Q372))*Adc)</f>
        <v/>
      </c>
      <c r="V372" s="332">
        <f>((F372+L372+H372+P372)-(D372+J372+T372+N372+R372))*radconv</f>
        <v/>
      </c>
      <c r="W372" s="334">
        <f>IF(V372&gt;0,V372,V372+180)</f>
        <v/>
      </c>
      <c r="Y372" s="307">
        <f>IF(U372&lt;0,A372,1000000000)</f>
        <v/>
      </c>
      <c r="Z372" s="307">
        <f>A372^2</f>
        <v/>
      </c>
      <c r="AB372" s="333">
        <f>20*LOG10((K372/(I372*M372))*AEA)</f>
        <v/>
      </c>
      <c r="AC372" s="334">
        <f>(L372-(J372+N372))*radconv</f>
        <v/>
      </c>
      <c r="AE372" s="333">
        <f>20*LOG10((E372*G372/(C372*S372))*Acs*Am)</f>
        <v/>
      </c>
      <c r="AF372" s="334">
        <f>(F372+H372-(D372+T372))*radconv</f>
        <v/>
      </c>
      <c r="AH372">
        <f>SUM((U373&lt;0)*(U372&gt;0))*A372</f>
        <v/>
      </c>
      <c r="AI372">
        <f>IF(AH372&gt;0,W372,0)</f>
        <v/>
      </c>
    </row>
    <row r="373">
      <c r="A373" s="335" t="n">
        <v>30903</v>
      </c>
      <c r="B373" s="352">
        <f>A373/1000</f>
        <v/>
      </c>
      <c r="C373" s="1047">
        <f>SQRT(1+(A373/pole1)^2)</f>
        <v/>
      </c>
      <c r="D373" s="1048">
        <f>ATAN(A373/pole1)</f>
        <v/>
      </c>
      <c r="E373" s="1048">
        <f>SQRT(1+(A373/Zero1)^2)</f>
        <v/>
      </c>
      <c r="F373" s="1049">
        <f>ATAN(A373/Zero1)</f>
        <v/>
      </c>
      <c r="G373" s="1048">
        <f>IF(VIN_nom&gt;Vout, 1, SQRT(1+(A373/z_RHP)^2))</f>
        <v/>
      </c>
      <c r="H373" s="1049">
        <f>IF(VIN_nom&gt;Vout, 0, -ATAN(A373/z_RHP))</f>
        <v/>
      </c>
      <c r="I373" s="1047">
        <f>SQRT(1+(A373/Pole2)^2)</f>
        <v/>
      </c>
      <c r="J373" s="1050">
        <f>ATAN(A373/Pole2)</f>
        <v/>
      </c>
      <c r="K373" s="1056">
        <f>SQRT(1+(A373/Zero2)^2)</f>
        <v/>
      </c>
      <c r="L373" s="1057">
        <f>ATAN(A373/Zero2)</f>
        <v/>
      </c>
      <c r="M373" s="1047">
        <f>SQRT(1+(A373/pole4)^2)</f>
        <v/>
      </c>
      <c r="N373" s="1057">
        <f>ATAN(A373/pole4)</f>
        <v/>
      </c>
      <c r="O373" s="1058">
        <f>IF(VOUT_setting=1,1,SQRT(1+(A373*zterm1)^2))</f>
        <v/>
      </c>
      <c r="P373" s="1059">
        <f>IF(VOUT_setting=1,0,ATAN(((A373*zterm1))))</f>
        <v/>
      </c>
      <c r="Q373" s="1056">
        <f>IF(VOUT_setting=1,1,SQRT((1+Afbr-$Q$5*(A373)^2)^2+(A373*$Q$4)^2))</f>
        <v/>
      </c>
      <c r="R373" s="1060">
        <f>IF(VOUT_setting=1,0,ATAN(A373*$Q$4/(1+Afbr-$Q$5*(A373)^2)))</f>
        <v/>
      </c>
      <c r="S373" s="1054">
        <f>SQRT((1-(Z373/pterm2))^2+(A373/pterm1)^2)</f>
        <v/>
      </c>
      <c r="T373" s="1055">
        <f>IF((ATAN((A373/pterm1)/(1-A373^2/pterm2))&gt;0),ATAN((A373/pterm1)/(1-A373^2/pterm2)),PI()+ATAN((A373/pterm1)/(1-A373^2/pterm2)))</f>
        <v/>
      </c>
      <c r="U373" s="331">
        <f>20*LOG10(((E373*K373*G373*O373)/(C373*I373*S373*M373*Q373))*Adc)</f>
        <v/>
      </c>
      <c r="V373" s="332">
        <f>((F373+L373+H373+P373)-(D373+J373+T373+N373+R373))*radconv</f>
        <v/>
      </c>
      <c r="W373" s="334">
        <f>IF(V373&gt;0,V373,V373+180)</f>
        <v/>
      </c>
      <c r="Y373" s="307">
        <f>IF(U373&lt;0,A373,1000000000)</f>
        <v/>
      </c>
      <c r="Z373" s="307">
        <f>A373^2</f>
        <v/>
      </c>
      <c r="AB373" s="333">
        <f>20*LOG10((K373/(I373*M373))*AEA)</f>
        <v/>
      </c>
      <c r="AC373" s="334">
        <f>(L373-(J373+N373))*radconv</f>
        <v/>
      </c>
      <c r="AE373" s="333">
        <f>20*LOG10((E373*G373/(C373*S373))*Acs*Am)</f>
        <v/>
      </c>
      <c r="AF373" s="334">
        <f>(F373+H373-(D373+T373))*radconv</f>
        <v/>
      </c>
      <c r="AH373">
        <f>SUM((U374&lt;0)*(U373&gt;0))*A373</f>
        <v/>
      </c>
      <c r="AI373">
        <f>IF(AH373&gt;0,W373,0)</f>
        <v/>
      </c>
    </row>
    <row r="374">
      <c r="A374" s="335" t="n">
        <v>31083</v>
      </c>
      <c r="B374" s="352">
        <f>A374/1000</f>
        <v/>
      </c>
      <c r="C374" s="1047">
        <f>SQRT(1+(A374/pole1)^2)</f>
        <v/>
      </c>
      <c r="D374" s="1048">
        <f>ATAN(A374/pole1)</f>
        <v/>
      </c>
      <c r="E374" s="1048">
        <f>SQRT(1+(A374/Zero1)^2)</f>
        <v/>
      </c>
      <c r="F374" s="1049">
        <f>ATAN(A374/Zero1)</f>
        <v/>
      </c>
      <c r="G374" s="1048">
        <f>IF(VIN_nom&gt;Vout, 1, SQRT(1+(A374/z_RHP)^2))</f>
        <v/>
      </c>
      <c r="H374" s="1049">
        <f>IF(VIN_nom&gt;Vout, 0, -ATAN(A374/z_RHP))</f>
        <v/>
      </c>
      <c r="I374" s="1047">
        <f>SQRT(1+(A374/Pole2)^2)</f>
        <v/>
      </c>
      <c r="J374" s="1050">
        <f>ATAN(A374/Pole2)</f>
        <v/>
      </c>
      <c r="K374" s="1056">
        <f>SQRT(1+(A374/Zero2)^2)</f>
        <v/>
      </c>
      <c r="L374" s="1057">
        <f>ATAN(A374/Zero2)</f>
        <v/>
      </c>
      <c r="M374" s="1047">
        <f>SQRT(1+(A374/pole4)^2)</f>
        <v/>
      </c>
      <c r="N374" s="1057">
        <f>ATAN(A374/pole4)</f>
        <v/>
      </c>
      <c r="O374" s="1058">
        <f>IF(VOUT_setting=1,1,SQRT(1+(A374*zterm1)^2))</f>
        <v/>
      </c>
      <c r="P374" s="1059">
        <f>IF(VOUT_setting=1,0,ATAN(((A374*zterm1))))</f>
        <v/>
      </c>
      <c r="Q374" s="1056">
        <f>IF(VOUT_setting=1,1,SQRT((1+Afbr-$Q$5*(A374)^2)^2+(A374*$Q$4)^2))</f>
        <v/>
      </c>
      <c r="R374" s="1060">
        <f>IF(VOUT_setting=1,0,ATAN(A374*$Q$4/(1+Afbr-$Q$5*(A374)^2)))</f>
        <v/>
      </c>
      <c r="S374" s="1054">
        <f>SQRT((1-(Z374/pterm2))^2+(A374/pterm1)^2)</f>
        <v/>
      </c>
      <c r="T374" s="1055">
        <f>IF((ATAN((A374/pterm1)/(1-A374^2/pterm2))&gt;0),ATAN((A374/pterm1)/(1-A374^2/pterm2)),PI()+ATAN((A374/pterm1)/(1-A374^2/pterm2)))</f>
        <v/>
      </c>
      <c r="U374" s="331">
        <f>20*LOG10(((E374*K374*G374*O374)/(C374*I374*S374*M374*Q374))*Adc)</f>
        <v/>
      </c>
      <c r="V374" s="332">
        <f>((F374+L374+H374+P374)-(D374+J374+T374+N374+R374))*radconv</f>
        <v/>
      </c>
      <c r="W374" s="334">
        <f>IF(V374&gt;0,V374,V374+180)</f>
        <v/>
      </c>
      <c r="Y374" s="307">
        <f>IF(U374&lt;0,A374,1000000000)</f>
        <v/>
      </c>
      <c r="Z374" s="307">
        <f>A374^2</f>
        <v/>
      </c>
      <c r="AB374" s="333">
        <f>20*LOG10((K374/(I374*M374))*AEA)</f>
        <v/>
      </c>
      <c r="AC374" s="334">
        <f>(L374-(J374+N374))*radconv</f>
        <v/>
      </c>
      <c r="AE374" s="333">
        <f>20*LOG10((E374*G374/(C374*S374))*Acs*Am)</f>
        <v/>
      </c>
      <c r="AF374" s="334">
        <f>(F374+H374-(D374+T374))*radconv</f>
        <v/>
      </c>
      <c r="AH374">
        <f>SUM((U375&lt;0)*(U374&gt;0))*A374</f>
        <v/>
      </c>
      <c r="AI374">
        <f>IF(AH374&gt;0,W374,0)</f>
        <v/>
      </c>
    </row>
    <row r="375">
      <c r="A375" s="335" t="n">
        <v>31263</v>
      </c>
      <c r="B375" s="352">
        <f>A375/1000</f>
        <v/>
      </c>
      <c r="C375" s="1047">
        <f>SQRT(1+(A375/pole1)^2)</f>
        <v/>
      </c>
      <c r="D375" s="1048">
        <f>ATAN(A375/pole1)</f>
        <v/>
      </c>
      <c r="E375" s="1048">
        <f>SQRT(1+(A375/Zero1)^2)</f>
        <v/>
      </c>
      <c r="F375" s="1049">
        <f>ATAN(A375/Zero1)</f>
        <v/>
      </c>
      <c r="G375" s="1048">
        <f>IF(VIN_nom&gt;Vout, 1, SQRT(1+(A375/z_RHP)^2))</f>
        <v/>
      </c>
      <c r="H375" s="1049">
        <f>IF(VIN_nom&gt;Vout, 0, -ATAN(A375/z_RHP))</f>
        <v/>
      </c>
      <c r="I375" s="1047">
        <f>SQRT(1+(A375/Pole2)^2)</f>
        <v/>
      </c>
      <c r="J375" s="1050">
        <f>ATAN(A375/Pole2)</f>
        <v/>
      </c>
      <c r="K375" s="1056">
        <f>SQRT(1+(A375/Zero2)^2)</f>
        <v/>
      </c>
      <c r="L375" s="1057">
        <f>ATAN(A375/Zero2)</f>
        <v/>
      </c>
      <c r="M375" s="1047">
        <f>SQRT(1+(A375/pole4)^2)</f>
        <v/>
      </c>
      <c r="N375" s="1057">
        <f>ATAN(A375/pole4)</f>
        <v/>
      </c>
      <c r="O375" s="1058">
        <f>IF(VOUT_setting=1,1,SQRT(1+(A375*zterm1)^2))</f>
        <v/>
      </c>
      <c r="P375" s="1059">
        <f>IF(VOUT_setting=1,0,ATAN(((A375*zterm1))))</f>
        <v/>
      </c>
      <c r="Q375" s="1056">
        <f>IF(VOUT_setting=1,1,SQRT((1+Afbr-$Q$5*(A375)^2)^2+(A375*$Q$4)^2))</f>
        <v/>
      </c>
      <c r="R375" s="1060">
        <f>IF(VOUT_setting=1,0,ATAN(A375*$Q$4/(1+Afbr-$Q$5*(A375)^2)))</f>
        <v/>
      </c>
      <c r="S375" s="1054">
        <f>SQRT((1-(Z375/pterm2))^2+(A375/pterm1)^2)</f>
        <v/>
      </c>
      <c r="T375" s="1055">
        <f>IF((ATAN((A375/pterm1)/(1-A375^2/pterm2))&gt;0),ATAN((A375/pterm1)/(1-A375^2/pterm2)),PI()+ATAN((A375/pterm1)/(1-A375^2/pterm2)))</f>
        <v/>
      </c>
      <c r="U375" s="331">
        <f>20*LOG10(((E375*K375*G375*O375)/(C375*I375*S375*M375*Q375))*Adc)</f>
        <v/>
      </c>
      <c r="V375" s="332">
        <f>((F375+L375+H375+P375)-(D375+J375+T375+N375+R375))*radconv</f>
        <v/>
      </c>
      <c r="W375" s="334">
        <f>IF(V375&gt;0,V375,V375+180)</f>
        <v/>
      </c>
      <c r="Y375" s="307">
        <f>IF(U375&lt;0,A375,1000000000)</f>
        <v/>
      </c>
      <c r="Z375" s="307">
        <f>A375^2</f>
        <v/>
      </c>
      <c r="AB375" s="333">
        <f>20*LOG10((K375/(I375*M375))*AEA)</f>
        <v/>
      </c>
      <c r="AC375" s="334">
        <f>(L375-(J375+N375))*radconv</f>
        <v/>
      </c>
      <c r="AE375" s="333">
        <f>20*LOG10((E375*G375/(C375*S375))*Acs*Am)</f>
        <v/>
      </c>
      <c r="AF375" s="334">
        <f>(F375+H375-(D375+T375))*radconv</f>
        <v/>
      </c>
      <c r="AH375">
        <f>SUM((U376&lt;0)*(U375&gt;0))*A375</f>
        <v/>
      </c>
      <c r="AI375">
        <f>IF(AH375&gt;0,W375,0)</f>
        <v/>
      </c>
    </row>
    <row r="376">
      <c r="A376" s="335" t="n">
        <v>31443</v>
      </c>
      <c r="B376" s="352">
        <f>A376/1000</f>
        <v/>
      </c>
      <c r="C376" s="1047">
        <f>SQRT(1+(A376/pole1)^2)</f>
        <v/>
      </c>
      <c r="D376" s="1048">
        <f>ATAN(A376/pole1)</f>
        <v/>
      </c>
      <c r="E376" s="1048">
        <f>SQRT(1+(A376/Zero1)^2)</f>
        <v/>
      </c>
      <c r="F376" s="1049">
        <f>ATAN(A376/Zero1)</f>
        <v/>
      </c>
      <c r="G376" s="1048">
        <f>IF(VIN_nom&gt;Vout, 1, SQRT(1+(A376/z_RHP)^2))</f>
        <v/>
      </c>
      <c r="H376" s="1049">
        <f>IF(VIN_nom&gt;Vout, 0, -ATAN(A376/z_RHP))</f>
        <v/>
      </c>
      <c r="I376" s="1047">
        <f>SQRT(1+(A376/Pole2)^2)</f>
        <v/>
      </c>
      <c r="J376" s="1050">
        <f>ATAN(A376/Pole2)</f>
        <v/>
      </c>
      <c r="K376" s="1056">
        <f>SQRT(1+(A376/Zero2)^2)</f>
        <v/>
      </c>
      <c r="L376" s="1057">
        <f>ATAN(A376/Zero2)</f>
        <v/>
      </c>
      <c r="M376" s="1047">
        <f>SQRT(1+(A376/pole4)^2)</f>
        <v/>
      </c>
      <c r="N376" s="1057">
        <f>ATAN(A376/pole4)</f>
        <v/>
      </c>
      <c r="O376" s="1058">
        <f>IF(VOUT_setting=1,1,SQRT(1+(A376*zterm1)^2))</f>
        <v/>
      </c>
      <c r="P376" s="1059">
        <f>IF(VOUT_setting=1,0,ATAN(((A376*zterm1))))</f>
        <v/>
      </c>
      <c r="Q376" s="1056">
        <f>IF(VOUT_setting=1,1,SQRT((1+Afbr-$Q$5*(A376)^2)^2+(A376*$Q$4)^2))</f>
        <v/>
      </c>
      <c r="R376" s="1060">
        <f>IF(VOUT_setting=1,0,ATAN(A376*$Q$4/(1+Afbr-$Q$5*(A376)^2)))</f>
        <v/>
      </c>
      <c r="S376" s="1054">
        <f>SQRT((1-(Z376/pterm2))^2+(A376/pterm1)^2)</f>
        <v/>
      </c>
      <c r="T376" s="1055">
        <f>IF((ATAN((A376/pterm1)/(1-A376^2/pterm2))&gt;0),ATAN((A376/pterm1)/(1-A376^2/pterm2)),PI()+ATAN((A376/pterm1)/(1-A376^2/pterm2)))</f>
        <v/>
      </c>
      <c r="U376" s="331">
        <f>20*LOG10(((E376*K376*G376*O376)/(C376*I376*S376*M376*Q376))*Adc)</f>
        <v/>
      </c>
      <c r="V376" s="332">
        <f>((F376+L376+H376+P376)-(D376+J376+T376+N376+R376))*radconv</f>
        <v/>
      </c>
      <c r="W376" s="334">
        <f>IF(V376&gt;0,V376,V376+180)</f>
        <v/>
      </c>
      <c r="Y376" s="307">
        <f>IF(U376&lt;0,A376,1000000000)</f>
        <v/>
      </c>
      <c r="Z376" s="307">
        <f>A376^2</f>
        <v/>
      </c>
      <c r="AB376" s="333">
        <f>20*LOG10((K376/(I376*M376))*AEA)</f>
        <v/>
      </c>
      <c r="AC376" s="334">
        <f>(L376-(J376+N376))*radconv</f>
        <v/>
      </c>
      <c r="AE376" s="333">
        <f>20*LOG10((E376*G376/(C376*S376))*Acs*Am)</f>
        <v/>
      </c>
      <c r="AF376" s="334">
        <f>(F376+H376-(D376+T376))*radconv</f>
        <v/>
      </c>
      <c r="AH376">
        <f>SUM((U377&lt;0)*(U376&gt;0))*A376</f>
        <v/>
      </c>
      <c r="AI376">
        <f>IF(AH376&gt;0,W376,0)</f>
        <v/>
      </c>
    </row>
    <row r="377">
      <c r="A377" s="335" t="n">
        <v>31623</v>
      </c>
      <c r="B377" s="352">
        <f>A377/1000</f>
        <v/>
      </c>
      <c r="C377" s="1047">
        <f>SQRT(1+(A377/pole1)^2)</f>
        <v/>
      </c>
      <c r="D377" s="1048">
        <f>ATAN(A377/pole1)</f>
        <v/>
      </c>
      <c r="E377" s="1048">
        <f>SQRT(1+(A377/Zero1)^2)</f>
        <v/>
      </c>
      <c r="F377" s="1049">
        <f>ATAN(A377/Zero1)</f>
        <v/>
      </c>
      <c r="G377" s="1048">
        <f>IF(VIN_nom&gt;Vout, 1, SQRT(1+(A377/z_RHP)^2))</f>
        <v/>
      </c>
      <c r="H377" s="1049">
        <f>IF(VIN_nom&gt;Vout, 0, -ATAN(A377/z_RHP))</f>
        <v/>
      </c>
      <c r="I377" s="1047">
        <f>SQRT(1+(A377/Pole2)^2)</f>
        <v/>
      </c>
      <c r="J377" s="1050">
        <f>ATAN(A377/Pole2)</f>
        <v/>
      </c>
      <c r="K377" s="1056">
        <f>SQRT(1+(A377/Zero2)^2)</f>
        <v/>
      </c>
      <c r="L377" s="1057">
        <f>ATAN(A377/Zero2)</f>
        <v/>
      </c>
      <c r="M377" s="1047">
        <f>SQRT(1+(A377/pole4)^2)</f>
        <v/>
      </c>
      <c r="N377" s="1057">
        <f>ATAN(A377/pole4)</f>
        <v/>
      </c>
      <c r="O377" s="1058">
        <f>IF(VOUT_setting=1,1,SQRT(1+(A377*zterm1)^2))</f>
        <v/>
      </c>
      <c r="P377" s="1059">
        <f>IF(VOUT_setting=1,0,ATAN(((A377*zterm1))))</f>
        <v/>
      </c>
      <c r="Q377" s="1056">
        <f>IF(VOUT_setting=1,1,SQRT((1+Afbr-$Q$5*(A377)^2)^2+(A377*$Q$4)^2))</f>
        <v/>
      </c>
      <c r="R377" s="1060">
        <f>IF(VOUT_setting=1,0,ATAN(A377*$Q$4/(1+Afbr-$Q$5*(A377)^2)))</f>
        <v/>
      </c>
      <c r="S377" s="1054">
        <f>SQRT((1-(Z377/pterm2))^2+(A377/pterm1)^2)</f>
        <v/>
      </c>
      <c r="T377" s="1055">
        <f>IF((ATAN((A377/pterm1)/(1-A377^2/pterm2))&gt;0),ATAN((A377/pterm1)/(1-A377^2/pterm2)),PI()+ATAN((A377/pterm1)/(1-A377^2/pterm2)))</f>
        <v/>
      </c>
      <c r="U377" s="331">
        <f>20*LOG10(((E377*K377*G377*O377)/(C377*I377*S377*M377*Q377))*Adc)</f>
        <v/>
      </c>
      <c r="V377" s="332">
        <f>((F377+L377+H377+P377)-(D377+J377+T377+N377+R377))*radconv</f>
        <v/>
      </c>
      <c r="W377" s="334">
        <f>IF(V377&gt;0,V377,V377+180)</f>
        <v/>
      </c>
      <c r="Y377" s="307">
        <f>IF(U377&lt;0,A377,1000000000)</f>
        <v/>
      </c>
      <c r="Z377" s="307">
        <f>A377^2</f>
        <v/>
      </c>
      <c r="AB377" s="333">
        <f>20*LOG10((K377/(I377*M377))*AEA)</f>
        <v/>
      </c>
      <c r="AC377" s="334">
        <f>(L377-(J377+N377))*radconv</f>
        <v/>
      </c>
      <c r="AE377" s="333">
        <f>20*LOG10((E377*G377/(C377*S377))*Acs*Am)</f>
        <v/>
      </c>
      <c r="AF377" s="334">
        <f>(F377+H377-(D377+T377))*radconv</f>
        <v/>
      </c>
      <c r="AH377">
        <f>SUM((U378&lt;0)*(U377&gt;0))*A377</f>
        <v/>
      </c>
      <c r="AI377">
        <f>IF(AH377&gt;0,W377,0)</f>
        <v/>
      </c>
    </row>
    <row r="378">
      <c r="A378" s="335" t="n">
        <v>31807</v>
      </c>
      <c r="B378" s="352">
        <f>A378/1000</f>
        <v/>
      </c>
      <c r="C378" s="1047">
        <f>SQRT(1+(A378/pole1)^2)</f>
        <v/>
      </c>
      <c r="D378" s="1048">
        <f>ATAN(A378/pole1)</f>
        <v/>
      </c>
      <c r="E378" s="1048">
        <f>SQRT(1+(A378/Zero1)^2)</f>
        <v/>
      </c>
      <c r="F378" s="1049">
        <f>ATAN(A378/Zero1)</f>
        <v/>
      </c>
      <c r="G378" s="1048">
        <f>IF(VIN_nom&gt;Vout, 1, SQRT(1+(A378/z_RHP)^2))</f>
        <v/>
      </c>
      <c r="H378" s="1049">
        <f>IF(VIN_nom&gt;Vout, 0, -ATAN(A378/z_RHP))</f>
        <v/>
      </c>
      <c r="I378" s="1047">
        <f>SQRT(1+(A378/Pole2)^2)</f>
        <v/>
      </c>
      <c r="J378" s="1050">
        <f>ATAN(A378/Pole2)</f>
        <v/>
      </c>
      <c r="K378" s="1056">
        <f>SQRT(1+(A378/Zero2)^2)</f>
        <v/>
      </c>
      <c r="L378" s="1057">
        <f>ATAN(A378/Zero2)</f>
        <v/>
      </c>
      <c r="M378" s="1047">
        <f>SQRT(1+(A378/pole4)^2)</f>
        <v/>
      </c>
      <c r="N378" s="1057">
        <f>ATAN(A378/pole4)</f>
        <v/>
      </c>
      <c r="O378" s="1058">
        <f>IF(VOUT_setting=1,1,SQRT(1+(A378*zterm1)^2))</f>
        <v/>
      </c>
      <c r="P378" s="1059">
        <f>IF(VOUT_setting=1,0,ATAN(((A378*zterm1))))</f>
        <v/>
      </c>
      <c r="Q378" s="1056">
        <f>IF(VOUT_setting=1,1,SQRT((1+Afbr-$Q$5*(A378)^2)^2+(A378*$Q$4)^2))</f>
        <v/>
      </c>
      <c r="R378" s="1060">
        <f>IF(VOUT_setting=1,0,ATAN(A378*$Q$4/(1+Afbr-$Q$5*(A378)^2)))</f>
        <v/>
      </c>
      <c r="S378" s="1054">
        <f>SQRT((1-(Z378/pterm2))^2+(A378/pterm1)^2)</f>
        <v/>
      </c>
      <c r="T378" s="1055">
        <f>IF((ATAN((A378/pterm1)/(1-A378^2/pterm2))&gt;0),ATAN((A378/pterm1)/(1-A378^2/pterm2)),PI()+ATAN((A378/pterm1)/(1-A378^2/pterm2)))</f>
        <v/>
      </c>
      <c r="U378" s="331">
        <f>20*LOG10(((E378*K378*G378*O378)/(C378*I378*S378*M378*Q378))*Adc)</f>
        <v/>
      </c>
      <c r="V378" s="332">
        <f>((F378+L378+H378+P378)-(D378+J378+T378+N378+R378))*radconv</f>
        <v/>
      </c>
      <c r="W378" s="334">
        <f>IF(V378&gt;0,V378,V378+180)</f>
        <v/>
      </c>
      <c r="Y378" s="307">
        <f>IF(U378&lt;0,A378,1000000000)</f>
        <v/>
      </c>
      <c r="Z378" s="307">
        <f>A378^2</f>
        <v/>
      </c>
      <c r="AB378" s="333">
        <f>20*LOG10((K378/(I378*M378))*AEA)</f>
        <v/>
      </c>
      <c r="AC378" s="334">
        <f>(L378-(J378+N378))*radconv</f>
        <v/>
      </c>
      <c r="AE378" s="333">
        <f>20*LOG10((E378*G378/(C378*S378))*Acs*Am)</f>
        <v/>
      </c>
      <c r="AF378" s="334">
        <f>(F378+H378-(D378+T378))*radconv</f>
        <v/>
      </c>
      <c r="AH378">
        <f>SUM((U379&lt;0)*(U378&gt;0))*A378</f>
        <v/>
      </c>
      <c r="AI378">
        <f>IF(AH378&gt;0,W378,0)</f>
        <v/>
      </c>
    </row>
    <row r="379">
      <c r="A379" s="335" t="n">
        <v>31991</v>
      </c>
      <c r="B379" s="352">
        <f>A379/1000</f>
        <v/>
      </c>
      <c r="C379" s="1047">
        <f>SQRT(1+(A379/pole1)^2)</f>
        <v/>
      </c>
      <c r="D379" s="1048">
        <f>ATAN(A379/pole1)</f>
        <v/>
      </c>
      <c r="E379" s="1048">
        <f>SQRT(1+(A379/Zero1)^2)</f>
        <v/>
      </c>
      <c r="F379" s="1049">
        <f>ATAN(A379/Zero1)</f>
        <v/>
      </c>
      <c r="G379" s="1048">
        <f>IF(VIN_nom&gt;Vout, 1, SQRT(1+(A379/z_RHP)^2))</f>
        <v/>
      </c>
      <c r="H379" s="1049">
        <f>IF(VIN_nom&gt;Vout, 0, -ATAN(A379/z_RHP))</f>
        <v/>
      </c>
      <c r="I379" s="1047">
        <f>SQRT(1+(A379/Pole2)^2)</f>
        <v/>
      </c>
      <c r="J379" s="1050">
        <f>ATAN(A379/Pole2)</f>
        <v/>
      </c>
      <c r="K379" s="1056">
        <f>SQRT(1+(A379/Zero2)^2)</f>
        <v/>
      </c>
      <c r="L379" s="1057">
        <f>ATAN(A379/Zero2)</f>
        <v/>
      </c>
      <c r="M379" s="1047">
        <f>SQRT(1+(A379/pole4)^2)</f>
        <v/>
      </c>
      <c r="N379" s="1057">
        <f>ATAN(A379/pole4)</f>
        <v/>
      </c>
      <c r="O379" s="1058">
        <f>IF(VOUT_setting=1,1,SQRT(1+(A379*zterm1)^2))</f>
        <v/>
      </c>
      <c r="P379" s="1059">
        <f>IF(VOUT_setting=1,0,ATAN(((A379*zterm1))))</f>
        <v/>
      </c>
      <c r="Q379" s="1056">
        <f>IF(VOUT_setting=1,1,SQRT((1+Afbr-$Q$5*(A379)^2)^2+(A379*$Q$4)^2))</f>
        <v/>
      </c>
      <c r="R379" s="1060">
        <f>IF(VOUT_setting=1,0,ATAN(A379*$Q$4/(1+Afbr-$Q$5*(A379)^2)))</f>
        <v/>
      </c>
      <c r="S379" s="1054">
        <f>SQRT((1-(Z379/pterm2))^2+(A379/pterm1)^2)</f>
        <v/>
      </c>
      <c r="T379" s="1055">
        <f>IF((ATAN((A379/pterm1)/(1-A379^2/pterm2))&gt;0),ATAN((A379/pterm1)/(1-A379^2/pterm2)),PI()+ATAN((A379/pterm1)/(1-A379^2/pterm2)))</f>
        <v/>
      </c>
      <c r="U379" s="331">
        <f>20*LOG10(((E379*K379*G379*O379)/(C379*I379*S379*M379*Q379))*Adc)</f>
        <v/>
      </c>
      <c r="V379" s="332">
        <f>((F379+L379+H379+P379)-(D379+J379+T379+N379+R379))*radconv</f>
        <v/>
      </c>
      <c r="W379" s="334">
        <f>IF(V379&gt;0,V379,V379+180)</f>
        <v/>
      </c>
      <c r="Y379" s="307">
        <f>IF(U379&lt;0,A379,1000000000)</f>
        <v/>
      </c>
      <c r="Z379" s="307">
        <f>A379^2</f>
        <v/>
      </c>
      <c r="AB379" s="333">
        <f>20*LOG10((K379/(I379*M379))*AEA)</f>
        <v/>
      </c>
      <c r="AC379" s="334">
        <f>(L379-(J379+N379))*radconv</f>
        <v/>
      </c>
      <c r="AE379" s="333">
        <f>20*LOG10((E379*G379/(C379*S379))*Acs*Am)</f>
        <v/>
      </c>
      <c r="AF379" s="334">
        <f>(F379+H379-(D379+T379))*radconv</f>
        <v/>
      </c>
      <c r="AH379">
        <f>SUM((U380&lt;0)*(U379&gt;0))*A379</f>
        <v/>
      </c>
      <c r="AI379">
        <f>IF(AH379&gt;0,W379,0)</f>
        <v/>
      </c>
    </row>
    <row r="380">
      <c r="A380" s="335" t="n">
        <v>32175</v>
      </c>
      <c r="B380" s="352">
        <f>A380/1000</f>
        <v/>
      </c>
      <c r="C380" s="1047">
        <f>SQRT(1+(A380/pole1)^2)</f>
        <v/>
      </c>
      <c r="D380" s="1048">
        <f>ATAN(A380/pole1)</f>
        <v/>
      </c>
      <c r="E380" s="1048">
        <f>SQRT(1+(A380/Zero1)^2)</f>
        <v/>
      </c>
      <c r="F380" s="1049">
        <f>ATAN(A380/Zero1)</f>
        <v/>
      </c>
      <c r="G380" s="1048">
        <f>IF(VIN_nom&gt;Vout, 1, SQRT(1+(A380/z_RHP)^2))</f>
        <v/>
      </c>
      <c r="H380" s="1049">
        <f>IF(VIN_nom&gt;Vout, 0, -ATAN(A380/z_RHP))</f>
        <v/>
      </c>
      <c r="I380" s="1047">
        <f>SQRT(1+(A380/Pole2)^2)</f>
        <v/>
      </c>
      <c r="J380" s="1050">
        <f>ATAN(A380/Pole2)</f>
        <v/>
      </c>
      <c r="K380" s="1056">
        <f>SQRT(1+(A380/Zero2)^2)</f>
        <v/>
      </c>
      <c r="L380" s="1057">
        <f>ATAN(A380/Zero2)</f>
        <v/>
      </c>
      <c r="M380" s="1047">
        <f>SQRT(1+(A380/pole4)^2)</f>
        <v/>
      </c>
      <c r="N380" s="1057">
        <f>ATAN(A380/pole4)</f>
        <v/>
      </c>
      <c r="O380" s="1058">
        <f>IF(VOUT_setting=1,1,SQRT(1+(A380*zterm1)^2))</f>
        <v/>
      </c>
      <c r="P380" s="1059">
        <f>IF(VOUT_setting=1,0,ATAN(((A380*zterm1))))</f>
        <v/>
      </c>
      <c r="Q380" s="1056">
        <f>IF(VOUT_setting=1,1,SQRT((1+Afbr-$Q$5*(A380)^2)^2+(A380*$Q$4)^2))</f>
        <v/>
      </c>
      <c r="R380" s="1060">
        <f>IF(VOUT_setting=1,0,ATAN(A380*$Q$4/(1+Afbr-$Q$5*(A380)^2)))</f>
        <v/>
      </c>
      <c r="S380" s="1054">
        <f>SQRT((1-(Z380/pterm2))^2+(A380/pterm1)^2)</f>
        <v/>
      </c>
      <c r="T380" s="1055">
        <f>IF((ATAN((A380/pterm1)/(1-A380^2/pterm2))&gt;0),ATAN((A380/pterm1)/(1-A380^2/pterm2)),PI()+ATAN((A380/pterm1)/(1-A380^2/pterm2)))</f>
        <v/>
      </c>
      <c r="U380" s="331">
        <f>20*LOG10(((E380*K380*G380*O380)/(C380*I380*S380*M380*Q380))*Adc)</f>
        <v/>
      </c>
      <c r="V380" s="332">
        <f>((F380+L380+H380+P380)-(D380+J380+T380+N380+R380))*radconv</f>
        <v/>
      </c>
      <c r="W380" s="334">
        <f>IF(V380&gt;0,V380,V380+180)</f>
        <v/>
      </c>
      <c r="Y380" s="307">
        <f>IF(U380&lt;0,A380,1000000000)</f>
        <v/>
      </c>
      <c r="Z380" s="307">
        <f>A380^2</f>
        <v/>
      </c>
      <c r="AB380" s="333">
        <f>20*LOG10((K380/(I380*M380))*AEA)</f>
        <v/>
      </c>
      <c r="AC380" s="334">
        <f>(L380-(J380+N380))*radconv</f>
        <v/>
      </c>
      <c r="AE380" s="333">
        <f>20*LOG10((E380*G380/(C380*S380))*Acs*Am)</f>
        <v/>
      </c>
      <c r="AF380" s="334">
        <f>(F380+H380-(D380+T380))*radconv</f>
        <v/>
      </c>
      <c r="AH380">
        <f>SUM((U381&lt;0)*(U380&gt;0))*A380</f>
        <v/>
      </c>
      <c r="AI380">
        <f>IF(AH380&gt;0,W380,0)</f>
        <v/>
      </c>
    </row>
    <row r="381">
      <c r="A381" s="335" t="n">
        <v>32359</v>
      </c>
      <c r="B381" s="352">
        <f>A381/1000</f>
        <v/>
      </c>
      <c r="C381" s="1047">
        <f>SQRT(1+(A381/pole1)^2)</f>
        <v/>
      </c>
      <c r="D381" s="1048">
        <f>ATAN(A381/pole1)</f>
        <v/>
      </c>
      <c r="E381" s="1048">
        <f>SQRT(1+(A381/Zero1)^2)</f>
        <v/>
      </c>
      <c r="F381" s="1049">
        <f>ATAN(A381/Zero1)</f>
        <v/>
      </c>
      <c r="G381" s="1048">
        <f>IF(VIN_nom&gt;Vout, 1, SQRT(1+(A381/z_RHP)^2))</f>
        <v/>
      </c>
      <c r="H381" s="1049">
        <f>IF(VIN_nom&gt;Vout, 0, -ATAN(A381/z_RHP))</f>
        <v/>
      </c>
      <c r="I381" s="1047">
        <f>SQRT(1+(A381/Pole2)^2)</f>
        <v/>
      </c>
      <c r="J381" s="1050">
        <f>ATAN(A381/Pole2)</f>
        <v/>
      </c>
      <c r="K381" s="1056">
        <f>SQRT(1+(A381/Zero2)^2)</f>
        <v/>
      </c>
      <c r="L381" s="1057">
        <f>ATAN(A381/Zero2)</f>
        <v/>
      </c>
      <c r="M381" s="1047">
        <f>SQRT(1+(A381/pole4)^2)</f>
        <v/>
      </c>
      <c r="N381" s="1057">
        <f>ATAN(A381/pole4)</f>
        <v/>
      </c>
      <c r="O381" s="1058">
        <f>IF(VOUT_setting=1,1,SQRT(1+(A381*zterm1)^2))</f>
        <v/>
      </c>
      <c r="P381" s="1059">
        <f>IF(VOUT_setting=1,0,ATAN(((A381*zterm1))))</f>
        <v/>
      </c>
      <c r="Q381" s="1056">
        <f>IF(VOUT_setting=1,1,SQRT((1+Afbr-$Q$5*(A381)^2)^2+(A381*$Q$4)^2))</f>
        <v/>
      </c>
      <c r="R381" s="1060">
        <f>IF(VOUT_setting=1,0,ATAN(A381*$Q$4/(1+Afbr-$Q$5*(A381)^2)))</f>
        <v/>
      </c>
      <c r="S381" s="1054">
        <f>SQRT((1-(Z381/pterm2))^2+(A381/pterm1)^2)</f>
        <v/>
      </c>
      <c r="T381" s="1055">
        <f>IF((ATAN((A381/pterm1)/(1-A381^2/pterm2))&gt;0),ATAN((A381/pterm1)/(1-A381^2/pterm2)),PI()+ATAN((A381/pterm1)/(1-A381^2/pterm2)))</f>
        <v/>
      </c>
      <c r="U381" s="331">
        <f>20*LOG10(((E381*K381*G381*O381)/(C381*I381*S381*M381*Q381))*Adc)</f>
        <v/>
      </c>
      <c r="V381" s="332">
        <f>((F381+L381+H381+P381)-(D381+J381+T381+N381+R381))*radconv</f>
        <v/>
      </c>
      <c r="W381" s="334">
        <f>IF(V381&gt;0,V381,V381+180)</f>
        <v/>
      </c>
      <c r="Y381" s="307">
        <f>IF(U381&lt;0,A381,1000000000)</f>
        <v/>
      </c>
      <c r="Z381" s="307">
        <f>A381^2</f>
        <v/>
      </c>
      <c r="AB381" s="333">
        <f>20*LOG10((K381/(I381*M381))*AEA)</f>
        <v/>
      </c>
      <c r="AC381" s="334">
        <f>(L381-(J381+N381))*radconv</f>
        <v/>
      </c>
      <c r="AE381" s="333">
        <f>20*LOG10((E381*G381/(C381*S381))*Acs*Am)</f>
        <v/>
      </c>
      <c r="AF381" s="334">
        <f>(F381+H381-(D381+T381))*radconv</f>
        <v/>
      </c>
      <c r="AH381">
        <f>SUM((U382&lt;0)*(U381&gt;0))*A381</f>
        <v/>
      </c>
      <c r="AI381">
        <f>IF(AH381&gt;0,W381,0)</f>
        <v/>
      </c>
    </row>
    <row r="382">
      <c r="A382" s="335" t="n">
        <v>32547.5</v>
      </c>
      <c r="B382" s="352">
        <f>A382/1000</f>
        <v/>
      </c>
      <c r="C382" s="1047">
        <f>SQRT(1+(A382/pole1)^2)</f>
        <v/>
      </c>
      <c r="D382" s="1048">
        <f>ATAN(A382/pole1)</f>
        <v/>
      </c>
      <c r="E382" s="1048">
        <f>SQRT(1+(A382/Zero1)^2)</f>
        <v/>
      </c>
      <c r="F382" s="1049">
        <f>ATAN(A382/Zero1)</f>
        <v/>
      </c>
      <c r="G382" s="1048">
        <f>IF(VIN_nom&gt;Vout, 1, SQRT(1+(A382/z_RHP)^2))</f>
        <v/>
      </c>
      <c r="H382" s="1049">
        <f>IF(VIN_nom&gt;Vout, 0, -ATAN(A382/z_RHP))</f>
        <v/>
      </c>
      <c r="I382" s="1047">
        <f>SQRT(1+(A382/Pole2)^2)</f>
        <v/>
      </c>
      <c r="J382" s="1050">
        <f>ATAN(A382/Pole2)</f>
        <v/>
      </c>
      <c r="K382" s="1056">
        <f>SQRT(1+(A382/Zero2)^2)</f>
        <v/>
      </c>
      <c r="L382" s="1057">
        <f>ATAN(A382/Zero2)</f>
        <v/>
      </c>
      <c r="M382" s="1047">
        <f>SQRT(1+(A382/pole4)^2)</f>
        <v/>
      </c>
      <c r="N382" s="1057">
        <f>ATAN(A382/pole4)</f>
        <v/>
      </c>
      <c r="O382" s="1058">
        <f>IF(VOUT_setting=1,1,SQRT(1+(A382*zterm1)^2))</f>
        <v/>
      </c>
      <c r="P382" s="1059">
        <f>IF(VOUT_setting=1,0,ATAN(((A382*zterm1))))</f>
        <v/>
      </c>
      <c r="Q382" s="1056">
        <f>IF(VOUT_setting=1,1,SQRT((1+Afbr-$Q$5*(A382)^2)^2+(A382*$Q$4)^2))</f>
        <v/>
      </c>
      <c r="R382" s="1060">
        <f>IF(VOUT_setting=1,0,ATAN(A382*$Q$4/(1+Afbr-$Q$5*(A382)^2)))</f>
        <v/>
      </c>
      <c r="S382" s="1054">
        <f>SQRT((1-(Z382/pterm2))^2+(A382/pterm1)^2)</f>
        <v/>
      </c>
      <c r="T382" s="1055">
        <f>IF((ATAN((A382/pterm1)/(1-A382^2/pterm2))&gt;0),ATAN((A382/pterm1)/(1-A382^2/pterm2)),PI()+ATAN((A382/pterm1)/(1-A382^2/pterm2)))</f>
        <v/>
      </c>
      <c r="U382" s="331">
        <f>20*LOG10(((E382*K382*G382*O382)/(C382*I382*S382*M382*Q382))*Adc)</f>
        <v/>
      </c>
      <c r="V382" s="332">
        <f>((F382+L382+H382+P382)-(D382+J382+T382+N382+R382))*radconv</f>
        <v/>
      </c>
      <c r="W382" s="334">
        <f>IF(V382&gt;0,V382,V382+180)</f>
        <v/>
      </c>
      <c r="Y382" s="307">
        <f>IF(U382&lt;0,A382,1000000000)</f>
        <v/>
      </c>
      <c r="Z382" s="307">
        <f>A382^2</f>
        <v/>
      </c>
      <c r="AB382" s="333">
        <f>20*LOG10((K382/(I382*M382))*AEA)</f>
        <v/>
      </c>
      <c r="AC382" s="334">
        <f>(L382-(J382+N382))*radconv</f>
        <v/>
      </c>
      <c r="AE382" s="333">
        <f>20*LOG10((E382*G382/(C382*S382))*Acs*Am)</f>
        <v/>
      </c>
      <c r="AF382" s="334">
        <f>(F382+H382-(D382+T382))*radconv</f>
        <v/>
      </c>
      <c r="AH382">
        <f>SUM((U383&lt;0)*(U382&gt;0))*A382</f>
        <v/>
      </c>
      <c r="AI382">
        <f>IF(AH382&gt;0,W382,0)</f>
        <v/>
      </c>
    </row>
    <row r="383">
      <c r="A383" s="335" t="n">
        <v>32736</v>
      </c>
      <c r="B383" s="352">
        <f>A383/1000</f>
        <v/>
      </c>
      <c r="C383" s="1047">
        <f>SQRT(1+(A383/pole1)^2)</f>
        <v/>
      </c>
      <c r="D383" s="1048">
        <f>ATAN(A383/pole1)</f>
        <v/>
      </c>
      <c r="E383" s="1048">
        <f>SQRT(1+(A383/Zero1)^2)</f>
        <v/>
      </c>
      <c r="F383" s="1049">
        <f>ATAN(A383/Zero1)</f>
        <v/>
      </c>
      <c r="G383" s="1048">
        <f>IF(VIN_nom&gt;Vout, 1, SQRT(1+(A383/z_RHP)^2))</f>
        <v/>
      </c>
      <c r="H383" s="1049">
        <f>IF(VIN_nom&gt;Vout, 0, -ATAN(A383/z_RHP))</f>
        <v/>
      </c>
      <c r="I383" s="1047">
        <f>SQRT(1+(A383/Pole2)^2)</f>
        <v/>
      </c>
      <c r="J383" s="1050">
        <f>ATAN(A383/Pole2)</f>
        <v/>
      </c>
      <c r="K383" s="1056">
        <f>SQRT(1+(A383/Zero2)^2)</f>
        <v/>
      </c>
      <c r="L383" s="1057">
        <f>ATAN(A383/Zero2)</f>
        <v/>
      </c>
      <c r="M383" s="1047">
        <f>SQRT(1+(A383/pole4)^2)</f>
        <v/>
      </c>
      <c r="N383" s="1057">
        <f>ATAN(A383/pole4)</f>
        <v/>
      </c>
      <c r="O383" s="1058">
        <f>IF(VOUT_setting=1,1,SQRT(1+(A383*zterm1)^2))</f>
        <v/>
      </c>
      <c r="P383" s="1059">
        <f>IF(VOUT_setting=1,0,ATAN(((A383*zterm1))))</f>
        <v/>
      </c>
      <c r="Q383" s="1056">
        <f>IF(VOUT_setting=1,1,SQRT((1+Afbr-$Q$5*(A383)^2)^2+(A383*$Q$4)^2))</f>
        <v/>
      </c>
      <c r="R383" s="1060">
        <f>IF(VOUT_setting=1,0,ATAN(A383*$Q$4/(1+Afbr-$Q$5*(A383)^2)))</f>
        <v/>
      </c>
      <c r="S383" s="1054">
        <f>SQRT((1-(Z383/pterm2))^2+(A383/pterm1)^2)</f>
        <v/>
      </c>
      <c r="T383" s="1055">
        <f>IF((ATAN((A383/pterm1)/(1-A383^2/pterm2))&gt;0),ATAN((A383/pterm1)/(1-A383^2/pterm2)),PI()+ATAN((A383/pterm1)/(1-A383^2/pterm2)))</f>
        <v/>
      </c>
      <c r="U383" s="331">
        <f>20*LOG10(((E383*K383*G383*O383)/(C383*I383*S383*M383*Q383))*Adc)</f>
        <v/>
      </c>
      <c r="V383" s="332">
        <f>((F383+L383+H383+P383)-(D383+J383+T383+N383+R383))*radconv</f>
        <v/>
      </c>
      <c r="W383" s="334">
        <f>IF(V383&gt;0,V383,V383+180)</f>
        <v/>
      </c>
      <c r="Y383" s="307">
        <f>IF(U383&lt;0,A383,1000000000)</f>
        <v/>
      </c>
      <c r="Z383" s="307">
        <f>A383^2</f>
        <v/>
      </c>
      <c r="AB383" s="333">
        <f>20*LOG10((K383/(I383*M383))*AEA)</f>
        <v/>
      </c>
      <c r="AC383" s="334">
        <f>(L383-(J383+N383))*radconv</f>
        <v/>
      </c>
      <c r="AE383" s="333">
        <f>20*LOG10((E383*G383/(C383*S383))*Acs*Am)</f>
        <v/>
      </c>
      <c r="AF383" s="334">
        <f>(F383+H383-(D383+T383))*radconv</f>
        <v/>
      </c>
      <c r="AH383">
        <f>SUM((U384&lt;0)*(U383&gt;0))*A383</f>
        <v/>
      </c>
      <c r="AI383">
        <f>IF(AH383&gt;0,W383,0)</f>
        <v/>
      </c>
    </row>
    <row r="384">
      <c r="A384" s="335" t="n">
        <v>32924.5</v>
      </c>
      <c r="B384" s="352">
        <f>A384/1000</f>
        <v/>
      </c>
      <c r="C384" s="1047">
        <f>SQRT(1+(A384/pole1)^2)</f>
        <v/>
      </c>
      <c r="D384" s="1048">
        <f>ATAN(A384/pole1)</f>
        <v/>
      </c>
      <c r="E384" s="1048">
        <f>SQRT(1+(A384/Zero1)^2)</f>
        <v/>
      </c>
      <c r="F384" s="1049">
        <f>ATAN(A384/Zero1)</f>
        <v/>
      </c>
      <c r="G384" s="1048">
        <f>IF(VIN_nom&gt;Vout, 1, SQRT(1+(A384/z_RHP)^2))</f>
        <v/>
      </c>
      <c r="H384" s="1049">
        <f>IF(VIN_nom&gt;Vout, 0, -ATAN(A384/z_RHP))</f>
        <v/>
      </c>
      <c r="I384" s="1047">
        <f>SQRT(1+(A384/Pole2)^2)</f>
        <v/>
      </c>
      <c r="J384" s="1050">
        <f>ATAN(A384/Pole2)</f>
        <v/>
      </c>
      <c r="K384" s="1056">
        <f>SQRT(1+(A384/Zero2)^2)</f>
        <v/>
      </c>
      <c r="L384" s="1057">
        <f>ATAN(A384/Zero2)</f>
        <v/>
      </c>
      <c r="M384" s="1047">
        <f>SQRT(1+(A384/pole4)^2)</f>
        <v/>
      </c>
      <c r="N384" s="1057">
        <f>ATAN(A384/pole4)</f>
        <v/>
      </c>
      <c r="O384" s="1058">
        <f>IF(VOUT_setting=1,1,SQRT(1+(A384*zterm1)^2))</f>
        <v/>
      </c>
      <c r="P384" s="1059">
        <f>IF(VOUT_setting=1,0,ATAN(((A384*zterm1))))</f>
        <v/>
      </c>
      <c r="Q384" s="1056">
        <f>IF(VOUT_setting=1,1,SQRT((1+Afbr-$Q$5*(A384)^2)^2+(A384*$Q$4)^2))</f>
        <v/>
      </c>
      <c r="R384" s="1060">
        <f>IF(VOUT_setting=1,0,ATAN(A384*$Q$4/(1+Afbr-$Q$5*(A384)^2)))</f>
        <v/>
      </c>
      <c r="S384" s="1054">
        <f>SQRT((1-(Z384/pterm2))^2+(A384/pterm1)^2)</f>
        <v/>
      </c>
      <c r="T384" s="1055">
        <f>IF((ATAN((A384/pterm1)/(1-A384^2/pterm2))&gt;0),ATAN((A384/pterm1)/(1-A384^2/pterm2)),PI()+ATAN((A384/pterm1)/(1-A384^2/pterm2)))</f>
        <v/>
      </c>
      <c r="U384" s="331">
        <f>20*LOG10(((E384*K384*G384*O384)/(C384*I384*S384*M384*Q384))*Adc)</f>
        <v/>
      </c>
      <c r="V384" s="332">
        <f>((F384+L384+H384+P384)-(D384+J384+T384+N384+R384))*radconv</f>
        <v/>
      </c>
      <c r="W384" s="334">
        <f>IF(V384&gt;0,V384,V384+180)</f>
        <v/>
      </c>
      <c r="Y384" s="307">
        <f>IF(U384&lt;0,A384,1000000000)</f>
        <v/>
      </c>
      <c r="Z384" s="307">
        <f>A384^2</f>
        <v/>
      </c>
      <c r="AB384" s="333">
        <f>20*LOG10((K384/(I384*M384))*AEA)</f>
        <v/>
      </c>
      <c r="AC384" s="334">
        <f>(L384-(J384+N384))*radconv</f>
        <v/>
      </c>
      <c r="AE384" s="333">
        <f>20*LOG10((E384*G384/(C384*S384))*Acs*Am)</f>
        <v/>
      </c>
      <c r="AF384" s="334">
        <f>(F384+H384-(D384+T384))*radconv</f>
        <v/>
      </c>
      <c r="AH384">
        <f>SUM((U385&lt;0)*(U384&gt;0))*A384</f>
        <v/>
      </c>
      <c r="AI384">
        <f>IF(AH384&gt;0,W384,0)</f>
        <v/>
      </c>
    </row>
    <row r="385">
      <c r="A385" s="335" t="n">
        <v>33113</v>
      </c>
      <c r="B385" s="352">
        <f>A385/1000</f>
        <v/>
      </c>
      <c r="C385" s="1047">
        <f>SQRT(1+(A385/pole1)^2)</f>
        <v/>
      </c>
      <c r="D385" s="1048">
        <f>ATAN(A385/pole1)</f>
        <v/>
      </c>
      <c r="E385" s="1048">
        <f>SQRT(1+(A385/Zero1)^2)</f>
        <v/>
      </c>
      <c r="F385" s="1049">
        <f>ATAN(A385/Zero1)</f>
        <v/>
      </c>
      <c r="G385" s="1048">
        <f>IF(VIN_nom&gt;Vout, 1, SQRT(1+(A385/z_RHP)^2))</f>
        <v/>
      </c>
      <c r="H385" s="1049">
        <f>IF(VIN_nom&gt;Vout, 0, -ATAN(A385/z_RHP))</f>
        <v/>
      </c>
      <c r="I385" s="1047">
        <f>SQRT(1+(A385/Pole2)^2)</f>
        <v/>
      </c>
      <c r="J385" s="1050">
        <f>ATAN(A385/Pole2)</f>
        <v/>
      </c>
      <c r="K385" s="1056">
        <f>SQRT(1+(A385/Zero2)^2)</f>
        <v/>
      </c>
      <c r="L385" s="1057">
        <f>ATAN(A385/Zero2)</f>
        <v/>
      </c>
      <c r="M385" s="1047">
        <f>SQRT(1+(A385/pole4)^2)</f>
        <v/>
      </c>
      <c r="N385" s="1057">
        <f>ATAN(A385/pole4)</f>
        <v/>
      </c>
      <c r="O385" s="1058">
        <f>IF(VOUT_setting=1,1,SQRT(1+(A385*zterm1)^2))</f>
        <v/>
      </c>
      <c r="P385" s="1059">
        <f>IF(VOUT_setting=1,0,ATAN(((A385*zterm1))))</f>
        <v/>
      </c>
      <c r="Q385" s="1056">
        <f>IF(VOUT_setting=1,1,SQRT((1+Afbr-$Q$5*(A385)^2)^2+(A385*$Q$4)^2))</f>
        <v/>
      </c>
      <c r="R385" s="1060">
        <f>IF(VOUT_setting=1,0,ATAN(A385*$Q$4/(1+Afbr-$Q$5*(A385)^2)))</f>
        <v/>
      </c>
      <c r="S385" s="1054">
        <f>SQRT((1-(Z385/pterm2))^2+(A385/pterm1)^2)</f>
        <v/>
      </c>
      <c r="T385" s="1055">
        <f>IF((ATAN((A385/pterm1)/(1-A385^2/pterm2))&gt;0),ATAN((A385/pterm1)/(1-A385^2/pterm2)),PI()+ATAN((A385/pterm1)/(1-A385^2/pterm2)))</f>
        <v/>
      </c>
      <c r="U385" s="331">
        <f>20*LOG10(((E385*K385*G385*O385)/(C385*I385*S385*M385*Q385))*Adc)</f>
        <v/>
      </c>
      <c r="V385" s="332">
        <f>((F385+L385+H385+P385)-(D385+J385+T385+N385+R385))*radconv</f>
        <v/>
      </c>
      <c r="W385" s="334">
        <f>IF(V385&gt;0,V385,V385+180)</f>
        <v/>
      </c>
      <c r="Y385" s="307">
        <f>IF(U385&lt;0,A385,1000000000)</f>
        <v/>
      </c>
      <c r="Z385" s="307">
        <f>A385^2</f>
        <v/>
      </c>
      <c r="AB385" s="333">
        <f>20*LOG10((K385/(I385*M385))*AEA)</f>
        <v/>
      </c>
      <c r="AC385" s="334">
        <f>(L385-(J385+N385))*radconv</f>
        <v/>
      </c>
      <c r="AE385" s="333">
        <f>20*LOG10((E385*G385/(C385*S385))*Acs*Am)</f>
        <v/>
      </c>
      <c r="AF385" s="334">
        <f>(F385+H385-(D385+T385))*radconv</f>
        <v/>
      </c>
      <c r="AH385">
        <f>SUM((U386&lt;0)*(U385&gt;0))*A385</f>
        <v/>
      </c>
      <c r="AI385">
        <f>IF(AH385&gt;0,W385,0)</f>
        <v/>
      </c>
    </row>
    <row r="386">
      <c r="A386" s="335" t="n">
        <v>33305.75</v>
      </c>
      <c r="B386" s="352">
        <f>A386/1000</f>
        <v/>
      </c>
      <c r="C386" s="1047">
        <f>SQRT(1+(A386/pole1)^2)</f>
        <v/>
      </c>
      <c r="D386" s="1048">
        <f>ATAN(A386/pole1)</f>
        <v/>
      </c>
      <c r="E386" s="1048">
        <f>SQRT(1+(A386/Zero1)^2)</f>
        <v/>
      </c>
      <c r="F386" s="1049">
        <f>ATAN(A386/Zero1)</f>
        <v/>
      </c>
      <c r="G386" s="1048">
        <f>IF(VIN_nom&gt;Vout, 1, SQRT(1+(A386/z_RHP)^2))</f>
        <v/>
      </c>
      <c r="H386" s="1049">
        <f>IF(VIN_nom&gt;Vout, 0, -ATAN(A386/z_RHP))</f>
        <v/>
      </c>
      <c r="I386" s="1047">
        <f>SQRT(1+(A386/Pole2)^2)</f>
        <v/>
      </c>
      <c r="J386" s="1050">
        <f>ATAN(A386/Pole2)</f>
        <v/>
      </c>
      <c r="K386" s="1056">
        <f>SQRT(1+(A386/Zero2)^2)</f>
        <v/>
      </c>
      <c r="L386" s="1057">
        <f>ATAN(A386/Zero2)</f>
        <v/>
      </c>
      <c r="M386" s="1047">
        <f>SQRT(1+(A386/pole4)^2)</f>
        <v/>
      </c>
      <c r="N386" s="1057">
        <f>ATAN(A386/pole4)</f>
        <v/>
      </c>
      <c r="O386" s="1058">
        <f>IF(VOUT_setting=1,1,SQRT(1+(A386*zterm1)^2))</f>
        <v/>
      </c>
      <c r="P386" s="1059">
        <f>IF(VOUT_setting=1,0,ATAN(((A386*zterm1))))</f>
        <v/>
      </c>
      <c r="Q386" s="1056">
        <f>IF(VOUT_setting=1,1,SQRT((1+Afbr-$Q$5*(A386)^2)^2+(A386*$Q$4)^2))</f>
        <v/>
      </c>
      <c r="R386" s="1060">
        <f>IF(VOUT_setting=1,0,ATAN(A386*$Q$4/(1+Afbr-$Q$5*(A386)^2)))</f>
        <v/>
      </c>
      <c r="S386" s="1054">
        <f>SQRT((1-(Z386/pterm2))^2+(A386/pterm1)^2)</f>
        <v/>
      </c>
      <c r="T386" s="1055">
        <f>IF((ATAN((A386/pterm1)/(1-A386^2/pterm2))&gt;0),ATAN((A386/pterm1)/(1-A386^2/pterm2)),PI()+ATAN((A386/pterm1)/(1-A386^2/pterm2)))</f>
        <v/>
      </c>
      <c r="U386" s="331">
        <f>20*LOG10(((E386*K386*G386*O386)/(C386*I386*S386*M386*Q386))*Adc)</f>
        <v/>
      </c>
      <c r="V386" s="332">
        <f>((F386+L386+H386+P386)-(D386+J386+T386+N386+R386))*radconv</f>
        <v/>
      </c>
      <c r="W386" s="334">
        <f>IF(V386&gt;0,V386,V386+180)</f>
        <v/>
      </c>
      <c r="Y386" s="307">
        <f>IF(U386&lt;0,A386,1000000000)</f>
        <v/>
      </c>
      <c r="Z386" s="307">
        <f>A386^2</f>
        <v/>
      </c>
      <c r="AB386" s="333">
        <f>20*LOG10((K386/(I386*M386))*AEA)</f>
        <v/>
      </c>
      <c r="AC386" s="334">
        <f>(L386-(J386+N386))*radconv</f>
        <v/>
      </c>
      <c r="AE386" s="333">
        <f>20*LOG10((E386*G386/(C386*S386))*Acs*Am)</f>
        <v/>
      </c>
      <c r="AF386" s="334">
        <f>(F386+H386-(D386+T386))*radconv</f>
        <v/>
      </c>
      <c r="AH386">
        <f>SUM((U387&lt;0)*(U386&gt;0))*A386</f>
        <v/>
      </c>
      <c r="AI386">
        <f>IF(AH386&gt;0,W386,0)</f>
        <v/>
      </c>
    </row>
    <row r="387">
      <c r="A387" s="335" t="n">
        <v>33498.5</v>
      </c>
      <c r="B387" s="352">
        <f>A387/1000</f>
        <v/>
      </c>
      <c r="C387" s="1047">
        <f>SQRT(1+(A387/pole1)^2)</f>
        <v/>
      </c>
      <c r="D387" s="1048">
        <f>ATAN(A387/pole1)</f>
        <v/>
      </c>
      <c r="E387" s="1048">
        <f>SQRT(1+(A387/Zero1)^2)</f>
        <v/>
      </c>
      <c r="F387" s="1049">
        <f>ATAN(A387/Zero1)</f>
        <v/>
      </c>
      <c r="G387" s="1048">
        <f>IF(VIN_nom&gt;Vout, 1, SQRT(1+(A387/z_RHP)^2))</f>
        <v/>
      </c>
      <c r="H387" s="1049">
        <f>IF(VIN_nom&gt;Vout, 0, -ATAN(A387/z_RHP))</f>
        <v/>
      </c>
      <c r="I387" s="1047">
        <f>SQRT(1+(A387/Pole2)^2)</f>
        <v/>
      </c>
      <c r="J387" s="1050">
        <f>ATAN(A387/Pole2)</f>
        <v/>
      </c>
      <c r="K387" s="1056">
        <f>SQRT(1+(A387/Zero2)^2)</f>
        <v/>
      </c>
      <c r="L387" s="1057">
        <f>ATAN(A387/Zero2)</f>
        <v/>
      </c>
      <c r="M387" s="1047">
        <f>SQRT(1+(A387/pole4)^2)</f>
        <v/>
      </c>
      <c r="N387" s="1057">
        <f>ATAN(A387/pole4)</f>
        <v/>
      </c>
      <c r="O387" s="1058">
        <f>IF(VOUT_setting=1,1,SQRT(1+(A387*zterm1)^2))</f>
        <v/>
      </c>
      <c r="P387" s="1059">
        <f>IF(VOUT_setting=1,0,ATAN(((A387*zterm1))))</f>
        <v/>
      </c>
      <c r="Q387" s="1056">
        <f>IF(VOUT_setting=1,1,SQRT((1+Afbr-$Q$5*(A387)^2)^2+(A387*$Q$4)^2))</f>
        <v/>
      </c>
      <c r="R387" s="1060">
        <f>IF(VOUT_setting=1,0,ATAN(A387*$Q$4/(1+Afbr-$Q$5*(A387)^2)))</f>
        <v/>
      </c>
      <c r="S387" s="1054">
        <f>SQRT((1-(Z387/pterm2))^2+(A387/pterm1)^2)</f>
        <v/>
      </c>
      <c r="T387" s="1055">
        <f>IF((ATAN((A387/pterm1)/(1-A387^2/pterm2))&gt;0),ATAN((A387/pterm1)/(1-A387^2/pterm2)),PI()+ATAN((A387/pterm1)/(1-A387^2/pterm2)))</f>
        <v/>
      </c>
      <c r="U387" s="331">
        <f>20*LOG10(((E387*K387*G387*O387)/(C387*I387*S387*M387*Q387))*Adc)</f>
        <v/>
      </c>
      <c r="V387" s="332">
        <f>((F387+L387+H387+P387)-(D387+J387+T387+N387+R387))*radconv</f>
        <v/>
      </c>
      <c r="W387" s="334">
        <f>IF(V387&gt;0,V387,V387+180)</f>
        <v/>
      </c>
      <c r="Y387" s="307">
        <f>IF(U387&lt;0,A387,1000000000)</f>
        <v/>
      </c>
      <c r="Z387" s="307">
        <f>A387^2</f>
        <v/>
      </c>
      <c r="AB387" s="333">
        <f>20*LOG10((K387/(I387*M387))*AEA)</f>
        <v/>
      </c>
      <c r="AC387" s="334">
        <f>(L387-(J387+N387))*radconv</f>
        <v/>
      </c>
      <c r="AE387" s="333">
        <f>20*LOG10((E387*G387/(C387*S387))*Acs*Am)</f>
        <v/>
      </c>
      <c r="AF387" s="334">
        <f>(F387+H387-(D387+T387))*radconv</f>
        <v/>
      </c>
      <c r="AH387">
        <f>SUM((U388&lt;0)*(U387&gt;0))*A387</f>
        <v/>
      </c>
      <c r="AI387">
        <f>IF(AH387&gt;0,W387,0)</f>
        <v/>
      </c>
    </row>
    <row r="388">
      <c r="A388" s="335" t="n">
        <v>33691.25</v>
      </c>
      <c r="B388" s="352">
        <f>A388/1000</f>
        <v/>
      </c>
      <c r="C388" s="1047">
        <f>SQRT(1+(A388/pole1)^2)</f>
        <v/>
      </c>
      <c r="D388" s="1048">
        <f>ATAN(A388/pole1)</f>
        <v/>
      </c>
      <c r="E388" s="1048">
        <f>SQRT(1+(A388/Zero1)^2)</f>
        <v/>
      </c>
      <c r="F388" s="1049">
        <f>ATAN(A388/Zero1)</f>
        <v/>
      </c>
      <c r="G388" s="1048">
        <f>IF(VIN_nom&gt;Vout, 1, SQRT(1+(A388/z_RHP)^2))</f>
        <v/>
      </c>
      <c r="H388" s="1049">
        <f>IF(VIN_nom&gt;Vout, 0, -ATAN(A388/z_RHP))</f>
        <v/>
      </c>
      <c r="I388" s="1047">
        <f>SQRT(1+(A388/Pole2)^2)</f>
        <v/>
      </c>
      <c r="J388" s="1050">
        <f>ATAN(A388/Pole2)</f>
        <v/>
      </c>
      <c r="K388" s="1056">
        <f>SQRT(1+(A388/Zero2)^2)</f>
        <v/>
      </c>
      <c r="L388" s="1057">
        <f>ATAN(A388/Zero2)</f>
        <v/>
      </c>
      <c r="M388" s="1047">
        <f>SQRT(1+(A388/pole4)^2)</f>
        <v/>
      </c>
      <c r="N388" s="1057">
        <f>ATAN(A388/pole4)</f>
        <v/>
      </c>
      <c r="O388" s="1058">
        <f>IF(VOUT_setting=1,1,SQRT(1+(A388*zterm1)^2))</f>
        <v/>
      </c>
      <c r="P388" s="1059">
        <f>IF(VOUT_setting=1,0,ATAN(((A388*zterm1))))</f>
        <v/>
      </c>
      <c r="Q388" s="1056">
        <f>IF(VOUT_setting=1,1,SQRT((1+Afbr-$Q$5*(A388)^2)^2+(A388*$Q$4)^2))</f>
        <v/>
      </c>
      <c r="R388" s="1060">
        <f>IF(VOUT_setting=1,0,ATAN(A388*$Q$4/(1+Afbr-$Q$5*(A388)^2)))</f>
        <v/>
      </c>
      <c r="S388" s="1054">
        <f>SQRT((1-(Z388/pterm2))^2+(A388/pterm1)^2)</f>
        <v/>
      </c>
      <c r="T388" s="1055">
        <f>IF((ATAN((A388/pterm1)/(1-A388^2/pterm2))&gt;0),ATAN((A388/pterm1)/(1-A388^2/pterm2)),PI()+ATAN((A388/pterm1)/(1-A388^2/pterm2)))</f>
        <v/>
      </c>
      <c r="U388" s="331">
        <f>20*LOG10(((E388*K388*G388*O388)/(C388*I388*S388*M388*Q388))*Adc)</f>
        <v/>
      </c>
      <c r="V388" s="332">
        <f>((F388+L388+H388+P388)-(D388+J388+T388+N388+R388))*radconv</f>
        <v/>
      </c>
      <c r="W388" s="334">
        <f>IF(V388&gt;0,V388,V388+180)</f>
        <v/>
      </c>
      <c r="Y388" s="307">
        <f>IF(U388&lt;0,A388,1000000000)</f>
        <v/>
      </c>
      <c r="Z388" s="307">
        <f>A388^2</f>
        <v/>
      </c>
      <c r="AB388" s="333">
        <f>20*LOG10((K388/(I388*M388))*AEA)</f>
        <v/>
      </c>
      <c r="AC388" s="334">
        <f>(L388-(J388+N388))*radconv</f>
        <v/>
      </c>
      <c r="AE388" s="333">
        <f>20*LOG10((E388*G388/(C388*S388))*Acs*Am)</f>
        <v/>
      </c>
      <c r="AF388" s="334">
        <f>(F388+H388-(D388+T388))*radconv</f>
        <v/>
      </c>
      <c r="AH388">
        <f>SUM((U389&lt;0)*(U388&gt;0))*A388</f>
        <v/>
      </c>
      <c r="AI388">
        <f>IF(AH388&gt;0,W388,0)</f>
        <v/>
      </c>
    </row>
    <row r="389">
      <c r="A389" s="335" t="n">
        <v>33884</v>
      </c>
      <c r="B389" s="352">
        <f>A389/1000</f>
        <v/>
      </c>
      <c r="C389" s="1047">
        <f>SQRT(1+(A389/pole1)^2)</f>
        <v/>
      </c>
      <c r="D389" s="1048">
        <f>ATAN(A389/pole1)</f>
        <v/>
      </c>
      <c r="E389" s="1048">
        <f>SQRT(1+(A389/Zero1)^2)</f>
        <v/>
      </c>
      <c r="F389" s="1049">
        <f>ATAN(A389/Zero1)</f>
        <v/>
      </c>
      <c r="G389" s="1048">
        <f>IF(VIN_nom&gt;Vout, 1, SQRT(1+(A389/z_RHP)^2))</f>
        <v/>
      </c>
      <c r="H389" s="1049">
        <f>IF(VIN_nom&gt;Vout, 0, -ATAN(A389/z_RHP))</f>
        <v/>
      </c>
      <c r="I389" s="1047">
        <f>SQRT(1+(A389/Pole2)^2)</f>
        <v/>
      </c>
      <c r="J389" s="1050">
        <f>ATAN(A389/Pole2)</f>
        <v/>
      </c>
      <c r="K389" s="1056">
        <f>SQRT(1+(A389/Zero2)^2)</f>
        <v/>
      </c>
      <c r="L389" s="1057">
        <f>ATAN(A389/Zero2)</f>
        <v/>
      </c>
      <c r="M389" s="1047">
        <f>SQRT(1+(A389/pole4)^2)</f>
        <v/>
      </c>
      <c r="N389" s="1057">
        <f>ATAN(A389/pole4)</f>
        <v/>
      </c>
      <c r="O389" s="1058">
        <f>IF(VOUT_setting=1,1,SQRT(1+(A389*zterm1)^2))</f>
        <v/>
      </c>
      <c r="P389" s="1059">
        <f>IF(VOUT_setting=1,0,ATAN(((A389*zterm1))))</f>
        <v/>
      </c>
      <c r="Q389" s="1056">
        <f>IF(VOUT_setting=1,1,SQRT((1+Afbr-$Q$5*(A389)^2)^2+(A389*$Q$4)^2))</f>
        <v/>
      </c>
      <c r="R389" s="1060">
        <f>IF(VOUT_setting=1,0,ATAN(A389*$Q$4/(1+Afbr-$Q$5*(A389)^2)))</f>
        <v/>
      </c>
      <c r="S389" s="1054">
        <f>SQRT((1-(Z389/pterm2))^2+(A389/pterm1)^2)</f>
        <v/>
      </c>
      <c r="T389" s="1055">
        <f>IF((ATAN((A389/pterm1)/(1-A389^2/pterm2))&gt;0),ATAN((A389/pterm1)/(1-A389^2/pterm2)),PI()+ATAN((A389/pterm1)/(1-A389^2/pterm2)))</f>
        <v/>
      </c>
      <c r="U389" s="331">
        <f>20*LOG10(((E389*K389*G389*O389)/(C389*I389*S389*M389*Q389))*Adc)</f>
        <v/>
      </c>
      <c r="V389" s="332">
        <f>((F389+L389+H389+P389)-(D389+J389+T389+N389+R389))*radconv</f>
        <v/>
      </c>
      <c r="W389" s="334">
        <f>IF(V389&gt;0,V389,V389+180)</f>
        <v/>
      </c>
      <c r="Y389" s="307">
        <f>IF(U389&lt;0,A389,1000000000)</f>
        <v/>
      </c>
      <c r="Z389" s="307">
        <f>A389^2</f>
        <v/>
      </c>
      <c r="AB389" s="333">
        <f>20*LOG10((K389/(I389*M389))*AEA)</f>
        <v/>
      </c>
      <c r="AC389" s="334">
        <f>(L389-(J389+N389))*radconv</f>
        <v/>
      </c>
      <c r="AE389" s="333">
        <f>20*LOG10((E389*G389/(C389*S389))*Acs*Am)</f>
        <v/>
      </c>
      <c r="AF389" s="334">
        <f>(F389+H389-(D389+T389))*radconv</f>
        <v/>
      </c>
      <c r="AH389">
        <f>SUM((U390&lt;0)*(U389&gt;0))*A389</f>
        <v/>
      </c>
      <c r="AI389">
        <f>IF(AH389&gt;0,W389,0)</f>
        <v/>
      </c>
    </row>
    <row r="390">
      <c r="A390" s="335" t="n">
        <v>34081.5</v>
      </c>
      <c r="B390" s="352">
        <f>A390/1000</f>
        <v/>
      </c>
      <c r="C390" s="1047">
        <f>SQRT(1+(A390/pole1)^2)</f>
        <v/>
      </c>
      <c r="D390" s="1048">
        <f>ATAN(A390/pole1)</f>
        <v/>
      </c>
      <c r="E390" s="1048">
        <f>SQRT(1+(A390/Zero1)^2)</f>
        <v/>
      </c>
      <c r="F390" s="1049">
        <f>ATAN(A390/Zero1)</f>
        <v/>
      </c>
      <c r="G390" s="1048">
        <f>IF(VIN_nom&gt;Vout, 1, SQRT(1+(A390/z_RHP)^2))</f>
        <v/>
      </c>
      <c r="H390" s="1049">
        <f>IF(VIN_nom&gt;Vout, 0, -ATAN(A390/z_RHP))</f>
        <v/>
      </c>
      <c r="I390" s="1047">
        <f>SQRT(1+(A390/Pole2)^2)</f>
        <v/>
      </c>
      <c r="J390" s="1050">
        <f>ATAN(A390/Pole2)</f>
        <v/>
      </c>
      <c r="K390" s="1056">
        <f>SQRT(1+(A390/Zero2)^2)</f>
        <v/>
      </c>
      <c r="L390" s="1057">
        <f>ATAN(A390/Zero2)</f>
        <v/>
      </c>
      <c r="M390" s="1047">
        <f>SQRT(1+(A390/pole4)^2)</f>
        <v/>
      </c>
      <c r="N390" s="1057">
        <f>ATAN(A390/pole4)</f>
        <v/>
      </c>
      <c r="O390" s="1058">
        <f>IF(VOUT_setting=1,1,SQRT(1+(A390*zterm1)^2))</f>
        <v/>
      </c>
      <c r="P390" s="1059">
        <f>IF(VOUT_setting=1,0,ATAN(((A390*zterm1))))</f>
        <v/>
      </c>
      <c r="Q390" s="1056">
        <f>IF(VOUT_setting=1,1,SQRT((1+Afbr-$Q$5*(A390)^2)^2+(A390*$Q$4)^2))</f>
        <v/>
      </c>
      <c r="R390" s="1060">
        <f>IF(VOUT_setting=1,0,ATAN(A390*$Q$4/(1+Afbr-$Q$5*(A390)^2)))</f>
        <v/>
      </c>
      <c r="S390" s="1054">
        <f>SQRT((1-(Z390/pterm2))^2+(A390/pterm1)^2)</f>
        <v/>
      </c>
      <c r="T390" s="1055">
        <f>IF((ATAN((A390/pterm1)/(1-A390^2/pterm2))&gt;0),ATAN((A390/pterm1)/(1-A390^2/pterm2)),PI()+ATAN((A390/pterm1)/(1-A390^2/pterm2)))</f>
        <v/>
      </c>
      <c r="U390" s="331">
        <f>20*LOG10(((E390*K390*G390*O390)/(C390*I390*S390*M390*Q390))*Adc)</f>
        <v/>
      </c>
      <c r="V390" s="332">
        <f>((F390+L390+H390+P390)-(D390+J390+T390+N390+R390))*radconv</f>
        <v/>
      </c>
      <c r="W390" s="334">
        <f>IF(V390&gt;0,V390,V390+180)</f>
        <v/>
      </c>
      <c r="Y390" s="307">
        <f>IF(U390&lt;0,A390,1000000000)</f>
        <v/>
      </c>
      <c r="Z390" s="307">
        <f>A390^2</f>
        <v/>
      </c>
      <c r="AB390" s="333">
        <f>20*LOG10((K390/(I390*M390))*AEA)</f>
        <v/>
      </c>
      <c r="AC390" s="334">
        <f>(L390-(J390+N390))*radconv</f>
        <v/>
      </c>
      <c r="AE390" s="333">
        <f>20*LOG10((E390*G390/(C390*S390))*Acs*Am)</f>
        <v/>
      </c>
      <c r="AF390" s="334">
        <f>(F390+H390-(D390+T390))*radconv</f>
        <v/>
      </c>
      <c r="AH390">
        <f>SUM((U391&lt;0)*(U390&gt;0))*A390</f>
        <v/>
      </c>
      <c r="AI390">
        <f>IF(AH390&gt;0,W390,0)</f>
        <v/>
      </c>
    </row>
    <row r="391">
      <c r="A391" s="335" t="n">
        <v>34279</v>
      </c>
      <c r="B391" s="352">
        <f>A391/1000</f>
        <v/>
      </c>
      <c r="C391" s="1047">
        <f>SQRT(1+(A391/pole1)^2)</f>
        <v/>
      </c>
      <c r="D391" s="1048">
        <f>ATAN(A391/pole1)</f>
        <v/>
      </c>
      <c r="E391" s="1048">
        <f>SQRT(1+(A391/Zero1)^2)</f>
        <v/>
      </c>
      <c r="F391" s="1049">
        <f>ATAN(A391/Zero1)</f>
        <v/>
      </c>
      <c r="G391" s="1048">
        <f>IF(VIN_nom&gt;Vout, 1, SQRT(1+(A391/z_RHP)^2))</f>
        <v/>
      </c>
      <c r="H391" s="1049">
        <f>IF(VIN_nom&gt;Vout, 0, -ATAN(A391/z_RHP))</f>
        <v/>
      </c>
      <c r="I391" s="1047">
        <f>SQRT(1+(A391/Pole2)^2)</f>
        <v/>
      </c>
      <c r="J391" s="1050">
        <f>ATAN(A391/Pole2)</f>
        <v/>
      </c>
      <c r="K391" s="1056">
        <f>SQRT(1+(A391/Zero2)^2)</f>
        <v/>
      </c>
      <c r="L391" s="1057">
        <f>ATAN(A391/Zero2)</f>
        <v/>
      </c>
      <c r="M391" s="1047">
        <f>SQRT(1+(A391/pole4)^2)</f>
        <v/>
      </c>
      <c r="N391" s="1057">
        <f>ATAN(A391/pole4)</f>
        <v/>
      </c>
      <c r="O391" s="1058">
        <f>IF(VOUT_setting=1,1,SQRT(1+(A391*zterm1)^2))</f>
        <v/>
      </c>
      <c r="P391" s="1059">
        <f>IF(VOUT_setting=1,0,ATAN(((A391*zterm1))))</f>
        <v/>
      </c>
      <c r="Q391" s="1056">
        <f>IF(VOUT_setting=1,1,SQRT((1+Afbr-$Q$5*(A391)^2)^2+(A391*$Q$4)^2))</f>
        <v/>
      </c>
      <c r="R391" s="1060">
        <f>IF(VOUT_setting=1,0,ATAN(A391*$Q$4/(1+Afbr-$Q$5*(A391)^2)))</f>
        <v/>
      </c>
      <c r="S391" s="1054">
        <f>SQRT((1-(Z391/pterm2))^2+(A391/pterm1)^2)</f>
        <v/>
      </c>
      <c r="T391" s="1055">
        <f>IF((ATAN((A391/pterm1)/(1-A391^2/pterm2))&gt;0),ATAN((A391/pterm1)/(1-A391^2/pterm2)),PI()+ATAN((A391/pterm1)/(1-A391^2/pterm2)))</f>
        <v/>
      </c>
      <c r="U391" s="331">
        <f>20*LOG10(((E391*K391*G391*O391)/(C391*I391*S391*M391*Q391))*Adc)</f>
        <v/>
      </c>
      <c r="V391" s="332">
        <f>((F391+L391+H391+P391)-(D391+J391+T391+N391+R391))*radconv</f>
        <v/>
      </c>
      <c r="W391" s="334">
        <f>IF(V391&gt;0,V391,V391+180)</f>
        <v/>
      </c>
      <c r="Y391" s="307">
        <f>IF(U391&lt;0,A391,1000000000)</f>
        <v/>
      </c>
      <c r="Z391" s="307">
        <f>A391^2</f>
        <v/>
      </c>
      <c r="AB391" s="333">
        <f>20*LOG10((K391/(I391*M391))*AEA)</f>
        <v/>
      </c>
      <c r="AC391" s="334">
        <f>(L391-(J391+N391))*radconv</f>
        <v/>
      </c>
      <c r="AE391" s="333">
        <f>20*LOG10((E391*G391/(C391*S391))*Acs*Am)</f>
        <v/>
      </c>
      <c r="AF391" s="334">
        <f>(F391+H391-(D391+T391))*radconv</f>
        <v/>
      </c>
      <c r="AH391">
        <f>SUM((U392&lt;0)*(U391&gt;0))*A391</f>
        <v/>
      </c>
      <c r="AI391">
        <f>IF(AH391&gt;0,W391,0)</f>
        <v/>
      </c>
    </row>
    <row r="392">
      <c r="A392" s="335" t="n">
        <v>34476.5</v>
      </c>
      <c r="B392" s="352">
        <f>A392/1000</f>
        <v/>
      </c>
      <c r="C392" s="1047">
        <f>SQRT(1+(A392/pole1)^2)</f>
        <v/>
      </c>
      <c r="D392" s="1048">
        <f>ATAN(A392/pole1)</f>
        <v/>
      </c>
      <c r="E392" s="1048">
        <f>SQRT(1+(A392/Zero1)^2)</f>
        <v/>
      </c>
      <c r="F392" s="1049">
        <f>ATAN(A392/Zero1)</f>
        <v/>
      </c>
      <c r="G392" s="1048">
        <f>IF(VIN_nom&gt;Vout, 1, SQRT(1+(A392/z_RHP)^2))</f>
        <v/>
      </c>
      <c r="H392" s="1049">
        <f>IF(VIN_nom&gt;Vout, 0, -ATAN(A392/z_RHP))</f>
        <v/>
      </c>
      <c r="I392" s="1047">
        <f>SQRT(1+(A392/Pole2)^2)</f>
        <v/>
      </c>
      <c r="J392" s="1050">
        <f>ATAN(A392/Pole2)</f>
        <v/>
      </c>
      <c r="K392" s="1056">
        <f>SQRT(1+(A392/Zero2)^2)</f>
        <v/>
      </c>
      <c r="L392" s="1057">
        <f>ATAN(A392/Zero2)</f>
        <v/>
      </c>
      <c r="M392" s="1047">
        <f>SQRT(1+(A392/pole4)^2)</f>
        <v/>
      </c>
      <c r="N392" s="1057">
        <f>ATAN(A392/pole4)</f>
        <v/>
      </c>
      <c r="O392" s="1058">
        <f>IF(VOUT_setting=1,1,SQRT(1+(A392*zterm1)^2))</f>
        <v/>
      </c>
      <c r="P392" s="1059">
        <f>IF(VOUT_setting=1,0,ATAN(((A392*zterm1))))</f>
        <v/>
      </c>
      <c r="Q392" s="1056">
        <f>IF(VOUT_setting=1,1,SQRT((1+Afbr-$Q$5*(A392)^2)^2+(A392*$Q$4)^2))</f>
        <v/>
      </c>
      <c r="R392" s="1060">
        <f>IF(VOUT_setting=1,0,ATAN(A392*$Q$4/(1+Afbr-$Q$5*(A392)^2)))</f>
        <v/>
      </c>
      <c r="S392" s="1054">
        <f>SQRT((1-(Z392/pterm2))^2+(A392/pterm1)^2)</f>
        <v/>
      </c>
      <c r="T392" s="1055">
        <f>IF((ATAN((A392/pterm1)/(1-A392^2/pterm2))&gt;0),ATAN((A392/pterm1)/(1-A392^2/pterm2)),PI()+ATAN((A392/pterm1)/(1-A392^2/pterm2)))</f>
        <v/>
      </c>
      <c r="U392" s="331">
        <f>20*LOG10(((E392*K392*G392*O392)/(C392*I392*S392*M392*Q392))*Adc)</f>
        <v/>
      </c>
      <c r="V392" s="332">
        <f>((F392+L392+H392+P392)-(D392+J392+T392+N392+R392))*radconv</f>
        <v/>
      </c>
      <c r="W392" s="334">
        <f>IF(V392&gt;0,V392,V392+180)</f>
        <v/>
      </c>
      <c r="Y392" s="307">
        <f>IF(U392&lt;0,A392,1000000000)</f>
        <v/>
      </c>
      <c r="Z392" s="307">
        <f>A392^2</f>
        <v/>
      </c>
      <c r="AB392" s="333">
        <f>20*LOG10((K392/(I392*M392))*AEA)</f>
        <v/>
      </c>
      <c r="AC392" s="334">
        <f>(L392-(J392+N392))*radconv</f>
        <v/>
      </c>
      <c r="AE392" s="333">
        <f>20*LOG10((E392*G392/(C392*S392))*Acs*Am)</f>
        <v/>
      </c>
      <c r="AF392" s="334">
        <f>(F392+H392-(D392+T392))*radconv</f>
        <v/>
      </c>
      <c r="AH392">
        <f>SUM((U393&lt;0)*(U392&gt;0))*A392</f>
        <v/>
      </c>
      <c r="AI392">
        <f>IF(AH392&gt;0,W392,0)</f>
        <v/>
      </c>
    </row>
    <row r="393">
      <c r="A393" s="335" t="n">
        <v>34674</v>
      </c>
      <c r="B393" s="352">
        <f>A393/1000</f>
        <v/>
      </c>
      <c r="C393" s="1047">
        <f>SQRT(1+(A393/pole1)^2)</f>
        <v/>
      </c>
      <c r="D393" s="1048">
        <f>ATAN(A393/pole1)</f>
        <v/>
      </c>
      <c r="E393" s="1048">
        <f>SQRT(1+(A393/Zero1)^2)</f>
        <v/>
      </c>
      <c r="F393" s="1049">
        <f>ATAN(A393/Zero1)</f>
        <v/>
      </c>
      <c r="G393" s="1048">
        <f>IF(VIN_nom&gt;Vout, 1, SQRT(1+(A393/z_RHP)^2))</f>
        <v/>
      </c>
      <c r="H393" s="1049">
        <f>IF(VIN_nom&gt;Vout, 0, -ATAN(A393/z_RHP))</f>
        <v/>
      </c>
      <c r="I393" s="1047">
        <f>SQRT(1+(A393/Pole2)^2)</f>
        <v/>
      </c>
      <c r="J393" s="1050">
        <f>ATAN(A393/Pole2)</f>
        <v/>
      </c>
      <c r="K393" s="1056">
        <f>SQRT(1+(A393/Zero2)^2)</f>
        <v/>
      </c>
      <c r="L393" s="1057">
        <f>ATAN(A393/Zero2)</f>
        <v/>
      </c>
      <c r="M393" s="1047">
        <f>SQRT(1+(A393/pole4)^2)</f>
        <v/>
      </c>
      <c r="N393" s="1057">
        <f>ATAN(A393/pole4)</f>
        <v/>
      </c>
      <c r="O393" s="1058">
        <f>IF(VOUT_setting=1,1,SQRT(1+(A393*zterm1)^2))</f>
        <v/>
      </c>
      <c r="P393" s="1059">
        <f>IF(VOUT_setting=1,0,ATAN(((A393*zterm1))))</f>
        <v/>
      </c>
      <c r="Q393" s="1056">
        <f>IF(VOUT_setting=1,1,SQRT((1+Afbr-$Q$5*(A393)^2)^2+(A393*$Q$4)^2))</f>
        <v/>
      </c>
      <c r="R393" s="1060">
        <f>IF(VOUT_setting=1,0,ATAN(A393*$Q$4/(1+Afbr-$Q$5*(A393)^2)))</f>
        <v/>
      </c>
      <c r="S393" s="1054">
        <f>SQRT((1-(Z393/pterm2))^2+(A393/pterm1)^2)</f>
        <v/>
      </c>
      <c r="T393" s="1055">
        <f>IF((ATAN((A393/pterm1)/(1-A393^2/pterm2))&gt;0),ATAN((A393/pterm1)/(1-A393^2/pterm2)),PI()+ATAN((A393/pterm1)/(1-A393^2/pterm2)))</f>
        <v/>
      </c>
      <c r="U393" s="331">
        <f>20*LOG10(((E393*K393*G393*O393)/(C393*I393*S393*M393*Q393))*Adc)</f>
        <v/>
      </c>
      <c r="V393" s="332">
        <f>((F393+L393+H393+P393)-(D393+J393+T393+N393+R393))*radconv</f>
        <v/>
      </c>
      <c r="W393" s="334">
        <f>IF(V393&gt;0,V393,V393+180)</f>
        <v/>
      </c>
      <c r="Y393" s="307">
        <f>IF(U393&lt;0,A393,1000000000)</f>
        <v/>
      </c>
      <c r="Z393" s="307">
        <f>A393^2</f>
        <v/>
      </c>
      <c r="AB393" s="333">
        <f>20*LOG10((K393/(I393*M393))*AEA)</f>
        <v/>
      </c>
      <c r="AC393" s="334">
        <f>(L393-(J393+N393))*radconv</f>
        <v/>
      </c>
      <c r="AE393" s="333">
        <f>20*LOG10((E393*G393/(C393*S393))*Acs*Am)</f>
        <v/>
      </c>
      <c r="AF393" s="334">
        <f>(F393+H393-(D393+T393))*radconv</f>
        <v/>
      </c>
      <c r="AH393">
        <f>SUM((U394&lt;0)*(U393&gt;0))*A393</f>
        <v/>
      </c>
      <c r="AI393">
        <f>IF(AH393&gt;0,W393,0)</f>
        <v/>
      </c>
    </row>
    <row r="394">
      <c r="A394" s="335" t="n">
        <v>34875.75</v>
      </c>
      <c r="B394" s="352">
        <f>A394/1000</f>
        <v/>
      </c>
      <c r="C394" s="1047">
        <f>SQRT(1+(A394/pole1)^2)</f>
        <v/>
      </c>
      <c r="D394" s="1048">
        <f>ATAN(A394/pole1)</f>
        <v/>
      </c>
      <c r="E394" s="1048">
        <f>SQRT(1+(A394/Zero1)^2)</f>
        <v/>
      </c>
      <c r="F394" s="1049">
        <f>ATAN(A394/Zero1)</f>
        <v/>
      </c>
      <c r="G394" s="1048">
        <f>IF(VIN_nom&gt;Vout, 1, SQRT(1+(A394/z_RHP)^2))</f>
        <v/>
      </c>
      <c r="H394" s="1049">
        <f>IF(VIN_nom&gt;Vout, 0, -ATAN(A394/z_RHP))</f>
        <v/>
      </c>
      <c r="I394" s="1047">
        <f>SQRT(1+(A394/Pole2)^2)</f>
        <v/>
      </c>
      <c r="J394" s="1050">
        <f>ATAN(A394/Pole2)</f>
        <v/>
      </c>
      <c r="K394" s="1056">
        <f>SQRT(1+(A394/Zero2)^2)</f>
        <v/>
      </c>
      <c r="L394" s="1057">
        <f>ATAN(A394/Zero2)</f>
        <v/>
      </c>
      <c r="M394" s="1047">
        <f>SQRT(1+(A394/pole4)^2)</f>
        <v/>
      </c>
      <c r="N394" s="1057">
        <f>ATAN(A394/pole4)</f>
        <v/>
      </c>
      <c r="O394" s="1058">
        <f>IF(VOUT_setting=1,1,SQRT(1+(A394*zterm1)^2))</f>
        <v/>
      </c>
      <c r="P394" s="1059">
        <f>IF(VOUT_setting=1,0,ATAN(((A394*zterm1))))</f>
        <v/>
      </c>
      <c r="Q394" s="1056">
        <f>IF(VOUT_setting=1,1,SQRT((1+Afbr-$Q$5*(A394)^2)^2+(A394*$Q$4)^2))</f>
        <v/>
      </c>
      <c r="R394" s="1060">
        <f>IF(VOUT_setting=1,0,ATAN(A394*$Q$4/(1+Afbr-$Q$5*(A394)^2)))</f>
        <v/>
      </c>
      <c r="S394" s="1054">
        <f>SQRT((1-(Z394/pterm2))^2+(A394/pterm1)^2)</f>
        <v/>
      </c>
      <c r="T394" s="1055">
        <f>IF((ATAN((A394/pterm1)/(1-A394^2/pterm2))&gt;0),ATAN((A394/pterm1)/(1-A394^2/pterm2)),PI()+ATAN((A394/pterm1)/(1-A394^2/pterm2)))</f>
        <v/>
      </c>
      <c r="U394" s="331">
        <f>20*LOG10(((E394*K394*G394*O394)/(C394*I394*S394*M394*Q394))*Adc)</f>
        <v/>
      </c>
      <c r="V394" s="332">
        <f>((F394+L394+H394+P394)-(D394+J394+T394+N394+R394))*radconv</f>
        <v/>
      </c>
      <c r="W394" s="334">
        <f>IF(V394&gt;0,V394,V394+180)</f>
        <v/>
      </c>
      <c r="Y394" s="307">
        <f>IF(U394&lt;0,A394,1000000000)</f>
        <v/>
      </c>
      <c r="Z394" s="307">
        <f>A394^2</f>
        <v/>
      </c>
      <c r="AB394" s="333">
        <f>20*LOG10((K394/(I394*M394))*AEA)</f>
        <v/>
      </c>
      <c r="AC394" s="334">
        <f>(L394-(J394+N394))*radconv</f>
        <v/>
      </c>
      <c r="AE394" s="333">
        <f>20*LOG10((E394*G394/(C394*S394))*Acs*Am)</f>
        <v/>
      </c>
      <c r="AF394" s="334">
        <f>(F394+H394-(D394+T394))*radconv</f>
        <v/>
      </c>
      <c r="AH394">
        <f>SUM((U395&lt;0)*(U394&gt;0))*A394</f>
        <v/>
      </c>
      <c r="AI394">
        <f>IF(AH394&gt;0,W394,0)</f>
        <v/>
      </c>
    </row>
    <row r="395">
      <c r="A395" s="335" t="n">
        <v>35077.5</v>
      </c>
      <c r="B395" s="352">
        <f>A395/1000</f>
        <v/>
      </c>
      <c r="C395" s="1047">
        <f>SQRT(1+(A395/pole1)^2)</f>
        <v/>
      </c>
      <c r="D395" s="1048">
        <f>ATAN(A395/pole1)</f>
        <v/>
      </c>
      <c r="E395" s="1048">
        <f>SQRT(1+(A395/Zero1)^2)</f>
        <v/>
      </c>
      <c r="F395" s="1049">
        <f>ATAN(A395/Zero1)</f>
        <v/>
      </c>
      <c r="G395" s="1048">
        <f>IF(VIN_nom&gt;Vout, 1, SQRT(1+(A395/z_RHP)^2))</f>
        <v/>
      </c>
      <c r="H395" s="1049">
        <f>IF(VIN_nom&gt;Vout, 0, -ATAN(A395/z_RHP))</f>
        <v/>
      </c>
      <c r="I395" s="1047">
        <f>SQRT(1+(A395/Pole2)^2)</f>
        <v/>
      </c>
      <c r="J395" s="1050">
        <f>ATAN(A395/Pole2)</f>
        <v/>
      </c>
      <c r="K395" s="1056">
        <f>SQRT(1+(A395/Zero2)^2)</f>
        <v/>
      </c>
      <c r="L395" s="1057">
        <f>ATAN(A395/Zero2)</f>
        <v/>
      </c>
      <c r="M395" s="1047">
        <f>SQRT(1+(A395/pole4)^2)</f>
        <v/>
      </c>
      <c r="N395" s="1057">
        <f>ATAN(A395/pole4)</f>
        <v/>
      </c>
      <c r="O395" s="1058">
        <f>IF(VOUT_setting=1,1,SQRT(1+(A395*zterm1)^2))</f>
        <v/>
      </c>
      <c r="P395" s="1059">
        <f>IF(VOUT_setting=1,0,ATAN(((A395*zterm1))))</f>
        <v/>
      </c>
      <c r="Q395" s="1056">
        <f>IF(VOUT_setting=1,1,SQRT((1+Afbr-$Q$5*(A395)^2)^2+(A395*$Q$4)^2))</f>
        <v/>
      </c>
      <c r="R395" s="1060">
        <f>IF(VOUT_setting=1,0,ATAN(A395*$Q$4/(1+Afbr-$Q$5*(A395)^2)))</f>
        <v/>
      </c>
      <c r="S395" s="1054">
        <f>SQRT((1-(Z395/pterm2))^2+(A395/pterm1)^2)</f>
        <v/>
      </c>
      <c r="T395" s="1055">
        <f>IF((ATAN((A395/pterm1)/(1-A395^2/pterm2))&gt;0),ATAN((A395/pterm1)/(1-A395^2/pterm2)),PI()+ATAN((A395/pterm1)/(1-A395^2/pterm2)))</f>
        <v/>
      </c>
      <c r="U395" s="331">
        <f>20*LOG10(((E395*K395*G395*O395)/(C395*I395*S395*M395*Q395))*Adc)</f>
        <v/>
      </c>
      <c r="V395" s="332">
        <f>((F395+L395+H395+P395)-(D395+J395+T395+N395+R395))*radconv</f>
        <v/>
      </c>
      <c r="W395" s="334">
        <f>IF(V395&gt;0,V395,V395+180)</f>
        <v/>
      </c>
      <c r="Y395" s="307">
        <f>IF(U395&lt;0,A395,1000000000)</f>
        <v/>
      </c>
      <c r="Z395" s="307">
        <f>A395^2</f>
        <v/>
      </c>
      <c r="AB395" s="333">
        <f>20*LOG10((K395/(I395*M395))*AEA)</f>
        <v/>
      </c>
      <c r="AC395" s="334">
        <f>(L395-(J395+N395))*radconv</f>
        <v/>
      </c>
      <c r="AE395" s="333">
        <f>20*LOG10((E395*G395/(C395*S395))*Acs*Am)</f>
        <v/>
      </c>
      <c r="AF395" s="334">
        <f>(F395+H395-(D395+T395))*radconv</f>
        <v/>
      </c>
      <c r="AH395">
        <f>SUM((U396&lt;0)*(U395&gt;0))*A395</f>
        <v/>
      </c>
      <c r="AI395">
        <f>IF(AH395&gt;0,W395,0)</f>
        <v/>
      </c>
    </row>
    <row r="396">
      <c r="A396" s="335" t="n">
        <v>35279.25</v>
      </c>
      <c r="B396" s="352">
        <f>A396/1000</f>
        <v/>
      </c>
      <c r="C396" s="1047">
        <f>SQRT(1+(A396/pole1)^2)</f>
        <v/>
      </c>
      <c r="D396" s="1048">
        <f>ATAN(A396/pole1)</f>
        <v/>
      </c>
      <c r="E396" s="1048">
        <f>SQRT(1+(A396/Zero1)^2)</f>
        <v/>
      </c>
      <c r="F396" s="1049">
        <f>ATAN(A396/Zero1)</f>
        <v/>
      </c>
      <c r="G396" s="1048">
        <f>IF(VIN_nom&gt;Vout, 1, SQRT(1+(A396/z_RHP)^2))</f>
        <v/>
      </c>
      <c r="H396" s="1049">
        <f>IF(VIN_nom&gt;Vout, 0, -ATAN(A396/z_RHP))</f>
        <v/>
      </c>
      <c r="I396" s="1047">
        <f>SQRT(1+(A396/Pole2)^2)</f>
        <v/>
      </c>
      <c r="J396" s="1050">
        <f>ATAN(A396/Pole2)</f>
        <v/>
      </c>
      <c r="K396" s="1056">
        <f>SQRT(1+(A396/Zero2)^2)</f>
        <v/>
      </c>
      <c r="L396" s="1057">
        <f>ATAN(A396/Zero2)</f>
        <v/>
      </c>
      <c r="M396" s="1047">
        <f>SQRT(1+(A396/pole4)^2)</f>
        <v/>
      </c>
      <c r="N396" s="1057">
        <f>ATAN(A396/pole4)</f>
        <v/>
      </c>
      <c r="O396" s="1058">
        <f>IF(VOUT_setting=1,1,SQRT(1+(A396*zterm1)^2))</f>
        <v/>
      </c>
      <c r="P396" s="1059">
        <f>IF(VOUT_setting=1,0,ATAN(((A396*zterm1))))</f>
        <v/>
      </c>
      <c r="Q396" s="1056">
        <f>IF(VOUT_setting=1,1,SQRT((1+Afbr-$Q$5*(A396)^2)^2+(A396*$Q$4)^2))</f>
        <v/>
      </c>
      <c r="R396" s="1060">
        <f>IF(VOUT_setting=1,0,ATAN(A396*$Q$4/(1+Afbr-$Q$5*(A396)^2)))</f>
        <v/>
      </c>
      <c r="S396" s="1054">
        <f>SQRT((1-(Z396/pterm2))^2+(A396/pterm1)^2)</f>
        <v/>
      </c>
      <c r="T396" s="1055">
        <f>IF((ATAN((A396/pterm1)/(1-A396^2/pterm2))&gt;0),ATAN((A396/pterm1)/(1-A396^2/pterm2)),PI()+ATAN((A396/pterm1)/(1-A396^2/pterm2)))</f>
        <v/>
      </c>
      <c r="U396" s="331">
        <f>20*LOG10(((E396*K396*G396*O396)/(C396*I396*S396*M396*Q396))*Adc)</f>
        <v/>
      </c>
      <c r="V396" s="332">
        <f>((F396+L396+H396+P396)-(D396+J396+T396+N396+R396))*radconv</f>
        <v/>
      </c>
      <c r="W396" s="334">
        <f>IF(V396&gt;0,V396,V396+180)</f>
        <v/>
      </c>
      <c r="Y396" s="307">
        <f>IF(U396&lt;0,A396,1000000000)</f>
        <v/>
      </c>
      <c r="Z396" s="307">
        <f>A396^2</f>
        <v/>
      </c>
      <c r="AB396" s="333">
        <f>20*LOG10((K396/(I396*M396))*AEA)</f>
        <v/>
      </c>
      <c r="AC396" s="334">
        <f>(L396-(J396+N396))*radconv</f>
        <v/>
      </c>
      <c r="AE396" s="333">
        <f>20*LOG10((E396*G396/(C396*S396))*Acs*Am)</f>
        <v/>
      </c>
      <c r="AF396" s="334">
        <f>(F396+H396-(D396+T396))*radconv</f>
        <v/>
      </c>
      <c r="AH396">
        <f>SUM((U397&lt;0)*(U396&gt;0))*A396</f>
        <v/>
      </c>
      <c r="AI396">
        <f>IF(AH396&gt;0,W396,0)</f>
        <v/>
      </c>
    </row>
    <row r="397">
      <c r="A397" s="335" t="n">
        <v>35481</v>
      </c>
      <c r="B397" s="352">
        <f>A397/1000</f>
        <v/>
      </c>
      <c r="C397" s="1047">
        <f>SQRT(1+(A397/pole1)^2)</f>
        <v/>
      </c>
      <c r="D397" s="1048">
        <f>ATAN(A397/pole1)</f>
        <v/>
      </c>
      <c r="E397" s="1048">
        <f>SQRT(1+(A397/Zero1)^2)</f>
        <v/>
      </c>
      <c r="F397" s="1049">
        <f>ATAN(A397/Zero1)</f>
        <v/>
      </c>
      <c r="G397" s="1048">
        <f>IF(VIN_nom&gt;Vout, 1, SQRT(1+(A397/z_RHP)^2))</f>
        <v/>
      </c>
      <c r="H397" s="1049">
        <f>IF(VIN_nom&gt;Vout, 0, -ATAN(A397/z_RHP))</f>
        <v/>
      </c>
      <c r="I397" s="1047">
        <f>SQRT(1+(A397/Pole2)^2)</f>
        <v/>
      </c>
      <c r="J397" s="1050">
        <f>ATAN(A397/Pole2)</f>
        <v/>
      </c>
      <c r="K397" s="1056">
        <f>SQRT(1+(A397/Zero2)^2)</f>
        <v/>
      </c>
      <c r="L397" s="1057">
        <f>ATAN(A397/Zero2)</f>
        <v/>
      </c>
      <c r="M397" s="1047">
        <f>SQRT(1+(A397/pole4)^2)</f>
        <v/>
      </c>
      <c r="N397" s="1057">
        <f>ATAN(A397/pole4)</f>
        <v/>
      </c>
      <c r="O397" s="1058">
        <f>IF(VOUT_setting=1,1,SQRT(1+(A397*zterm1)^2))</f>
        <v/>
      </c>
      <c r="P397" s="1059">
        <f>IF(VOUT_setting=1,0,ATAN(((A397*zterm1))))</f>
        <v/>
      </c>
      <c r="Q397" s="1056">
        <f>IF(VOUT_setting=1,1,SQRT((1+Afbr-$Q$5*(A397)^2)^2+(A397*$Q$4)^2))</f>
        <v/>
      </c>
      <c r="R397" s="1060">
        <f>IF(VOUT_setting=1,0,ATAN(A397*$Q$4/(1+Afbr-$Q$5*(A397)^2)))</f>
        <v/>
      </c>
      <c r="S397" s="1054">
        <f>SQRT((1-(Z397/pterm2))^2+(A397/pterm1)^2)</f>
        <v/>
      </c>
      <c r="T397" s="1055">
        <f>IF((ATAN((A397/pterm1)/(1-A397^2/pterm2))&gt;0),ATAN((A397/pterm1)/(1-A397^2/pterm2)),PI()+ATAN((A397/pterm1)/(1-A397^2/pterm2)))</f>
        <v/>
      </c>
      <c r="U397" s="331">
        <f>20*LOG10(((E397*K397*G397*O397)/(C397*I397*S397*M397*Q397))*Adc)</f>
        <v/>
      </c>
      <c r="V397" s="332">
        <f>((F397+L397+H397+P397)-(D397+J397+T397+N397+R397))*radconv</f>
        <v/>
      </c>
      <c r="W397" s="334">
        <f>IF(V397&gt;0,V397,V397+180)</f>
        <v/>
      </c>
      <c r="Y397" s="307">
        <f>IF(U397&lt;0,A397,1000000000)</f>
        <v/>
      </c>
      <c r="Z397" s="307">
        <f>A397^2</f>
        <v/>
      </c>
      <c r="AB397" s="333">
        <f>20*LOG10((K397/(I397*M397))*AEA)</f>
        <v/>
      </c>
      <c r="AC397" s="334">
        <f>(L397-(J397+N397))*radconv</f>
        <v/>
      </c>
      <c r="AE397" s="333">
        <f>20*LOG10((E397*G397/(C397*S397))*Acs*Am)</f>
        <v/>
      </c>
      <c r="AF397" s="334">
        <f>(F397+H397-(D397+T397))*radconv</f>
        <v/>
      </c>
      <c r="AH397">
        <f>SUM((U398&lt;0)*(U397&gt;0))*A397</f>
        <v/>
      </c>
      <c r="AI397">
        <f>IF(AH397&gt;0,W397,0)</f>
        <v/>
      </c>
    </row>
    <row r="398">
      <c r="A398" s="335" t="n">
        <v>35687.75</v>
      </c>
      <c r="B398" s="352">
        <f>A398/1000</f>
        <v/>
      </c>
      <c r="C398" s="1047">
        <f>SQRT(1+(A398/pole1)^2)</f>
        <v/>
      </c>
      <c r="D398" s="1048">
        <f>ATAN(A398/pole1)</f>
        <v/>
      </c>
      <c r="E398" s="1048">
        <f>SQRT(1+(A398/Zero1)^2)</f>
        <v/>
      </c>
      <c r="F398" s="1049">
        <f>ATAN(A398/Zero1)</f>
        <v/>
      </c>
      <c r="G398" s="1048">
        <f>IF(VIN_nom&gt;Vout, 1, SQRT(1+(A398/z_RHP)^2))</f>
        <v/>
      </c>
      <c r="H398" s="1049">
        <f>IF(VIN_nom&gt;Vout, 0, -ATAN(A398/z_RHP))</f>
        <v/>
      </c>
      <c r="I398" s="1047">
        <f>SQRT(1+(A398/Pole2)^2)</f>
        <v/>
      </c>
      <c r="J398" s="1050">
        <f>ATAN(A398/Pole2)</f>
        <v/>
      </c>
      <c r="K398" s="1056">
        <f>SQRT(1+(A398/Zero2)^2)</f>
        <v/>
      </c>
      <c r="L398" s="1057">
        <f>ATAN(A398/Zero2)</f>
        <v/>
      </c>
      <c r="M398" s="1047">
        <f>SQRT(1+(A398/pole4)^2)</f>
        <v/>
      </c>
      <c r="N398" s="1057">
        <f>ATAN(A398/pole4)</f>
        <v/>
      </c>
      <c r="O398" s="1058">
        <f>IF(VOUT_setting=1,1,SQRT(1+(A398*zterm1)^2))</f>
        <v/>
      </c>
      <c r="P398" s="1059">
        <f>IF(VOUT_setting=1,0,ATAN(((A398*zterm1))))</f>
        <v/>
      </c>
      <c r="Q398" s="1056">
        <f>IF(VOUT_setting=1,1,SQRT((1+Afbr-$Q$5*(A398)^2)^2+(A398*$Q$4)^2))</f>
        <v/>
      </c>
      <c r="R398" s="1060">
        <f>IF(VOUT_setting=1,0,ATAN(A398*$Q$4/(1+Afbr-$Q$5*(A398)^2)))</f>
        <v/>
      </c>
      <c r="S398" s="1054">
        <f>SQRT((1-(Z398/pterm2))^2+(A398/pterm1)^2)</f>
        <v/>
      </c>
      <c r="T398" s="1055">
        <f>IF((ATAN((A398/pterm1)/(1-A398^2/pterm2))&gt;0),ATAN((A398/pterm1)/(1-A398^2/pterm2)),PI()+ATAN((A398/pterm1)/(1-A398^2/pterm2)))</f>
        <v/>
      </c>
      <c r="U398" s="331">
        <f>20*LOG10(((E398*K398*G398*O398)/(C398*I398*S398*M398*Q398))*Adc)</f>
        <v/>
      </c>
      <c r="V398" s="332">
        <f>((F398+L398+H398+P398)-(D398+J398+T398+N398+R398))*radconv</f>
        <v/>
      </c>
      <c r="W398" s="334">
        <f>IF(V398&gt;0,V398,V398+180)</f>
        <v/>
      </c>
      <c r="Y398" s="307">
        <f>IF(U398&lt;0,A398,1000000000)</f>
        <v/>
      </c>
      <c r="Z398" s="307">
        <f>A398^2</f>
        <v/>
      </c>
      <c r="AB398" s="333">
        <f>20*LOG10((K398/(I398*M398))*AEA)</f>
        <v/>
      </c>
      <c r="AC398" s="334">
        <f>(L398-(J398+N398))*radconv</f>
        <v/>
      </c>
      <c r="AE398" s="333">
        <f>20*LOG10((E398*G398/(C398*S398))*Acs*Am)</f>
        <v/>
      </c>
      <c r="AF398" s="334">
        <f>(F398+H398-(D398+T398))*radconv</f>
        <v/>
      </c>
      <c r="AH398">
        <f>SUM((U399&lt;0)*(U398&gt;0))*A398</f>
        <v/>
      </c>
      <c r="AI398">
        <f>IF(AH398&gt;0,W398,0)</f>
        <v/>
      </c>
    </row>
    <row r="399">
      <c r="A399" s="335" t="n">
        <v>35894.5</v>
      </c>
      <c r="B399" s="352">
        <f>A399/1000</f>
        <v/>
      </c>
      <c r="C399" s="1047">
        <f>SQRT(1+(A399/pole1)^2)</f>
        <v/>
      </c>
      <c r="D399" s="1048">
        <f>ATAN(A399/pole1)</f>
        <v/>
      </c>
      <c r="E399" s="1048">
        <f>SQRT(1+(A399/Zero1)^2)</f>
        <v/>
      </c>
      <c r="F399" s="1049">
        <f>ATAN(A399/Zero1)</f>
        <v/>
      </c>
      <c r="G399" s="1048">
        <f>IF(VIN_nom&gt;Vout, 1, SQRT(1+(A399/z_RHP)^2))</f>
        <v/>
      </c>
      <c r="H399" s="1049">
        <f>IF(VIN_nom&gt;Vout, 0, -ATAN(A399/z_RHP))</f>
        <v/>
      </c>
      <c r="I399" s="1047">
        <f>SQRT(1+(A399/Pole2)^2)</f>
        <v/>
      </c>
      <c r="J399" s="1050">
        <f>ATAN(A399/Pole2)</f>
        <v/>
      </c>
      <c r="K399" s="1056">
        <f>SQRT(1+(A399/Zero2)^2)</f>
        <v/>
      </c>
      <c r="L399" s="1057">
        <f>ATAN(A399/Zero2)</f>
        <v/>
      </c>
      <c r="M399" s="1047">
        <f>SQRT(1+(A399/pole4)^2)</f>
        <v/>
      </c>
      <c r="N399" s="1057">
        <f>ATAN(A399/pole4)</f>
        <v/>
      </c>
      <c r="O399" s="1058">
        <f>IF(VOUT_setting=1,1,SQRT(1+(A399*zterm1)^2))</f>
        <v/>
      </c>
      <c r="P399" s="1059">
        <f>IF(VOUT_setting=1,0,ATAN(((A399*zterm1))))</f>
        <v/>
      </c>
      <c r="Q399" s="1056">
        <f>IF(VOUT_setting=1,1,SQRT((1+Afbr-$Q$5*(A399)^2)^2+(A399*$Q$4)^2))</f>
        <v/>
      </c>
      <c r="R399" s="1060">
        <f>IF(VOUT_setting=1,0,ATAN(A399*$Q$4/(1+Afbr-$Q$5*(A399)^2)))</f>
        <v/>
      </c>
      <c r="S399" s="1054">
        <f>SQRT((1-(Z399/pterm2))^2+(A399/pterm1)^2)</f>
        <v/>
      </c>
      <c r="T399" s="1055">
        <f>IF((ATAN((A399/pterm1)/(1-A399^2/pterm2))&gt;0),ATAN((A399/pterm1)/(1-A399^2/pterm2)),PI()+ATAN((A399/pterm1)/(1-A399^2/pterm2)))</f>
        <v/>
      </c>
      <c r="U399" s="331">
        <f>20*LOG10(((E399*K399*G399*O399)/(C399*I399*S399*M399*Q399))*Adc)</f>
        <v/>
      </c>
      <c r="V399" s="332">
        <f>((F399+L399+H399+P399)-(D399+J399+T399+N399+R399))*radconv</f>
        <v/>
      </c>
      <c r="W399" s="334">
        <f>IF(V399&gt;0,V399,V399+180)</f>
        <v/>
      </c>
      <c r="Y399" s="307">
        <f>IF(U399&lt;0,A399,1000000000)</f>
        <v/>
      </c>
      <c r="Z399" s="307">
        <f>A399^2</f>
        <v/>
      </c>
      <c r="AB399" s="333">
        <f>20*LOG10((K399/(I399*M399))*AEA)</f>
        <v/>
      </c>
      <c r="AC399" s="334">
        <f>(L399-(J399+N399))*radconv</f>
        <v/>
      </c>
      <c r="AE399" s="333">
        <f>20*LOG10((E399*G399/(C399*S399))*Acs*Am)</f>
        <v/>
      </c>
      <c r="AF399" s="334">
        <f>(F399+H399-(D399+T399))*radconv</f>
        <v/>
      </c>
      <c r="AH399">
        <f>SUM((U400&lt;0)*(U399&gt;0))*A399</f>
        <v/>
      </c>
      <c r="AI399">
        <f>IF(AH399&gt;0,W399,0)</f>
        <v/>
      </c>
    </row>
    <row r="400">
      <c r="A400" s="335" t="n">
        <v>36101.25</v>
      </c>
      <c r="B400" s="352">
        <f>A400/1000</f>
        <v/>
      </c>
      <c r="C400" s="1047">
        <f>SQRT(1+(A400/pole1)^2)</f>
        <v/>
      </c>
      <c r="D400" s="1048">
        <f>ATAN(A400/pole1)</f>
        <v/>
      </c>
      <c r="E400" s="1048">
        <f>SQRT(1+(A400/Zero1)^2)</f>
        <v/>
      </c>
      <c r="F400" s="1049">
        <f>ATAN(A400/Zero1)</f>
        <v/>
      </c>
      <c r="G400" s="1048">
        <f>IF(VIN_nom&gt;Vout, 1, SQRT(1+(A400/z_RHP)^2))</f>
        <v/>
      </c>
      <c r="H400" s="1049">
        <f>IF(VIN_nom&gt;Vout, 0, -ATAN(A400/z_RHP))</f>
        <v/>
      </c>
      <c r="I400" s="1047">
        <f>SQRT(1+(A400/Pole2)^2)</f>
        <v/>
      </c>
      <c r="J400" s="1050">
        <f>ATAN(A400/Pole2)</f>
        <v/>
      </c>
      <c r="K400" s="1056">
        <f>SQRT(1+(A400/Zero2)^2)</f>
        <v/>
      </c>
      <c r="L400" s="1057">
        <f>ATAN(A400/Zero2)</f>
        <v/>
      </c>
      <c r="M400" s="1047">
        <f>SQRT(1+(A400/pole4)^2)</f>
        <v/>
      </c>
      <c r="N400" s="1057">
        <f>ATAN(A400/pole4)</f>
        <v/>
      </c>
      <c r="O400" s="1058">
        <f>IF(VOUT_setting=1,1,SQRT(1+(A400*zterm1)^2))</f>
        <v/>
      </c>
      <c r="P400" s="1059">
        <f>IF(VOUT_setting=1,0,ATAN(((A400*zterm1))))</f>
        <v/>
      </c>
      <c r="Q400" s="1056">
        <f>IF(VOUT_setting=1,1,SQRT((1+Afbr-$Q$5*(A400)^2)^2+(A400*$Q$4)^2))</f>
        <v/>
      </c>
      <c r="R400" s="1060">
        <f>IF(VOUT_setting=1,0,ATAN(A400*$Q$4/(1+Afbr-$Q$5*(A400)^2)))</f>
        <v/>
      </c>
      <c r="S400" s="1054">
        <f>SQRT((1-(Z400/pterm2))^2+(A400/pterm1)^2)</f>
        <v/>
      </c>
      <c r="T400" s="1055">
        <f>IF((ATAN((A400/pterm1)/(1-A400^2/pterm2))&gt;0),ATAN((A400/pterm1)/(1-A400^2/pterm2)),PI()+ATAN((A400/pterm1)/(1-A400^2/pterm2)))</f>
        <v/>
      </c>
      <c r="U400" s="331">
        <f>20*LOG10(((E400*K400*G400*O400)/(C400*I400*S400*M400*Q400))*Adc)</f>
        <v/>
      </c>
      <c r="V400" s="332">
        <f>((F400+L400+H400+P400)-(D400+J400+T400+N400+R400))*radconv</f>
        <v/>
      </c>
      <c r="W400" s="334">
        <f>IF(V400&gt;0,V400,V400+180)</f>
        <v/>
      </c>
      <c r="Y400" s="307">
        <f>IF(U400&lt;0,A400,1000000000)</f>
        <v/>
      </c>
      <c r="Z400" s="307">
        <f>A400^2</f>
        <v/>
      </c>
      <c r="AB400" s="333">
        <f>20*LOG10((K400/(I400*M400))*AEA)</f>
        <v/>
      </c>
      <c r="AC400" s="334">
        <f>(L400-(J400+N400))*radconv</f>
        <v/>
      </c>
      <c r="AE400" s="333">
        <f>20*LOG10((E400*G400/(C400*S400))*Acs*Am)</f>
        <v/>
      </c>
      <c r="AF400" s="334">
        <f>(F400+H400-(D400+T400))*radconv</f>
        <v/>
      </c>
      <c r="AH400">
        <f>SUM((U401&lt;0)*(U400&gt;0))*A400</f>
        <v/>
      </c>
      <c r="AI400">
        <f>IF(AH400&gt;0,W400,0)</f>
        <v/>
      </c>
    </row>
    <row r="401">
      <c r="A401" s="335" t="n">
        <v>36308</v>
      </c>
      <c r="B401" s="352">
        <f>A401/1000</f>
        <v/>
      </c>
      <c r="C401" s="1047">
        <f>SQRT(1+(A401/pole1)^2)</f>
        <v/>
      </c>
      <c r="D401" s="1048">
        <f>ATAN(A401/pole1)</f>
        <v/>
      </c>
      <c r="E401" s="1048">
        <f>SQRT(1+(A401/Zero1)^2)</f>
        <v/>
      </c>
      <c r="F401" s="1049">
        <f>ATAN(A401/Zero1)</f>
        <v/>
      </c>
      <c r="G401" s="1048">
        <f>IF(VIN_nom&gt;Vout, 1, SQRT(1+(A401/z_RHP)^2))</f>
        <v/>
      </c>
      <c r="H401" s="1049">
        <f>IF(VIN_nom&gt;Vout, 0, -ATAN(A401/z_RHP))</f>
        <v/>
      </c>
      <c r="I401" s="1047">
        <f>SQRT(1+(A401/Pole2)^2)</f>
        <v/>
      </c>
      <c r="J401" s="1050">
        <f>ATAN(A401/Pole2)</f>
        <v/>
      </c>
      <c r="K401" s="1056">
        <f>SQRT(1+(A401/Zero2)^2)</f>
        <v/>
      </c>
      <c r="L401" s="1057">
        <f>ATAN(A401/Zero2)</f>
        <v/>
      </c>
      <c r="M401" s="1047">
        <f>SQRT(1+(A401/pole4)^2)</f>
        <v/>
      </c>
      <c r="N401" s="1057">
        <f>ATAN(A401/pole4)</f>
        <v/>
      </c>
      <c r="O401" s="1058">
        <f>IF(VOUT_setting=1,1,SQRT(1+(A401*zterm1)^2))</f>
        <v/>
      </c>
      <c r="P401" s="1059">
        <f>IF(VOUT_setting=1,0,ATAN(((A401*zterm1))))</f>
        <v/>
      </c>
      <c r="Q401" s="1056">
        <f>IF(VOUT_setting=1,1,SQRT((1+Afbr-$Q$5*(A401)^2)^2+(A401*$Q$4)^2))</f>
        <v/>
      </c>
      <c r="R401" s="1060">
        <f>IF(VOUT_setting=1,0,ATAN(A401*$Q$4/(1+Afbr-$Q$5*(A401)^2)))</f>
        <v/>
      </c>
      <c r="S401" s="1054">
        <f>SQRT((1-(Z401/pterm2))^2+(A401/pterm1)^2)</f>
        <v/>
      </c>
      <c r="T401" s="1055">
        <f>IF((ATAN((A401/pterm1)/(1-A401^2/pterm2))&gt;0),ATAN((A401/pterm1)/(1-A401^2/pterm2)),PI()+ATAN((A401/pterm1)/(1-A401^2/pterm2)))</f>
        <v/>
      </c>
      <c r="U401" s="331">
        <f>20*LOG10(((E401*K401*G401*O401)/(C401*I401*S401*M401*Q401))*Adc)</f>
        <v/>
      </c>
      <c r="V401" s="332">
        <f>((F401+L401+H401+P401)-(D401+J401+T401+N401+R401))*radconv</f>
        <v/>
      </c>
      <c r="W401" s="334">
        <f>IF(V401&gt;0,V401,V401+180)</f>
        <v/>
      </c>
      <c r="Y401" s="307">
        <f>IF(U401&lt;0,A401,1000000000)</f>
        <v/>
      </c>
      <c r="Z401" s="307">
        <f>A401^2</f>
        <v/>
      </c>
      <c r="AB401" s="333">
        <f>20*LOG10((K401/(I401*M401))*AEA)</f>
        <v/>
      </c>
      <c r="AC401" s="334">
        <f>(L401-(J401+N401))*radconv</f>
        <v/>
      </c>
      <c r="AE401" s="333">
        <f>20*LOG10((E401*G401/(C401*S401))*Acs*Am)</f>
        <v/>
      </c>
      <c r="AF401" s="334">
        <f>(F401+H401-(D401+T401))*radconv</f>
        <v/>
      </c>
      <c r="AH401">
        <f>SUM((U402&lt;0)*(U401&gt;0))*A401</f>
        <v/>
      </c>
      <c r="AI401">
        <f>IF(AH401&gt;0,W401,0)</f>
        <v/>
      </c>
    </row>
    <row r="402">
      <c r="A402" s="335" t="n">
        <v>36519.5</v>
      </c>
      <c r="B402" s="352">
        <f>A402/1000</f>
        <v/>
      </c>
      <c r="C402" s="1047">
        <f>SQRT(1+(A402/pole1)^2)</f>
        <v/>
      </c>
      <c r="D402" s="1048">
        <f>ATAN(A402/pole1)</f>
        <v/>
      </c>
      <c r="E402" s="1048">
        <f>SQRT(1+(A402/Zero1)^2)</f>
        <v/>
      </c>
      <c r="F402" s="1049">
        <f>ATAN(A402/Zero1)</f>
        <v/>
      </c>
      <c r="G402" s="1048">
        <f>IF(VIN_nom&gt;Vout, 1, SQRT(1+(A402/z_RHP)^2))</f>
        <v/>
      </c>
      <c r="H402" s="1049">
        <f>IF(VIN_nom&gt;Vout, 0, -ATAN(A402/z_RHP))</f>
        <v/>
      </c>
      <c r="I402" s="1047">
        <f>SQRT(1+(A402/Pole2)^2)</f>
        <v/>
      </c>
      <c r="J402" s="1050">
        <f>ATAN(A402/Pole2)</f>
        <v/>
      </c>
      <c r="K402" s="1056">
        <f>SQRT(1+(A402/Zero2)^2)</f>
        <v/>
      </c>
      <c r="L402" s="1057">
        <f>ATAN(A402/Zero2)</f>
        <v/>
      </c>
      <c r="M402" s="1047">
        <f>SQRT(1+(A402/pole4)^2)</f>
        <v/>
      </c>
      <c r="N402" s="1057">
        <f>ATAN(A402/pole4)</f>
        <v/>
      </c>
      <c r="O402" s="1058">
        <f>IF(VOUT_setting=1,1,SQRT(1+(A402*zterm1)^2))</f>
        <v/>
      </c>
      <c r="P402" s="1059">
        <f>IF(VOUT_setting=1,0,ATAN(((A402*zterm1))))</f>
        <v/>
      </c>
      <c r="Q402" s="1056">
        <f>IF(VOUT_setting=1,1,SQRT((1+Afbr-$Q$5*(A402)^2)^2+(A402*$Q$4)^2))</f>
        <v/>
      </c>
      <c r="R402" s="1060">
        <f>IF(VOUT_setting=1,0,ATAN(A402*$Q$4/(1+Afbr-$Q$5*(A402)^2)))</f>
        <v/>
      </c>
      <c r="S402" s="1054">
        <f>SQRT((1-(Z402/pterm2))^2+(A402/pterm1)^2)</f>
        <v/>
      </c>
      <c r="T402" s="1055">
        <f>IF((ATAN((A402/pterm1)/(1-A402^2/pterm2))&gt;0),ATAN((A402/pterm1)/(1-A402^2/pterm2)),PI()+ATAN((A402/pterm1)/(1-A402^2/pterm2)))</f>
        <v/>
      </c>
      <c r="U402" s="331">
        <f>20*LOG10(((E402*K402*G402*O402)/(C402*I402*S402*M402*Q402))*Adc)</f>
        <v/>
      </c>
      <c r="V402" s="332">
        <f>((F402+L402+H402+P402)-(D402+J402+T402+N402+R402))*radconv</f>
        <v/>
      </c>
      <c r="W402" s="334">
        <f>IF(V402&gt;0,V402,V402+180)</f>
        <v/>
      </c>
      <c r="Y402" s="307">
        <f>IF(U402&lt;0,A402,1000000000)</f>
        <v/>
      </c>
      <c r="Z402" s="307">
        <f>A402^2</f>
        <v/>
      </c>
      <c r="AB402" s="333">
        <f>20*LOG10((K402/(I402*M402))*AEA)</f>
        <v/>
      </c>
      <c r="AC402" s="334">
        <f>(L402-(J402+N402))*radconv</f>
        <v/>
      </c>
      <c r="AE402" s="333">
        <f>20*LOG10((E402*G402/(C402*S402))*Acs*Am)</f>
        <v/>
      </c>
      <c r="AF402" s="334">
        <f>(F402+H402-(D402+T402))*radconv</f>
        <v/>
      </c>
      <c r="AH402">
        <f>SUM((U403&lt;0)*(U402&gt;0))*A402</f>
        <v/>
      </c>
      <c r="AI402">
        <f>IF(AH402&gt;0,W402,0)</f>
        <v/>
      </c>
    </row>
    <row r="403">
      <c r="A403" s="335" t="n">
        <v>36731</v>
      </c>
      <c r="B403" s="352">
        <f>A403/1000</f>
        <v/>
      </c>
      <c r="C403" s="1047">
        <f>SQRT(1+(A403/pole1)^2)</f>
        <v/>
      </c>
      <c r="D403" s="1048">
        <f>ATAN(A403/pole1)</f>
        <v/>
      </c>
      <c r="E403" s="1048">
        <f>SQRT(1+(A403/Zero1)^2)</f>
        <v/>
      </c>
      <c r="F403" s="1049">
        <f>ATAN(A403/Zero1)</f>
        <v/>
      </c>
      <c r="G403" s="1048">
        <f>IF(VIN_nom&gt;Vout, 1, SQRT(1+(A403/z_RHP)^2))</f>
        <v/>
      </c>
      <c r="H403" s="1049">
        <f>IF(VIN_nom&gt;Vout, 0, -ATAN(A403/z_RHP))</f>
        <v/>
      </c>
      <c r="I403" s="1047">
        <f>SQRT(1+(A403/Pole2)^2)</f>
        <v/>
      </c>
      <c r="J403" s="1050">
        <f>ATAN(A403/Pole2)</f>
        <v/>
      </c>
      <c r="K403" s="1056">
        <f>SQRT(1+(A403/Zero2)^2)</f>
        <v/>
      </c>
      <c r="L403" s="1057">
        <f>ATAN(A403/Zero2)</f>
        <v/>
      </c>
      <c r="M403" s="1047">
        <f>SQRT(1+(A403/pole4)^2)</f>
        <v/>
      </c>
      <c r="N403" s="1057">
        <f>ATAN(A403/pole4)</f>
        <v/>
      </c>
      <c r="O403" s="1058">
        <f>IF(VOUT_setting=1,1,SQRT(1+(A403*zterm1)^2))</f>
        <v/>
      </c>
      <c r="P403" s="1059">
        <f>IF(VOUT_setting=1,0,ATAN(((A403*zterm1))))</f>
        <v/>
      </c>
      <c r="Q403" s="1056">
        <f>IF(VOUT_setting=1,1,SQRT((1+Afbr-$Q$5*(A403)^2)^2+(A403*$Q$4)^2))</f>
        <v/>
      </c>
      <c r="R403" s="1060">
        <f>IF(VOUT_setting=1,0,ATAN(A403*$Q$4/(1+Afbr-$Q$5*(A403)^2)))</f>
        <v/>
      </c>
      <c r="S403" s="1054">
        <f>SQRT((1-(Z403/pterm2))^2+(A403/pterm1)^2)</f>
        <v/>
      </c>
      <c r="T403" s="1055">
        <f>IF((ATAN((A403/pterm1)/(1-A403^2/pterm2))&gt;0),ATAN((A403/pterm1)/(1-A403^2/pterm2)),PI()+ATAN((A403/pterm1)/(1-A403^2/pterm2)))</f>
        <v/>
      </c>
      <c r="U403" s="331">
        <f>20*LOG10(((E403*K403*G403*O403)/(C403*I403*S403*M403*Q403))*Adc)</f>
        <v/>
      </c>
      <c r="V403" s="332">
        <f>((F403+L403+H403+P403)-(D403+J403+T403+N403+R403))*radconv</f>
        <v/>
      </c>
      <c r="W403" s="334">
        <f>IF(V403&gt;0,V403,V403+180)</f>
        <v/>
      </c>
      <c r="Y403" s="307">
        <f>IF(U403&lt;0,A403,1000000000)</f>
        <v/>
      </c>
      <c r="Z403" s="307">
        <f>A403^2</f>
        <v/>
      </c>
      <c r="AB403" s="333">
        <f>20*LOG10((K403/(I403*M403))*AEA)</f>
        <v/>
      </c>
      <c r="AC403" s="334">
        <f>(L403-(J403+N403))*radconv</f>
        <v/>
      </c>
      <c r="AE403" s="333">
        <f>20*LOG10((E403*G403/(C403*S403))*Acs*Am)</f>
        <v/>
      </c>
      <c r="AF403" s="334">
        <f>(F403+H403-(D403+T403))*radconv</f>
        <v/>
      </c>
      <c r="AH403">
        <f>SUM((U404&lt;0)*(U403&gt;0))*A403</f>
        <v/>
      </c>
      <c r="AI403">
        <f>IF(AH403&gt;0,W403,0)</f>
        <v/>
      </c>
    </row>
    <row r="404">
      <c r="A404" s="335" t="n">
        <v>36942.5</v>
      </c>
      <c r="B404" s="352">
        <f>A404/1000</f>
        <v/>
      </c>
      <c r="C404" s="1047">
        <f>SQRT(1+(A404/pole1)^2)</f>
        <v/>
      </c>
      <c r="D404" s="1048">
        <f>ATAN(A404/pole1)</f>
        <v/>
      </c>
      <c r="E404" s="1048">
        <f>SQRT(1+(A404/Zero1)^2)</f>
        <v/>
      </c>
      <c r="F404" s="1049">
        <f>ATAN(A404/Zero1)</f>
        <v/>
      </c>
      <c r="G404" s="1048">
        <f>IF(VIN_nom&gt;Vout, 1, SQRT(1+(A404/z_RHP)^2))</f>
        <v/>
      </c>
      <c r="H404" s="1049">
        <f>IF(VIN_nom&gt;Vout, 0, -ATAN(A404/z_RHP))</f>
        <v/>
      </c>
      <c r="I404" s="1047">
        <f>SQRT(1+(A404/Pole2)^2)</f>
        <v/>
      </c>
      <c r="J404" s="1050">
        <f>ATAN(A404/Pole2)</f>
        <v/>
      </c>
      <c r="K404" s="1056">
        <f>SQRT(1+(A404/Zero2)^2)</f>
        <v/>
      </c>
      <c r="L404" s="1057">
        <f>ATAN(A404/Zero2)</f>
        <v/>
      </c>
      <c r="M404" s="1047">
        <f>SQRT(1+(A404/pole4)^2)</f>
        <v/>
      </c>
      <c r="N404" s="1057">
        <f>ATAN(A404/pole4)</f>
        <v/>
      </c>
      <c r="O404" s="1058">
        <f>IF(VOUT_setting=1,1,SQRT(1+(A404*zterm1)^2))</f>
        <v/>
      </c>
      <c r="P404" s="1059">
        <f>IF(VOUT_setting=1,0,ATAN(((A404*zterm1))))</f>
        <v/>
      </c>
      <c r="Q404" s="1056">
        <f>IF(VOUT_setting=1,1,SQRT((1+Afbr-$Q$5*(A404)^2)^2+(A404*$Q$4)^2))</f>
        <v/>
      </c>
      <c r="R404" s="1060">
        <f>IF(VOUT_setting=1,0,ATAN(A404*$Q$4/(1+Afbr-$Q$5*(A404)^2)))</f>
        <v/>
      </c>
      <c r="S404" s="1054">
        <f>SQRT((1-(Z404/pterm2))^2+(A404/pterm1)^2)</f>
        <v/>
      </c>
      <c r="T404" s="1055">
        <f>IF((ATAN((A404/pterm1)/(1-A404^2/pterm2))&gt;0),ATAN((A404/pterm1)/(1-A404^2/pterm2)),PI()+ATAN((A404/pterm1)/(1-A404^2/pterm2)))</f>
        <v/>
      </c>
      <c r="U404" s="331">
        <f>20*LOG10(((E404*K404*G404*O404)/(C404*I404*S404*M404*Q404))*Adc)</f>
        <v/>
      </c>
      <c r="V404" s="332">
        <f>((F404+L404+H404+P404)-(D404+J404+T404+N404+R404))*radconv</f>
        <v/>
      </c>
      <c r="W404" s="334">
        <f>IF(V404&gt;0,V404,V404+180)</f>
        <v/>
      </c>
      <c r="Y404" s="307">
        <f>IF(U404&lt;0,A404,1000000000)</f>
        <v/>
      </c>
      <c r="Z404" s="307">
        <f>A404^2</f>
        <v/>
      </c>
      <c r="AB404" s="333">
        <f>20*LOG10((K404/(I404*M404))*AEA)</f>
        <v/>
      </c>
      <c r="AC404" s="334">
        <f>(L404-(J404+N404))*radconv</f>
        <v/>
      </c>
      <c r="AE404" s="333">
        <f>20*LOG10((E404*G404/(C404*S404))*Acs*Am)</f>
        <v/>
      </c>
      <c r="AF404" s="334">
        <f>(F404+H404-(D404+T404))*radconv</f>
        <v/>
      </c>
      <c r="AH404">
        <f>SUM((U405&lt;0)*(U404&gt;0))*A404</f>
        <v/>
      </c>
      <c r="AI404">
        <f>IF(AH404&gt;0,W404,0)</f>
        <v/>
      </c>
    </row>
    <row r="405">
      <c r="A405" s="335" t="n">
        <v>37154</v>
      </c>
      <c r="B405" s="352">
        <f>A405/1000</f>
        <v/>
      </c>
      <c r="C405" s="1047">
        <f>SQRT(1+(A405/pole1)^2)</f>
        <v/>
      </c>
      <c r="D405" s="1048">
        <f>ATAN(A405/pole1)</f>
        <v/>
      </c>
      <c r="E405" s="1048">
        <f>SQRT(1+(A405/Zero1)^2)</f>
        <v/>
      </c>
      <c r="F405" s="1049">
        <f>ATAN(A405/Zero1)</f>
        <v/>
      </c>
      <c r="G405" s="1048">
        <f>IF(VIN_nom&gt;Vout, 1, SQRT(1+(A405/z_RHP)^2))</f>
        <v/>
      </c>
      <c r="H405" s="1049">
        <f>IF(VIN_nom&gt;Vout, 0, -ATAN(A405/z_RHP))</f>
        <v/>
      </c>
      <c r="I405" s="1047">
        <f>SQRT(1+(A405/Pole2)^2)</f>
        <v/>
      </c>
      <c r="J405" s="1050">
        <f>ATAN(A405/Pole2)</f>
        <v/>
      </c>
      <c r="K405" s="1056">
        <f>SQRT(1+(A405/Zero2)^2)</f>
        <v/>
      </c>
      <c r="L405" s="1057">
        <f>ATAN(A405/Zero2)</f>
        <v/>
      </c>
      <c r="M405" s="1047">
        <f>SQRT(1+(A405/pole4)^2)</f>
        <v/>
      </c>
      <c r="N405" s="1057">
        <f>ATAN(A405/pole4)</f>
        <v/>
      </c>
      <c r="O405" s="1058">
        <f>IF(VOUT_setting=1,1,SQRT(1+(A405*zterm1)^2))</f>
        <v/>
      </c>
      <c r="P405" s="1059">
        <f>IF(VOUT_setting=1,0,ATAN(((A405*zterm1))))</f>
        <v/>
      </c>
      <c r="Q405" s="1056">
        <f>IF(VOUT_setting=1,1,SQRT((1+Afbr-$Q$5*(A405)^2)^2+(A405*$Q$4)^2))</f>
        <v/>
      </c>
      <c r="R405" s="1060">
        <f>IF(VOUT_setting=1,0,ATAN(A405*$Q$4/(1+Afbr-$Q$5*(A405)^2)))</f>
        <v/>
      </c>
      <c r="S405" s="1054">
        <f>SQRT((1-(Z405/pterm2))^2+(A405/pterm1)^2)</f>
        <v/>
      </c>
      <c r="T405" s="1055">
        <f>IF((ATAN((A405/pterm1)/(1-A405^2/pterm2))&gt;0),ATAN((A405/pterm1)/(1-A405^2/pterm2)),PI()+ATAN((A405/pterm1)/(1-A405^2/pterm2)))</f>
        <v/>
      </c>
      <c r="U405" s="331">
        <f>20*LOG10(((E405*K405*G405*O405)/(C405*I405*S405*M405*Q405))*Adc)</f>
        <v/>
      </c>
      <c r="V405" s="332">
        <f>((F405+L405+H405+P405)-(D405+J405+T405+N405+R405))*radconv</f>
        <v/>
      </c>
      <c r="W405" s="334">
        <f>IF(V405&gt;0,V405,V405+180)</f>
        <v/>
      </c>
      <c r="Y405" s="307">
        <f>IF(U405&lt;0,A405,1000000000)</f>
        <v/>
      </c>
      <c r="Z405" s="307">
        <f>A405^2</f>
        <v/>
      </c>
      <c r="AB405" s="333">
        <f>20*LOG10((K405/(I405*M405))*AEA)</f>
        <v/>
      </c>
      <c r="AC405" s="334">
        <f>(L405-(J405+N405))*radconv</f>
        <v/>
      </c>
      <c r="AE405" s="333">
        <f>20*LOG10((E405*G405/(C405*S405))*Acs*Am)</f>
        <v/>
      </c>
      <c r="AF405" s="334">
        <f>(F405+H405-(D405+T405))*radconv</f>
        <v/>
      </c>
      <c r="AH405">
        <f>SUM((U406&lt;0)*(U405&gt;0))*A405</f>
        <v/>
      </c>
      <c r="AI405">
        <f>IF(AH405&gt;0,W405,0)</f>
        <v/>
      </c>
    </row>
    <row r="406">
      <c r="A406" s="335" t="n">
        <v>37370.25</v>
      </c>
      <c r="B406" s="352">
        <f>A406/1000</f>
        <v/>
      </c>
      <c r="C406" s="1047">
        <f>SQRT(1+(A406/pole1)^2)</f>
        <v/>
      </c>
      <c r="D406" s="1048">
        <f>ATAN(A406/pole1)</f>
        <v/>
      </c>
      <c r="E406" s="1048">
        <f>SQRT(1+(A406/Zero1)^2)</f>
        <v/>
      </c>
      <c r="F406" s="1049">
        <f>ATAN(A406/Zero1)</f>
        <v/>
      </c>
      <c r="G406" s="1048">
        <f>IF(VIN_nom&gt;Vout, 1, SQRT(1+(A406/z_RHP)^2))</f>
        <v/>
      </c>
      <c r="H406" s="1049">
        <f>IF(VIN_nom&gt;Vout, 0, -ATAN(A406/z_RHP))</f>
        <v/>
      </c>
      <c r="I406" s="1047">
        <f>SQRT(1+(A406/Pole2)^2)</f>
        <v/>
      </c>
      <c r="J406" s="1050">
        <f>ATAN(A406/Pole2)</f>
        <v/>
      </c>
      <c r="K406" s="1056">
        <f>SQRT(1+(A406/Zero2)^2)</f>
        <v/>
      </c>
      <c r="L406" s="1057">
        <f>ATAN(A406/Zero2)</f>
        <v/>
      </c>
      <c r="M406" s="1047">
        <f>SQRT(1+(A406/pole4)^2)</f>
        <v/>
      </c>
      <c r="N406" s="1057">
        <f>ATAN(A406/pole4)</f>
        <v/>
      </c>
      <c r="O406" s="1058">
        <f>IF(VOUT_setting=1,1,SQRT(1+(A406*zterm1)^2))</f>
        <v/>
      </c>
      <c r="P406" s="1059">
        <f>IF(VOUT_setting=1,0,ATAN(((A406*zterm1))))</f>
        <v/>
      </c>
      <c r="Q406" s="1056">
        <f>IF(VOUT_setting=1,1,SQRT((1+Afbr-$Q$5*(A406)^2)^2+(A406*$Q$4)^2))</f>
        <v/>
      </c>
      <c r="R406" s="1060">
        <f>IF(VOUT_setting=1,0,ATAN(A406*$Q$4/(1+Afbr-$Q$5*(A406)^2)))</f>
        <v/>
      </c>
      <c r="S406" s="1054">
        <f>SQRT((1-(Z406/pterm2))^2+(A406/pterm1)^2)</f>
        <v/>
      </c>
      <c r="T406" s="1055">
        <f>IF((ATAN((A406/pterm1)/(1-A406^2/pterm2))&gt;0),ATAN((A406/pterm1)/(1-A406^2/pterm2)),PI()+ATAN((A406/pterm1)/(1-A406^2/pterm2)))</f>
        <v/>
      </c>
      <c r="U406" s="331">
        <f>20*LOG10(((E406*K406*G406*O406)/(C406*I406*S406*M406*Q406))*Adc)</f>
        <v/>
      </c>
      <c r="V406" s="332">
        <f>((F406+L406+H406+P406)-(D406+J406+T406+N406+R406))*radconv</f>
        <v/>
      </c>
      <c r="W406" s="334">
        <f>IF(V406&gt;0,V406,V406+180)</f>
        <v/>
      </c>
      <c r="Y406" s="307">
        <f>IF(U406&lt;0,A406,1000000000)</f>
        <v/>
      </c>
      <c r="Z406" s="307">
        <f>A406^2</f>
        <v/>
      </c>
      <c r="AB406" s="333">
        <f>20*LOG10((K406/(I406*M406))*AEA)</f>
        <v/>
      </c>
      <c r="AC406" s="334">
        <f>(L406-(J406+N406))*radconv</f>
        <v/>
      </c>
      <c r="AE406" s="333">
        <f>20*LOG10((E406*G406/(C406*S406))*Acs*Am)</f>
        <v/>
      </c>
      <c r="AF406" s="334">
        <f>(F406+H406-(D406+T406))*radconv</f>
        <v/>
      </c>
      <c r="AH406">
        <f>SUM((U407&lt;0)*(U406&gt;0))*A406</f>
        <v/>
      </c>
      <c r="AI406">
        <f>IF(AH406&gt;0,W406,0)</f>
        <v/>
      </c>
    </row>
    <row r="407">
      <c r="A407" s="335" t="n">
        <v>37586.5</v>
      </c>
      <c r="B407" s="352">
        <f>A407/1000</f>
        <v/>
      </c>
      <c r="C407" s="1047">
        <f>SQRT(1+(A407/pole1)^2)</f>
        <v/>
      </c>
      <c r="D407" s="1048">
        <f>ATAN(A407/pole1)</f>
        <v/>
      </c>
      <c r="E407" s="1048">
        <f>SQRT(1+(A407/Zero1)^2)</f>
        <v/>
      </c>
      <c r="F407" s="1049">
        <f>ATAN(A407/Zero1)</f>
        <v/>
      </c>
      <c r="G407" s="1048">
        <f>IF(VIN_nom&gt;Vout, 1, SQRT(1+(A407/z_RHP)^2))</f>
        <v/>
      </c>
      <c r="H407" s="1049">
        <f>IF(VIN_nom&gt;Vout, 0, -ATAN(A407/z_RHP))</f>
        <v/>
      </c>
      <c r="I407" s="1047">
        <f>SQRT(1+(A407/Pole2)^2)</f>
        <v/>
      </c>
      <c r="J407" s="1050">
        <f>ATAN(A407/Pole2)</f>
        <v/>
      </c>
      <c r="K407" s="1056">
        <f>SQRT(1+(A407/Zero2)^2)</f>
        <v/>
      </c>
      <c r="L407" s="1057">
        <f>ATAN(A407/Zero2)</f>
        <v/>
      </c>
      <c r="M407" s="1047">
        <f>SQRT(1+(A407/pole4)^2)</f>
        <v/>
      </c>
      <c r="N407" s="1057">
        <f>ATAN(A407/pole4)</f>
        <v/>
      </c>
      <c r="O407" s="1058">
        <f>IF(VOUT_setting=1,1,SQRT(1+(A407*zterm1)^2))</f>
        <v/>
      </c>
      <c r="P407" s="1059">
        <f>IF(VOUT_setting=1,0,ATAN(((A407*zterm1))))</f>
        <v/>
      </c>
      <c r="Q407" s="1056">
        <f>IF(VOUT_setting=1,1,SQRT((1+Afbr-$Q$5*(A407)^2)^2+(A407*$Q$4)^2))</f>
        <v/>
      </c>
      <c r="R407" s="1060">
        <f>IF(VOUT_setting=1,0,ATAN(A407*$Q$4/(1+Afbr-$Q$5*(A407)^2)))</f>
        <v/>
      </c>
      <c r="S407" s="1054">
        <f>SQRT((1-(Z407/pterm2))^2+(A407/pterm1)^2)</f>
        <v/>
      </c>
      <c r="T407" s="1055">
        <f>IF((ATAN((A407/pterm1)/(1-A407^2/pterm2))&gt;0),ATAN((A407/pterm1)/(1-A407^2/pterm2)),PI()+ATAN((A407/pterm1)/(1-A407^2/pterm2)))</f>
        <v/>
      </c>
      <c r="U407" s="331">
        <f>20*LOG10(((E407*K407*G407*O407)/(C407*I407*S407*M407*Q407))*Adc)</f>
        <v/>
      </c>
      <c r="V407" s="332">
        <f>((F407+L407+H407+P407)-(D407+J407+T407+N407+R407))*radconv</f>
        <v/>
      </c>
      <c r="W407" s="334">
        <f>IF(V407&gt;0,V407,V407+180)</f>
        <v/>
      </c>
      <c r="Y407" s="307">
        <f>IF(U407&lt;0,A407,1000000000)</f>
        <v/>
      </c>
      <c r="Z407" s="307">
        <f>A407^2</f>
        <v/>
      </c>
      <c r="AB407" s="333">
        <f>20*LOG10((K407/(I407*M407))*AEA)</f>
        <v/>
      </c>
      <c r="AC407" s="334">
        <f>(L407-(J407+N407))*radconv</f>
        <v/>
      </c>
      <c r="AE407" s="333">
        <f>20*LOG10((E407*G407/(C407*S407))*Acs*Am)</f>
        <v/>
      </c>
      <c r="AF407" s="334">
        <f>(F407+H407-(D407+T407))*radconv</f>
        <v/>
      </c>
      <c r="AH407">
        <f>SUM((U408&lt;0)*(U407&gt;0))*A407</f>
        <v/>
      </c>
      <c r="AI407">
        <f>IF(AH407&gt;0,W407,0)</f>
        <v/>
      </c>
    </row>
    <row r="408">
      <c r="A408" s="335" t="n">
        <v>37802.75</v>
      </c>
      <c r="B408" s="352">
        <f>A408/1000</f>
        <v/>
      </c>
      <c r="C408" s="1047">
        <f>SQRT(1+(A408/pole1)^2)</f>
        <v/>
      </c>
      <c r="D408" s="1048">
        <f>ATAN(A408/pole1)</f>
        <v/>
      </c>
      <c r="E408" s="1048">
        <f>SQRT(1+(A408/Zero1)^2)</f>
        <v/>
      </c>
      <c r="F408" s="1049">
        <f>ATAN(A408/Zero1)</f>
        <v/>
      </c>
      <c r="G408" s="1048">
        <f>IF(VIN_nom&gt;Vout, 1, SQRT(1+(A408/z_RHP)^2))</f>
        <v/>
      </c>
      <c r="H408" s="1049">
        <f>IF(VIN_nom&gt;Vout, 0, -ATAN(A408/z_RHP))</f>
        <v/>
      </c>
      <c r="I408" s="1047">
        <f>SQRT(1+(A408/Pole2)^2)</f>
        <v/>
      </c>
      <c r="J408" s="1050">
        <f>ATAN(A408/Pole2)</f>
        <v/>
      </c>
      <c r="K408" s="1056">
        <f>SQRT(1+(A408/Zero2)^2)</f>
        <v/>
      </c>
      <c r="L408" s="1057">
        <f>ATAN(A408/Zero2)</f>
        <v/>
      </c>
      <c r="M408" s="1047">
        <f>SQRT(1+(A408/pole4)^2)</f>
        <v/>
      </c>
      <c r="N408" s="1057">
        <f>ATAN(A408/pole4)</f>
        <v/>
      </c>
      <c r="O408" s="1058">
        <f>IF(VOUT_setting=1,1,SQRT(1+(A408*zterm1)^2))</f>
        <v/>
      </c>
      <c r="P408" s="1059">
        <f>IF(VOUT_setting=1,0,ATAN(((A408*zterm1))))</f>
        <v/>
      </c>
      <c r="Q408" s="1056">
        <f>IF(VOUT_setting=1,1,SQRT((1+Afbr-$Q$5*(A408)^2)^2+(A408*$Q$4)^2))</f>
        <v/>
      </c>
      <c r="R408" s="1060">
        <f>IF(VOUT_setting=1,0,ATAN(A408*$Q$4/(1+Afbr-$Q$5*(A408)^2)))</f>
        <v/>
      </c>
      <c r="S408" s="1054">
        <f>SQRT((1-(Z408/pterm2))^2+(A408/pterm1)^2)</f>
        <v/>
      </c>
      <c r="T408" s="1055">
        <f>IF((ATAN((A408/pterm1)/(1-A408^2/pterm2))&gt;0),ATAN((A408/pterm1)/(1-A408^2/pterm2)),PI()+ATAN((A408/pterm1)/(1-A408^2/pterm2)))</f>
        <v/>
      </c>
      <c r="U408" s="331">
        <f>20*LOG10(((E408*K408*G408*O408)/(C408*I408*S408*M408*Q408))*Adc)</f>
        <v/>
      </c>
      <c r="V408" s="332">
        <f>((F408+L408+H408+P408)-(D408+J408+T408+N408+R408))*radconv</f>
        <v/>
      </c>
      <c r="W408" s="334">
        <f>IF(V408&gt;0,V408,V408+180)</f>
        <v/>
      </c>
      <c r="Y408" s="307">
        <f>IF(U408&lt;0,A408,1000000000)</f>
        <v/>
      </c>
      <c r="Z408" s="307">
        <f>A408^2</f>
        <v/>
      </c>
      <c r="AB408" s="333">
        <f>20*LOG10((K408/(I408*M408))*AEA)</f>
        <v/>
      </c>
      <c r="AC408" s="334">
        <f>(L408-(J408+N408))*radconv</f>
        <v/>
      </c>
      <c r="AE408" s="333">
        <f>20*LOG10((E408*G408/(C408*S408))*Acs*Am)</f>
        <v/>
      </c>
      <c r="AF408" s="334">
        <f>(F408+H408-(D408+T408))*radconv</f>
        <v/>
      </c>
      <c r="AH408">
        <f>SUM((U409&lt;0)*(U408&gt;0))*A408</f>
        <v/>
      </c>
      <c r="AI408">
        <f>IF(AH408&gt;0,W408,0)</f>
        <v/>
      </c>
    </row>
    <row r="409">
      <c r="A409" s="335" t="n">
        <v>38019</v>
      </c>
      <c r="B409" s="352">
        <f>A409/1000</f>
        <v/>
      </c>
      <c r="C409" s="1047">
        <f>SQRT(1+(A409/pole1)^2)</f>
        <v/>
      </c>
      <c r="D409" s="1048">
        <f>ATAN(A409/pole1)</f>
        <v/>
      </c>
      <c r="E409" s="1048">
        <f>SQRT(1+(A409/Zero1)^2)</f>
        <v/>
      </c>
      <c r="F409" s="1049">
        <f>ATAN(A409/Zero1)</f>
        <v/>
      </c>
      <c r="G409" s="1048">
        <f>IF(VIN_nom&gt;Vout, 1, SQRT(1+(A409/z_RHP)^2))</f>
        <v/>
      </c>
      <c r="H409" s="1049">
        <f>IF(VIN_nom&gt;Vout, 0, -ATAN(A409/z_RHP))</f>
        <v/>
      </c>
      <c r="I409" s="1047">
        <f>SQRT(1+(A409/Pole2)^2)</f>
        <v/>
      </c>
      <c r="J409" s="1050">
        <f>ATAN(A409/Pole2)</f>
        <v/>
      </c>
      <c r="K409" s="1056">
        <f>SQRT(1+(A409/Zero2)^2)</f>
        <v/>
      </c>
      <c r="L409" s="1057">
        <f>ATAN(A409/Zero2)</f>
        <v/>
      </c>
      <c r="M409" s="1047">
        <f>SQRT(1+(A409/pole4)^2)</f>
        <v/>
      </c>
      <c r="N409" s="1057">
        <f>ATAN(A409/pole4)</f>
        <v/>
      </c>
      <c r="O409" s="1058">
        <f>IF(VOUT_setting=1,1,SQRT(1+(A409*zterm1)^2))</f>
        <v/>
      </c>
      <c r="P409" s="1059">
        <f>IF(VOUT_setting=1,0,ATAN(((A409*zterm1))))</f>
        <v/>
      </c>
      <c r="Q409" s="1056">
        <f>IF(VOUT_setting=1,1,SQRT((1+Afbr-$Q$5*(A409)^2)^2+(A409*$Q$4)^2))</f>
        <v/>
      </c>
      <c r="R409" s="1060">
        <f>IF(VOUT_setting=1,0,ATAN(A409*$Q$4/(1+Afbr-$Q$5*(A409)^2)))</f>
        <v/>
      </c>
      <c r="S409" s="1054">
        <f>SQRT((1-(Z409/pterm2))^2+(A409/pterm1)^2)</f>
        <v/>
      </c>
      <c r="T409" s="1055">
        <f>IF((ATAN((A409/pterm1)/(1-A409^2/pterm2))&gt;0),ATAN((A409/pterm1)/(1-A409^2/pterm2)),PI()+ATAN((A409/pterm1)/(1-A409^2/pterm2)))</f>
        <v/>
      </c>
      <c r="U409" s="331">
        <f>20*LOG10(((E409*K409*G409*O409)/(C409*I409*S409*M409*Q409))*Adc)</f>
        <v/>
      </c>
      <c r="V409" s="332">
        <f>((F409+L409+H409+P409)-(D409+J409+T409+N409+R409))*radconv</f>
        <v/>
      </c>
      <c r="W409" s="334">
        <f>IF(V409&gt;0,V409,V409+180)</f>
        <v/>
      </c>
      <c r="Y409" s="307">
        <f>IF(U409&lt;0,A409,1000000000)</f>
        <v/>
      </c>
      <c r="Z409" s="307">
        <f>A409^2</f>
        <v/>
      </c>
      <c r="AB409" s="333">
        <f>20*LOG10((K409/(I409*M409))*AEA)</f>
        <v/>
      </c>
      <c r="AC409" s="334">
        <f>(L409-(J409+N409))*radconv</f>
        <v/>
      </c>
      <c r="AE409" s="333">
        <f>20*LOG10((E409*G409/(C409*S409))*Acs*Am)</f>
        <v/>
      </c>
      <c r="AF409" s="334">
        <f>(F409+H409-(D409+T409))*radconv</f>
        <v/>
      </c>
      <c r="AH409">
        <f>SUM((U410&lt;0)*(U409&gt;0))*A409</f>
        <v/>
      </c>
      <c r="AI409">
        <f>IF(AH409&gt;0,W409,0)</f>
        <v/>
      </c>
    </row>
    <row r="410">
      <c r="A410" s="335" t="n">
        <v>38240.5</v>
      </c>
      <c r="B410" s="352">
        <f>A410/1000</f>
        <v/>
      </c>
      <c r="C410" s="1047">
        <f>SQRT(1+(A410/pole1)^2)</f>
        <v/>
      </c>
      <c r="D410" s="1048">
        <f>ATAN(A410/pole1)</f>
        <v/>
      </c>
      <c r="E410" s="1048">
        <f>SQRT(1+(A410/Zero1)^2)</f>
        <v/>
      </c>
      <c r="F410" s="1049">
        <f>ATAN(A410/Zero1)</f>
        <v/>
      </c>
      <c r="G410" s="1048">
        <f>IF(VIN_nom&gt;Vout, 1, SQRT(1+(A410/z_RHP)^2))</f>
        <v/>
      </c>
      <c r="H410" s="1049">
        <f>IF(VIN_nom&gt;Vout, 0, -ATAN(A410/z_RHP))</f>
        <v/>
      </c>
      <c r="I410" s="1047">
        <f>SQRT(1+(A410/Pole2)^2)</f>
        <v/>
      </c>
      <c r="J410" s="1050">
        <f>ATAN(A410/Pole2)</f>
        <v/>
      </c>
      <c r="K410" s="1056">
        <f>SQRT(1+(A410/Zero2)^2)</f>
        <v/>
      </c>
      <c r="L410" s="1057">
        <f>ATAN(A410/Zero2)</f>
        <v/>
      </c>
      <c r="M410" s="1047">
        <f>SQRT(1+(A410/pole4)^2)</f>
        <v/>
      </c>
      <c r="N410" s="1057">
        <f>ATAN(A410/pole4)</f>
        <v/>
      </c>
      <c r="O410" s="1058">
        <f>IF(VOUT_setting=1,1,SQRT(1+(A410*zterm1)^2))</f>
        <v/>
      </c>
      <c r="P410" s="1059">
        <f>IF(VOUT_setting=1,0,ATAN(((A410*zterm1))))</f>
        <v/>
      </c>
      <c r="Q410" s="1056">
        <f>IF(VOUT_setting=1,1,SQRT((1+Afbr-$Q$5*(A410)^2)^2+(A410*$Q$4)^2))</f>
        <v/>
      </c>
      <c r="R410" s="1060">
        <f>IF(VOUT_setting=1,0,ATAN(A410*$Q$4/(1+Afbr-$Q$5*(A410)^2)))</f>
        <v/>
      </c>
      <c r="S410" s="1054">
        <f>SQRT((1-(Z410/pterm2))^2+(A410/pterm1)^2)</f>
        <v/>
      </c>
      <c r="T410" s="1055">
        <f>IF((ATAN((A410/pterm1)/(1-A410^2/pterm2))&gt;0),ATAN((A410/pterm1)/(1-A410^2/pterm2)),PI()+ATAN((A410/pterm1)/(1-A410^2/pterm2)))</f>
        <v/>
      </c>
      <c r="U410" s="331">
        <f>20*LOG10(((E410*K410*G410*O410)/(C410*I410*S410*M410*Q410))*Adc)</f>
        <v/>
      </c>
      <c r="V410" s="332">
        <f>((F410+L410+H410+P410)-(D410+J410+T410+N410+R410))*radconv</f>
        <v/>
      </c>
      <c r="W410" s="334">
        <f>IF(V410&gt;0,V410,V410+180)</f>
        <v/>
      </c>
      <c r="Y410" s="307">
        <f>IF(U410&lt;0,A410,1000000000)</f>
        <v/>
      </c>
      <c r="Z410" s="307">
        <f>A410^2</f>
        <v/>
      </c>
      <c r="AB410" s="333">
        <f>20*LOG10((K410/(I410*M410))*AEA)</f>
        <v/>
      </c>
      <c r="AC410" s="334">
        <f>(L410-(J410+N410))*radconv</f>
        <v/>
      </c>
      <c r="AE410" s="333">
        <f>20*LOG10((E410*G410/(C410*S410))*Acs*Am)</f>
        <v/>
      </c>
      <c r="AF410" s="334">
        <f>(F410+H410-(D410+T410))*radconv</f>
        <v/>
      </c>
      <c r="AH410">
        <f>SUM((U411&lt;0)*(U410&gt;0))*A410</f>
        <v/>
      </c>
      <c r="AI410">
        <f>IF(AH410&gt;0,W410,0)</f>
        <v/>
      </c>
    </row>
    <row r="411">
      <c r="A411" s="335" t="n">
        <v>38462</v>
      </c>
      <c r="B411" s="352">
        <f>A411/1000</f>
        <v/>
      </c>
      <c r="C411" s="1047">
        <f>SQRT(1+(A411/pole1)^2)</f>
        <v/>
      </c>
      <c r="D411" s="1048">
        <f>ATAN(A411/pole1)</f>
        <v/>
      </c>
      <c r="E411" s="1048">
        <f>SQRT(1+(A411/Zero1)^2)</f>
        <v/>
      </c>
      <c r="F411" s="1049">
        <f>ATAN(A411/Zero1)</f>
        <v/>
      </c>
      <c r="G411" s="1048">
        <f>IF(VIN_nom&gt;Vout, 1, SQRT(1+(A411/z_RHP)^2))</f>
        <v/>
      </c>
      <c r="H411" s="1049">
        <f>IF(VIN_nom&gt;Vout, 0, -ATAN(A411/z_RHP))</f>
        <v/>
      </c>
      <c r="I411" s="1047">
        <f>SQRT(1+(A411/Pole2)^2)</f>
        <v/>
      </c>
      <c r="J411" s="1050">
        <f>ATAN(A411/Pole2)</f>
        <v/>
      </c>
      <c r="K411" s="1056">
        <f>SQRT(1+(A411/Zero2)^2)</f>
        <v/>
      </c>
      <c r="L411" s="1057">
        <f>ATAN(A411/Zero2)</f>
        <v/>
      </c>
      <c r="M411" s="1047">
        <f>SQRT(1+(A411/pole4)^2)</f>
        <v/>
      </c>
      <c r="N411" s="1057">
        <f>ATAN(A411/pole4)</f>
        <v/>
      </c>
      <c r="O411" s="1058">
        <f>IF(VOUT_setting=1,1,SQRT(1+(A411*zterm1)^2))</f>
        <v/>
      </c>
      <c r="P411" s="1059">
        <f>IF(VOUT_setting=1,0,ATAN(((A411*zterm1))))</f>
        <v/>
      </c>
      <c r="Q411" s="1056">
        <f>IF(VOUT_setting=1,1,SQRT((1+Afbr-$Q$5*(A411)^2)^2+(A411*$Q$4)^2))</f>
        <v/>
      </c>
      <c r="R411" s="1060">
        <f>IF(VOUT_setting=1,0,ATAN(A411*$Q$4/(1+Afbr-$Q$5*(A411)^2)))</f>
        <v/>
      </c>
      <c r="S411" s="1054">
        <f>SQRT((1-(Z411/pterm2))^2+(A411/pterm1)^2)</f>
        <v/>
      </c>
      <c r="T411" s="1055">
        <f>IF((ATAN((A411/pterm1)/(1-A411^2/pterm2))&gt;0),ATAN((A411/pterm1)/(1-A411^2/pterm2)),PI()+ATAN((A411/pterm1)/(1-A411^2/pterm2)))</f>
        <v/>
      </c>
      <c r="U411" s="331">
        <f>20*LOG10(((E411*K411*G411*O411)/(C411*I411*S411*M411*Q411))*Adc)</f>
        <v/>
      </c>
      <c r="V411" s="332">
        <f>((F411+L411+H411+P411)-(D411+J411+T411+N411+R411))*radconv</f>
        <v/>
      </c>
      <c r="W411" s="334">
        <f>IF(V411&gt;0,V411,V411+180)</f>
        <v/>
      </c>
      <c r="Y411" s="307">
        <f>IF(U411&lt;0,A411,1000000000)</f>
        <v/>
      </c>
      <c r="Z411" s="307">
        <f>A411^2</f>
        <v/>
      </c>
      <c r="AB411" s="333">
        <f>20*LOG10((K411/(I411*M411))*AEA)</f>
        <v/>
      </c>
      <c r="AC411" s="334">
        <f>(L411-(J411+N411))*radconv</f>
        <v/>
      </c>
      <c r="AE411" s="333">
        <f>20*LOG10((E411*G411/(C411*S411))*Acs*Am)</f>
        <v/>
      </c>
      <c r="AF411" s="334">
        <f>(F411+H411-(D411+T411))*radconv</f>
        <v/>
      </c>
      <c r="AH411">
        <f>SUM((U412&lt;0)*(U411&gt;0))*A411</f>
        <v/>
      </c>
      <c r="AI411">
        <f>IF(AH411&gt;0,W411,0)</f>
        <v/>
      </c>
    </row>
    <row r="412">
      <c r="A412" s="335" t="n">
        <v>38683.5</v>
      </c>
      <c r="B412" s="352">
        <f>A412/1000</f>
        <v/>
      </c>
      <c r="C412" s="1047">
        <f>SQRT(1+(A412/pole1)^2)</f>
        <v/>
      </c>
      <c r="D412" s="1048">
        <f>ATAN(A412/pole1)</f>
        <v/>
      </c>
      <c r="E412" s="1048">
        <f>SQRT(1+(A412/Zero1)^2)</f>
        <v/>
      </c>
      <c r="F412" s="1049">
        <f>ATAN(A412/Zero1)</f>
        <v/>
      </c>
      <c r="G412" s="1048">
        <f>IF(VIN_nom&gt;Vout, 1, SQRT(1+(A412/z_RHP)^2))</f>
        <v/>
      </c>
      <c r="H412" s="1049">
        <f>IF(VIN_nom&gt;Vout, 0, -ATAN(A412/z_RHP))</f>
        <v/>
      </c>
      <c r="I412" s="1047">
        <f>SQRT(1+(A412/Pole2)^2)</f>
        <v/>
      </c>
      <c r="J412" s="1050">
        <f>ATAN(A412/Pole2)</f>
        <v/>
      </c>
      <c r="K412" s="1056">
        <f>SQRT(1+(A412/Zero2)^2)</f>
        <v/>
      </c>
      <c r="L412" s="1057">
        <f>ATAN(A412/Zero2)</f>
        <v/>
      </c>
      <c r="M412" s="1047">
        <f>SQRT(1+(A412/pole4)^2)</f>
        <v/>
      </c>
      <c r="N412" s="1057">
        <f>ATAN(A412/pole4)</f>
        <v/>
      </c>
      <c r="O412" s="1058">
        <f>IF(VOUT_setting=1,1,SQRT(1+(A412*zterm1)^2))</f>
        <v/>
      </c>
      <c r="P412" s="1059">
        <f>IF(VOUT_setting=1,0,ATAN(((A412*zterm1))))</f>
        <v/>
      </c>
      <c r="Q412" s="1056">
        <f>IF(VOUT_setting=1,1,SQRT((1+Afbr-$Q$5*(A412)^2)^2+(A412*$Q$4)^2))</f>
        <v/>
      </c>
      <c r="R412" s="1060">
        <f>IF(VOUT_setting=1,0,ATAN(A412*$Q$4/(1+Afbr-$Q$5*(A412)^2)))</f>
        <v/>
      </c>
      <c r="S412" s="1054">
        <f>SQRT((1-(Z412/pterm2))^2+(A412/pterm1)^2)</f>
        <v/>
      </c>
      <c r="T412" s="1055">
        <f>IF((ATAN((A412/pterm1)/(1-A412^2/pterm2))&gt;0),ATAN((A412/pterm1)/(1-A412^2/pterm2)),PI()+ATAN((A412/pterm1)/(1-A412^2/pterm2)))</f>
        <v/>
      </c>
      <c r="U412" s="331">
        <f>20*LOG10(((E412*K412*G412*O412)/(C412*I412*S412*M412*Q412))*Adc)</f>
        <v/>
      </c>
      <c r="V412" s="332">
        <f>((F412+L412+H412+P412)-(D412+J412+T412+N412+R412))*radconv</f>
        <v/>
      </c>
      <c r="W412" s="334">
        <f>IF(V412&gt;0,V412,V412+180)</f>
        <v/>
      </c>
      <c r="Y412" s="307">
        <f>IF(U412&lt;0,A412,1000000000)</f>
        <v/>
      </c>
      <c r="Z412" s="307">
        <f>A412^2</f>
        <v/>
      </c>
      <c r="AB412" s="333">
        <f>20*LOG10((K412/(I412*M412))*AEA)</f>
        <v/>
      </c>
      <c r="AC412" s="334">
        <f>(L412-(J412+N412))*radconv</f>
        <v/>
      </c>
      <c r="AE412" s="333">
        <f>20*LOG10((E412*G412/(C412*S412))*Acs*Am)</f>
        <v/>
      </c>
      <c r="AF412" s="334">
        <f>(F412+H412-(D412+T412))*radconv</f>
        <v/>
      </c>
      <c r="AH412">
        <f>SUM((U413&lt;0)*(U412&gt;0))*A412</f>
        <v/>
      </c>
      <c r="AI412">
        <f>IF(AH412&gt;0,W412,0)</f>
        <v/>
      </c>
    </row>
    <row r="413">
      <c r="A413" s="335" t="n">
        <v>38905</v>
      </c>
      <c r="B413" s="352">
        <f>A413/1000</f>
        <v/>
      </c>
      <c r="C413" s="1047">
        <f>SQRT(1+(A413/pole1)^2)</f>
        <v/>
      </c>
      <c r="D413" s="1048">
        <f>ATAN(A413/pole1)</f>
        <v/>
      </c>
      <c r="E413" s="1048">
        <f>SQRT(1+(A413/Zero1)^2)</f>
        <v/>
      </c>
      <c r="F413" s="1049">
        <f>ATAN(A413/Zero1)</f>
        <v/>
      </c>
      <c r="G413" s="1048">
        <f>IF(VIN_nom&gt;Vout, 1, SQRT(1+(A413/z_RHP)^2))</f>
        <v/>
      </c>
      <c r="H413" s="1049">
        <f>IF(VIN_nom&gt;Vout, 0, -ATAN(A413/z_RHP))</f>
        <v/>
      </c>
      <c r="I413" s="1047">
        <f>SQRT(1+(A413/Pole2)^2)</f>
        <v/>
      </c>
      <c r="J413" s="1050">
        <f>ATAN(A413/Pole2)</f>
        <v/>
      </c>
      <c r="K413" s="1056">
        <f>SQRT(1+(A413/Zero2)^2)</f>
        <v/>
      </c>
      <c r="L413" s="1057">
        <f>ATAN(A413/Zero2)</f>
        <v/>
      </c>
      <c r="M413" s="1047">
        <f>SQRT(1+(A413/pole4)^2)</f>
        <v/>
      </c>
      <c r="N413" s="1057">
        <f>ATAN(A413/pole4)</f>
        <v/>
      </c>
      <c r="O413" s="1058">
        <f>IF(VOUT_setting=1,1,SQRT(1+(A413*zterm1)^2))</f>
        <v/>
      </c>
      <c r="P413" s="1059">
        <f>IF(VOUT_setting=1,0,ATAN(((A413*zterm1))))</f>
        <v/>
      </c>
      <c r="Q413" s="1056">
        <f>IF(VOUT_setting=1,1,SQRT((1+Afbr-$Q$5*(A413)^2)^2+(A413*$Q$4)^2))</f>
        <v/>
      </c>
      <c r="R413" s="1060">
        <f>IF(VOUT_setting=1,0,ATAN(A413*$Q$4/(1+Afbr-$Q$5*(A413)^2)))</f>
        <v/>
      </c>
      <c r="S413" s="1054">
        <f>SQRT((1-(Z413/pterm2))^2+(A413/pterm1)^2)</f>
        <v/>
      </c>
      <c r="T413" s="1055">
        <f>IF((ATAN((A413/pterm1)/(1-A413^2/pterm2))&gt;0),ATAN((A413/pterm1)/(1-A413^2/pterm2)),PI()+ATAN((A413/pterm1)/(1-A413^2/pterm2)))</f>
        <v/>
      </c>
      <c r="U413" s="331">
        <f>20*LOG10(((E413*K413*G413*O413)/(C413*I413*S413*M413*Q413))*Adc)</f>
        <v/>
      </c>
      <c r="V413" s="332">
        <f>((F413+L413+H413+P413)-(D413+J413+T413+N413+R413))*radconv</f>
        <v/>
      </c>
      <c r="W413" s="334">
        <f>IF(V413&gt;0,V413,V413+180)</f>
        <v/>
      </c>
      <c r="Y413" s="307">
        <f>IF(U413&lt;0,A413,1000000000)</f>
        <v/>
      </c>
      <c r="Z413" s="307">
        <f>A413^2</f>
        <v/>
      </c>
      <c r="AB413" s="333">
        <f>20*LOG10((K413/(I413*M413))*AEA)</f>
        <v/>
      </c>
      <c r="AC413" s="334">
        <f>(L413-(J413+N413))*radconv</f>
        <v/>
      </c>
      <c r="AE413" s="333">
        <f>20*LOG10((E413*G413/(C413*S413))*Acs*Am)</f>
        <v/>
      </c>
      <c r="AF413" s="334">
        <f>(F413+H413-(D413+T413))*radconv</f>
        <v/>
      </c>
      <c r="AH413">
        <f>SUM((U414&lt;0)*(U413&gt;0))*A413</f>
        <v/>
      </c>
      <c r="AI413">
        <f>IF(AH413&gt;0,W413,0)</f>
        <v/>
      </c>
    </row>
    <row r="414">
      <c r="A414" s="335" t="n">
        <v>39131.5</v>
      </c>
      <c r="B414" s="352">
        <f>A414/1000</f>
        <v/>
      </c>
      <c r="C414" s="1047">
        <f>SQRT(1+(A414/pole1)^2)</f>
        <v/>
      </c>
      <c r="D414" s="1048">
        <f>ATAN(A414/pole1)</f>
        <v/>
      </c>
      <c r="E414" s="1048">
        <f>SQRT(1+(A414/Zero1)^2)</f>
        <v/>
      </c>
      <c r="F414" s="1049">
        <f>ATAN(A414/Zero1)</f>
        <v/>
      </c>
      <c r="G414" s="1048">
        <f>IF(VIN_nom&gt;Vout, 1, SQRT(1+(A414/z_RHP)^2))</f>
        <v/>
      </c>
      <c r="H414" s="1049">
        <f>IF(VIN_nom&gt;Vout, 0, -ATAN(A414/z_RHP))</f>
        <v/>
      </c>
      <c r="I414" s="1047">
        <f>SQRT(1+(A414/Pole2)^2)</f>
        <v/>
      </c>
      <c r="J414" s="1050">
        <f>ATAN(A414/Pole2)</f>
        <v/>
      </c>
      <c r="K414" s="1056">
        <f>SQRT(1+(A414/Zero2)^2)</f>
        <v/>
      </c>
      <c r="L414" s="1057">
        <f>ATAN(A414/Zero2)</f>
        <v/>
      </c>
      <c r="M414" s="1047">
        <f>SQRT(1+(A414/pole4)^2)</f>
        <v/>
      </c>
      <c r="N414" s="1057">
        <f>ATAN(A414/pole4)</f>
        <v/>
      </c>
      <c r="O414" s="1058">
        <f>IF(VOUT_setting=1,1,SQRT(1+(A414*zterm1)^2))</f>
        <v/>
      </c>
      <c r="P414" s="1059">
        <f>IF(VOUT_setting=1,0,ATAN(((A414*zterm1))))</f>
        <v/>
      </c>
      <c r="Q414" s="1056">
        <f>IF(VOUT_setting=1,1,SQRT((1+Afbr-$Q$5*(A414)^2)^2+(A414*$Q$4)^2))</f>
        <v/>
      </c>
      <c r="R414" s="1060">
        <f>IF(VOUT_setting=1,0,ATAN(A414*$Q$4/(1+Afbr-$Q$5*(A414)^2)))</f>
        <v/>
      </c>
      <c r="S414" s="1054">
        <f>SQRT((1-(Z414/pterm2))^2+(A414/pterm1)^2)</f>
        <v/>
      </c>
      <c r="T414" s="1055">
        <f>IF((ATAN((A414/pterm1)/(1-A414^2/pterm2))&gt;0),ATAN((A414/pterm1)/(1-A414^2/pterm2)),PI()+ATAN((A414/pterm1)/(1-A414^2/pterm2)))</f>
        <v/>
      </c>
      <c r="U414" s="331">
        <f>20*LOG10(((E414*K414*G414*O414)/(C414*I414*S414*M414*Q414))*Adc)</f>
        <v/>
      </c>
      <c r="V414" s="332">
        <f>((F414+L414+H414+P414)-(D414+J414+T414+N414+R414))*radconv</f>
        <v/>
      </c>
      <c r="W414" s="334">
        <f>IF(V414&gt;0,V414,V414+180)</f>
        <v/>
      </c>
      <c r="Y414" s="307">
        <f>IF(U414&lt;0,A414,1000000000)</f>
        <v/>
      </c>
      <c r="Z414" s="307">
        <f>A414^2</f>
        <v/>
      </c>
      <c r="AB414" s="333">
        <f>20*LOG10((K414/(I414*M414))*AEA)</f>
        <v/>
      </c>
      <c r="AC414" s="334">
        <f>(L414-(J414+N414))*radconv</f>
        <v/>
      </c>
      <c r="AE414" s="333">
        <f>20*LOG10((E414*G414/(C414*S414))*Acs*Am)</f>
        <v/>
      </c>
      <c r="AF414" s="334">
        <f>(F414+H414-(D414+T414))*radconv</f>
        <v/>
      </c>
      <c r="AH414">
        <f>SUM((U415&lt;0)*(U414&gt;0))*A414</f>
        <v/>
      </c>
      <c r="AI414">
        <f>IF(AH414&gt;0,W414,0)</f>
        <v/>
      </c>
    </row>
    <row r="415">
      <c r="A415" s="335" t="n">
        <v>39358</v>
      </c>
      <c r="B415" s="352">
        <f>A415/1000</f>
        <v/>
      </c>
      <c r="C415" s="1047">
        <f>SQRT(1+(A415/pole1)^2)</f>
        <v/>
      </c>
      <c r="D415" s="1048">
        <f>ATAN(A415/pole1)</f>
        <v/>
      </c>
      <c r="E415" s="1048">
        <f>SQRT(1+(A415/Zero1)^2)</f>
        <v/>
      </c>
      <c r="F415" s="1049">
        <f>ATAN(A415/Zero1)</f>
        <v/>
      </c>
      <c r="G415" s="1048">
        <f>IF(VIN_nom&gt;Vout, 1, SQRT(1+(A415/z_RHP)^2))</f>
        <v/>
      </c>
      <c r="H415" s="1049">
        <f>IF(VIN_nom&gt;Vout, 0, -ATAN(A415/z_RHP))</f>
        <v/>
      </c>
      <c r="I415" s="1047">
        <f>SQRT(1+(A415/Pole2)^2)</f>
        <v/>
      </c>
      <c r="J415" s="1050">
        <f>ATAN(A415/Pole2)</f>
        <v/>
      </c>
      <c r="K415" s="1056">
        <f>SQRT(1+(A415/Zero2)^2)</f>
        <v/>
      </c>
      <c r="L415" s="1057">
        <f>ATAN(A415/Zero2)</f>
        <v/>
      </c>
      <c r="M415" s="1047">
        <f>SQRT(1+(A415/pole4)^2)</f>
        <v/>
      </c>
      <c r="N415" s="1057">
        <f>ATAN(A415/pole4)</f>
        <v/>
      </c>
      <c r="O415" s="1058">
        <f>IF(VOUT_setting=1,1,SQRT(1+(A415*zterm1)^2))</f>
        <v/>
      </c>
      <c r="P415" s="1059">
        <f>IF(VOUT_setting=1,0,ATAN(((A415*zterm1))))</f>
        <v/>
      </c>
      <c r="Q415" s="1056">
        <f>IF(VOUT_setting=1,1,SQRT((1+Afbr-$Q$5*(A415)^2)^2+(A415*$Q$4)^2))</f>
        <v/>
      </c>
      <c r="R415" s="1060">
        <f>IF(VOUT_setting=1,0,ATAN(A415*$Q$4/(1+Afbr-$Q$5*(A415)^2)))</f>
        <v/>
      </c>
      <c r="S415" s="1054">
        <f>SQRT((1-(Z415/pterm2))^2+(A415/pterm1)^2)</f>
        <v/>
      </c>
      <c r="T415" s="1055">
        <f>IF((ATAN((A415/pterm1)/(1-A415^2/pterm2))&gt;0),ATAN((A415/pterm1)/(1-A415^2/pterm2)),PI()+ATAN((A415/pterm1)/(1-A415^2/pterm2)))</f>
        <v/>
      </c>
      <c r="U415" s="331">
        <f>20*LOG10(((E415*K415*G415*O415)/(C415*I415*S415*M415*Q415))*Adc)</f>
        <v/>
      </c>
      <c r="V415" s="332">
        <f>((F415+L415+H415+P415)-(D415+J415+T415+N415+R415))*radconv</f>
        <v/>
      </c>
      <c r="W415" s="334">
        <f>IF(V415&gt;0,V415,V415+180)</f>
        <v/>
      </c>
      <c r="Y415" s="307">
        <f>IF(U415&lt;0,A415,1000000000)</f>
        <v/>
      </c>
      <c r="Z415" s="307">
        <f>A415^2</f>
        <v/>
      </c>
      <c r="AB415" s="333">
        <f>20*LOG10((K415/(I415*M415))*AEA)</f>
        <v/>
      </c>
      <c r="AC415" s="334">
        <f>(L415-(J415+N415))*radconv</f>
        <v/>
      </c>
      <c r="AE415" s="333">
        <f>20*LOG10((E415*G415/(C415*S415))*Acs*Am)</f>
        <v/>
      </c>
      <c r="AF415" s="334">
        <f>(F415+H415-(D415+T415))*radconv</f>
        <v/>
      </c>
      <c r="AH415">
        <f>SUM((U416&lt;0)*(U415&gt;0))*A415</f>
        <v/>
      </c>
      <c r="AI415">
        <f>IF(AH415&gt;0,W415,0)</f>
        <v/>
      </c>
    </row>
    <row r="416">
      <c r="A416" s="335" t="n">
        <v>39584.5</v>
      </c>
      <c r="B416" s="352">
        <f>A416/1000</f>
        <v/>
      </c>
      <c r="C416" s="1047">
        <f>SQRT(1+(A416/pole1)^2)</f>
        <v/>
      </c>
      <c r="D416" s="1048">
        <f>ATAN(A416/pole1)</f>
        <v/>
      </c>
      <c r="E416" s="1048">
        <f>SQRT(1+(A416/Zero1)^2)</f>
        <v/>
      </c>
      <c r="F416" s="1049">
        <f>ATAN(A416/Zero1)</f>
        <v/>
      </c>
      <c r="G416" s="1048">
        <f>IF(VIN_nom&gt;Vout, 1, SQRT(1+(A416/z_RHP)^2))</f>
        <v/>
      </c>
      <c r="H416" s="1049">
        <f>IF(VIN_nom&gt;Vout, 0, -ATAN(A416/z_RHP))</f>
        <v/>
      </c>
      <c r="I416" s="1047">
        <f>SQRT(1+(A416/Pole2)^2)</f>
        <v/>
      </c>
      <c r="J416" s="1050">
        <f>ATAN(A416/Pole2)</f>
        <v/>
      </c>
      <c r="K416" s="1056">
        <f>SQRT(1+(A416/Zero2)^2)</f>
        <v/>
      </c>
      <c r="L416" s="1057">
        <f>ATAN(A416/Zero2)</f>
        <v/>
      </c>
      <c r="M416" s="1047">
        <f>SQRT(1+(A416/pole4)^2)</f>
        <v/>
      </c>
      <c r="N416" s="1057">
        <f>ATAN(A416/pole4)</f>
        <v/>
      </c>
      <c r="O416" s="1058">
        <f>IF(VOUT_setting=1,1,SQRT(1+(A416*zterm1)^2))</f>
        <v/>
      </c>
      <c r="P416" s="1059">
        <f>IF(VOUT_setting=1,0,ATAN(((A416*zterm1))))</f>
        <v/>
      </c>
      <c r="Q416" s="1056">
        <f>IF(VOUT_setting=1,1,SQRT((1+Afbr-$Q$5*(A416)^2)^2+(A416*$Q$4)^2))</f>
        <v/>
      </c>
      <c r="R416" s="1060">
        <f>IF(VOUT_setting=1,0,ATAN(A416*$Q$4/(1+Afbr-$Q$5*(A416)^2)))</f>
        <v/>
      </c>
      <c r="S416" s="1054">
        <f>SQRT((1-(Z416/pterm2))^2+(A416/pterm1)^2)</f>
        <v/>
      </c>
      <c r="T416" s="1055">
        <f>IF((ATAN((A416/pterm1)/(1-A416^2/pterm2))&gt;0),ATAN((A416/pterm1)/(1-A416^2/pterm2)),PI()+ATAN((A416/pterm1)/(1-A416^2/pterm2)))</f>
        <v/>
      </c>
      <c r="U416" s="331">
        <f>20*LOG10(((E416*K416*G416*O416)/(C416*I416*S416*M416*Q416))*Adc)</f>
        <v/>
      </c>
      <c r="V416" s="332">
        <f>((F416+L416+H416+P416)-(D416+J416+T416+N416+R416))*radconv</f>
        <v/>
      </c>
      <c r="W416" s="334">
        <f>IF(V416&gt;0,V416,V416+180)</f>
        <v/>
      </c>
      <c r="Y416" s="307">
        <f>IF(U416&lt;0,A416,1000000000)</f>
        <v/>
      </c>
      <c r="Z416" s="307">
        <f>A416^2</f>
        <v/>
      </c>
      <c r="AB416" s="333">
        <f>20*LOG10((K416/(I416*M416))*AEA)</f>
        <v/>
      </c>
      <c r="AC416" s="334">
        <f>(L416-(J416+N416))*radconv</f>
        <v/>
      </c>
      <c r="AE416" s="333">
        <f>20*LOG10((E416*G416/(C416*S416))*Acs*Am)</f>
        <v/>
      </c>
      <c r="AF416" s="334">
        <f>(F416+H416-(D416+T416))*radconv</f>
        <v/>
      </c>
      <c r="AH416">
        <f>SUM((U417&lt;0)*(U416&gt;0))*A416</f>
        <v/>
      </c>
      <c r="AI416">
        <f>IF(AH416&gt;0,W416,0)</f>
        <v/>
      </c>
    </row>
    <row r="417">
      <c r="A417" s="335" t="n">
        <v>39811</v>
      </c>
      <c r="B417" s="352">
        <f>A417/1000</f>
        <v/>
      </c>
      <c r="C417" s="1047">
        <f>SQRT(1+(A417/pole1)^2)</f>
        <v/>
      </c>
      <c r="D417" s="1048">
        <f>ATAN(A417/pole1)</f>
        <v/>
      </c>
      <c r="E417" s="1048">
        <f>SQRT(1+(A417/Zero1)^2)</f>
        <v/>
      </c>
      <c r="F417" s="1049">
        <f>ATAN(A417/Zero1)</f>
        <v/>
      </c>
      <c r="G417" s="1048">
        <f>IF(VIN_nom&gt;Vout, 1, SQRT(1+(A417/z_RHP)^2))</f>
        <v/>
      </c>
      <c r="H417" s="1049">
        <f>IF(VIN_nom&gt;Vout, 0, -ATAN(A417/z_RHP))</f>
        <v/>
      </c>
      <c r="I417" s="1047">
        <f>SQRT(1+(A417/Pole2)^2)</f>
        <v/>
      </c>
      <c r="J417" s="1050">
        <f>ATAN(A417/Pole2)</f>
        <v/>
      </c>
      <c r="K417" s="1056">
        <f>SQRT(1+(A417/Zero2)^2)</f>
        <v/>
      </c>
      <c r="L417" s="1057">
        <f>ATAN(A417/Zero2)</f>
        <v/>
      </c>
      <c r="M417" s="1047">
        <f>SQRT(1+(A417/pole4)^2)</f>
        <v/>
      </c>
      <c r="N417" s="1057">
        <f>ATAN(A417/pole4)</f>
        <v/>
      </c>
      <c r="O417" s="1058">
        <f>IF(VOUT_setting=1,1,SQRT(1+(A417*zterm1)^2))</f>
        <v/>
      </c>
      <c r="P417" s="1059">
        <f>IF(VOUT_setting=1,0,ATAN(((A417*zterm1))))</f>
        <v/>
      </c>
      <c r="Q417" s="1056">
        <f>IF(VOUT_setting=1,1,SQRT((1+Afbr-$Q$5*(A417)^2)^2+(A417*$Q$4)^2))</f>
        <v/>
      </c>
      <c r="R417" s="1060">
        <f>IF(VOUT_setting=1,0,ATAN(A417*$Q$4/(1+Afbr-$Q$5*(A417)^2)))</f>
        <v/>
      </c>
      <c r="S417" s="1054">
        <f>SQRT((1-(Z417/pterm2))^2+(A417/pterm1)^2)</f>
        <v/>
      </c>
      <c r="T417" s="1055">
        <f>IF((ATAN((A417/pterm1)/(1-A417^2/pterm2))&gt;0),ATAN((A417/pterm1)/(1-A417^2/pterm2)),PI()+ATAN((A417/pterm1)/(1-A417^2/pterm2)))</f>
        <v/>
      </c>
      <c r="U417" s="331">
        <f>20*LOG10(((E417*K417*G417*O417)/(C417*I417*S417*M417*Q417))*Adc)</f>
        <v/>
      </c>
      <c r="V417" s="332">
        <f>((F417+L417+H417+P417)-(D417+J417+T417+N417+R417))*radconv</f>
        <v/>
      </c>
      <c r="W417" s="334">
        <f>IF(V417&gt;0,V417,V417+180)</f>
        <v/>
      </c>
      <c r="Y417" s="307">
        <f>IF(U417&lt;0,A417,1000000000)</f>
        <v/>
      </c>
      <c r="Z417" s="307">
        <f>A417^2</f>
        <v/>
      </c>
      <c r="AB417" s="333">
        <f>20*LOG10((K417/(I417*M417))*AEA)</f>
        <v/>
      </c>
      <c r="AC417" s="334">
        <f>(L417-(J417+N417))*radconv</f>
        <v/>
      </c>
      <c r="AE417" s="333">
        <f>20*LOG10((E417*G417/(C417*S417))*Acs*Am)</f>
        <v/>
      </c>
      <c r="AF417" s="334">
        <f>(F417+H417-(D417+T417))*radconv</f>
        <v/>
      </c>
      <c r="AH417">
        <f>SUM((U418&lt;0)*(U417&gt;0))*A417</f>
        <v/>
      </c>
      <c r="AI417">
        <f>IF(AH417&gt;0,W417,0)</f>
        <v/>
      </c>
    </row>
    <row r="418">
      <c r="A418" s="335" t="n">
        <v>40042.75</v>
      </c>
      <c r="B418" s="352">
        <f>A418/1000</f>
        <v/>
      </c>
      <c r="C418" s="1047">
        <f>SQRT(1+(A418/pole1)^2)</f>
        <v/>
      </c>
      <c r="D418" s="1048">
        <f>ATAN(A418/pole1)</f>
        <v/>
      </c>
      <c r="E418" s="1048">
        <f>SQRT(1+(A418/Zero1)^2)</f>
        <v/>
      </c>
      <c r="F418" s="1049">
        <f>ATAN(A418/Zero1)</f>
        <v/>
      </c>
      <c r="G418" s="1048">
        <f>IF(VIN_nom&gt;Vout, 1, SQRT(1+(A418/z_RHP)^2))</f>
        <v/>
      </c>
      <c r="H418" s="1049">
        <f>IF(VIN_nom&gt;Vout, 0, -ATAN(A418/z_RHP))</f>
        <v/>
      </c>
      <c r="I418" s="1047">
        <f>SQRT(1+(A418/Pole2)^2)</f>
        <v/>
      </c>
      <c r="J418" s="1050">
        <f>ATAN(A418/Pole2)</f>
        <v/>
      </c>
      <c r="K418" s="1056">
        <f>SQRT(1+(A418/Zero2)^2)</f>
        <v/>
      </c>
      <c r="L418" s="1057">
        <f>ATAN(A418/Zero2)</f>
        <v/>
      </c>
      <c r="M418" s="1047">
        <f>SQRT(1+(A418/pole4)^2)</f>
        <v/>
      </c>
      <c r="N418" s="1057">
        <f>ATAN(A418/pole4)</f>
        <v/>
      </c>
      <c r="O418" s="1058">
        <f>IF(VOUT_setting=1,1,SQRT(1+(A418*zterm1)^2))</f>
        <v/>
      </c>
      <c r="P418" s="1059">
        <f>IF(VOUT_setting=1,0,ATAN(((A418*zterm1))))</f>
        <v/>
      </c>
      <c r="Q418" s="1056">
        <f>IF(VOUT_setting=1,1,SQRT((1+Afbr-$Q$5*(A418)^2)^2+(A418*$Q$4)^2))</f>
        <v/>
      </c>
      <c r="R418" s="1060">
        <f>IF(VOUT_setting=1,0,ATAN(A418*$Q$4/(1+Afbr-$Q$5*(A418)^2)))</f>
        <v/>
      </c>
      <c r="S418" s="1054">
        <f>SQRT((1-(Z418/pterm2))^2+(A418/pterm1)^2)</f>
        <v/>
      </c>
      <c r="T418" s="1055">
        <f>IF((ATAN((A418/pterm1)/(1-A418^2/pterm2))&gt;0),ATAN((A418/pterm1)/(1-A418^2/pterm2)),PI()+ATAN((A418/pterm1)/(1-A418^2/pterm2)))</f>
        <v/>
      </c>
      <c r="U418" s="331">
        <f>20*LOG10(((E418*K418*G418*O418)/(C418*I418*S418*M418*Q418))*Adc)</f>
        <v/>
      </c>
      <c r="V418" s="332">
        <f>((F418+L418+H418+P418)-(D418+J418+T418+N418+R418))*radconv</f>
        <v/>
      </c>
      <c r="W418" s="334">
        <f>IF(V418&gt;0,V418,V418+180)</f>
        <v/>
      </c>
      <c r="Y418" s="307">
        <f>IF(U418&lt;0,A418,1000000000)</f>
        <v/>
      </c>
      <c r="Z418" s="307">
        <f>A418^2</f>
        <v/>
      </c>
      <c r="AB418" s="333">
        <f>20*LOG10((K418/(I418*M418))*AEA)</f>
        <v/>
      </c>
      <c r="AC418" s="334">
        <f>(L418-(J418+N418))*radconv</f>
        <v/>
      </c>
      <c r="AE418" s="333">
        <f>20*LOG10((E418*G418/(C418*S418))*Acs*Am)</f>
        <v/>
      </c>
      <c r="AF418" s="334">
        <f>(F418+H418-(D418+T418))*radconv</f>
        <v/>
      </c>
      <c r="AH418">
        <f>SUM((U419&lt;0)*(U418&gt;0))*A418</f>
        <v/>
      </c>
      <c r="AI418">
        <f>IF(AH418&gt;0,W418,0)</f>
        <v/>
      </c>
    </row>
    <row r="419">
      <c r="A419" s="335" t="n">
        <v>40274.5</v>
      </c>
      <c r="B419" s="352">
        <f>A419/1000</f>
        <v/>
      </c>
      <c r="C419" s="1047">
        <f>SQRT(1+(A419/pole1)^2)</f>
        <v/>
      </c>
      <c r="D419" s="1048">
        <f>ATAN(A419/pole1)</f>
        <v/>
      </c>
      <c r="E419" s="1048">
        <f>SQRT(1+(A419/Zero1)^2)</f>
        <v/>
      </c>
      <c r="F419" s="1049">
        <f>ATAN(A419/Zero1)</f>
        <v/>
      </c>
      <c r="G419" s="1048">
        <f>IF(VIN_nom&gt;Vout, 1, SQRT(1+(A419/z_RHP)^2))</f>
        <v/>
      </c>
      <c r="H419" s="1049">
        <f>IF(VIN_nom&gt;Vout, 0, -ATAN(A419/z_RHP))</f>
        <v/>
      </c>
      <c r="I419" s="1047">
        <f>SQRT(1+(A419/Pole2)^2)</f>
        <v/>
      </c>
      <c r="J419" s="1050">
        <f>ATAN(A419/Pole2)</f>
        <v/>
      </c>
      <c r="K419" s="1056">
        <f>SQRT(1+(A419/Zero2)^2)</f>
        <v/>
      </c>
      <c r="L419" s="1057">
        <f>ATAN(A419/Zero2)</f>
        <v/>
      </c>
      <c r="M419" s="1047">
        <f>SQRT(1+(A419/pole4)^2)</f>
        <v/>
      </c>
      <c r="N419" s="1057">
        <f>ATAN(A419/pole4)</f>
        <v/>
      </c>
      <c r="O419" s="1058">
        <f>IF(VOUT_setting=1,1,SQRT(1+(A419*zterm1)^2))</f>
        <v/>
      </c>
      <c r="P419" s="1059">
        <f>IF(VOUT_setting=1,0,ATAN(((A419*zterm1))))</f>
        <v/>
      </c>
      <c r="Q419" s="1056">
        <f>IF(VOUT_setting=1,1,SQRT((1+Afbr-$Q$5*(A419)^2)^2+(A419*$Q$4)^2))</f>
        <v/>
      </c>
      <c r="R419" s="1060">
        <f>IF(VOUT_setting=1,0,ATAN(A419*$Q$4/(1+Afbr-$Q$5*(A419)^2)))</f>
        <v/>
      </c>
      <c r="S419" s="1054">
        <f>SQRT((1-(Z419/pterm2))^2+(A419/pterm1)^2)</f>
        <v/>
      </c>
      <c r="T419" s="1055">
        <f>IF((ATAN((A419/pterm1)/(1-A419^2/pterm2))&gt;0),ATAN((A419/pterm1)/(1-A419^2/pterm2)),PI()+ATAN((A419/pterm1)/(1-A419^2/pterm2)))</f>
        <v/>
      </c>
      <c r="U419" s="331">
        <f>20*LOG10(((E419*K419*G419*O419)/(C419*I419*S419*M419*Q419))*Adc)</f>
        <v/>
      </c>
      <c r="V419" s="332">
        <f>((F419+L419+H419+P419)-(D419+J419+T419+N419+R419))*radconv</f>
        <v/>
      </c>
      <c r="W419" s="334">
        <f>IF(V419&gt;0,V419,V419+180)</f>
        <v/>
      </c>
      <c r="Y419" s="307">
        <f>IF(U419&lt;0,A419,1000000000)</f>
        <v/>
      </c>
      <c r="Z419" s="307">
        <f>A419^2</f>
        <v/>
      </c>
      <c r="AB419" s="333">
        <f>20*LOG10((K419/(I419*M419))*AEA)</f>
        <v/>
      </c>
      <c r="AC419" s="334">
        <f>(L419-(J419+N419))*radconv</f>
        <v/>
      </c>
      <c r="AE419" s="333">
        <f>20*LOG10((E419*G419/(C419*S419))*Acs*Am)</f>
        <v/>
      </c>
      <c r="AF419" s="334">
        <f>(F419+H419-(D419+T419))*radconv</f>
        <v/>
      </c>
      <c r="AH419">
        <f>SUM((U420&lt;0)*(U419&gt;0))*A419</f>
        <v/>
      </c>
      <c r="AI419">
        <f>IF(AH419&gt;0,W419,0)</f>
        <v/>
      </c>
    </row>
    <row r="420">
      <c r="A420" s="335" t="n">
        <v>40506.25</v>
      </c>
      <c r="B420" s="352">
        <f>A420/1000</f>
        <v/>
      </c>
      <c r="C420" s="1047">
        <f>SQRT(1+(A420/pole1)^2)</f>
        <v/>
      </c>
      <c r="D420" s="1048">
        <f>ATAN(A420/pole1)</f>
        <v/>
      </c>
      <c r="E420" s="1048">
        <f>SQRT(1+(A420/Zero1)^2)</f>
        <v/>
      </c>
      <c r="F420" s="1049">
        <f>ATAN(A420/Zero1)</f>
        <v/>
      </c>
      <c r="G420" s="1048">
        <f>IF(VIN_nom&gt;Vout, 1, SQRT(1+(A420/z_RHP)^2))</f>
        <v/>
      </c>
      <c r="H420" s="1049">
        <f>IF(VIN_nom&gt;Vout, 0, -ATAN(A420/z_RHP))</f>
        <v/>
      </c>
      <c r="I420" s="1047">
        <f>SQRT(1+(A420/Pole2)^2)</f>
        <v/>
      </c>
      <c r="J420" s="1050">
        <f>ATAN(A420/Pole2)</f>
        <v/>
      </c>
      <c r="K420" s="1056">
        <f>SQRT(1+(A420/Zero2)^2)</f>
        <v/>
      </c>
      <c r="L420" s="1057">
        <f>ATAN(A420/Zero2)</f>
        <v/>
      </c>
      <c r="M420" s="1047">
        <f>SQRT(1+(A420/pole4)^2)</f>
        <v/>
      </c>
      <c r="N420" s="1057">
        <f>ATAN(A420/pole4)</f>
        <v/>
      </c>
      <c r="O420" s="1058">
        <f>IF(VOUT_setting=1,1,SQRT(1+(A420*zterm1)^2))</f>
        <v/>
      </c>
      <c r="P420" s="1059">
        <f>IF(VOUT_setting=1,0,ATAN(((A420*zterm1))))</f>
        <v/>
      </c>
      <c r="Q420" s="1056">
        <f>IF(VOUT_setting=1,1,SQRT((1+Afbr-$Q$5*(A420)^2)^2+(A420*$Q$4)^2))</f>
        <v/>
      </c>
      <c r="R420" s="1060">
        <f>IF(VOUT_setting=1,0,ATAN(A420*$Q$4/(1+Afbr-$Q$5*(A420)^2)))</f>
        <v/>
      </c>
      <c r="S420" s="1054">
        <f>SQRT((1-(Z420/pterm2))^2+(A420/pterm1)^2)</f>
        <v/>
      </c>
      <c r="T420" s="1055">
        <f>IF((ATAN((A420/pterm1)/(1-A420^2/pterm2))&gt;0),ATAN((A420/pterm1)/(1-A420^2/pterm2)),PI()+ATAN((A420/pterm1)/(1-A420^2/pterm2)))</f>
        <v/>
      </c>
      <c r="U420" s="331">
        <f>20*LOG10(((E420*K420*G420*O420)/(C420*I420*S420*M420*Q420))*Adc)</f>
        <v/>
      </c>
      <c r="V420" s="332">
        <f>((F420+L420+H420+P420)-(D420+J420+T420+N420+R420))*radconv</f>
        <v/>
      </c>
      <c r="W420" s="334">
        <f>IF(V420&gt;0,V420,V420+180)</f>
        <v/>
      </c>
      <c r="Y420" s="307">
        <f>IF(U420&lt;0,A420,1000000000)</f>
        <v/>
      </c>
      <c r="Z420" s="307">
        <f>A420^2</f>
        <v/>
      </c>
      <c r="AB420" s="333">
        <f>20*LOG10((K420/(I420*M420))*AEA)</f>
        <v/>
      </c>
      <c r="AC420" s="334">
        <f>(L420-(J420+N420))*radconv</f>
        <v/>
      </c>
      <c r="AE420" s="333">
        <f>20*LOG10((E420*G420/(C420*S420))*Acs*Am)</f>
        <v/>
      </c>
      <c r="AF420" s="334">
        <f>(F420+H420-(D420+T420))*radconv</f>
        <v/>
      </c>
      <c r="AH420">
        <f>SUM((U421&lt;0)*(U420&gt;0))*A420</f>
        <v/>
      </c>
      <c r="AI420">
        <f>IF(AH420&gt;0,W420,0)</f>
        <v/>
      </c>
    </row>
    <row r="421">
      <c r="A421" s="335" t="n">
        <v>40738</v>
      </c>
      <c r="B421" s="352">
        <f>A421/1000</f>
        <v/>
      </c>
      <c r="C421" s="1047">
        <f>SQRT(1+(A421/pole1)^2)</f>
        <v/>
      </c>
      <c r="D421" s="1048">
        <f>ATAN(A421/pole1)</f>
        <v/>
      </c>
      <c r="E421" s="1048">
        <f>SQRT(1+(A421/Zero1)^2)</f>
        <v/>
      </c>
      <c r="F421" s="1049">
        <f>ATAN(A421/Zero1)</f>
        <v/>
      </c>
      <c r="G421" s="1048">
        <f>IF(VIN_nom&gt;Vout, 1, SQRT(1+(A421/z_RHP)^2))</f>
        <v/>
      </c>
      <c r="H421" s="1049">
        <f>IF(VIN_nom&gt;Vout, 0, -ATAN(A421/z_RHP))</f>
        <v/>
      </c>
      <c r="I421" s="1047">
        <f>SQRT(1+(A421/Pole2)^2)</f>
        <v/>
      </c>
      <c r="J421" s="1050">
        <f>ATAN(A421/Pole2)</f>
        <v/>
      </c>
      <c r="K421" s="1056">
        <f>SQRT(1+(A421/Zero2)^2)</f>
        <v/>
      </c>
      <c r="L421" s="1057">
        <f>ATAN(A421/Zero2)</f>
        <v/>
      </c>
      <c r="M421" s="1047">
        <f>SQRT(1+(A421/pole4)^2)</f>
        <v/>
      </c>
      <c r="N421" s="1057">
        <f>ATAN(A421/pole4)</f>
        <v/>
      </c>
      <c r="O421" s="1058">
        <f>IF(VOUT_setting=1,1,SQRT(1+(A421*zterm1)^2))</f>
        <v/>
      </c>
      <c r="P421" s="1059">
        <f>IF(VOUT_setting=1,0,ATAN(((A421*zterm1))))</f>
        <v/>
      </c>
      <c r="Q421" s="1056">
        <f>IF(VOUT_setting=1,1,SQRT((1+Afbr-$Q$5*(A421)^2)^2+(A421*$Q$4)^2))</f>
        <v/>
      </c>
      <c r="R421" s="1060">
        <f>IF(VOUT_setting=1,0,ATAN(A421*$Q$4/(1+Afbr-$Q$5*(A421)^2)))</f>
        <v/>
      </c>
      <c r="S421" s="1054">
        <f>SQRT((1-(Z421/pterm2))^2+(A421/pterm1)^2)</f>
        <v/>
      </c>
      <c r="T421" s="1055">
        <f>IF((ATAN((A421/pterm1)/(1-A421^2/pterm2))&gt;0),ATAN((A421/pterm1)/(1-A421^2/pterm2)),PI()+ATAN((A421/pterm1)/(1-A421^2/pterm2)))</f>
        <v/>
      </c>
      <c r="U421" s="331">
        <f>20*LOG10(((E421*K421*G421*O421)/(C421*I421*S421*M421*Q421))*Adc)</f>
        <v/>
      </c>
      <c r="V421" s="332">
        <f>((F421+L421+H421+P421)-(D421+J421+T421+N421+R421))*radconv</f>
        <v/>
      </c>
      <c r="W421" s="334">
        <f>IF(V421&gt;0,V421,V421+180)</f>
        <v/>
      </c>
      <c r="Y421" s="307">
        <f>IF(U421&lt;0,A421,1000000000)</f>
        <v/>
      </c>
      <c r="Z421" s="307">
        <f>A421^2</f>
        <v/>
      </c>
      <c r="AB421" s="333">
        <f>20*LOG10((K421/(I421*M421))*AEA)</f>
        <v/>
      </c>
      <c r="AC421" s="334">
        <f>(L421-(J421+N421))*radconv</f>
        <v/>
      </c>
      <c r="AE421" s="333">
        <f>20*LOG10((E421*G421/(C421*S421))*Acs*Am)</f>
        <v/>
      </c>
      <c r="AF421" s="334">
        <f>(F421+H421-(D421+T421))*radconv</f>
        <v/>
      </c>
      <c r="AH421">
        <f>SUM((U422&lt;0)*(U421&gt;0))*A421</f>
        <v/>
      </c>
      <c r="AI421">
        <f>IF(AH421&gt;0,W421,0)</f>
        <v/>
      </c>
    </row>
    <row r="422">
      <c r="A422" s="335" t="n">
        <v>40975.25</v>
      </c>
      <c r="B422" s="352">
        <f>A422/1000</f>
        <v/>
      </c>
      <c r="C422" s="1047">
        <f>SQRT(1+(A422/pole1)^2)</f>
        <v/>
      </c>
      <c r="D422" s="1048">
        <f>ATAN(A422/pole1)</f>
        <v/>
      </c>
      <c r="E422" s="1048">
        <f>SQRT(1+(A422/Zero1)^2)</f>
        <v/>
      </c>
      <c r="F422" s="1049">
        <f>ATAN(A422/Zero1)</f>
        <v/>
      </c>
      <c r="G422" s="1048">
        <f>IF(VIN_nom&gt;Vout, 1, SQRT(1+(A422/z_RHP)^2))</f>
        <v/>
      </c>
      <c r="H422" s="1049">
        <f>IF(VIN_nom&gt;Vout, 0, -ATAN(A422/z_RHP))</f>
        <v/>
      </c>
      <c r="I422" s="1047">
        <f>SQRT(1+(A422/Pole2)^2)</f>
        <v/>
      </c>
      <c r="J422" s="1050">
        <f>ATAN(A422/Pole2)</f>
        <v/>
      </c>
      <c r="K422" s="1056">
        <f>SQRT(1+(A422/Zero2)^2)</f>
        <v/>
      </c>
      <c r="L422" s="1057">
        <f>ATAN(A422/Zero2)</f>
        <v/>
      </c>
      <c r="M422" s="1047">
        <f>SQRT(1+(A422/pole4)^2)</f>
        <v/>
      </c>
      <c r="N422" s="1057">
        <f>ATAN(A422/pole4)</f>
        <v/>
      </c>
      <c r="O422" s="1058">
        <f>IF(VOUT_setting=1,1,SQRT(1+(A422*zterm1)^2))</f>
        <v/>
      </c>
      <c r="P422" s="1059">
        <f>IF(VOUT_setting=1,0,ATAN(((A422*zterm1))))</f>
        <v/>
      </c>
      <c r="Q422" s="1056">
        <f>IF(VOUT_setting=1,1,SQRT((1+Afbr-$Q$5*(A422)^2)^2+(A422*$Q$4)^2))</f>
        <v/>
      </c>
      <c r="R422" s="1060">
        <f>IF(VOUT_setting=1,0,ATAN(A422*$Q$4/(1+Afbr-$Q$5*(A422)^2)))</f>
        <v/>
      </c>
      <c r="S422" s="1054">
        <f>SQRT((1-(Z422/pterm2))^2+(A422/pterm1)^2)</f>
        <v/>
      </c>
      <c r="T422" s="1055">
        <f>IF((ATAN((A422/pterm1)/(1-A422^2/pterm2))&gt;0),ATAN((A422/pterm1)/(1-A422^2/pterm2)),PI()+ATAN((A422/pterm1)/(1-A422^2/pterm2)))</f>
        <v/>
      </c>
      <c r="U422" s="331">
        <f>20*LOG10(((E422*K422*G422*O422)/(C422*I422*S422*M422*Q422))*Adc)</f>
        <v/>
      </c>
      <c r="V422" s="332">
        <f>((F422+L422+H422+P422)-(D422+J422+T422+N422+R422))*radconv</f>
        <v/>
      </c>
      <c r="W422" s="334">
        <f>IF(V422&gt;0,V422,V422+180)</f>
        <v/>
      </c>
      <c r="Y422" s="307">
        <f>IF(U422&lt;0,A422,1000000000)</f>
        <v/>
      </c>
      <c r="Z422" s="307">
        <f>A422^2</f>
        <v/>
      </c>
      <c r="AB422" s="333">
        <f>20*LOG10((K422/(I422*M422))*AEA)</f>
        <v/>
      </c>
      <c r="AC422" s="334">
        <f>(L422-(J422+N422))*radconv</f>
        <v/>
      </c>
      <c r="AE422" s="333">
        <f>20*LOG10((E422*G422/(C422*S422))*Acs*Am)</f>
        <v/>
      </c>
      <c r="AF422" s="334">
        <f>(F422+H422-(D422+T422))*radconv</f>
        <v/>
      </c>
      <c r="AH422">
        <f>SUM((U423&lt;0)*(U422&gt;0))*A422</f>
        <v/>
      </c>
      <c r="AI422">
        <f>IF(AH422&gt;0,W422,0)</f>
        <v/>
      </c>
    </row>
    <row r="423">
      <c r="A423" s="335" t="n">
        <v>41212.5</v>
      </c>
      <c r="B423" s="352">
        <f>A423/1000</f>
        <v/>
      </c>
      <c r="C423" s="1047">
        <f>SQRT(1+(A423/pole1)^2)</f>
        <v/>
      </c>
      <c r="D423" s="1048">
        <f>ATAN(A423/pole1)</f>
        <v/>
      </c>
      <c r="E423" s="1048">
        <f>SQRT(1+(A423/Zero1)^2)</f>
        <v/>
      </c>
      <c r="F423" s="1049">
        <f>ATAN(A423/Zero1)</f>
        <v/>
      </c>
      <c r="G423" s="1048">
        <f>IF(VIN_nom&gt;Vout, 1, SQRT(1+(A423/z_RHP)^2))</f>
        <v/>
      </c>
      <c r="H423" s="1049">
        <f>IF(VIN_nom&gt;Vout, 0, -ATAN(A423/z_RHP))</f>
        <v/>
      </c>
      <c r="I423" s="1047">
        <f>SQRT(1+(A423/Pole2)^2)</f>
        <v/>
      </c>
      <c r="J423" s="1050">
        <f>ATAN(A423/Pole2)</f>
        <v/>
      </c>
      <c r="K423" s="1056">
        <f>SQRT(1+(A423/Zero2)^2)</f>
        <v/>
      </c>
      <c r="L423" s="1057">
        <f>ATAN(A423/Zero2)</f>
        <v/>
      </c>
      <c r="M423" s="1047">
        <f>SQRT(1+(A423/pole4)^2)</f>
        <v/>
      </c>
      <c r="N423" s="1057">
        <f>ATAN(A423/pole4)</f>
        <v/>
      </c>
      <c r="O423" s="1058">
        <f>IF(VOUT_setting=1,1,SQRT(1+(A423*zterm1)^2))</f>
        <v/>
      </c>
      <c r="P423" s="1059">
        <f>IF(VOUT_setting=1,0,ATAN(((A423*zterm1))))</f>
        <v/>
      </c>
      <c r="Q423" s="1056">
        <f>IF(VOUT_setting=1,1,SQRT((1+Afbr-$Q$5*(A423)^2)^2+(A423*$Q$4)^2))</f>
        <v/>
      </c>
      <c r="R423" s="1060">
        <f>IF(VOUT_setting=1,0,ATAN(A423*$Q$4/(1+Afbr-$Q$5*(A423)^2)))</f>
        <v/>
      </c>
      <c r="S423" s="1054">
        <f>SQRT((1-(Z423/pterm2))^2+(A423/pterm1)^2)</f>
        <v/>
      </c>
      <c r="T423" s="1055">
        <f>IF((ATAN((A423/pterm1)/(1-A423^2/pterm2))&gt;0),ATAN((A423/pterm1)/(1-A423^2/pterm2)),PI()+ATAN((A423/pterm1)/(1-A423^2/pterm2)))</f>
        <v/>
      </c>
      <c r="U423" s="331">
        <f>20*LOG10(((E423*K423*G423*O423)/(C423*I423*S423*M423*Q423))*Adc)</f>
        <v/>
      </c>
      <c r="V423" s="332">
        <f>((F423+L423+H423+P423)-(D423+J423+T423+N423+R423))*radconv</f>
        <v/>
      </c>
      <c r="W423" s="334">
        <f>IF(V423&gt;0,V423,V423+180)</f>
        <v/>
      </c>
      <c r="Y423" s="307">
        <f>IF(U423&lt;0,A423,1000000000)</f>
        <v/>
      </c>
      <c r="Z423" s="307">
        <f>A423^2</f>
        <v/>
      </c>
      <c r="AB423" s="333">
        <f>20*LOG10((K423/(I423*M423))*AEA)</f>
        <v/>
      </c>
      <c r="AC423" s="334">
        <f>(L423-(J423+N423))*radconv</f>
        <v/>
      </c>
      <c r="AE423" s="333">
        <f>20*LOG10((E423*G423/(C423*S423))*Acs*Am)</f>
        <v/>
      </c>
      <c r="AF423" s="334">
        <f>(F423+H423-(D423+T423))*radconv</f>
        <v/>
      </c>
      <c r="AH423">
        <f>SUM((U424&lt;0)*(U423&gt;0))*A423</f>
        <v/>
      </c>
      <c r="AI423">
        <f>IF(AH423&gt;0,W423,0)</f>
        <v/>
      </c>
    </row>
    <row r="424">
      <c r="A424" s="335" t="n">
        <v>41449.75</v>
      </c>
      <c r="B424" s="352">
        <f>A424/1000</f>
        <v/>
      </c>
      <c r="C424" s="1047">
        <f>SQRT(1+(A424/pole1)^2)</f>
        <v/>
      </c>
      <c r="D424" s="1048">
        <f>ATAN(A424/pole1)</f>
        <v/>
      </c>
      <c r="E424" s="1048">
        <f>SQRT(1+(A424/Zero1)^2)</f>
        <v/>
      </c>
      <c r="F424" s="1049">
        <f>ATAN(A424/Zero1)</f>
        <v/>
      </c>
      <c r="G424" s="1048">
        <f>IF(VIN_nom&gt;Vout, 1, SQRT(1+(A424/z_RHP)^2))</f>
        <v/>
      </c>
      <c r="H424" s="1049">
        <f>IF(VIN_nom&gt;Vout, 0, -ATAN(A424/z_RHP))</f>
        <v/>
      </c>
      <c r="I424" s="1047">
        <f>SQRT(1+(A424/Pole2)^2)</f>
        <v/>
      </c>
      <c r="J424" s="1050">
        <f>ATAN(A424/Pole2)</f>
        <v/>
      </c>
      <c r="K424" s="1056">
        <f>SQRT(1+(A424/Zero2)^2)</f>
        <v/>
      </c>
      <c r="L424" s="1057">
        <f>ATAN(A424/Zero2)</f>
        <v/>
      </c>
      <c r="M424" s="1047">
        <f>SQRT(1+(A424/pole4)^2)</f>
        <v/>
      </c>
      <c r="N424" s="1057">
        <f>ATAN(A424/pole4)</f>
        <v/>
      </c>
      <c r="O424" s="1058">
        <f>IF(VOUT_setting=1,1,SQRT(1+(A424*zterm1)^2))</f>
        <v/>
      </c>
      <c r="P424" s="1059">
        <f>IF(VOUT_setting=1,0,ATAN(((A424*zterm1))))</f>
        <v/>
      </c>
      <c r="Q424" s="1056">
        <f>IF(VOUT_setting=1,1,SQRT((1+Afbr-$Q$5*(A424)^2)^2+(A424*$Q$4)^2))</f>
        <v/>
      </c>
      <c r="R424" s="1060">
        <f>IF(VOUT_setting=1,0,ATAN(A424*$Q$4/(1+Afbr-$Q$5*(A424)^2)))</f>
        <v/>
      </c>
      <c r="S424" s="1054">
        <f>SQRT((1-(Z424/pterm2))^2+(A424/pterm1)^2)</f>
        <v/>
      </c>
      <c r="T424" s="1055">
        <f>IF((ATAN((A424/pterm1)/(1-A424^2/pterm2))&gt;0),ATAN((A424/pterm1)/(1-A424^2/pterm2)),PI()+ATAN((A424/pterm1)/(1-A424^2/pterm2)))</f>
        <v/>
      </c>
      <c r="U424" s="331">
        <f>20*LOG10(((E424*K424*G424*O424)/(C424*I424*S424*M424*Q424))*Adc)</f>
        <v/>
      </c>
      <c r="V424" s="332">
        <f>((F424+L424+H424+P424)-(D424+J424+T424+N424+R424))*radconv</f>
        <v/>
      </c>
      <c r="W424" s="334">
        <f>IF(V424&gt;0,V424,V424+180)</f>
        <v/>
      </c>
      <c r="Y424" s="307">
        <f>IF(U424&lt;0,A424,1000000000)</f>
        <v/>
      </c>
      <c r="Z424" s="307">
        <f>A424^2</f>
        <v/>
      </c>
      <c r="AB424" s="333">
        <f>20*LOG10((K424/(I424*M424))*AEA)</f>
        <v/>
      </c>
      <c r="AC424" s="334">
        <f>(L424-(J424+N424))*radconv</f>
        <v/>
      </c>
      <c r="AE424" s="333">
        <f>20*LOG10((E424*G424/(C424*S424))*Acs*Am)</f>
        <v/>
      </c>
      <c r="AF424" s="334">
        <f>(F424+H424-(D424+T424))*radconv</f>
        <v/>
      </c>
      <c r="AH424">
        <f>SUM((U425&lt;0)*(U424&gt;0))*A424</f>
        <v/>
      </c>
      <c r="AI424">
        <f>IF(AH424&gt;0,W424,0)</f>
        <v/>
      </c>
    </row>
    <row r="425">
      <c r="A425" s="335" t="n">
        <v>41687</v>
      </c>
      <c r="B425" s="352">
        <f>A425/1000</f>
        <v/>
      </c>
      <c r="C425" s="1047">
        <f>SQRT(1+(A425/pole1)^2)</f>
        <v/>
      </c>
      <c r="D425" s="1048">
        <f>ATAN(A425/pole1)</f>
        <v/>
      </c>
      <c r="E425" s="1048">
        <f>SQRT(1+(A425/Zero1)^2)</f>
        <v/>
      </c>
      <c r="F425" s="1049">
        <f>ATAN(A425/Zero1)</f>
        <v/>
      </c>
      <c r="G425" s="1048">
        <f>IF(VIN_nom&gt;Vout, 1, SQRT(1+(A425/z_RHP)^2))</f>
        <v/>
      </c>
      <c r="H425" s="1049">
        <f>IF(VIN_nom&gt;Vout, 0, -ATAN(A425/z_RHP))</f>
        <v/>
      </c>
      <c r="I425" s="1047">
        <f>SQRT(1+(A425/Pole2)^2)</f>
        <v/>
      </c>
      <c r="J425" s="1050">
        <f>ATAN(A425/Pole2)</f>
        <v/>
      </c>
      <c r="K425" s="1056">
        <f>SQRT(1+(A425/Zero2)^2)</f>
        <v/>
      </c>
      <c r="L425" s="1057">
        <f>ATAN(A425/Zero2)</f>
        <v/>
      </c>
      <c r="M425" s="1047">
        <f>SQRT(1+(A425/pole4)^2)</f>
        <v/>
      </c>
      <c r="N425" s="1057">
        <f>ATAN(A425/pole4)</f>
        <v/>
      </c>
      <c r="O425" s="1058">
        <f>IF(VOUT_setting=1,1,SQRT(1+(A425*zterm1)^2))</f>
        <v/>
      </c>
      <c r="P425" s="1059">
        <f>IF(VOUT_setting=1,0,ATAN(((A425*zterm1))))</f>
        <v/>
      </c>
      <c r="Q425" s="1056">
        <f>IF(VOUT_setting=1,1,SQRT((1+Afbr-$Q$5*(A425)^2)^2+(A425*$Q$4)^2))</f>
        <v/>
      </c>
      <c r="R425" s="1060">
        <f>IF(VOUT_setting=1,0,ATAN(A425*$Q$4/(1+Afbr-$Q$5*(A425)^2)))</f>
        <v/>
      </c>
      <c r="S425" s="1054">
        <f>SQRT((1-(Z425/pterm2))^2+(A425/pterm1)^2)</f>
        <v/>
      </c>
      <c r="T425" s="1055">
        <f>IF((ATAN((A425/pterm1)/(1-A425^2/pterm2))&gt;0),ATAN((A425/pterm1)/(1-A425^2/pterm2)),PI()+ATAN((A425/pterm1)/(1-A425^2/pterm2)))</f>
        <v/>
      </c>
      <c r="U425" s="331">
        <f>20*LOG10(((E425*K425*G425*O425)/(C425*I425*S425*M425*Q425))*Adc)</f>
        <v/>
      </c>
      <c r="V425" s="332">
        <f>((F425+L425+H425+P425)-(D425+J425+T425+N425+R425))*radconv</f>
        <v/>
      </c>
      <c r="W425" s="334">
        <f>IF(V425&gt;0,V425,V425+180)</f>
        <v/>
      </c>
      <c r="Y425" s="307">
        <f>IF(U425&lt;0,A425,1000000000)</f>
        <v/>
      </c>
      <c r="Z425" s="307">
        <f>A425^2</f>
        <v/>
      </c>
      <c r="AB425" s="333">
        <f>20*LOG10((K425/(I425*M425))*AEA)</f>
        <v/>
      </c>
      <c r="AC425" s="334">
        <f>(L425-(J425+N425))*radconv</f>
        <v/>
      </c>
      <c r="AE425" s="333">
        <f>20*LOG10((E425*G425/(C425*S425))*Acs*Am)</f>
        <v/>
      </c>
      <c r="AF425" s="334">
        <f>(F425+H425-(D425+T425))*radconv</f>
        <v/>
      </c>
      <c r="AH425">
        <f>SUM((U426&lt;0)*(U425&gt;0))*A425</f>
        <v/>
      </c>
      <c r="AI425">
        <f>IF(AH425&gt;0,W425,0)</f>
        <v/>
      </c>
    </row>
    <row r="426">
      <c r="A426" s="335" t="n">
        <v>41929.75</v>
      </c>
      <c r="B426" s="352">
        <f>A426/1000</f>
        <v/>
      </c>
      <c r="C426" s="1047">
        <f>SQRT(1+(A426/pole1)^2)</f>
        <v/>
      </c>
      <c r="D426" s="1048">
        <f>ATAN(A426/pole1)</f>
        <v/>
      </c>
      <c r="E426" s="1048">
        <f>SQRT(1+(A426/Zero1)^2)</f>
        <v/>
      </c>
      <c r="F426" s="1049">
        <f>ATAN(A426/Zero1)</f>
        <v/>
      </c>
      <c r="G426" s="1048">
        <f>IF(VIN_nom&gt;Vout, 1, SQRT(1+(A426/z_RHP)^2))</f>
        <v/>
      </c>
      <c r="H426" s="1049">
        <f>IF(VIN_nom&gt;Vout, 0, -ATAN(A426/z_RHP))</f>
        <v/>
      </c>
      <c r="I426" s="1047">
        <f>SQRT(1+(A426/Pole2)^2)</f>
        <v/>
      </c>
      <c r="J426" s="1050">
        <f>ATAN(A426/Pole2)</f>
        <v/>
      </c>
      <c r="K426" s="1056">
        <f>SQRT(1+(A426/Zero2)^2)</f>
        <v/>
      </c>
      <c r="L426" s="1057">
        <f>ATAN(A426/Zero2)</f>
        <v/>
      </c>
      <c r="M426" s="1047">
        <f>SQRT(1+(A426/pole4)^2)</f>
        <v/>
      </c>
      <c r="N426" s="1057">
        <f>ATAN(A426/pole4)</f>
        <v/>
      </c>
      <c r="O426" s="1058">
        <f>IF(VOUT_setting=1,1,SQRT(1+(A426*zterm1)^2))</f>
        <v/>
      </c>
      <c r="P426" s="1059">
        <f>IF(VOUT_setting=1,0,ATAN(((A426*zterm1))))</f>
        <v/>
      </c>
      <c r="Q426" s="1056">
        <f>IF(VOUT_setting=1,1,SQRT((1+Afbr-$Q$5*(A426)^2)^2+(A426*$Q$4)^2))</f>
        <v/>
      </c>
      <c r="R426" s="1060">
        <f>IF(VOUT_setting=1,0,ATAN(A426*$Q$4/(1+Afbr-$Q$5*(A426)^2)))</f>
        <v/>
      </c>
      <c r="S426" s="1054">
        <f>SQRT((1-(Z426/pterm2))^2+(A426/pterm1)^2)</f>
        <v/>
      </c>
      <c r="T426" s="1055">
        <f>IF((ATAN((A426/pterm1)/(1-A426^2/pterm2))&gt;0),ATAN((A426/pterm1)/(1-A426^2/pterm2)),PI()+ATAN((A426/pterm1)/(1-A426^2/pterm2)))</f>
        <v/>
      </c>
      <c r="U426" s="331">
        <f>20*LOG10(((E426*K426*G426*O426)/(C426*I426*S426*M426*Q426))*Adc)</f>
        <v/>
      </c>
      <c r="V426" s="332">
        <f>((F426+L426+H426+P426)-(D426+J426+T426+N426+R426))*radconv</f>
        <v/>
      </c>
      <c r="W426" s="334">
        <f>IF(V426&gt;0,V426,V426+180)</f>
        <v/>
      </c>
      <c r="Y426" s="307">
        <f>IF(U426&lt;0,A426,1000000000)</f>
        <v/>
      </c>
      <c r="Z426" s="307">
        <f>A426^2</f>
        <v/>
      </c>
      <c r="AB426" s="333">
        <f>20*LOG10((K426/(I426*M426))*AEA)</f>
        <v/>
      </c>
      <c r="AC426" s="334">
        <f>(L426-(J426+N426))*radconv</f>
        <v/>
      </c>
      <c r="AE426" s="333">
        <f>20*LOG10((E426*G426/(C426*S426))*Acs*Am)</f>
        <v/>
      </c>
      <c r="AF426" s="334">
        <f>(F426+H426-(D426+T426))*radconv</f>
        <v/>
      </c>
      <c r="AH426">
        <f>SUM((U427&lt;0)*(U426&gt;0))*A426</f>
        <v/>
      </c>
      <c r="AI426">
        <f>IF(AH426&gt;0,W426,0)</f>
        <v/>
      </c>
    </row>
    <row r="427">
      <c r="A427" s="335" t="n">
        <v>42172.5</v>
      </c>
      <c r="B427" s="352">
        <f>A427/1000</f>
        <v/>
      </c>
      <c r="C427" s="1047">
        <f>SQRT(1+(A427/pole1)^2)</f>
        <v/>
      </c>
      <c r="D427" s="1048">
        <f>ATAN(A427/pole1)</f>
        <v/>
      </c>
      <c r="E427" s="1048">
        <f>SQRT(1+(A427/Zero1)^2)</f>
        <v/>
      </c>
      <c r="F427" s="1049">
        <f>ATAN(A427/Zero1)</f>
        <v/>
      </c>
      <c r="G427" s="1048">
        <f>IF(VIN_nom&gt;Vout, 1, SQRT(1+(A427/z_RHP)^2))</f>
        <v/>
      </c>
      <c r="H427" s="1049">
        <f>IF(VIN_nom&gt;Vout, 0, -ATAN(A427/z_RHP))</f>
        <v/>
      </c>
      <c r="I427" s="1047">
        <f>SQRT(1+(A427/Pole2)^2)</f>
        <v/>
      </c>
      <c r="J427" s="1050">
        <f>ATAN(A427/Pole2)</f>
        <v/>
      </c>
      <c r="K427" s="1056">
        <f>SQRT(1+(A427/Zero2)^2)</f>
        <v/>
      </c>
      <c r="L427" s="1057">
        <f>ATAN(A427/Zero2)</f>
        <v/>
      </c>
      <c r="M427" s="1047">
        <f>SQRT(1+(A427/pole4)^2)</f>
        <v/>
      </c>
      <c r="N427" s="1057">
        <f>ATAN(A427/pole4)</f>
        <v/>
      </c>
      <c r="O427" s="1058">
        <f>IF(VOUT_setting=1,1,SQRT(1+(A427*zterm1)^2))</f>
        <v/>
      </c>
      <c r="P427" s="1059">
        <f>IF(VOUT_setting=1,0,ATAN(((A427*zterm1))))</f>
        <v/>
      </c>
      <c r="Q427" s="1056">
        <f>IF(VOUT_setting=1,1,SQRT((1+Afbr-$Q$5*(A427)^2)^2+(A427*$Q$4)^2))</f>
        <v/>
      </c>
      <c r="R427" s="1060">
        <f>IF(VOUT_setting=1,0,ATAN(A427*$Q$4/(1+Afbr-$Q$5*(A427)^2)))</f>
        <v/>
      </c>
      <c r="S427" s="1054">
        <f>SQRT((1-(Z427/pterm2))^2+(A427/pterm1)^2)</f>
        <v/>
      </c>
      <c r="T427" s="1055">
        <f>IF((ATAN((A427/pterm1)/(1-A427^2/pterm2))&gt;0),ATAN((A427/pterm1)/(1-A427^2/pterm2)),PI()+ATAN((A427/pterm1)/(1-A427^2/pterm2)))</f>
        <v/>
      </c>
      <c r="U427" s="331">
        <f>20*LOG10(((E427*K427*G427*O427)/(C427*I427*S427*M427*Q427))*Adc)</f>
        <v/>
      </c>
      <c r="V427" s="332">
        <f>((F427+L427+H427+P427)-(D427+J427+T427+N427+R427))*radconv</f>
        <v/>
      </c>
      <c r="W427" s="334">
        <f>IF(V427&gt;0,V427,V427+180)</f>
        <v/>
      </c>
      <c r="Y427" s="307">
        <f>IF(U427&lt;0,A427,1000000000)</f>
        <v/>
      </c>
      <c r="Z427" s="307">
        <f>A427^2</f>
        <v/>
      </c>
      <c r="AB427" s="333">
        <f>20*LOG10((K427/(I427*M427))*AEA)</f>
        <v/>
      </c>
      <c r="AC427" s="334">
        <f>(L427-(J427+N427))*radconv</f>
        <v/>
      </c>
      <c r="AE427" s="333">
        <f>20*LOG10((E427*G427/(C427*S427))*Acs*Am)</f>
        <v/>
      </c>
      <c r="AF427" s="334">
        <f>(F427+H427-(D427+T427))*radconv</f>
        <v/>
      </c>
      <c r="AH427">
        <f>SUM((U428&lt;0)*(U427&gt;0))*A427</f>
        <v/>
      </c>
      <c r="AI427">
        <f>IF(AH427&gt;0,W427,0)</f>
        <v/>
      </c>
    </row>
    <row r="428">
      <c r="A428" s="335" t="n">
        <v>42415.25</v>
      </c>
      <c r="B428" s="352">
        <f>A428/1000</f>
        <v/>
      </c>
      <c r="C428" s="1047">
        <f>SQRT(1+(A428/pole1)^2)</f>
        <v/>
      </c>
      <c r="D428" s="1048">
        <f>ATAN(A428/pole1)</f>
        <v/>
      </c>
      <c r="E428" s="1048">
        <f>SQRT(1+(A428/Zero1)^2)</f>
        <v/>
      </c>
      <c r="F428" s="1049">
        <f>ATAN(A428/Zero1)</f>
        <v/>
      </c>
      <c r="G428" s="1048">
        <f>IF(VIN_nom&gt;Vout, 1, SQRT(1+(A428/z_RHP)^2))</f>
        <v/>
      </c>
      <c r="H428" s="1049">
        <f>IF(VIN_nom&gt;Vout, 0, -ATAN(A428/z_RHP))</f>
        <v/>
      </c>
      <c r="I428" s="1047">
        <f>SQRT(1+(A428/Pole2)^2)</f>
        <v/>
      </c>
      <c r="J428" s="1050">
        <f>ATAN(A428/Pole2)</f>
        <v/>
      </c>
      <c r="K428" s="1056">
        <f>SQRT(1+(A428/Zero2)^2)</f>
        <v/>
      </c>
      <c r="L428" s="1057">
        <f>ATAN(A428/Zero2)</f>
        <v/>
      </c>
      <c r="M428" s="1047">
        <f>SQRT(1+(A428/pole4)^2)</f>
        <v/>
      </c>
      <c r="N428" s="1057">
        <f>ATAN(A428/pole4)</f>
        <v/>
      </c>
      <c r="O428" s="1058">
        <f>IF(VOUT_setting=1,1,SQRT(1+(A428*zterm1)^2))</f>
        <v/>
      </c>
      <c r="P428" s="1059">
        <f>IF(VOUT_setting=1,0,ATAN(((A428*zterm1))))</f>
        <v/>
      </c>
      <c r="Q428" s="1056">
        <f>IF(VOUT_setting=1,1,SQRT((1+Afbr-$Q$5*(A428)^2)^2+(A428*$Q$4)^2))</f>
        <v/>
      </c>
      <c r="R428" s="1060">
        <f>IF(VOUT_setting=1,0,ATAN(A428*$Q$4/(1+Afbr-$Q$5*(A428)^2)))</f>
        <v/>
      </c>
      <c r="S428" s="1054">
        <f>SQRT((1-(Z428/pterm2))^2+(A428/pterm1)^2)</f>
        <v/>
      </c>
      <c r="T428" s="1055">
        <f>IF((ATAN((A428/pterm1)/(1-A428^2/pterm2))&gt;0),ATAN((A428/pterm1)/(1-A428^2/pterm2)),PI()+ATAN((A428/pterm1)/(1-A428^2/pterm2)))</f>
        <v/>
      </c>
      <c r="U428" s="331">
        <f>20*LOG10(((E428*K428*G428*O428)/(C428*I428*S428*M428*Q428))*Adc)</f>
        <v/>
      </c>
      <c r="V428" s="332">
        <f>((F428+L428+H428+P428)-(D428+J428+T428+N428+R428))*radconv</f>
        <v/>
      </c>
      <c r="W428" s="334">
        <f>IF(V428&gt;0,V428,V428+180)</f>
        <v/>
      </c>
      <c r="Y428" s="307">
        <f>IF(U428&lt;0,A428,1000000000)</f>
        <v/>
      </c>
      <c r="Z428" s="307">
        <f>A428^2</f>
        <v/>
      </c>
      <c r="AB428" s="333">
        <f>20*LOG10((K428/(I428*M428))*AEA)</f>
        <v/>
      </c>
      <c r="AC428" s="334">
        <f>(L428-(J428+N428))*radconv</f>
        <v/>
      </c>
      <c r="AE428" s="333">
        <f>20*LOG10((E428*G428/(C428*S428))*Acs*Am)</f>
        <v/>
      </c>
      <c r="AF428" s="334">
        <f>(F428+H428-(D428+T428))*radconv</f>
        <v/>
      </c>
      <c r="AH428">
        <f>SUM((U429&lt;0)*(U428&gt;0))*A428</f>
        <v/>
      </c>
      <c r="AI428">
        <f>IF(AH428&gt;0,W428,0)</f>
        <v/>
      </c>
    </row>
    <row r="429">
      <c r="A429" s="335" t="n">
        <v>42658</v>
      </c>
      <c r="B429" s="352">
        <f>A429/1000</f>
        <v/>
      </c>
      <c r="C429" s="1047">
        <f>SQRT(1+(A429/pole1)^2)</f>
        <v/>
      </c>
      <c r="D429" s="1048">
        <f>ATAN(A429/pole1)</f>
        <v/>
      </c>
      <c r="E429" s="1048">
        <f>SQRT(1+(A429/Zero1)^2)</f>
        <v/>
      </c>
      <c r="F429" s="1049">
        <f>ATAN(A429/Zero1)</f>
        <v/>
      </c>
      <c r="G429" s="1048">
        <f>IF(VIN_nom&gt;Vout, 1, SQRT(1+(A429/z_RHP)^2))</f>
        <v/>
      </c>
      <c r="H429" s="1049">
        <f>IF(VIN_nom&gt;Vout, 0, -ATAN(A429/z_RHP))</f>
        <v/>
      </c>
      <c r="I429" s="1047">
        <f>SQRT(1+(A429/Pole2)^2)</f>
        <v/>
      </c>
      <c r="J429" s="1050">
        <f>ATAN(A429/Pole2)</f>
        <v/>
      </c>
      <c r="K429" s="1056">
        <f>SQRT(1+(A429/Zero2)^2)</f>
        <v/>
      </c>
      <c r="L429" s="1057">
        <f>ATAN(A429/Zero2)</f>
        <v/>
      </c>
      <c r="M429" s="1047">
        <f>SQRT(1+(A429/pole4)^2)</f>
        <v/>
      </c>
      <c r="N429" s="1057">
        <f>ATAN(A429/pole4)</f>
        <v/>
      </c>
      <c r="O429" s="1058">
        <f>IF(VOUT_setting=1,1,SQRT(1+(A429*zterm1)^2))</f>
        <v/>
      </c>
      <c r="P429" s="1059">
        <f>IF(VOUT_setting=1,0,ATAN(((A429*zterm1))))</f>
        <v/>
      </c>
      <c r="Q429" s="1056">
        <f>IF(VOUT_setting=1,1,SQRT((1+Afbr-$Q$5*(A429)^2)^2+(A429*$Q$4)^2))</f>
        <v/>
      </c>
      <c r="R429" s="1060">
        <f>IF(VOUT_setting=1,0,ATAN(A429*$Q$4/(1+Afbr-$Q$5*(A429)^2)))</f>
        <v/>
      </c>
      <c r="S429" s="1054">
        <f>SQRT((1-(Z429/pterm2))^2+(A429/pterm1)^2)</f>
        <v/>
      </c>
      <c r="T429" s="1055">
        <f>IF((ATAN((A429/pterm1)/(1-A429^2/pterm2))&gt;0),ATAN((A429/pterm1)/(1-A429^2/pterm2)),PI()+ATAN((A429/pterm1)/(1-A429^2/pterm2)))</f>
        <v/>
      </c>
      <c r="U429" s="331">
        <f>20*LOG10(((E429*K429*G429*O429)/(C429*I429*S429*M429*Q429))*Adc)</f>
        <v/>
      </c>
      <c r="V429" s="332">
        <f>((F429+L429+H429+P429)-(D429+J429+T429+N429+R429))*radconv</f>
        <v/>
      </c>
      <c r="W429" s="334">
        <f>IF(V429&gt;0,V429,V429+180)</f>
        <v/>
      </c>
      <c r="Y429" s="307">
        <f>IF(U429&lt;0,A429,1000000000)</f>
        <v/>
      </c>
      <c r="Z429" s="307">
        <f>A429^2</f>
        <v/>
      </c>
      <c r="AB429" s="333">
        <f>20*LOG10((K429/(I429*M429))*AEA)</f>
        <v/>
      </c>
      <c r="AC429" s="334">
        <f>(L429-(J429+N429))*radconv</f>
        <v/>
      </c>
      <c r="AE429" s="333">
        <f>20*LOG10((E429*G429/(C429*S429))*Acs*Am)</f>
        <v/>
      </c>
      <c r="AF429" s="334">
        <f>(F429+H429-(D429+T429))*radconv</f>
        <v/>
      </c>
      <c r="AH429">
        <f>SUM((U430&lt;0)*(U429&gt;0))*A429</f>
        <v/>
      </c>
      <c r="AI429">
        <f>IF(AH429&gt;0,W429,0)</f>
        <v/>
      </c>
    </row>
    <row r="430">
      <c r="A430" s="335" t="n">
        <v>42906.5</v>
      </c>
      <c r="B430" s="352">
        <f>A430/1000</f>
        <v/>
      </c>
      <c r="C430" s="1047">
        <f>SQRT(1+(A430/pole1)^2)</f>
        <v/>
      </c>
      <c r="D430" s="1048">
        <f>ATAN(A430/pole1)</f>
        <v/>
      </c>
      <c r="E430" s="1048">
        <f>SQRT(1+(A430/Zero1)^2)</f>
        <v/>
      </c>
      <c r="F430" s="1049">
        <f>ATAN(A430/Zero1)</f>
        <v/>
      </c>
      <c r="G430" s="1048">
        <f>IF(VIN_nom&gt;Vout, 1, SQRT(1+(A430/z_RHP)^2))</f>
        <v/>
      </c>
      <c r="H430" s="1049">
        <f>IF(VIN_nom&gt;Vout, 0, -ATAN(A430/z_RHP))</f>
        <v/>
      </c>
      <c r="I430" s="1047">
        <f>SQRT(1+(A430/Pole2)^2)</f>
        <v/>
      </c>
      <c r="J430" s="1050">
        <f>ATAN(A430/Pole2)</f>
        <v/>
      </c>
      <c r="K430" s="1056">
        <f>SQRT(1+(A430/Zero2)^2)</f>
        <v/>
      </c>
      <c r="L430" s="1057">
        <f>ATAN(A430/Zero2)</f>
        <v/>
      </c>
      <c r="M430" s="1047">
        <f>SQRT(1+(A430/pole4)^2)</f>
        <v/>
      </c>
      <c r="N430" s="1057">
        <f>ATAN(A430/pole4)</f>
        <v/>
      </c>
      <c r="O430" s="1058">
        <f>IF(VOUT_setting=1,1,SQRT(1+(A430*zterm1)^2))</f>
        <v/>
      </c>
      <c r="P430" s="1059">
        <f>IF(VOUT_setting=1,0,ATAN(((A430*zterm1))))</f>
        <v/>
      </c>
      <c r="Q430" s="1056">
        <f>IF(VOUT_setting=1,1,SQRT((1+Afbr-$Q$5*(A430)^2)^2+(A430*$Q$4)^2))</f>
        <v/>
      </c>
      <c r="R430" s="1060">
        <f>IF(VOUT_setting=1,0,ATAN(A430*$Q$4/(1+Afbr-$Q$5*(A430)^2)))</f>
        <v/>
      </c>
      <c r="S430" s="1054">
        <f>SQRT((1-(Z430/pterm2))^2+(A430/pterm1)^2)</f>
        <v/>
      </c>
      <c r="T430" s="1055">
        <f>IF((ATAN((A430/pterm1)/(1-A430^2/pterm2))&gt;0),ATAN((A430/pterm1)/(1-A430^2/pterm2)),PI()+ATAN((A430/pterm1)/(1-A430^2/pterm2)))</f>
        <v/>
      </c>
      <c r="U430" s="331">
        <f>20*LOG10(((E430*K430*G430*O430)/(C430*I430*S430*M430*Q430))*Adc)</f>
        <v/>
      </c>
      <c r="V430" s="332">
        <f>((F430+L430+H430+P430)-(D430+J430+T430+N430+R430))*radconv</f>
        <v/>
      </c>
      <c r="W430" s="334">
        <f>IF(V430&gt;0,V430,V430+180)</f>
        <v/>
      </c>
      <c r="Y430" s="307">
        <f>IF(U430&lt;0,A430,1000000000)</f>
        <v/>
      </c>
      <c r="Z430" s="307">
        <f>A430^2</f>
        <v/>
      </c>
      <c r="AB430" s="333">
        <f>20*LOG10((K430/(I430*M430))*AEA)</f>
        <v/>
      </c>
      <c r="AC430" s="334">
        <f>(L430-(J430+N430))*radconv</f>
        <v/>
      </c>
      <c r="AE430" s="333">
        <f>20*LOG10((E430*G430/(C430*S430))*Acs*Am)</f>
        <v/>
      </c>
      <c r="AF430" s="334">
        <f>(F430+H430-(D430+T430))*radconv</f>
        <v/>
      </c>
      <c r="AH430">
        <f>SUM((U431&lt;0)*(U430&gt;0))*A430</f>
        <v/>
      </c>
      <c r="AI430">
        <f>IF(AH430&gt;0,W430,0)</f>
        <v/>
      </c>
    </row>
    <row r="431">
      <c r="A431" s="335" t="n">
        <v>43155</v>
      </c>
      <c r="B431" s="352">
        <f>A431/1000</f>
        <v/>
      </c>
      <c r="C431" s="1047">
        <f>SQRT(1+(A431/pole1)^2)</f>
        <v/>
      </c>
      <c r="D431" s="1048">
        <f>ATAN(A431/pole1)</f>
        <v/>
      </c>
      <c r="E431" s="1048">
        <f>SQRT(1+(A431/Zero1)^2)</f>
        <v/>
      </c>
      <c r="F431" s="1049">
        <f>ATAN(A431/Zero1)</f>
        <v/>
      </c>
      <c r="G431" s="1048">
        <f>IF(VIN_nom&gt;Vout, 1, SQRT(1+(A431/z_RHP)^2))</f>
        <v/>
      </c>
      <c r="H431" s="1049">
        <f>IF(VIN_nom&gt;Vout, 0, -ATAN(A431/z_RHP))</f>
        <v/>
      </c>
      <c r="I431" s="1047">
        <f>SQRT(1+(A431/Pole2)^2)</f>
        <v/>
      </c>
      <c r="J431" s="1050">
        <f>ATAN(A431/Pole2)</f>
        <v/>
      </c>
      <c r="K431" s="1056">
        <f>SQRT(1+(A431/Zero2)^2)</f>
        <v/>
      </c>
      <c r="L431" s="1057">
        <f>ATAN(A431/Zero2)</f>
        <v/>
      </c>
      <c r="M431" s="1047">
        <f>SQRT(1+(A431/pole4)^2)</f>
        <v/>
      </c>
      <c r="N431" s="1057">
        <f>ATAN(A431/pole4)</f>
        <v/>
      </c>
      <c r="O431" s="1058">
        <f>IF(VOUT_setting=1,1,SQRT(1+(A431*zterm1)^2))</f>
        <v/>
      </c>
      <c r="P431" s="1059">
        <f>IF(VOUT_setting=1,0,ATAN(((A431*zterm1))))</f>
        <v/>
      </c>
      <c r="Q431" s="1056">
        <f>IF(VOUT_setting=1,1,SQRT((1+Afbr-$Q$5*(A431)^2)^2+(A431*$Q$4)^2))</f>
        <v/>
      </c>
      <c r="R431" s="1060">
        <f>IF(VOUT_setting=1,0,ATAN(A431*$Q$4/(1+Afbr-$Q$5*(A431)^2)))</f>
        <v/>
      </c>
      <c r="S431" s="1054">
        <f>SQRT((1-(Z431/pterm2))^2+(A431/pterm1)^2)</f>
        <v/>
      </c>
      <c r="T431" s="1055">
        <f>IF((ATAN((A431/pterm1)/(1-A431^2/pterm2))&gt;0),ATAN((A431/pterm1)/(1-A431^2/pterm2)),PI()+ATAN((A431/pterm1)/(1-A431^2/pterm2)))</f>
        <v/>
      </c>
      <c r="U431" s="331">
        <f>20*LOG10(((E431*K431*G431*O431)/(C431*I431*S431*M431*Q431))*Adc)</f>
        <v/>
      </c>
      <c r="V431" s="332">
        <f>((F431+L431+H431+P431)-(D431+J431+T431+N431+R431))*radconv</f>
        <v/>
      </c>
      <c r="W431" s="334">
        <f>IF(V431&gt;0,V431,V431+180)</f>
        <v/>
      </c>
      <c r="Y431" s="307">
        <f>IF(U431&lt;0,A431,1000000000)</f>
        <v/>
      </c>
      <c r="Z431" s="307">
        <f>A431^2</f>
        <v/>
      </c>
      <c r="AB431" s="333">
        <f>20*LOG10((K431/(I431*M431))*AEA)</f>
        <v/>
      </c>
      <c r="AC431" s="334">
        <f>(L431-(J431+N431))*radconv</f>
        <v/>
      </c>
      <c r="AE431" s="333">
        <f>20*LOG10((E431*G431/(C431*S431))*Acs*Am)</f>
        <v/>
      </c>
      <c r="AF431" s="334">
        <f>(F431+H431-(D431+T431))*radconv</f>
        <v/>
      </c>
      <c r="AH431">
        <f>SUM((U432&lt;0)*(U431&gt;0))*A431</f>
        <v/>
      </c>
      <c r="AI431">
        <f>IF(AH431&gt;0,W431,0)</f>
        <v/>
      </c>
    </row>
    <row r="432">
      <c r="A432" s="335" t="n">
        <v>43403.5</v>
      </c>
      <c r="B432" s="352">
        <f>A432/1000</f>
        <v/>
      </c>
      <c r="C432" s="1047">
        <f>SQRT(1+(A432/pole1)^2)</f>
        <v/>
      </c>
      <c r="D432" s="1048">
        <f>ATAN(A432/pole1)</f>
        <v/>
      </c>
      <c r="E432" s="1048">
        <f>SQRT(1+(A432/Zero1)^2)</f>
        <v/>
      </c>
      <c r="F432" s="1049">
        <f>ATAN(A432/Zero1)</f>
        <v/>
      </c>
      <c r="G432" s="1048">
        <f>IF(VIN_nom&gt;Vout, 1, SQRT(1+(A432/z_RHP)^2))</f>
        <v/>
      </c>
      <c r="H432" s="1049">
        <f>IF(VIN_nom&gt;Vout, 0, -ATAN(A432/z_RHP))</f>
        <v/>
      </c>
      <c r="I432" s="1047">
        <f>SQRT(1+(A432/Pole2)^2)</f>
        <v/>
      </c>
      <c r="J432" s="1050">
        <f>ATAN(A432/Pole2)</f>
        <v/>
      </c>
      <c r="K432" s="1056">
        <f>SQRT(1+(A432/Zero2)^2)</f>
        <v/>
      </c>
      <c r="L432" s="1057">
        <f>ATAN(A432/Zero2)</f>
        <v/>
      </c>
      <c r="M432" s="1047">
        <f>SQRT(1+(A432/pole4)^2)</f>
        <v/>
      </c>
      <c r="N432" s="1057">
        <f>ATAN(A432/pole4)</f>
        <v/>
      </c>
      <c r="O432" s="1058">
        <f>IF(VOUT_setting=1,1,SQRT(1+(A432*zterm1)^2))</f>
        <v/>
      </c>
      <c r="P432" s="1059">
        <f>IF(VOUT_setting=1,0,ATAN(((A432*zterm1))))</f>
        <v/>
      </c>
      <c r="Q432" s="1056">
        <f>IF(VOUT_setting=1,1,SQRT((1+Afbr-$Q$5*(A432)^2)^2+(A432*$Q$4)^2))</f>
        <v/>
      </c>
      <c r="R432" s="1060">
        <f>IF(VOUT_setting=1,0,ATAN(A432*$Q$4/(1+Afbr-$Q$5*(A432)^2)))</f>
        <v/>
      </c>
      <c r="S432" s="1054">
        <f>SQRT((1-(Z432/pterm2))^2+(A432/pterm1)^2)</f>
        <v/>
      </c>
      <c r="T432" s="1055">
        <f>IF((ATAN((A432/pterm1)/(1-A432^2/pterm2))&gt;0),ATAN((A432/pterm1)/(1-A432^2/pterm2)),PI()+ATAN((A432/pterm1)/(1-A432^2/pterm2)))</f>
        <v/>
      </c>
      <c r="U432" s="331">
        <f>20*LOG10(((E432*K432*G432*O432)/(C432*I432*S432*M432*Q432))*Adc)</f>
        <v/>
      </c>
      <c r="V432" s="332">
        <f>((F432+L432+H432+P432)-(D432+J432+T432+N432+R432))*radconv</f>
        <v/>
      </c>
      <c r="W432" s="334">
        <f>IF(V432&gt;0,V432,V432+180)</f>
        <v/>
      </c>
      <c r="Y432" s="307">
        <f>IF(U432&lt;0,A432,1000000000)</f>
        <v/>
      </c>
      <c r="Z432" s="307">
        <f>A432^2</f>
        <v/>
      </c>
      <c r="AB432" s="333">
        <f>20*LOG10((K432/(I432*M432))*AEA)</f>
        <v/>
      </c>
      <c r="AC432" s="334">
        <f>(L432-(J432+N432))*radconv</f>
        <v/>
      </c>
      <c r="AE432" s="333">
        <f>20*LOG10((E432*G432/(C432*S432))*Acs*Am)</f>
        <v/>
      </c>
      <c r="AF432" s="334">
        <f>(F432+H432-(D432+T432))*radconv</f>
        <v/>
      </c>
      <c r="AH432">
        <f>SUM((U433&lt;0)*(U432&gt;0))*A432</f>
        <v/>
      </c>
      <c r="AI432">
        <f>IF(AH432&gt;0,W432,0)</f>
        <v/>
      </c>
    </row>
    <row r="433">
      <c r="A433" s="335" t="n">
        <v>43652</v>
      </c>
      <c r="B433" s="352">
        <f>A433/1000</f>
        <v/>
      </c>
      <c r="C433" s="1047">
        <f>SQRT(1+(A433/pole1)^2)</f>
        <v/>
      </c>
      <c r="D433" s="1048">
        <f>ATAN(A433/pole1)</f>
        <v/>
      </c>
      <c r="E433" s="1048">
        <f>SQRT(1+(A433/Zero1)^2)</f>
        <v/>
      </c>
      <c r="F433" s="1049">
        <f>ATAN(A433/Zero1)</f>
        <v/>
      </c>
      <c r="G433" s="1048">
        <f>IF(VIN_nom&gt;Vout, 1, SQRT(1+(A433/z_RHP)^2))</f>
        <v/>
      </c>
      <c r="H433" s="1049">
        <f>IF(VIN_nom&gt;Vout, 0, -ATAN(A433/z_RHP))</f>
        <v/>
      </c>
      <c r="I433" s="1047">
        <f>SQRT(1+(A433/Pole2)^2)</f>
        <v/>
      </c>
      <c r="J433" s="1050">
        <f>ATAN(A433/Pole2)</f>
        <v/>
      </c>
      <c r="K433" s="1056">
        <f>SQRT(1+(A433/Zero2)^2)</f>
        <v/>
      </c>
      <c r="L433" s="1057">
        <f>ATAN(A433/Zero2)</f>
        <v/>
      </c>
      <c r="M433" s="1047">
        <f>SQRT(1+(A433/pole4)^2)</f>
        <v/>
      </c>
      <c r="N433" s="1057">
        <f>ATAN(A433/pole4)</f>
        <v/>
      </c>
      <c r="O433" s="1058">
        <f>IF(VOUT_setting=1,1,SQRT(1+(A433*zterm1)^2))</f>
        <v/>
      </c>
      <c r="P433" s="1059">
        <f>IF(VOUT_setting=1,0,ATAN(((A433*zterm1))))</f>
        <v/>
      </c>
      <c r="Q433" s="1056">
        <f>IF(VOUT_setting=1,1,SQRT((1+Afbr-$Q$5*(A433)^2)^2+(A433*$Q$4)^2))</f>
        <v/>
      </c>
      <c r="R433" s="1060">
        <f>IF(VOUT_setting=1,0,ATAN(A433*$Q$4/(1+Afbr-$Q$5*(A433)^2)))</f>
        <v/>
      </c>
      <c r="S433" s="1054">
        <f>SQRT((1-(Z433/pterm2))^2+(A433/pterm1)^2)</f>
        <v/>
      </c>
      <c r="T433" s="1055">
        <f>IF((ATAN((A433/pterm1)/(1-A433^2/pterm2))&gt;0),ATAN((A433/pterm1)/(1-A433^2/pterm2)),PI()+ATAN((A433/pterm1)/(1-A433^2/pterm2)))</f>
        <v/>
      </c>
      <c r="U433" s="331">
        <f>20*LOG10(((E433*K433*G433*O433)/(C433*I433*S433*M433*Q433))*Adc)</f>
        <v/>
      </c>
      <c r="V433" s="332">
        <f>((F433+L433+H433+P433)-(D433+J433+T433+N433+R433))*radconv</f>
        <v/>
      </c>
      <c r="W433" s="334">
        <f>IF(V433&gt;0,V433,V433+180)</f>
        <v/>
      </c>
      <c r="Y433" s="307">
        <f>IF(U433&lt;0,A433,1000000000)</f>
        <v/>
      </c>
      <c r="Z433" s="307">
        <f>A433^2</f>
        <v/>
      </c>
      <c r="AB433" s="333">
        <f>20*LOG10((K433/(I433*M433))*AEA)</f>
        <v/>
      </c>
      <c r="AC433" s="334">
        <f>(L433-(J433+N433))*radconv</f>
        <v/>
      </c>
      <c r="AE433" s="333">
        <f>20*LOG10((E433*G433/(C433*S433))*Acs*Am)</f>
        <v/>
      </c>
      <c r="AF433" s="334">
        <f>(F433+H433-(D433+T433))*radconv</f>
        <v/>
      </c>
      <c r="AH433">
        <f>SUM((U434&lt;0)*(U433&gt;0))*A433</f>
        <v/>
      </c>
      <c r="AI433">
        <f>IF(AH433&gt;0,W433,0)</f>
        <v/>
      </c>
    </row>
    <row r="434">
      <c r="A434" s="335" t="n">
        <v>43906</v>
      </c>
      <c r="B434" s="352">
        <f>A434/1000</f>
        <v/>
      </c>
      <c r="C434" s="1047">
        <f>SQRT(1+(A434/pole1)^2)</f>
        <v/>
      </c>
      <c r="D434" s="1048">
        <f>ATAN(A434/pole1)</f>
        <v/>
      </c>
      <c r="E434" s="1048">
        <f>SQRT(1+(A434/Zero1)^2)</f>
        <v/>
      </c>
      <c r="F434" s="1049">
        <f>ATAN(A434/Zero1)</f>
        <v/>
      </c>
      <c r="G434" s="1048">
        <f>IF(VIN_nom&gt;Vout, 1, SQRT(1+(A434/z_RHP)^2))</f>
        <v/>
      </c>
      <c r="H434" s="1049">
        <f>IF(VIN_nom&gt;Vout, 0, -ATAN(A434/z_RHP))</f>
        <v/>
      </c>
      <c r="I434" s="1047">
        <f>SQRT(1+(A434/Pole2)^2)</f>
        <v/>
      </c>
      <c r="J434" s="1050">
        <f>ATAN(A434/Pole2)</f>
        <v/>
      </c>
      <c r="K434" s="1056">
        <f>SQRT(1+(A434/Zero2)^2)</f>
        <v/>
      </c>
      <c r="L434" s="1057">
        <f>ATAN(A434/Zero2)</f>
        <v/>
      </c>
      <c r="M434" s="1047">
        <f>SQRT(1+(A434/pole4)^2)</f>
        <v/>
      </c>
      <c r="N434" s="1057">
        <f>ATAN(A434/pole4)</f>
        <v/>
      </c>
      <c r="O434" s="1058">
        <f>IF(VOUT_setting=1,1,SQRT(1+(A434*zterm1)^2))</f>
        <v/>
      </c>
      <c r="P434" s="1059">
        <f>IF(VOUT_setting=1,0,ATAN(((A434*zterm1))))</f>
        <v/>
      </c>
      <c r="Q434" s="1056">
        <f>IF(VOUT_setting=1,1,SQRT((1+Afbr-$Q$5*(A434)^2)^2+(A434*$Q$4)^2))</f>
        <v/>
      </c>
      <c r="R434" s="1060">
        <f>IF(VOUT_setting=1,0,ATAN(A434*$Q$4/(1+Afbr-$Q$5*(A434)^2)))</f>
        <v/>
      </c>
      <c r="S434" s="1054">
        <f>SQRT((1-(Z434/pterm2))^2+(A434/pterm1)^2)</f>
        <v/>
      </c>
      <c r="T434" s="1055">
        <f>IF((ATAN((A434/pterm1)/(1-A434^2/pterm2))&gt;0),ATAN((A434/pterm1)/(1-A434^2/pterm2)),PI()+ATAN((A434/pterm1)/(1-A434^2/pterm2)))</f>
        <v/>
      </c>
      <c r="U434" s="331">
        <f>20*LOG10(((E434*K434*G434*O434)/(C434*I434*S434*M434*Q434))*Adc)</f>
        <v/>
      </c>
      <c r="V434" s="332">
        <f>((F434+L434+H434+P434)-(D434+J434+T434+N434+R434))*radconv</f>
        <v/>
      </c>
      <c r="W434" s="334">
        <f>IF(V434&gt;0,V434,V434+180)</f>
        <v/>
      </c>
      <c r="Y434" s="307">
        <f>IF(U434&lt;0,A434,1000000000)</f>
        <v/>
      </c>
      <c r="Z434" s="307">
        <f>A434^2</f>
        <v/>
      </c>
      <c r="AB434" s="333">
        <f>20*LOG10((K434/(I434*M434))*AEA)</f>
        <v/>
      </c>
      <c r="AC434" s="334">
        <f>(L434-(J434+N434))*radconv</f>
        <v/>
      </c>
      <c r="AE434" s="333">
        <f>20*LOG10((E434*G434/(C434*S434))*Acs*Am)</f>
        <v/>
      </c>
      <c r="AF434" s="334">
        <f>(F434+H434-(D434+T434))*radconv</f>
        <v/>
      </c>
      <c r="AH434">
        <f>SUM((U435&lt;0)*(U434&gt;0))*A434</f>
        <v/>
      </c>
      <c r="AI434">
        <f>IF(AH434&gt;0,W434,0)</f>
        <v/>
      </c>
    </row>
    <row r="435">
      <c r="A435" s="335" t="n">
        <v>44160</v>
      </c>
      <c r="B435" s="352">
        <f>A435/1000</f>
        <v/>
      </c>
      <c r="C435" s="1047">
        <f>SQRT(1+(A435/pole1)^2)</f>
        <v/>
      </c>
      <c r="D435" s="1048">
        <f>ATAN(A435/pole1)</f>
        <v/>
      </c>
      <c r="E435" s="1048">
        <f>SQRT(1+(A435/Zero1)^2)</f>
        <v/>
      </c>
      <c r="F435" s="1049">
        <f>ATAN(A435/Zero1)</f>
        <v/>
      </c>
      <c r="G435" s="1048">
        <f>IF(VIN_nom&gt;Vout, 1, SQRT(1+(A435/z_RHP)^2))</f>
        <v/>
      </c>
      <c r="H435" s="1049">
        <f>IF(VIN_nom&gt;Vout, 0, -ATAN(A435/z_RHP))</f>
        <v/>
      </c>
      <c r="I435" s="1047">
        <f>SQRT(1+(A435/Pole2)^2)</f>
        <v/>
      </c>
      <c r="J435" s="1050">
        <f>ATAN(A435/Pole2)</f>
        <v/>
      </c>
      <c r="K435" s="1056">
        <f>SQRT(1+(A435/Zero2)^2)</f>
        <v/>
      </c>
      <c r="L435" s="1057">
        <f>ATAN(A435/Zero2)</f>
        <v/>
      </c>
      <c r="M435" s="1047">
        <f>SQRT(1+(A435/pole4)^2)</f>
        <v/>
      </c>
      <c r="N435" s="1057">
        <f>ATAN(A435/pole4)</f>
        <v/>
      </c>
      <c r="O435" s="1058">
        <f>IF(VOUT_setting=1,1,SQRT(1+(A435*zterm1)^2))</f>
        <v/>
      </c>
      <c r="P435" s="1059">
        <f>IF(VOUT_setting=1,0,ATAN(((A435*zterm1))))</f>
        <v/>
      </c>
      <c r="Q435" s="1056">
        <f>IF(VOUT_setting=1,1,SQRT((1+Afbr-$Q$5*(A435)^2)^2+(A435*$Q$4)^2))</f>
        <v/>
      </c>
      <c r="R435" s="1060">
        <f>IF(VOUT_setting=1,0,ATAN(A435*$Q$4/(1+Afbr-$Q$5*(A435)^2)))</f>
        <v/>
      </c>
      <c r="S435" s="1054">
        <f>SQRT((1-(Z435/pterm2))^2+(A435/pterm1)^2)</f>
        <v/>
      </c>
      <c r="T435" s="1055">
        <f>IF((ATAN((A435/pterm1)/(1-A435^2/pterm2))&gt;0),ATAN((A435/pterm1)/(1-A435^2/pterm2)),PI()+ATAN((A435/pterm1)/(1-A435^2/pterm2)))</f>
        <v/>
      </c>
      <c r="U435" s="331">
        <f>20*LOG10(((E435*K435*G435*O435)/(C435*I435*S435*M435*Q435))*Adc)</f>
        <v/>
      </c>
      <c r="V435" s="332">
        <f>((F435+L435+H435+P435)-(D435+J435+T435+N435+R435))*radconv</f>
        <v/>
      </c>
      <c r="W435" s="334">
        <f>IF(V435&gt;0,V435,V435+180)</f>
        <v/>
      </c>
      <c r="Y435" s="307">
        <f>IF(U435&lt;0,A435,1000000000)</f>
        <v/>
      </c>
      <c r="Z435" s="307">
        <f>A435^2</f>
        <v/>
      </c>
      <c r="AB435" s="333">
        <f>20*LOG10((K435/(I435*M435))*AEA)</f>
        <v/>
      </c>
      <c r="AC435" s="334">
        <f>(L435-(J435+N435))*radconv</f>
        <v/>
      </c>
      <c r="AE435" s="333">
        <f>20*LOG10((E435*G435/(C435*S435))*Acs*Am)</f>
        <v/>
      </c>
      <c r="AF435" s="334">
        <f>(F435+H435-(D435+T435))*radconv</f>
        <v/>
      </c>
      <c r="AH435">
        <f>SUM((U436&lt;0)*(U435&gt;0))*A435</f>
        <v/>
      </c>
      <c r="AI435">
        <f>IF(AH435&gt;0,W435,0)</f>
        <v/>
      </c>
    </row>
    <row r="436">
      <c r="A436" s="335" t="n">
        <v>44414</v>
      </c>
      <c r="B436" s="352">
        <f>A436/1000</f>
        <v/>
      </c>
      <c r="C436" s="1047">
        <f>SQRT(1+(A436/pole1)^2)</f>
        <v/>
      </c>
      <c r="D436" s="1048">
        <f>ATAN(A436/pole1)</f>
        <v/>
      </c>
      <c r="E436" s="1048">
        <f>SQRT(1+(A436/Zero1)^2)</f>
        <v/>
      </c>
      <c r="F436" s="1049">
        <f>ATAN(A436/Zero1)</f>
        <v/>
      </c>
      <c r="G436" s="1048">
        <f>IF(VIN_nom&gt;Vout, 1, SQRT(1+(A436/z_RHP)^2))</f>
        <v/>
      </c>
      <c r="H436" s="1049">
        <f>IF(VIN_nom&gt;Vout, 0, -ATAN(A436/z_RHP))</f>
        <v/>
      </c>
      <c r="I436" s="1047">
        <f>SQRT(1+(A436/Pole2)^2)</f>
        <v/>
      </c>
      <c r="J436" s="1050">
        <f>ATAN(A436/Pole2)</f>
        <v/>
      </c>
      <c r="K436" s="1056">
        <f>SQRT(1+(A436/Zero2)^2)</f>
        <v/>
      </c>
      <c r="L436" s="1057">
        <f>ATAN(A436/Zero2)</f>
        <v/>
      </c>
      <c r="M436" s="1047">
        <f>SQRT(1+(A436/pole4)^2)</f>
        <v/>
      </c>
      <c r="N436" s="1057">
        <f>ATAN(A436/pole4)</f>
        <v/>
      </c>
      <c r="O436" s="1058">
        <f>IF(VOUT_setting=1,1,SQRT(1+(A436*zterm1)^2))</f>
        <v/>
      </c>
      <c r="P436" s="1059">
        <f>IF(VOUT_setting=1,0,ATAN(((A436*zterm1))))</f>
        <v/>
      </c>
      <c r="Q436" s="1056">
        <f>IF(VOUT_setting=1,1,SQRT((1+Afbr-$Q$5*(A436)^2)^2+(A436*$Q$4)^2))</f>
        <v/>
      </c>
      <c r="R436" s="1060">
        <f>IF(VOUT_setting=1,0,ATAN(A436*$Q$4/(1+Afbr-$Q$5*(A436)^2)))</f>
        <v/>
      </c>
      <c r="S436" s="1054">
        <f>SQRT((1-(Z436/pterm2))^2+(A436/pterm1)^2)</f>
        <v/>
      </c>
      <c r="T436" s="1055">
        <f>IF((ATAN((A436/pterm1)/(1-A436^2/pterm2))&gt;0),ATAN((A436/pterm1)/(1-A436^2/pterm2)),PI()+ATAN((A436/pterm1)/(1-A436^2/pterm2)))</f>
        <v/>
      </c>
      <c r="U436" s="331">
        <f>20*LOG10(((E436*K436*G436*O436)/(C436*I436*S436*M436*Q436))*Adc)</f>
        <v/>
      </c>
      <c r="V436" s="332">
        <f>((F436+L436+H436+P436)-(D436+J436+T436+N436+R436))*radconv</f>
        <v/>
      </c>
      <c r="W436" s="334">
        <f>IF(V436&gt;0,V436,V436+180)</f>
        <v/>
      </c>
      <c r="Y436" s="307">
        <f>IF(U436&lt;0,A436,1000000000)</f>
        <v/>
      </c>
      <c r="Z436" s="307">
        <f>A436^2</f>
        <v/>
      </c>
      <c r="AB436" s="333">
        <f>20*LOG10((K436/(I436*M436))*AEA)</f>
        <v/>
      </c>
      <c r="AC436" s="334">
        <f>(L436-(J436+N436))*radconv</f>
        <v/>
      </c>
      <c r="AE436" s="333">
        <f>20*LOG10((E436*G436/(C436*S436))*Acs*Am)</f>
        <v/>
      </c>
      <c r="AF436" s="334">
        <f>(F436+H436-(D436+T436))*radconv</f>
        <v/>
      </c>
      <c r="AH436">
        <f>SUM((U437&lt;0)*(U436&gt;0))*A436</f>
        <v/>
      </c>
      <c r="AI436">
        <f>IF(AH436&gt;0,W436,0)</f>
        <v/>
      </c>
    </row>
    <row r="437">
      <c r="A437" s="335" t="n">
        <v>44668</v>
      </c>
      <c r="B437" s="352">
        <f>A437/1000</f>
        <v/>
      </c>
      <c r="C437" s="1047">
        <f>SQRT(1+(A437/pole1)^2)</f>
        <v/>
      </c>
      <c r="D437" s="1048">
        <f>ATAN(A437/pole1)</f>
        <v/>
      </c>
      <c r="E437" s="1048">
        <f>SQRT(1+(A437/Zero1)^2)</f>
        <v/>
      </c>
      <c r="F437" s="1049">
        <f>ATAN(A437/Zero1)</f>
        <v/>
      </c>
      <c r="G437" s="1048">
        <f>IF(VIN_nom&gt;Vout, 1, SQRT(1+(A437/z_RHP)^2))</f>
        <v/>
      </c>
      <c r="H437" s="1049">
        <f>IF(VIN_nom&gt;Vout, 0, -ATAN(A437/z_RHP))</f>
        <v/>
      </c>
      <c r="I437" s="1047">
        <f>SQRT(1+(A437/Pole2)^2)</f>
        <v/>
      </c>
      <c r="J437" s="1050">
        <f>ATAN(A437/Pole2)</f>
        <v/>
      </c>
      <c r="K437" s="1056">
        <f>SQRT(1+(A437/Zero2)^2)</f>
        <v/>
      </c>
      <c r="L437" s="1057">
        <f>ATAN(A437/Zero2)</f>
        <v/>
      </c>
      <c r="M437" s="1047">
        <f>SQRT(1+(A437/pole4)^2)</f>
        <v/>
      </c>
      <c r="N437" s="1057">
        <f>ATAN(A437/pole4)</f>
        <v/>
      </c>
      <c r="O437" s="1058">
        <f>IF(VOUT_setting=1,1,SQRT(1+(A437*zterm1)^2))</f>
        <v/>
      </c>
      <c r="P437" s="1059">
        <f>IF(VOUT_setting=1,0,ATAN(((A437*zterm1))))</f>
        <v/>
      </c>
      <c r="Q437" s="1056">
        <f>IF(VOUT_setting=1,1,SQRT((1+Afbr-$Q$5*(A437)^2)^2+(A437*$Q$4)^2))</f>
        <v/>
      </c>
      <c r="R437" s="1060">
        <f>IF(VOUT_setting=1,0,ATAN(A437*$Q$4/(1+Afbr-$Q$5*(A437)^2)))</f>
        <v/>
      </c>
      <c r="S437" s="1054">
        <f>SQRT((1-(Z437/pterm2))^2+(A437/pterm1)^2)</f>
        <v/>
      </c>
      <c r="T437" s="1055">
        <f>IF((ATAN((A437/pterm1)/(1-A437^2/pterm2))&gt;0),ATAN((A437/pterm1)/(1-A437^2/pterm2)),PI()+ATAN((A437/pterm1)/(1-A437^2/pterm2)))</f>
        <v/>
      </c>
      <c r="U437" s="331">
        <f>20*LOG10(((E437*K437*G437*O437)/(C437*I437*S437*M437*Q437))*Adc)</f>
        <v/>
      </c>
      <c r="V437" s="332">
        <f>((F437+L437+H437+P437)-(D437+J437+T437+N437+R437))*radconv</f>
        <v/>
      </c>
      <c r="W437" s="334">
        <f>IF(V437&gt;0,V437,V437+180)</f>
        <v/>
      </c>
      <c r="Y437" s="307">
        <f>IF(U437&lt;0,A437,1000000000)</f>
        <v/>
      </c>
      <c r="Z437" s="307">
        <f>A437^2</f>
        <v/>
      </c>
      <c r="AB437" s="333">
        <f>20*LOG10((K437/(I437*M437))*AEA)</f>
        <v/>
      </c>
      <c r="AC437" s="334">
        <f>(L437-(J437+N437))*radconv</f>
        <v/>
      </c>
      <c r="AE437" s="333">
        <f>20*LOG10((E437*G437/(C437*S437))*Acs*Am)</f>
        <v/>
      </c>
      <c r="AF437" s="334">
        <f>(F437+H437-(D437+T437))*radconv</f>
        <v/>
      </c>
      <c r="AH437">
        <f>SUM((U438&lt;0)*(U437&gt;0))*A437</f>
        <v/>
      </c>
      <c r="AI437">
        <f>IF(AH437&gt;0,W437,0)</f>
        <v/>
      </c>
    </row>
    <row r="438">
      <c r="A438" s="335" t="n">
        <v>44928.25</v>
      </c>
      <c r="B438" s="352">
        <f>A438/1000</f>
        <v/>
      </c>
      <c r="C438" s="1047">
        <f>SQRT(1+(A438/pole1)^2)</f>
        <v/>
      </c>
      <c r="D438" s="1048">
        <f>ATAN(A438/pole1)</f>
        <v/>
      </c>
      <c r="E438" s="1048">
        <f>SQRT(1+(A438/Zero1)^2)</f>
        <v/>
      </c>
      <c r="F438" s="1049">
        <f>ATAN(A438/Zero1)</f>
        <v/>
      </c>
      <c r="G438" s="1048">
        <f>IF(VIN_nom&gt;Vout, 1, SQRT(1+(A438/z_RHP)^2))</f>
        <v/>
      </c>
      <c r="H438" s="1049">
        <f>IF(VIN_nom&gt;Vout, 0, -ATAN(A438/z_RHP))</f>
        <v/>
      </c>
      <c r="I438" s="1047">
        <f>SQRT(1+(A438/Pole2)^2)</f>
        <v/>
      </c>
      <c r="J438" s="1050">
        <f>ATAN(A438/Pole2)</f>
        <v/>
      </c>
      <c r="K438" s="1056">
        <f>SQRT(1+(A438/Zero2)^2)</f>
        <v/>
      </c>
      <c r="L438" s="1057">
        <f>ATAN(A438/Zero2)</f>
        <v/>
      </c>
      <c r="M438" s="1047">
        <f>SQRT(1+(A438/pole4)^2)</f>
        <v/>
      </c>
      <c r="N438" s="1057">
        <f>ATAN(A438/pole4)</f>
        <v/>
      </c>
      <c r="O438" s="1058">
        <f>IF(VOUT_setting=1,1,SQRT(1+(A438*zterm1)^2))</f>
        <v/>
      </c>
      <c r="P438" s="1059">
        <f>IF(VOUT_setting=1,0,ATAN(((A438*zterm1))))</f>
        <v/>
      </c>
      <c r="Q438" s="1056">
        <f>IF(VOUT_setting=1,1,SQRT((1+Afbr-$Q$5*(A438)^2)^2+(A438*$Q$4)^2))</f>
        <v/>
      </c>
      <c r="R438" s="1060">
        <f>IF(VOUT_setting=1,0,ATAN(A438*$Q$4/(1+Afbr-$Q$5*(A438)^2)))</f>
        <v/>
      </c>
      <c r="S438" s="1054">
        <f>SQRT((1-(Z438/pterm2))^2+(A438/pterm1)^2)</f>
        <v/>
      </c>
      <c r="T438" s="1055">
        <f>IF((ATAN((A438/pterm1)/(1-A438^2/pterm2))&gt;0),ATAN((A438/pterm1)/(1-A438^2/pterm2)),PI()+ATAN((A438/pterm1)/(1-A438^2/pterm2)))</f>
        <v/>
      </c>
      <c r="U438" s="331">
        <f>20*LOG10(((E438*K438*G438*O438)/(C438*I438*S438*M438*Q438))*Adc)</f>
        <v/>
      </c>
      <c r="V438" s="332">
        <f>((F438+L438+H438+P438)-(D438+J438+T438+N438+R438))*radconv</f>
        <v/>
      </c>
      <c r="W438" s="334">
        <f>IF(V438&gt;0,V438,V438+180)</f>
        <v/>
      </c>
      <c r="Y438" s="307">
        <f>IF(U438&lt;0,A438,1000000000)</f>
        <v/>
      </c>
      <c r="Z438" s="307">
        <f>A438^2</f>
        <v/>
      </c>
      <c r="AB438" s="333">
        <f>20*LOG10((K438/(I438*M438))*AEA)</f>
        <v/>
      </c>
      <c r="AC438" s="334">
        <f>(L438-(J438+N438))*radconv</f>
        <v/>
      </c>
      <c r="AE438" s="333">
        <f>20*LOG10((E438*G438/(C438*S438))*Acs*Am)</f>
        <v/>
      </c>
      <c r="AF438" s="334">
        <f>(F438+H438-(D438+T438))*radconv</f>
        <v/>
      </c>
      <c r="AH438">
        <f>SUM((U439&lt;0)*(U438&gt;0))*A438</f>
        <v/>
      </c>
      <c r="AI438">
        <f>IF(AH438&gt;0,W438,0)</f>
        <v/>
      </c>
    </row>
    <row r="439">
      <c r="A439" s="335" t="n">
        <v>45188.5</v>
      </c>
      <c r="B439" s="352">
        <f>A439/1000</f>
        <v/>
      </c>
      <c r="C439" s="1047">
        <f>SQRT(1+(A439/pole1)^2)</f>
        <v/>
      </c>
      <c r="D439" s="1048">
        <f>ATAN(A439/pole1)</f>
        <v/>
      </c>
      <c r="E439" s="1048">
        <f>SQRT(1+(A439/Zero1)^2)</f>
        <v/>
      </c>
      <c r="F439" s="1049">
        <f>ATAN(A439/Zero1)</f>
        <v/>
      </c>
      <c r="G439" s="1048">
        <f>IF(VIN_nom&gt;Vout, 1, SQRT(1+(A439/z_RHP)^2))</f>
        <v/>
      </c>
      <c r="H439" s="1049">
        <f>IF(VIN_nom&gt;Vout, 0, -ATAN(A439/z_RHP))</f>
        <v/>
      </c>
      <c r="I439" s="1047">
        <f>SQRT(1+(A439/Pole2)^2)</f>
        <v/>
      </c>
      <c r="J439" s="1050">
        <f>ATAN(A439/Pole2)</f>
        <v/>
      </c>
      <c r="K439" s="1056">
        <f>SQRT(1+(A439/Zero2)^2)</f>
        <v/>
      </c>
      <c r="L439" s="1057">
        <f>ATAN(A439/Zero2)</f>
        <v/>
      </c>
      <c r="M439" s="1047">
        <f>SQRT(1+(A439/pole4)^2)</f>
        <v/>
      </c>
      <c r="N439" s="1057">
        <f>ATAN(A439/pole4)</f>
        <v/>
      </c>
      <c r="O439" s="1058">
        <f>IF(VOUT_setting=1,1,SQRT(1+(A439*zterm1)^2))</f>
        <v/>
      </c>
      <c r="P439" s="1059">
        <f>IF(VOUT_setting=1,0,ATAN(((A439*zterm1))))</f>
        <v/>
      </c>
      <c r="Q439" s="1056">
        <f>IF(VOUT_setting=1,1,SQRT((1+Afbr-$Q$5*(A439)^2)^2+(A439*$Q$4)^2))</f>
        <v/>
      </c>
      <c r="R439" s="1060">
        <f>IF(VOUT_setting=1,0,ATAN(A439*$Q$4/(1+Afbr-$Q$5*(A439)^2)))</f>
        <v/>
      </c>
      <c r="S439" s="1054">
        <f>SQRT((1-(Z439/pterm2))^2+(A439/pterm1)^2)</f>
        <v/>
      </c>
      <c r="T439" s="1055">
        <f>IF((ATAN((A439/pterm1)/(1-A439^2/pterm2))&gt;0),ATAN((A439/pterm1)/(1-A439^2/pterm2)),PI()+ATAN((A439/pterm1)/(1-A439^2/pterm2)))</f>
        <v/>
      </c>
      <c r="U439" s="331">
        <f>20*LOG10(((E439*K439*G439*O439)/(C439*I439*S439*M439*Q439))*Adc)</f>
        <v/>
      </c>
      <c r="V439" s="332">
        <f>((F439+L439+H439+P439)-(D439+J439+T439+N439+R439))*radconv</f>
        <v/>
      </c>
      <c r="W439" s="334">
        <f>IF(V439&gt;0,V439,V439+180)</f>
        <v/>
      </c>
      <c r="Y439" s="307">
        <f>IF(U439&lt;0,A439,1000000000)</f>
        <v/>
      </c>
      <c r="Z439" s="307">
        <f>A439^2</f>
        <v/>
      </c>
      <c r="AB439" s="333">
        <f>20*LOG10((K439/(I439*M439))*AEA)</f>
        <v/>
      </c>
      <c r="AC439" s="334">
        <f>(L439-(J439+N439))*radconv</f>
        <v/>
      </c>
      <c r="AE439" s="333">
        <f>20*LOG10((E439*G439/(C439*S439))*Acs*Am)</f>
        <v/>
      </c>
      <c r="AF439" s="334">
        <f>(F439+H439-(D439+T439))*radconv</f>
        <v/>
      </c>
      <c r="AH439">
        <f>SUM((U440&lt;0)*(U439&gt;0))*A439</f>
        <v/>
      </c>
      <c r="AI439">
        <f>IF(AH439&gt;0,W439,0)</f>
        <v/>
      </c>
    </row>
    <row r="440">
      <c r="A440" s="335" t="n">
        <v>45448.75</v>
      </c>
      <c r="B440" s="352">
        <f>A440/1000</f>
        <v/>
      </c>
      <c r="C440" s="1047">
        <f>SQRT(1+(A440/pole1)^2)</f>
        <v/>
      </c>
      <c r="D440" s="1048">
        <f>ATAN(A440/pole1)</f>
        <v/>
      </c>
      <c r="E440" s="1048">
        <f>SQRT(1+(A440/Zero1)^2)</f>
        <v/>
      </c>
      <c r="F440" s="1049">
        <f>ATAN(A440/Zero1)</f>
        <v/>
      </c>
      <c r="G440" s="1048">
        <f>IF(VIN_nom&gt;Vout, 1, SQRT(1+(A440/z_RHP)^2))</f>
        <v/>
      </c>
      <c r="H440" s="1049">
        <f>IF(VIN_nom&gt;Vout, 0, -ATAN(A440/z_RHP))</f>
        <v/>
      </c>
      <c r="I440" s="1047">
        <f>SQRT(1+(A440/Pole2)^2)</f>
        <v/>
      </c>
      <c r="J440" s="1050">
        <f>ATAN(A440/Pole2)</f>
        <v/>
      </c>
      <c r="K440" s="1056">
        <f>SQRT(1+(A440/Zero2)^2)</f>
        <v/>
      </c>
      <c r="L440" s="1057">
        <f>ATAN(A440/Zero2)</f>
        <v/>
      </c>
      <c r="M440" s="1047">
        <f>SQRT(1+(A440/pole4)^2)</f>
        <v/>
      </c>
      <c r="N440" s="1057">
        <f>ATAN(A440/pole4)</f>
        <v/>
      </c>
      <c r="O440" s="1058">
        <f>IF(VOUT_setting=1,1,SQRT(1+(A440*zterm1)^2))</f>
        <v/>
      </c>
      <c r="P440" s="1059">
        <f>IF(VOUT_setting=1,0,ATAN(((A440*zterm1))))</f>
        <v/>
      </c>
      <c r="Q440" s="1056">
        <f>IF(VOUT_setting=1,1,SQRT((1+Afbr-$Q$5*(A440)^2)^2+(A440*$Q$4)^2))</f>
        <v/>
      </c>
      <c r="R440" s="1060">
        <f>IF(VOUT_setting=1,0,ATAN(A440*$Q$4/(1+Afbr-$Q$5*(A440)^2)))</f>
        <v/>
      </c>
      <c r="S440" s="1054">
        <f>SQRT((1-(Z440/pterm2))^2+(A440/pterm1)^2)</f>
        <v/>
      </c>
      <c r="T440" s="1055">
        <f>IF((ATAN((A440/pterm1)/(1-A440^2/pterm2))&gt;0),ATAN((A440/pterm1)/(1-A440^2/pterm2)),PI()+ATAN((A440/pterm1)/(1-A440^2/pterm2)))</f>
        <v/>
      </c>
      <c r="U440" s="331">
        <f>20*LOG10(((E440*K440*G440*O440)/(C440*I440*S440*M440*Q440))*Adc)</f>
        <v/>
      </c>
      <c r="V440" s="332">
        <f>((F440+L440+H440+P440)-(D440+J440+T440+N440+R440))*radconv</f>
        <v/>
      </c>
      <c r="W440" s="334">
        <f>IF(V440&gt;0,V440,V440+180)</f>
        <v/>
      </c>
      <c r="Y440" s="307">
        <f>IF(U440&lt;0,A440,1000000000)</f>
        <v/>
      </c>
      <c r="Z440" s="307">
        <f>A440^2</f>
        <v/>
      </c>
      <c r="AB440" s="333">
        <f>20*LOG10((K440/(I440*M440))*AEA)</f>
        <v/>
      </c>
      <c r="AC440" s="334">
        <f>(L440-(J440+N440))*radconv</f>
        <v/>
      </c>
      <c r="AE440" s="333">
        <f>20*LOG10((E440*G440/(C440*S440))*Acs*Am)</f>
        <v/>
      </c>
      <c r="AF440" s="334">
        <f>(F440+H440-(D440+T440))*radconv</f>
        <v/>
      </c>
      <c r="AH440">
        <f>SUM((U441&lt;0)*(U440&gt;0))*A440</f>
        <v/>
      </c>
      <c r="AI440">
        <f>IF(AH440&gt;0,W440,0)</f>
        <v/>
      </c>
    </row>
    <row r="441">
      <c r="A441" s="335" t="n">
        <v>45709</v>
      </c>
      <c r="B441" s="352">
        <f>A441/1000</f>
        <v/>
      </c>
      <c r="C441" s="1047">
        <f>SQRT(1+(A441/pole1)^2)</f>
        <v/>
      </c>
      <c r="D441" s="1048">
        <f>ATAN(A441/pole1)</f>
        <v/>
      </c>
      <c r="E441" s="1048">
        <f>SQRT(1+(A441/Zero1)^2)</f>
        <v/>
      </c>
      <c r="F441" s="1049">
        <f>ATAN(A441/Zero1)</f>
        <v/>
      </c>
      <c r="G441" s="1048">
        <f>IF(VIN_nom&gt;Vout, 1, SQRT(1+(A441/z_RHP)^2))</f>
        <v/>
      </c>
      <c r="H441" s="1049">
        <f>IF(VIN_nom&gt;Vout, 0, -ATAN(A441/z_RHP))</f>
        <v/>
      </c>
      <c r="I441" s="1047">
        <f>SQRT(1+(A441/Pole2)^2)</f>
        <v/>
      </c>
      <c r="J441" s="1050">
        <f>ATAN(A441/Pole2)</f>
        <v/>
      </c>
      <c r="K441" s="1056">
        <f>SQRT(1+(A441/Zero2)^2)</f>
        <v/>
      </c>
      <c r="L441" s="1057">
        <f>ATAN(A441/Zero2)</f>
        <v/>
      </c>
      <c r="M441" s="1047">
        <f>SQRT(1+(A441/pole4)^2)</f>
        <v/>
      </c>
      <c r="N441" s="1057">
        <f>ATAN(A441/pole4)</f>
        <v/>
      </c>
      <c r="O441" s="1058">
        <f>IF(VOUT_setting=1,1,SQRT(1+(A441*zterm1)^2))</f>
        <v/>
      </c>
      <c r="P441" s="1059">
        <f>IF(VOUT_setting=1,0,ATAN(((A441*zterm1))))</f>
        <v/>
      </c>
      <c r="Q441" s="1056">
        <f>IF(VOUT_setting=1,1,SQRT((1+Afbr-$Q$5*(A441)^2)^2+(A441*$Q$4)^2))</f>
        <v/>
      </c>
      <c r="R441" s="1060">
        <f>IF(VOUT_setting=1,0,ATAN(A441*$Q$4/(1+Afbr-$Q$5*(A441)^2)))</f>
        <v/>
      </c>
      <c r="S441" s="1054">
        <f>SQRT((1-(Z441/pterm2))^2+(A441/pterm1)^2)</f>
        <v/>
      </c>
      <c r="T441" s="1055">
        <f>IF((ATAN((A441/pterm1)/(1-A441^2/pterm2))&gt;0),ATAN((A441/pterm1)/(1-A441^2/pterm2)),PI()+ATAN((A441/pterm1)/(1-A441^2/pterm2)))</f>
        <v/>
      </c>
      <c r="U441" s="331">
        <f>20*LOG10(((E441*K441*G441*O441)/(C441*I441*S441*M441*Q441))*Adc)</f>
        <v/>
      </c>
      <c r="V441" s="332">
        <f>((F441+L441+H441+P441)-(D441+J441+T441+N441+R441))*radconv</f>
        <v/>
      </c>
      <c r="W441" s="334">
        <f>IF(V441&gt;0,V441,V441+180)</f>
        <v/>
      </c>
      <c r="Y441" s="307">
        <f>IF(U441&lt;0,A441,1000000000)</f>
        <v/>
      </c>
      <c r="Z441" s="307">
        <f>A441^2</f>
        <v/>
      </c>
      <c r="AB441" s="333">
        <f>20*LOG10((K441/(I441*M441))*AEA)</f>
        <v/>
      </c>
      <c r="AC441" s="334">
        <f>(L441-(J441+N441))*radconv</f>
        <v/>
      </c>
      <c r="AE441" s="333">
        <f>20*LOG10((E441*G441/(C441*S441))*Acs*Am)</f>
        <v/>
      </c>
      <c r="AF441" s="334">
        <f>(F441+H441-(D441+T441))*radconv</f>
        <v/>
      </c>
      <c r="AH441">
        <f>SUM((U442&lt;0)*(U441&gt;0))*A441</f>
        <v/>
      </c>
      <c r="AI441">
        <f>IF(AH441&gt;0,W441,0)</f>
        <v/>
      </c>
    </row>
    <row r="442">
      <c r="A442" s="335" t="n">
        <v>45975.25</v>
      </c>
      <c r="B442" s="352">
        <f>A442/1000</f>
        <v/>
      </c>
      <c r="C442" s="1047">
        <f>SQRT(1+(A442/pole1)^2)</f>
        <v/>
      </c>
      <c r="D442" s="1048">
        <f>ATAN(A442/pole1)</f>
        <v/>
      </c>
      <c r="E442" s="1048">
        <f>SQRT(1+(A442/Zero1)^2)</f>
        <v/>
      </c>
      <c r="F442" s="1049">
        <f>ATAN(A442/Zero1)</f>
        <v/>
      </c>
      <c r="G442" s="1048">
        <f>IF(VIN_nom&gt;Vout, 1, SQRT(1+(A442/z_RHP)^2))</f>
        <v/>
      </c>
      <c r="H442" s="1049">
        <f>IF(VIN_nom&gt;Vout, 0, -ATAN(A442/z_RHP))</f>
        <v/>
      </c>
      <c r="I442" s="1047">
        <f>SQRT(1+(A442/Pole2)^2)</f>
        <v/>
      </c>
      <c r="J442" s="1050">
        <f>ATAN(A442/Pole2)</f>
        <v/>
      </c>
      <c r="K442" s="1056">
        <f>SQRT(1+(A442/Zero2)^2)</f>
        <v/>
      </c>
      <c r="L442" s="1057">
        <f>ATAN(A442/Zero2)</f>
        <v/>
      </c>
      <c r="M442" s="1047">
        <f>SQRT(1+(A442/pole4)^2)</f>
        <v/>
      </c>
      <c r="N442" s="1057">
        <f>ATAN(A442/pole4)</f>
        <v/>
      </c>
      <c r="O442" s="1058">
        <f>IF(VOUT_setting=1,1,SQRT(1+(A442*zterm1)^2))</f>
        <v/>
      </c>
      <c r="P442" s="1059">
        <f>IF(VOUT_setting=1,0,ATAN(((A442*zterm1))))</f>
        <v/>
      </c>
      <c r="Q442" s="1056">
        <f>IF(VOUT_setting=1,1,SQRT((1+Afbr-$Q$5*(A442)^2)^2+(A442*$Q$4)^2))</f>
        <v/>
      </c>
      <c r="R442" s="1060">
        <f>IF(VOUT_setting=1,0,ATAN(A442*$Q$4/(1+Afbr-$Q$5*(A442)^2)))</f>
        <v/>
      </c>
      <c r="S442" s="1054">
        <f>SQRT((1-(Z442/pterm2))^2+(A442/pterm1)^2)</f>
        <v/>
      </c>
      <c r="T442" s="1055">
        <f>IF((ATAN((A442/pterm1)/(1-A442^2/pterm2))&gt;0),ATAN((A442/pterm1)/(1-A442^2/pterm2)),PI()+ATAN((A442/pterm1)/(1-A442^2/pterm2)))</f>
        <v/>
      </c>
      <c r="U442" s="331">
        <f>20*LOG10(((E442*K442*G442*O442)/(C442*I442*S442*M442*Q442))*Adc)</f>
        <v/>
      </c>
      <c r="V442" s="332">
        <f>((F442+L442+H442+P442)-(D442+J442+T442+N442+R442))*radconv</f>
        <v/>
      </c>
      <c r="W442" s="334">
        <f>IF(V442&gt;0,V442,V442+180)</f>
        <v/>
      </c>
      <c r="Y442" s="307">
        <f>IF(U442&lt;0,A442,1000000000)</f>
        <v/>
      </c>
      <c r="Z442" s="307">
        <f>A442^2</f>
        <v/>
      </c>
      <c r="AB442" s="333">
        <f>20*LOG10((K442/(I442*M442))*AEA)</f>
        <v/>
      </c>
      <c r="AC442" s="334">
        <f>(L442-(J442+N442))*radconv</f>
        <v/>
      </c>
      <c r="AE442" s="333">
        <f>20*LOG10((E442*G442/(C442*S442))*Acs*Am)</f>
        <v/>
      </c>
      <c r="AF442" s="334">
        <f>(F442+H442-(D442+T442))*radconv</f>
        <v/>
      </c>
      <c r="AH442">
        <f>SUM((U443&lt;0)*(U442&gt;0))*A442</f>
        <v/>
      </c>
      <c r="AI442">
        <f>IF(AH442&gt;0,W442,0)</f>
        <v/>
      </c>
    </row>
    <row r="443">
      <c r="A443" s="335" t="n">
        <v>46241.5</v>
      </c>
      <c r="B443" s="352">
        <f>A443/1000</f>
        <v/>
      </c>
      <c r="C443" s="1047">
        <f>SQRT(1+(A443/pole1)^2)</f>
        <v/>
      </c>
      <c r="D443" s="1048">
        <f>ATAN(A443/pole1)</f>
        <v/>
      </c>
      <c r="E443" s="1048">
        <f>SQRT(1+(A443/Zero1)^2)</f>
        <v/>
      </c>
      <c r="F443" s="1049">
        <f>ATAN(A443/Zero1)</f>
        <v/>
      </c>
      <c r="G443" s="1048">
        <f>IF(VIN_nom&gt;Vout, 1, SQRT(1+(A443/z_RHP)^2))</f>
        <v/>
      </c>
      <c r="H443" s="1049">
        <f>IF(VIN_nom&gt;Vout, 0, -ATAN(A443/z_RHP))</f>
        <v/>
      </c>
      <c r="I443" s="1047">
        <f>SQRT(1+(A443/Pole2)^2)</f>
        <v/>
      </c>
      <c r="J443" s="1050">
        <f>ATAN(A443/Pole2)</f>
        <v/>
      </c>
      <c r="K443" s="1056">
        <f>SQRT(1+(A443/Zero2)^2)</f>
        <v/>
      </c>
      <c r="L443" s="1057">
        <f>ATAN(A443/Zero2)</f>
        <v/>
      </c>
      <c r="M443" s="1047">
        <f>SQRT(1+(A443/pole4)^2)</f>
        <v/>
      </c>
      <c r="N443" s="1057">
        <f>ATAN(A443/pole4)</f>
        <v/>
      </c>
      <c r="O443" s="1058">
        <f>IF(VOUT_setting=1,1,SQRT(1+(A443*zterm1)^2))</f>
        <v/>
      </c>
      <c r="P443" s="1059">
        <f>IF(VOUT_setting=1,0,ATAN(((A443*zterm1))))</f>
        <v/>
      </c>
      <c r="Q443" s="1056">
        <f>IF(VOUT_setting=1,1,SQRT((1+Afbr-$Q$5*(A443)^2)^2+(A443*$Q$4)^2))</f>
        <v/>
      </c>
      <c r="R443" s="1060">
        <f>IF(VOUT_setting=1,0,ATAN(A443*$Q$4/(1+Afbr-$Q$5*(A443)^2)))</f>
        <v/>
      </c>
      <c r="S443" s="1054">
        <f>SQRT((1-(Z443/pterm2))^2+(A443/pterm1)^2)</f>
        <v/>
      </c>
      <c r="T443" s="1055">
        <f>IF((ATAN((A443/pterm1)/(1-A443^2/pterm2))&gt;0),ATAN((A443/pterm1)/(1-A443^2/pterm2)),PI()+ATAN((A443/pterm1)/(1-A443^2/pterm2)))</f>
        <v/>
      </c>
      <c r="U443" s="331">
        <f>20*LOG10(((E443*K443*G443*O443)/(C443*I443*S443*M443*Q443))*Adc)</f>
        <v/>
      </c>
      <c r="V443" s="332">
        <f>((F443+L443+H443+P443)-(D443+J443+T443+N443+R443))*radconv</f>
        <v/>
      </c>
      <c r="W443" s="334">
        <f>IF(V443&gt;0,V443,V443+180)</f>
        <v/>
      </c>
      <c r="Y443" s="307">
        <f>IF(U443&lt;0,A443,1000000000)</f>
        <v/>
      </c>
      <c r="Z443" s="307">
        <f>A443^2</f>
        <v/>
      </c>
      <c r="AB443" s="333">
        <f>20*LOG10((K443/(I443*M443))*AEA)</f>
        <v/>
      </c>
      <c r="AC443" s="334">
        <f>(L443-(J443+N443))*radconv</f>
        <v/>
      </c>
      <c r="AE443" s="333">
        <f>20*LOG10((E443*G443/(C443*S443))*Acs*Am)</f>
        <v/>
      </c>
      <c r="AF443" s="334">
        <f>(F443+H443-(D443+T443))*radconv</f>
        <v/>
      </c>
      <c r="AH443">
        <f>SUM((U444&lt;0)*(U443&gt;0))*A443</f>
        <v/>
      </c>
      <c r="AI443">
        <f>IF(AH443&gt;0,W443,0)</f>
        <v/>
      </c>
    </row>
    <row r="444">
      <c r="A444" s="335" t="n">
        <v>46507.75</v>
      </c>
      <c r="B444" s="352">
        <f>A444/1000</f>
        <v/>
      </c>
      <c r="C444" s="1047">
        <f>SQRT(1+(A444/pole1)^2)</f>
        <v/>
      </c>
      <c r="D444" s="1048">
        <f>ATAN(A444/pole1)</f>
        <v/>
      </c>
      <c r="E444" s="1048">
        <f>SQRT(1+(A444/Zero1)^2)</f>
        <v/>
      </c>
      <c r="F444" s="1049">
        <f>ATAN(A444/Zero1)</f>
        <v/>
      </c>
      <c r="G444" s="1048">
        <f>IF(VIN_nom&gt;Vout, 1, SQRT(1+(A444/z_RHP)^2))</f>
        <v/>
      </c>
      <c r="H444" s="1049">
        <f>IF(VIN_nom&gt;Vout, 0, -ATAN(A444/z_RHP))</f>
        <v/>
      </c>
      <c r="I444" s="1047">
        <f>SQRT(1+(A444/Pole2)^2)</f>
        <v/>
      </c>
      <c r="J444" s="1050">
        <f>ATAN(A444/Pole2)</f>
        <v/>
      </c>
      <c r="K444" s="1056">
        <f>SQRT(1+(A444/Zero2)^2)</f>
        <v/>
      </c>
      <c r="L444" s="1057">
        <f>ATAN(A444/Zero2)</f>
        <v/>
      </c>
      <c r="M444" s="1047">
        <f>SQRT(1+(A444/pole4)^2)</f>
        <v/>
      </c>
      <c r="N444" s="1057">
        <f>ATAN(A444/pole4)</f>
        <v/>
      </c>
      <c r="O444" s="1058">
        <f>IF(VOUT_setting=1,1,SQRT(1+(A444*zterm1)^2))</f>
        <v/>
      </c>
      <c r="P444" s="1059">
        <f>IF(VOUT_setting=1,0,ATAN(((A444*zterm1))))</f>
        <v/>
      </c>
      <c r="Q444" s="1056">
        <f>IF(VOUT_setting=1,1,SQRT((1+Afbr-$Q$5*(A444)^2)^2+(A444*$Q$4)^2))</f>
        <v/>
      </c>
      <c r="R444" s="1060">
        <f>IF(VOUT_setting=1,0,ATAN(A444*$Q$4/(1+Afbr-$Q$5*(A444)^2)))</f>
        <v/>
      </c>
      <c r="S444" s="1054">
        <f>SQRT((1-(Z444/pterm2))^2+(A444/pterm1)^2)</f>
        <v/>
      </c>
      <c r="T444" s="1055">
        <f>IF((ATAN((A444/pterm1)/(1-A444^2/pterm2))&gt;0),ATAN((A444/pterm1)/(1-A444^2/pterm2)),PI()+ATAN((A444/pterm1)/(1-A444^2/pterm2)))</f>
        <v/>
      </c>
      <c r="U444" s="331">
        <f>20*LOG10(((E444*K444*G444*O444)/(C444*I444*S444*M444*Q444))*Adc)</f>
        <v/>
      </c>
      <c r="V444" s="332">
        <f>((F444+L444+H444+P444)-(D444+J444+T444+N444+R444))*radconv</f>
        <v/>
      </c>
      <c r="W444" s="334">
        <f>IF(V444&gt;0,V444,V444+180)</f>
        <v/>
      </c>
      <c r="Y444" s="307">
        <f>IF(U444&lt;0,A444,1000000000)</f>
        <v/>
      </c>
      <c r="Z444" s="307">
        <f>A444^2</f>
        <v/>
      </c>
      <c r="AB444" s="333">
        <f>20*LOG10((K444/(I444*M444))*AEA)</f>
        <v/>
      </c>
      <c r="AC444" s="334">
        <f>(L444-(J444+N444))*radconv</f>
        <v/>
      </c>
      <c r="AE444" s="333">
        <f>20*LOG10((E444*G444/(C444*S444))*Acs*Am)</f>
        <v/>
      </c>
      <c r="AF444" s="334">
        <f>(F444+H444-(D444+T444))*radconv</f>
        <v/>
      </c>
      <c r="AH444">
        <f>SUM((U445&lt;0)*(U444&gt;0))*A444</f>
        <v/>
      </c>
      <c r="AI444">
        <f>IF(AH444&gt;0,W444,0)</f>
        <v/>
      </c>
    </row>
    <row r="445">
      <c r="A445" s="335" t="n">
        <v>46774</v>
      </c>
      <c r="B445" s="352">
        <f>A445/1000</f>
        <v/>
      </c>
      <c r="C445" s="1047">
        <f>SQRT(1+(A445/pole1)^2)</f>
        <v/>
      </c>
      <c r="D445" s="1048">
        <f>ATAN(A445/pole1)</f>
        <v/>
      </c>
      <c r="E445" s="1048">
        <f>SQRT(1+(A445/Zero1)^2)</f>
        <v/>
      </c>
      <c r="F445" s="1049">
        <f>ATAN(A445/Zero1)</f>
        <v/>
      </c>
      <c r="G445" s="1048">
        <f>IF(VIN_nom&gt;Vout, 1, SQRT(1+(A445/z_RHP)^2))</f>
        <v/>
      </c>
      <c r="H445" s="1049">
        <f>IF(VIN_nom&gt;Vout, 0, -ATAN(A445/z_RHP))</f>
        <v/>
      </c>
      <c r="I445" s="1047">
        <f>SQRT(1+(A445/Pole2)^2)</f>
        <v/>
      </c>
      <c r="J445" s="1050">
        <f>ATAN(A445/Pole2)</f>
        <v/>
      </c>
      <c r="K445" s="1056">
        <f>SQRT(1+(A445/Zero2)^2)</f>
        <v/>
      </c>
      <c r="L445" s="1057">
        <f>ATAN(A445/Zero2)</f>
        <v/>
      </c>
      <c r="M445" s="1047">
        <f>SQRT(1+(A445/pole4)^2)</f>
        <v/>
      </c>
      <c r="N445" s="1057">
        <f>ATAN(A445/pole4)</f>
        <v/>
      </c>
      <c r="O445" s="1058">
        <f>IF(VOUT_setting=1,1,SQRT(1+(A445*zterm1)^2))</f>
        <v/>
      </c>
      <c r="P445" s="1059">
        <f>IF(VOUT_setting=1,0,ATAN(((A445*zterm1))))</f>
        <v/>
      </c>
      <c r="Q445" s="1056">
        <f>IF(VOUT_setting=1,1,SQRT((1+Afbr-$Q$5*(A445)^2)^2+(A445*$Q$4)^2))</f>
        <v/>
      </c>
      <c r="R445" s="1060">
        <f>IF(VOUT_setting=1,0,ATAN(A445*$Q$4/(1+Afbr-$Q$5*(A445)^2)))</f>
        <v/>
      </c>
      <c r="S445" s="1054">
        <f>SQRT((1-(Z445/pterm2))^2+(A445/pterm1)^2)</f>
        <v/>
      </c>
      <c r="T445" s="1055">
        <f>IF((ATAN((A445/pterm1)/(1-A445^2/pterm2))&gt;0),ATAN((A445/pterm1)/(1-A445^2/pterm2)),PI()+ATAN((A445/pterm1)/(1-A445^2/pterm2)))</f>
        <v/>
      </c>
      <c r="U445" s="331">
        <f>20*LOG10(((E445*K445*G445*O445)/(C445*I445*S445*M445*Q445))*Adc)</f>
        <v/>
      </c>
      <c r="V445" s="332">
        <f>((F445+L445+H445+P445)-(D445+J445+T445+N445+R445))*radconv</f>
        <v/>
      </c>
      <c r="W445" s="334">
        <f>IF(V445&gt;0,V445,V445+180)</f>
        <v/>
      </c>
      <c r="Y445" s="307">
        <f>IF(U445&lt;0,A445,1000000000)</f>
        <v/>
      </c>
      <c r="Z445" s="307">
        <f>A445^2</f>
        <v/>
      </c>
      <c r="AB445" s="333">
        <f>20*LOG10((K445/(I445*M445))*AEA)</f>
        <v/>
      </c>
      <c r="AC445" s="334">
        <f>(L445-(J445+N445))*radconv</f>
        <v/>
      </c>
      <c r="AE445" s="333">
        <f>20*LOG10((E445*G445/(C445*S445))*Acs*Am)</f>
        <v/>
      </c>
      <c r="AF445" s="334">
        <f>(F445+H445-(D445+T445))*radconv</f>
        <v/>
      </c>
      <c r="AH445">
        <f>SUM((U446&lt;0)*(U445&gt;0))*A445</f>
        <v/>
      </c>
      <c r="AI445">
        <f>IF(AH445&gt;0,W445,0)</f>
        <v/>
      </c>
    </row>
    <row r="446">
      <c r="A446" s="335" t="n">
        <v>47046.25</v>
      </c>
      <c r="B446" s="352">
        <f>A446/1000</f>
        <v/>
      </c>
      <c r="C446" s="1047">
        <f>SQRT(1+(A446/pole1)^2)</f>
        <v/>
      </c>
      <c r="D446" s="1048">
        <f>ATAN(A446/pole1)</f>
        <v/>
      </c>
      <c r="E446" s="1048">
        <f>SQRT(1+(A446/Zero1)^2)</f>
        <v/>
      </c>
      <c r="F446" s="1049">
        <f>ATAN(A446/Zero1)</f>
        <v/>
      </c>
      <c r="G446" s="1048">
        <f>IF(VIN_nom&gt;Vout, 1, SQRT(1+(A446/z_RHP)^2))</f>
        <v/>
      </c>
      <c r="H446" s="1049">
        <f>IF(VIN_nom&gt;Vout, 0, -ATAN(A446/z_RHP))</f>
        <v/>
      </c>
      <c r="I446" s="1047">
        <f>SQRT(1+(A446/Pole2)^2)</f>
        <v/>
      </c>
      <c r="J446" s="1050">
        <f>ATAN(A446/Pole2)</f>
        <v/>
      </c>
      <c r="K446" s="1056">
        <f>SQRT(1+(A446/Zero2)^2)</f>
        <v/>
      </c>
      <c r="L446" s="1057">
        <f>ATAN(A446/Zero2)</f>
        <v/>
      </c>
      <c r="M446" s="1047">
        <f>SQRT(1+(A446/pole4)^2)</f>
        <v/>
      </c>
      <c r="N446" s="1057">
        <f>ATAN(A446/pole4)</f>
        <v/>
      </c>
      <c r="O446" s="1058">
        <f>IF(VOUT_setting=1,1,SQRT(1+(A446*zterm1)^2))</f>
        <v/>
      </c>
      <c r="P446" s="1059">
        <f>IF(VOUT_setting=1,0,ATAN(((A446*zterm1))))</f>
        <v/>
      </c>
      <c r="Q446" s="1056">
        <f>IF(VOUT_setting=1,1,SQRT((1+Afbr-$Q$5*(A446)^2)^2+(A446*$Q$4)^2))</f>
        <v/>
      </c>
      <c r="R446" s="1060">
        <f>IF(VOUT_setting=1,0,ATAN(A446*$Q$4/(1+Afbr-$Q$5*(A446)^2)))</f>
        <v/>
      </c>
      <c r="S446" s="1054">
        <f>SQRT((1-(Z446/pterm2))^2+(A446/pterm1)^2)</f>
        <v/>
      </c>
      <c r="T446" s="1055">
        <f>IF((ATAN((A446/pterm1)/(1-A446^2/pterm2))&gt;0),ATAN((A446/pterm1)/(1-A446^2/pterm2)),PI()+ATAN((A446/pterm1)/(1-A446^2/pterm2)))</f>
        <v/>
      </c>
      <c r="U446" s="331">
        <f>20*LOG10(((E446*K446*G446*O446)/(C446*I446*S446*M446*Q446))*Adc)</f>
        <v/>
      </c>
      <c r="V446" s="332">
        <f>((F446+L446+H446+P446)-(D446+J446+T446+N446+R446))*radconv</f>
        <v/>
      </c>
      <c r="W446" s="334">
        <f>IF(V446&gt;0,V446,V446+180)</f>
        <v/>
      </c>
      <c r="Y446" s="307">
        <f>IF(U446&lt;0,A446,1000000000)</f>
        <v/>
      </c>
      <c r="Z446" s="307">
        <f>A446^2</f>
        <v/>
      </c>
      <c r="AB446" s="333">
        <f>20*LOG10((K446/(I446*M446))*AEA)</f>
        <v/>
      </c>
      <c r="AC446" s="334">
        <f>(L446-(J446+N446))*radconv</f>
        <v/>
      </c>
      <c r="AE446" s="333">
        <f>20*LOG10((E446*G446/(C446*S446))*Acs*Am)</f>
        <v/>
      </c>
      <c r="AF446" s="334">
        <f>(F446+H446-(D446+T446))*radconv</f>
        <v/>
      </c>
      <c r="AH446">
        <f>SUM((U447&lt;0)*(U446&gt;0))*A446</f>
        <v/>
      </c>
      <c r="AI446">
        <f>IF(AH446&gt;0,W446,0)</f>
        <v/>
      </c>
    </row>
    <row r="447">
      <c r="A447" s="335" t="n">
        <v>47318.5</v>
      </c>
      <c r="B447" s="352">
        <f>A447/1000</f>
        <v/>
      </c>
      <c r="C447" s="1047">
        <f>SQRT(1+(A447/pole1)^2)</f>
        <v/>
      </c>
      <c r="D447" s="1048">
        <f>ATAN(A447/pole1)</f>
        <v/>
      </c>
      <c r="E447" s="1048">
        <f>SQRT(1+(A447/Zero1)^2)</f>
        <v/>
      </c>
      <c r="F447" s="1049">
        <f>ATAN(A447/Zero1)</f>
        <v/>
      </c>
      <c r="G447" s="1048">
        <f>IF(VIN_nom&gt;Vout, 1, SQRT(1+(A447/z_RHP)^2))</f>
        <v/>
      </c>
      <c r="H447" s="1049">
        <f>IF(VIN_nom&gt;Vout, 0, -ATAN(A447/z_RHP))</f>
        <v/>
      </c>
      <c r="I447" s="1047">
        <f>SQRT(1+(A447/Pole2)^2)</f>
        <v/>
      </c>
      <c r="J447" s="1050">
        <f>ATAN(A447/Pole2)</f>
        <v/>
      </c>
      <c r="K447" s="1056">
        <f>SQRT(1+(A447/Zero2)^2)</f>
        <v/>
      </c>
      <c r="L447" s="1057">
        <f>ATAN(A447/Zero2)</f>
        <v/>
      </c>
      <c r="M447" s="1047">
        <f>SQRT(1+(A447/pole4)^2)</f>
        <v/>
      </c>
      <c r="N447" s="1057">
        <f>ATAN(A447/pole4)</f>
        <v/>
      </c>
      <c r="O447" s="1058">
        <f>IF(VOUT_setting=1,1,SQRT(1+(A447*zterm1)^2))</f>
        <v/>
      </c>
      <c r="P447" s="1059">
        <f>IF(VOUT_setting=1,0,ATAN(((A447*zterm1))))</f>
        <v/>
      </c>
      <c r="Q447" s="1056">
        <f>IF(VOUT_setting=1,1,SQRT((1+Afbr-$Q$5*(A447)^2)^2+(A447*$Q$4)^2))</f>
        <v/>
      </c>
      <c r="R447" s="1060">
        <f>IF(VOUT_setting=1,0,ATAN(A447*$Q$4/(1+Afbr-$Q$5*(A447)^2)))</f>
        <v/>
      </c>
      <c r="S447" s="1054">
        <f>SQRT((1-(Z447/pterm2))^2+(A447/pterm1)^2)</f>
        <v/>
      </c>
      <c r="T447" s="1055">
        <f>IF((ATAN((A447/pterm1)/(1-A447^2/pterm2))&gt;0),ATAN((A447/pterm1)/(1-A447^2/pterm2)),PI()+ATAN((A447/pterm1)/(1-A447^2/pterm2)))</f>
        <v/>
      </c>
      <c r="U447" s="331">
        <f>20*LOG10(((E447*K447*G447*O447)/(C447*I447*S447*M447*Q447))*Adc)</f>
        <v/>
      </c>
      <c r="V447" s="332">
        <f>((F447+L447+H447+P447)-(D447+J447+T447+N447+R447))*radconv</f>
        <v/>
      </c>
      <c r="W447" s="334">
        <f>IF(V447&gt;0,V447,V447+180)</f>
        <v/>
      </c>
      <c r="Y447" s="307">
        <f>IF(U447&lt;0,A447,1000000000)</f>
        <v/>
      </c>
      <c r="Z447" s="307">
        <f>A447^2</f>
        <v/>
      </c>
      <c r="AB447" s="333">
        <f>20*LOG10((K447/(I447*M447))*AEA)</f>
        <v/>
      </c>
      <c r="AC447" s="334">
        <f>(L447-(J447+N447))*radconv</f>
        <v/>
      </c>
      <c r="AE447" s="333">
        <f>20*LOG10((E447*G447/(C447*S447))*Acs*Am)</f>
        <v/>
      </c>
      <c r="AF447" s="334">
        <f>(F447+H447-(D447+T447))*radconv</f>
        <v/>
      </c>
      <c r="AH447">
        <f>SUM((U448&lt;0)*(U447&gt;0))*A447</f>
        <v/>
      </c>
      <c r="AI447">
        <f>IF(AH447&gt;0,W447,0)</f>
        <v/>
      </c>
    </row>
    <row r="448">
      <c r="A448" s="335" t="n">
        <v>47590.75</v>
      </c>
      <c r="B448" s="352">
        <f>A448/1000</f>
        <v/>
      </c>
      <c r="C448" s="1047">
        <f>SQRT(1+(A448/pole1)^2)</f>
        <v/>
      </c>
      <c r="D448" s="1048">
        <f>ATAN(A448/pole1)</f>
        <v/>
      </c>
      <c r="E448" s="1048">
        <f>SQRT(1+(A448/Zero1)^2)</f>
        <v/>
      </c>
      <c r="F448" s="1049">
        <f>ATAN(A448/Zero1)</f>
        <v/>
      </c>
      <c r="G448" s="1048">
        <f>IF(VIN_nom&gt;Vout, 1, SQRT(1+(A448/z_RHP)^2))</f>
        <v/>
      </c>
      <c r="H448" s="1049">
        <f>IF(VIN_nom&gt;Vout, 0, -ATAN(A448/z_RHP))</f>
        <v/>
      </c>
      <c r="I448" s="1047">
        <f>SQRT(1+(A448/Pole2)^2)</f>
        <v/>
      </c>
      <c r="J448" s="1050">
        <f>ATAN(A448/Pole2)</f>
        <v/>
      </c>
      <c r="K448" s="1056">
        <f>SQRT(1+(A448/Zero2)^2)</f>
        <v/>
      </c>
      <c r="L448" s="1057">
        <f>ATAN(A448/Zero2)</f>
        <v/>
      </c>
      <c r="M448" s="1047">
        <f>SQRT(1+(A448/pole4)^2)</f>
        <v/>
      </c>
      <c r="N448" s="1057">
        <f>ATAN(A448/pole4)</f>
        <v/>
      </c>
      <c r="O448" s="1058">
        <f>IF(VOUT_setting=1,1,SQRT(1+(A448*zterm1)^2))</f>
        <v/>
      </c>
      <c r="P448" s="1059">
        <f>IF(VOUT_setting=1,0,ATAN(((A448*zterm1))))</f>
        <v/>
      </c>
      <c r="Q448" s="1056">
        <f>IF(VOUT_setting=1,1,SQRT((1+Afbr-$Q$5*(A448)^2)^2+(A448*$Q$4)^2))</f>
        <v/>
      </c>
      <c r="R448" s="1060">
        <f>IF(VOUT_setting=1,0,ATAN(A448*$Q$4/(1+Afbr-$Q$5*(A448)^2)))</f>
        <v/>
      </c>
      <c r="S448" s="1054">
        <f>SQRT((1-(Z448/pterm2))^2+(A448/pterm1)^2)</f>
        <v/>
      </c>
      <c r="T448" s="1055">
        <f>IF((ATAN((A448/pterm1)/(1-A448^2/pterm2))&gt;0),ATAN((A448/pterm1)/(1-A448^2/pterm2)),PI()+ATAN((A448/pterm1)/(1-A448^2/pterm2)))</f>
        <v/>
      </c>
      <c r="U448" s="331">
        <f>20*LOG10(((E448*K448*G448*O448)/(C448*I448*S448*M448*Q448))*Adc)</f>
        <v/>
      </c>
      <c r="V448" s="332">
        <f>((F448+L448+H448+P448)-(D448+J448+T448+N448+R448))*radconv</f>
        <v/>
      </c>
      <c r="W448" s="334">
        <f>IF(V448&gt;0,V448,V448+180)</f>
        <v/>
      </c>
      <c r="Y448" s="307">
        <f>IF(U448&lt;0,A448,1000000000)</f>
        <v/>
      </c>
      <c r="Z448" s="307">
        <f>A448^2</f>
        <v/>
      </c>
      <c r="AB448" s="333">
        <f>20*LOG10((K448/(I448*M448))*AEA)</f>
        <v/>
      </c>
      <c r="AC448" s="334">
        <f>(L448-(J448+N448))*radconv</f>
        <v/>
      </c>
      <c r="AE448" s="333">
        <f>20*LOG10((E448*G448/(C448*S448))*Acs*Am)</f>
        <v/>
      </c>
      <c r="AF448" s="334">
        <f>(F448+H448-(D448+T448))*radconv</f>
        <v/>
      </c>
      <c r="AH448">
        <f>SUM((U449&lt;0)*(U448&gt;0))*A448</f>
        <v/>
      </c>
      <c r="AI448">
        <f>IF(AH448&gt;0,W448,0)</f>
        <v/>
      </c>
    </row>
    <row r="449">
      <c r="A449" s="335" t="n">
        <v>47863</v>
      </c>
      <c r="B449" s="352">
        <f>A449/1000</f>
        <v/>
      </c>
      <c r="C449" s="1047">
        <f>SQRT(1+(A449/pole1)^2)</f>
        <v/>
      </c>
      <c r="D449" s="1048">
        <f>ATAN(A449/pole1)</f>
        <v/>
      </c>
      <c r="E449" s="1048">
        <f>SQRT(1+(A449/Zero1)^2)</f>
        <v/>
      </c>
      <c r="F449" s="1049">
        <f>ATAN(A449/Zero1)</f>
        <v/>
      </c>
      <c r="G449" s="1048">
        <f>IF(VIN_nom&gt;Vout, 1, SQRT(1+(A449/z_RHP)^2))</f>
        <v/>
      </c>
      <c r="H449" s="1049">
        <f>IF(VIN_nom&gt;Vout, 0, -ATAN(A449/z_RHP))</f>
        <v/>
      </c>
      <c r="I449" s="1047">
        <f>SQRT(1+(A449/Pole2)^2)</f>
        <v/>
      </c>
      <c r="J449" s="1050">
        <f>ATAN(A449/Pole2)</f>
        <v/>
      </c>
      <c r="K449" s="1056">
        <f>SQRT(1+(A449/Zero2)^2)</f>
        <v/>
      </c>
      <c r="L449" s="1057">
        <f>ATAN(A449/Zero2)</f>
        <v/>
      </c>
      <c r="M449" s="1047">
        <f>SQRT(1+(A449/pole4)^2)</f>
        <v/>
      </c>
      <c r="N449" s="1057">
        <f>ATAN(A449/pole4)</f>
        <v/>
      </c>
      <c r="O449" s="1058">
        <f>IF(VOUT_setting=1,1,SQRT(1+(A449*zterm1)^2))</f>
        <v/>
      </c>
      <c r="P449" s="1059">
        <f>IF(VOUT_setting=1,0,ATAN(((A449*zterm1))))</f>
        <v/>
      </c>
      <c r="Q449" s="1056">
        <f>IF(VOUT_setting=1,1,SQRT((1+Afbr-$Q$5*(A449)^2)^2+(A449*$Q$4)^2))</f>
        <v/>
      </c>
      <c r="R449" s="1060">
        <f>IF(VOUT_setting=1,0,ATAN(A449*$Q$4/(1+Afbr-$Q$5*(A449)^2)))</f>
        <v/>
      </c>
      <c r="S449" s="1054">
        <f>SQRT((1-(Z449/pterm2))^2+(A449/pterm1)^2)</f>
        <v/>
      </c>
      <c r="T449" s="1055">
        <f>IF((ATAN((A449/pterm1)/(1-A449^2/pterm2))&gt;0),ATAN((A449/pterm1)/(1-A449^2/pterm2)),PI()+ATAN((A449/pterm1)/(1-A449^2/pterm2)))</f>
        <v/>
      </c>
      <c r="U449" s="331">
        <f>20*LOG10(((E449*K449*G449*O449)/(C449*I449*S449*M449*Q449))*Adc)</f>
        <v/>
      </c>
      <c r="V449" s="332">
        <f>((F449+L449+H449+P449)-(D449+J449+T449+N449+R449))*radconv</f>
        <v/>
      </c>
      <c r="W449" s="334">
        <f>IF(V449&gt;0,V449,V449+180)</f>
        <v/>
      </c>
      <c r="Y449" s="307">
        <f>IF(U449&lt;0,A449,1000000000)</f>
        <v/>
      </c>
      <c r="Z449" s="307">
        <f>A449^2</f>
        <v/>
      </c>
      <c r="AB449" s="333">
        <f>20*LOG10((K449/(I449*M449))*AEA)</f>
        <v/>
      </c>
      <c r="AC449" s="334">
        <f>(L449-(J449+N449))*radconv</f>
        <v/>
      </c>
      <c r="AE449" s="333">
        <f>20*LOG10((E449*G449/(C449*S449))*Acs*Am)</f>
        <v/>
      </c>
      <c r="AF449" s="334">
        <f>(F449+H449-(D449+T449))*radconv</f>
        <v/>
      </c>
      <c r="AH449">
        <f>SUM((U450&lt;0)*(U449&gt;0))*A449</f>
        <v/>
      </c>
      <c r="AI449">
        <f>IF(AH449&gt;0,W449,0)</f>
        <v/>
      </c>
    </row>
    <row r="450">
      <c r="A450" s="335" t="n">
        <v>48141.75</v>
      </c>
      <c r="B450" s="352">
        <f>A450/1000</f>
        <v/>
      </c>
      <c r="C450" s="1047">
        <f>SQRT(1+(A450/pole1)^2)</f>
        <v/>
      </c>
      <c r="D450" s="1048">
        <f>ATAN(A450/pole1)</f>
        <v/>
      </c>
      <c r="E450" s="1048">
        <f>SQRT(1+(A450/Zero1)^2)</f>
        <v/>
      </c>
      <c r="F450" s="1049">
        <f>ATAN(A450/Zero1)</f>
        <v/>
      </c>
      <c r="G450" s="1048">
        <f>IF(VIN_nom&gt;Vout, 1, SQRT(1+(A450/z_RHP)^2))</f>
        <v/>
      </c>
      <c r="H450" s="1049">
        <f>IF(VIN_nom&gt;Vout, 0, -ATAN(A450/z_RHP))</f>
        <v/>
      </c>
      <c r="I450" s="1047">
        <f>SQRT(1+(A450/Pole2)^2)</f>
        <v/>
      </c>
      <c r="J450" s="1050">
        <f>ATAN(A450/Pole2)</f>
        <v/>
      </c>
      <c r="K450" s="1056">
        <f>SQRT(1+(A450/Zero2)^2)</f>
        <v/>
      </c>
      <c r="L450" s="1057">
        <f>ATAN(A450/Zero2)</f>
        <v/>
      </c>
      <c r="M450" s="1047">
        <f>SQRT(1+(A450/pole4)^2)</f>
        <v/>
      </c>
      <c r="N450" s="1057">
        <f>ATAN(A450/pole4)</f>
        <v/>
      </c>
      <c r="O450" s="1058">
        <f>IF(VOUT_setting=1,1,SQRT(1+(A450*zterm1)^2))</f>
        <v/>
      </c>
      <c r="P450" s="1059">
        <f>IF(VOUT_setting=1,0,ATAN(((A450*zterm1))))</f>
        <v/>
      </c>
      <c r="Q450" s="1056">
        <f>IF(VOUT_setting=1,1,SQRT((1+Afbr-$Q$5*(A450)^2)^2+(A450*$Q$4)^2))</f>
        <v/>
      </c>
      <c r="R450" s="1060">
        <f>IF(VOUT_setting=1,0,ATAN(A450*$Q$4/(1+Afbr-$Q$5*(A450)^2)))</f>
        <v/>
      </c>
      <c r="S450" s="1054">
        <f>SQRT((1-(Z450/pterm2))^2+(A450/pterm1)^2)</f>
        <v/>
      </c>
      <c r="T450" s="1055">
        <f>IF((ATAN((A450/pterm1)/(1-A450^2/pterm2))&gt;0),ATAN((A450/pterm1)/(1-A450^2/pterm2)),PI()+ATAN((A450/pterm1)/(1-A450^2/pterm2)))</f>
        <v/>
      </c>
      <c r="U450" s="331">
        <f>20*LOG10(((E450*K450*G450*O450)/(C450*I450*S450*M450*Q450))*Adc)</f>
        <v/>
      </c>
      <c r="V450" s="332">
        <f>((F450+L450+H450+P450)-(D450+J450+T450+N450+R450))*radconv</f>
        <v/>
      </c>
      <c r="W450" s="334">
        <f>IF(V450&gt;0,V450,V450+180)</f>
        <v/>
      </c>
      <c r="Y450" s="307">
        <f>IF(U450&lt;0,A450,1000000000)</f>
        <v/>
      </c>
      <c r="Z450" s="307">
        <f>A450^2</f>
        <v/>
      </c>
      <c r="AB450" s="333">
        <f>20*LOG10((K450/(I450*M450))*AEA)</f>
        <v/>
      </c>
      <c r="AC450" s="334">
        <f>(L450-(J450+N450))*radconv</f>
        <v/>
      </c>
      <c r="AE450" s="333">
        <f>20*LOG10((E450*G450/(C450*S450))*Acs*Am)</f>
        <v/>
      </c>
      <c r="AF450" s="334">
        <f>(F450+H450-(D450+T450))*radconv</f>
        <v/>
      </c>
      <c r="AH450">
        <f>SUM((U451&lt;0)*(U450&gt;0))*A450</f>
        <v/>
      </c>
      <c r="AI450">
        <f>IF(AH450&gt;0,W450,0)</f>
        <v/>
      </c>
    </row>
    <row r="451">
      <c r="A451" s="335" t="n">
        <v>48420.5</v>
      </c>
      <c r="B451" s="352">
        <f>A451/1000</f>
        <v/>
      </c>
      <c r="C451" s="1047">
        <f>SQRT(1+(A451/pole1)^2)</f>
        <v/>
      </c>
      <c r="D451" s="1048">
        <f>ATAN(A451/pole1)</f>
        <v/>
      </c>
      <c r="E451" s="1048">
        <f>SQRT(1+(A451/Zero1)^2)</f>
        <v/>
      </c>
      <c r="F451" s="1049">
        <f>ATAN(A451/Zero1)</f>
        <v/>
      </c>
      <c r="G451" s="1048">
        <f>IF(VIN_nom&gt;Vout, 1, SQRT(1+(A451/z_RHP)^2))</f>
        <v/>
      </c>
      <c r="H451" s="1049">
        <f>IF(VIN_nom&gt;Vout, 0, -ATAN(A451/z_RHP))</f>
        <v/>
      </c>
      <c r="I451" s="1047">
        <f>SQRT(1+(A451/Pole2)^2)</f>
        <v/>
      </c>
      <c r="J451" s="1050">
        <f>ATAN(A451/Pole2)</f>
        <v/>
      </c>
      <c r="K451" s="1056">
        <f>SQRT(1+(A451/Zero2)^2)</f>
        <v/>
      </c>
      <c r="L451" s="1057">
        <f>ATAN(A451/Zero2)</f>
        <v/>
      </c>
      <c r="M451" s="1047">
        <f>SQRT(1+(A451/pole4)^2)</f>
        <v/>
      </c>
      <c r="N451" s="1057">
        <f>ATAN(A451/pole4)</f>
        <v/>
      </c>
      <c r="O451" s="1058">
        <f>IF(VOUT_setting=1,1,SQRT(1+(A451*zterm1)^2))</f>
        <v/>
      </c>
      <c r="P451" s="1059">
        <f>IF(VOUT_setting=1,0,ATAN(((A451*zterm1))))</f>
        <v/>
      </c>
      <c r="Q451" s="1056">
        <f>IF(VOUT_setting=1,1,SQRT((1+Afbr-$Q$5*(A451)^2)^2+(A451*$Q$4)^2))</f>
        <v/>
      </c>
      <c r="R451" s="1060">
        <f>IF(VOUT_setting=1,0,ATAN(A451*$Q$4/(1+Afbr-$Q$5*(A451)^2)))</f>
        <v/>
      </c>
      <c r="S451" s="1054">
        <f>SQRT((1-(Z451/pterm2))^2+(A451/pterm1)^2)</f>
        <v/>
      </c>
      <c r="T451" s="1055">
        <f>IF((ATAN((A451/pterm1)/(1-A451^2/pterm2))&gt;0),ATAN((A451/pterm1)/(1-A451^2/pterm2)),PI()+ATAN((A451/pterm1)/(1-A451^2/pterm2)))</f>
        <v/>
      </c>
      <c r="U451" s="331">
        <f>20*LOG10(((E451*K451*G451*O451)/(C451*I451*S451*M451*Q451))*Adc)</f>
        <v/>
      </c>
      <c r="V451" s="332">
        <f>((F451+L451+H451+P451)-(D451+J451+T451+N451+R451))*radconv</f>
        <v/>
      </c>
      <c r="W451" s="334">
        <f>IF(V451&gt;0,V451,V451+180)</f>
        <v/>
      </c>
      <c r="Y451" s="307">
        <f>IF(U451&lt;0,A451,1000000000)</f>
        <v/>
      </c>
      <c r="Z451" s="307">
        <f>A451^2</f>
        <v/>
      </c>
      <c r="AB451" s="333">
        <f>20*LOG10((K451/(I451*M451))*AEA)</f>
        <v/>
      </c>
      <c r="AC451" s="334">
        <f>(L451-(J451+N451))*radconv</f>
        <v/>
      </c>
      <c r="AE451" s="333">
        <f>20*LOG10((E451*G451/(C451*S451))*Acs*Am)</f>
        <v/>
      </c>
      <c r="AF451" s="334">
        <f>(F451+H451-(D451+T451))*radconv</f>
        <v/>
      </c>
      <c r="AH451">
        <f>SUM((U452&lt;0)*(U451&gt;0))*A451</f>
        <v/>
      </c>
      <c r="AI451">
        <f>IF(AH451&gt;0,W451,0)</f>
        <v/>
      </c>
    </row>
    <row r="452">
      <c r="A452" s="335" t="n">
        <v>48699.25</v>
      </c>
      <c r="B452" s="352">
        <f>A452/1000</f>
        <v/>
      </c>
      <c r="C452" s="1047">
        <f>SQRT(1+(A452/pole1)^2)</f>
        <v/>
      </c>
      <c r="D452" s="1048">
        <f>ATAN(A452/pole1)</f>
        <v/>
      </c>
      <c r="E452" s="1048">
        <f>SQRT(1+(A452/Zero1)^2)</f>
        <v/>
      </c>
      <c r="F452" s="1049">
        <f>ATAN(A452/Zero1)</f>
        <v/>
      </c>
      <c r="G452" s="1048">
        <f>IF(VIN_nom&gt;Vout, 1, SQRT(1+(A452/z_RHP)^2))</f>
        <v/>
      </c>
      <c r="H452" s="1049">
        <f>IF(VIN_nom&gt;Vout, 0, -ATAN(A452/z_RHP))</f>
        <v/>
      </c>
      <c r="I452" s="1047">
        <f>SQRT(1+(A452/Pole2)^2)</f>
        <v/>
      </c>
      <c r="J452" s="1050">
        <f>ATAN(A452/Pole2)</f>
        <v/>
      </c>
      <c r="K452" s="1056">
        <f>SQRT(1+(A452/Zero2)^2)</f>
        <v/>
      </c>
      <c r="L452" s="1057">
        <f>ATAN(A452/Zero2)</f>
        <v/>
      </c>
      <c r="M452" s="1047">
        <f>SQRT(1+(A452/pole4)^2)</f>
        <v/>
      </c>
      <c r="N452" s="1057">
        <f>ATAN(A452/pole4)</f>
        <v/>
      </c>
      <c r="O452" s="1058">
        <f>IF(VOUT_setting=1,1,SQRT(1+(A452*zterm1)^2))</f>
        <v/>
      </c>
      <c r="P452" s="1059">
        <f>IF(VOUT_setting=1,0,ATAN(((A452*zterm1))))</f>
        <v/>
      </c>
      <c r="Q452" s="1056">
        <f>IF(VOUT_setting=1,1,SQRT((1+Afbr-$Q$5*(A452)^2)^2+(A452*$Q$4)^2))</f>
        <v/>
      </c>
      <c r="R452" s="1060">
        <f>IF(VOUT_setting=1,0,ATAN(A452*$Q$4/(1+Afbr-$Q$5*(A452)^2)))</f>
        <v/>
      </c>
      <c r="S452" s="1054">
        <f>SQRT((1-(Z452/pterm2))^2+(A452/pterm1)^2)</f>
        <v/>
      </c>
      <c r="T452" s="1055">
        <f>IF((ATAN((A452/pterm1)/(1-A452^2/pterm2))&gt;0),ATAN((A452/pterm1)/(1-A452^2/pterm2)),PI()+ATAN((A452/pterm1)/(1-A452^2/pterm2)))</f>
        <v/>
      </c>
      <c r="U452" s="331">
        <f>20*LOG10(((E452*K452*G452*O452)/(C452*I452*S452*M452*Q452))*Adc)</f>
        <v/>
      </c>
      <c r="V452" s="332">
        <f>((F452+L452+H452+P452)-(D452+J452+T452+N452+R452))*radconv</f>
        <v/>
      </c>
      <c r="W452" s="334">
        <f>IF(V452&gt;0,V452,V452+180)</f>
        <v/>
      </c>
      <c r="Y452" s="307">
        <f>IF(U452&lt;0,A452,1000000000)</f>
        <v/>
      </c>
      <c r="Z452" s="307">
        <f>A452^2</f>
        <v/>
      </c>
      <c r="AB452" s="333">
        <f>20*LOG10((K452/(I452*M452))*AEA)</f>
        <v/>
      </c>
      <c r="AC452" s="334">
        <f>(L452-(J452+N452))*radconv</f>
        <v/>
      </c>
      <c r="AE452" s="333">
        <f>20*LOG10((E452*G452/(C452*S452))*Acs*Am)</f>
        <v/>
      </c>
      <c r="AF452" s="334">
        <f>(F452+H452-(D452+T452))*radconv</f>
        <v/>
      </c>
      <c r="AH452">
        <f>SUM((U453&lt;0)*(U452&gt;0))*A452</f>
        <v/>
      </c>
      <c r="AI452">
        <f>IF(AH452&gt;0,W452,0)</f>
        <v/>
      </c>
    </row>
    <row r="453">
      <c r="A453" s="335" t="n">
        <v>48978</v>
      </c>
      <c r="B453" s="352">
        <f>A453/1000</f>
        <v/>
      </c>
      <c r="C453" s="1047">
        <f>SQRT(1+(A453/pole1)^2)</f>
        <v/>
      </c>
      <c r="D453" s="1048">
        <f>ATAN(A453/pole1)</f>
        <v/>
      </c>
      <c r="E453" s="1048">
        <f>SQRT(1+(A453/Zero1)^2)</f>
        <v/>
      </c>
      <c r="F453" s="1049">
        <f>ATAN(A453/Zero1)</f>
        <v/>
      </c>
      <c r="G453" s="1048">
        <f>IF(VIN_nom&gt;Vout, 1, SQRT(1+(A453/z_RHP)^2))</f>
        <v/>
      </c>
      <c r="H453" s="1049">
        <f>IF(VIN_nom&gt;Vout, 0, -ATAN(A453/z_RHP))</f>
        <v/>
      </c>
      <c r="I453" s="1047">
        <f>SQRT(1+(A453/Pole2)^2)</f>
        <v/>
      </c>
      <c r="J453" s="1050">
        <f>ATAN(A453/Pole2)</f>
        <v/>
      </c>
      <c r="K453" s="1056">
        <f>SQRT(1+(A453/Zero2)^2)</f>
        <v/>
      </c>
      <c r="L453" s="1057">
        <f>ATAN(A453/Zero2)</f>
        <v/>
      </c>
      <c r="M453" s="1047">
        <f>SQRT(1+(A453/pole4)^2)</f>
        <v/>
      </c>
      <c r="N453" s="1057">
        <f>ATAN(A453/pole4)</f>
        <v/>
      </c>
      <c r="O453" s="1058">
        <f>IF(VOUT_setting=1,1,SQRT(1+(A453*zterm1)^2))</f>
        <v/>
      </c>
      <c r="P453" s="1059">
        <f>IF(VOUT_setting=1,0,ATAN(((A453*zterm1))))</f>
        <v/>
      </c>
      <c r="Q453" s="1056">
        <f>IF(VOUT_setting=1,1,SQRT((1+Afbr-$Q$5*(A453)^2)^2+(A453*$Q$4)^2))</f>
        <v/>
      </c>
      <c r="R453" s="1060">
        <f>IF(VOUT_setting=1,0,ATAN(A453*$Q$4/(1+Afbr-$Q$5*(A453)^2)))</f>
        <v/>
      </c>
      <c r="S453" s="1054">
        <f>SQRT((1-(Z453/pterm2))^2+(A453/pterm1)^2)</f>
        <v/>
      </c>
      <c r="T453" s="1055">
        <f>IF((ATAN((A453/pterm1)/(1-A453^2/pterm2))&gt;0),ATAN((A453/pterm1)/(1-A453^2/pterm2)),PI()+ATAN((A453/pterm1)/(1-A453^2/pterm2)))</f>
        <v/>
      </c>
      <c r="U453" s="331">
        <f>20*LOG10(((E453*K453*G453*O453)/(C453*I453*S453*M453*Q453))*Adc)</f>
        <v/>
      </c>
      <c r="V453" s="332">
        <f>((F453+L453+H453+P453)-(D453+J453+T453+N453+R453))*radconv</f>
        <v/>
      </c>
      <c r="W453" s="334">
        <f>IF(V453&gt;0,V453,V453+180)</f>
        <v/>
      </c>
      <c r="Y453" s="307">
        <f>IF(U453&lt;0,A453,1000000000)</f>
        <v/>
      </c>
      <c r="Z453" s="307">
        <f>A453^2</f>
        <v/>
      </c>
      <c r="AB453" s="333">
        <f>20*LOG10((K453/(I453*M453))*AEA)</f>
        <v/>
      </c>
      <c r="AC453" s="334">
        <f>(L453-(J453+N453))*radconv</f>
        <v/>
      </c>
      <c r="AE453" s="333">
        <f>20*LOG10((E453*G453/(C453*S453))*Acs*Am)</f>
        <v/>
      </c>
      <c r="AF453" s="334">
        <f>(F453+H453-(D453+T453))*radconv</f>
        <v/>
      </c>
      <c r="AH453">
        <f>SUM((U454&lt;0)*(U453&gt;0))*A453</f>
        <v/>
      </c>
      <c r="AI453">
        <f>IF(AH453&gt;0,W453,0)</f>
        <v/>
      </c>
    </row>
    <row r="454">
      <c r="A454" s="335" t="n">
        <v>49263.25</v>
      </c>
      <c r="B454" s="352">
        <f>A454/1000</f>
        <v/>
      </c>
      <c r="C454" s="1047">
        <f>SQRT(1+(A454/pole1)^2)</f>
        <v/>
      </c>
      <c r="D454" s="1048">
        <f>ATAN(A454/pole1)</f>
        <v/>
      </c>
      <c r="E454" s="1048">
        <f>SQRT(1+(A454/Zero1)^2)</f>
        <v/>
      </c>
      <c r="F454" s="1049">
        <f>ATAN(A454/Zero1)</f>
        <v/>
      </c>
      <c r="G454" s="1048">
        <f>IF(VIN_nom&gt;Vout, 1, SQRT(1+(A454/z_RHP)^2))</f>
        <v/>
      </c>
      <c r="H454" s="1049">
        <f>IF(VIN_nom&gt;Vout, 0, -ATAN(A454/z_RHP))</f>
        <v/>
      </c>
      <c r="I454" s="1047">
        <f>SQRT(1+(A454/Pole2)^2)</f>
        <v/>
      </c>
      <c r="J454" s="1050">
        <f>ATAN(A454/Pole2)</f>
        <v/>
      </c>
      <c r="K454" s="1056">
        <f>SQRT(1+(A454/Zero2)^2)</f>
        <v/>
      </c>
      <c r="L454" s="1057">
        <f>ATAN(A454/Zero2)</f>
        <v/>
      </c>
      <c r="M454" s="1047">
        <f>SQRT(1+(A454/pole4)^2)</f>
        <v/>
      </c>
      <c r="N454" s="1057">
        <f>ATAN(A454/pole4)</f>
        <v/>
      </c>
      <c r="O454" s="1058">
        <f>IF(VOUT_setting=1,1,SQRT(1+(A454*zterm1)^2))</f>
        <v/>
      </c>
      <c r="P454" s="1059">
        <f>IF(VOUT_setting=1,0,ATAN(((A454*zterm1))))</f>
        <v/>
      </c>
      <c r="Q454" s="1056">
        <f>IF(VOUT_setting=1,1,SQRT((1+Afbr-$Q$5*(A454)^2)^2+(A454*$Q$4)^2))</f>
        <v/>
      </c>
      <c r="R454" s="1060">
        <f>IF(VOUT_setting=1,0,ATAN(A454*$Q$4/(1+Afbr-$Q$5*(A454)^2)))</f>
        <v/>
      </c>
      <c r="S454" s="1054">
        <f>SQRT((1-(Z454/pterm2))^2+(A454/pterm1)^2)</f>
        <v/>
      </c>
      <c r="T454" s="1055">
        <f>IF((ATAN((A454/pterm1)/(1-A454^2/pterm2))&gt;0),ATAN((A454/pterm1)/(1-A454^2/pterm2)),PI()+ATAN((A454/pterm1)/(1-A454^2/pterm2)))</f>
        <v/>
      </c>
      <c r="U454" s="331">
        <f>20*LOG10(((E454*K454*G454*O454)/(C454*I454*S454*M454*Q454))*Adc)</f>
        <v/>
      </c>
      <c r="V454" s="332">
        <f>((F454+L454+H454+P454)-(D454+J454+T454+N454+R454))*radconv</f>
        <v/>
      </c>
      <c r="W454" s="334">
        <f>IF(V454&gt;0,V454,V454+180)</f>
        <v/>
      </c>
      <c r="Y454" s="307">
        <f>IF(U454&lt;0,A454,1000000000)</f>
        <v/>
      </c>
      <c r="Z454" s="307">
        <f>A454^2</f>
        <v/>
      </c>
      <c r="AB454" s="333">
        <f>20*LOG10((K454/(I454*M454))*AEA)</f>
        <v/>
      </c>
      <c r="AC454" s="334">
        <f>(L454-(J454+N454))*radconv</f>
        <v/>
      </c>
      <c r="AE454" s="333">
        <f>20*LOG10((E454*G454/(C454*S454))*Acs*Am)</f>
        <v/>
      </c>
      <c r="AF454" s="334">
        <f>(F454+H454-(D454+T454))*radconv</f>
        <v/>
      </c>
      <c r="AH454">
        <f>SUM((U455&lt;0)*(U454&gt;0))*A454</f>
        <v/>
      </c>
      <c r="AI454">
        <f>IF(AH454&gt;0,W454,0)</f>
        <v/>
      </c>
    </row>
    <row r="455">
      <c r="A455" s="335" t="n">
        <v>49548.5</v>
      </c>
      <c r="B455" s="352">
        <f>A455/1000</f>
        <v/>
      </c>
      <c r="C455" s="1047">
        <f>SQRT(1+(A455/pole1)^2)</f>
        <v/>
      </c>
      <c r="D455" s="1048">
        <f>ATAN(A455/pole1)</f>
        <v/>
      </c>
      <c r="E455" s="1048">
        <f>SQRT(1+(A455/Zero1)^2)</f>
        <v/>
      </c>
      <c r="F455" s="1049">
        <f>ATAN(A455/Zero1)</f>
        <v/>
      </c>
      <c r="G455" s="1048">
        <f>IF(VIN_nom&gt;Vout, 1, SQRT(1+(A455/z_RHP)^2))</f>
        <v/>
      </c>
      <c r="H455" s="1049">
        <f>IF(VIN_nom&gt;Vout, 0, -ATAN(A455/z_RHP))</f>
        <v/>
      </c>
      <c r="I455" s="1047">
        <f>SQRT(1+(A455/Pole2)^2)</f>
        <v/>
      </c>
      <c r="J455" s="1050">
        <f>ATAN(A455/Pole2)</f>
        <v/>
      </c>
      <c r="K455" s="1056">
        <f>SQRT(1+(A455/Zero2)^2)</f>
        <v/>
      </c>
      <c r="L455" s="1057">
        <f>ATAN(A455/Zero2)</f>
        <v/>
      </c>
      <c r="M455" s="1047">
        <f>SQRT(1+(A455/pole4)^2)</f>
        <v/>
      </c>
      <c r="N455" s="1057">
        <f>ATAN(A455/pole4)</f>
        <v/>
      </c>
      <c r="O455" s="1058">
        <f>IF(VOUT_setting=1,1,SQRT(1+(A455*zterm1)^2))</f>
        <v/>
      </c>
      <c r="P455" s="1059">
        <f>IF(VOUT_setting=1,0,ATAN(((A455*zterm1))))</f>
        <v/>
      </c>
      <c r="Q455" s="1056">
        <f>IF(VOUT_setting=1,1,SQRT((1+Afbr-$Q$5*(A455)^2)^2+(A455*$Q$4)^2))</f>
        <v/>
      </c>
      <c r="R455" s="1060">
        <f>IF(VOUT_setting=1,0,ATAN(A455*$Q$4/(1+Afbr-$Q$5*(A455)^2)))</f>
        <v/>
      </c>
      <c r="S455" s="1054">
        <f>SQRT((1-(Z455/pterm2))^2+(A455/pterm1)^2)</f>
        <v/>
      </c>
      <c r="T455" s="1055">
        <f>IF((ATAN((A455/pterm1)/(1-A455^2/pterm2))&gt;0),ATAN((A455/pterm1)/(1-A455^2/pterm2)),PI()+ATAN((A455/pterm1)/(1-A455^2/pterm2)))</f>
        <v/>
      </c>
      <c r="U455" s="331">
        <f>20*LOG10(((E455*K455*G455*O455)/(C455*I455*S455*M455*Q455))*Adc)</f>
        <v/>
      </c>
      <c r="V455" s="332">
        <f>((F455+L455+H455+P455)-(D455+J455+T455+N455+R455))*radconv</f>
        <v/>
      </c>
      <c r="W455" s="334">
        <f>IF(V455&gt;0,V455,V455+180)</f>
        <v/>
      </c>
      <c r="Y455" s="307">
        <f>IF(U455&lt;0,A455,1000000000)</f>
        <v/>
      </c>
      <c r="Z455" s="307">
        <f>A455^2</f>
        <v/>
      </c>
      <c r="AB455" s="333">
        <f>20*LOG10((K455/(I455*M455))*AEA)</f>
        <v/>
      </c>
      <c r="AC455" s="334">
        <f>(L455-(J455+N455))*radconv</f>
        <v/>
      </c>
      <c r="AE455" s="333">
        <f>20*LOG10((E455*G455/(C455*S455))*Acs*Am)</f>
        <v/>
      </c>
      <c r="AF455" s="334">
        <f>(F455+H455-(D455+T455))*radconv</f>
        <v/>
      </c>
      <c r="AH455">
        <f>SUM((U456&lt;0)*(U455&gt;0))*A455</f>
        <v/>
      </c>
      <c r="AI455">
        <f>IF(AH455&gt;0,W455,0)</f>
        <v/>
      </c>
    </row>
    <row r="456">
      <c r="A456" s="335" t="n">
        <v>49833.75</v>
      </c>
      <c r="B456" s="352">
        <f>A456/1000</f>
        <v/>
      </c>
      <c r="C456" s="1047">
        <f>SQRT(1+(A456/pole1)^2)</f>
        <v/>
      </c>
      <c r="D456" s="1048">
        <f>ATAN(A456/pole1)</f>
        <v/>
      </c>
      <c r="E456" s="1048">
        <f>SQRT(1+(A456/Zero1)^2)</f>
        <v/>
      </c>
      <c r="F456" s="1049">
        <f>ATAN(A456/Zero1)</f>
        <v/>
      </c>
      <c r="G456" s="1048">
        <f>IF(VIN_nom&gt;Vout, 1, SQRT(1+(A456/z_RHP)^2))</f>
        <v/>
      </c>
      <c r="H456" s="1049">
        <f>IF(VIN_nom&gt;Vout, 0, -ATAN(A456/z_RHP))</f>
        <v/>
      </c>
      <c r="I456" s="1047">
        <f>SQRT(1+(A456/Pole2)^2)</f>
        <v/>
      </c>
      <c r="J456" s="1050">
        <f>ATAN(A456/Pole2)</f>
        <v/>
      </c>
      <c r="K456" s="1056">
        <f>SQRT(1+(A456/Zero2)^2)</f>
        <v/>
      </c>
      <c r="L456" s="1057">
        <f>ATAN(A456/Zero2)</f>
        <v/>
      </c>
      <c r="M456" s="1047">
        <f>SQRT(1+(A456/pole4)^2)</f>
        <v/>
      </c>
      <c r="N456" s="1057">
        <f>ATAN(A456/pole4)</f>
        <v/>
      </c>
      <c r="O456" s="1058">
        <f>IF(VOUT_setting=1,1,SQRT(1+(A456*zterm1)^2))</f>
        <v/>
      </c>
      <c r="P456" s="1059">
        <f>IF(VOUT_setting=1,0,ATAN(((A456*zterm1))))</f>
        <v/>
      </c>
      <c r="Q456" s="1056">
        <f>IF(VOUT_setting=1,1,SQRT((1+Afbr-$Q$5*(A456)^2)^2+(A456*$Q$4)^2))</f>
        <v/>
      </c>
      <c r="R456" s="1060">
        <f>IF(VOUT_setting=1,0,ATAN(A456*$Q$4/(1+Afbr-$Q$5*(A456)^2)))</f>
        <v/>
      </c>
      <c r="S456" s="1054">
        <f>SQRT((1-(Z456/pterm2))^2+(A456/pterm1)^2)</f>
        <v/>
      </c>
      <c r="T456" s="1055">
        <f>IF((ATAN((A456/pterm1)/(1-A456^2/pterm2))&gt;0),ATAN((A456/pterm1)/(1-A456^2/pterm2)),PI()+ATAN((A456/pterm1)/(1-A456^2/pterm2)))</f>
        <v/>
      </c>
      <c r="U456" s="331">
        <f>20*LOG10(((E456*K456*G456*O456)/(C456*I456*S456*M456*Q456))*Adc)</f>
        <v/>
      </c>
      <c r="V456" s="332">
        <f>((F456+L456+H456+P456)-(D456+J456+T456+N456+R456))*radconv</f>
        <v/>
      </c>
      <c r="W456" s="334">
        <f>IF(V456&gt;0,V456,V456+180)</f>
        <v/>
      </c>
      <c r="Y456" s="307">
        <f>IF(U456&lt;0,A456,1000000000)</f>
        <v/>
      </c>
      <c r="Z456" s="307">
        <f>A456^2</f>
        <v/>
      </c>
      <c r="AB456" s="333">
        <f>20*LOG10((K456/(I456*M456))*AEA)</f>
        <v/>
      </c>
      <c r="AC456" s="334">
        <f>(L456-(J456+N456))*radconv</f>
        <v/>
      </c>
      <c r="AE456" s="333">
        <f>20*LOG10((E456*G456/(C456*S456))*Acs*Am)</f>
        <v/>
      </c>
      <c r="AF456" s="334">
        <f>(F456+H456-(D456+T456))*radconv</f>
        <v/>
      </c>
      <c r="AH456">
        <f>SUM((U457&lt;0)*(U456&gt;0))*A456</f>
        <v/>
      </c>
      <c r="AI456">
        <f>IF(AH456&gt;0,W456,0)</f>
        <v/>
      </c>
    </row>
    <row r="457">
      <c r="A457" s="335" t="n">
        <v>50119</v>
      </c>
      <c r="B457" s="352">
        <f>A457/1000</f>
        <v/>
      </c>
      <c r="C457" s="1047">
        <f>SQRT(1+(A457/pole1)^2)</f>
        <v/>
      </c>
      <c r="D457" s="1048">
        <f>ATAN(A457/pole1)</f>
        <v/>
      </c>
      <c r="E457" s="1048">
        <f>SQRT(1+(A457/Zero1)^2)</f>
        <v/>
      </c>
      <c r="F457" s="1049">
        <f>ATAN(A457/Zero1)</f>
        <v/>
      </c>
      <c r="G457" s="1048">
        <f>IF(VIN_nom&gt;Vout, 1, SQRT(1+(A457/z_RHP)^2))</f>
        <v/>
      </c>
      <c r="H457" s="1049">
        <f>IF(VIN_nom&gt;Vout, 0, -ATAN(A457/z_RHP))</f>
        <v/>
      </c>
      <c r="I457" s="1047">
        <f>SQRT(1+(A457/Pole2)^2)</f>
        <v/>
      </c>
      <c r="J457" s="1050">
        <f>ATAN(A457/Pole2)</f>
        <v/>
      </c>
      <c r="K457" s="1056">
        <f>SQRT(1+(A457/Zero2)^2)</f>
        <v/>
      </c>
      <c r="L457" s="1057">
        <f>ATAN(A457/Zero2)</f>
        <v/>
      </c>
      <c r="M457" s="1047">
        <f>SQRT(1+(A457/pole4)^2)</f>
        <v/>
      </c>
      <c r="N457" s="1057">
        <f>ATAN(A457/pole4)</f>
        <v/>
      </c>
      <c r="O457" s="1058">
        <f>IF(VOUT_setting=1,1,SQRT(1+(A457*zterm1)^2))</f>
        <v/>
      </c>
      <c r="P457" s="1059">
        <f>IF(VOUT_setting=1,0,ATAN(((A457*zterm1))))</f>
        <v/>
      </c>
      <c r="Q457" s="1056">
        <f>IF(VOUT_setting=1,1,SQRT((1+Afbr-$Q$5*(A457)^2)^2+(A457*$Q$4)^2))</f>
        <v/>
      </c>
      <c r="R457" s="1060">
        <f>IF(VOUT_setting=1,0,ATAN(A457*$Q$4/(1+Afbr-$Q$5*(A457)^2)))</f>
        <v/>
      </c>
      <c r="S457" s="1054">
        <f>SQRT((1-(Z457/pterm2))^2+(A457/pterm1)^2)</f>
        <v/>
      </c>
      <c r="T457" s="1055">
        <f>IF((ATAN((A457/pterm1)/(1-A457^2/pterm2))&gt;0),ATAN((A457/pterm1)/(1-A457^2/pterm2)),PI()+ATAN((A457/pterm1)/(1-A457^2/pterm2)))</f>
        <v/>
      </c>
      <c r="U457" s="331">
        <f>20*LOG10(((E457*K457*G457*O457)/(C457*I457*S457*M457*Q457))*Adc)</f>
        <v/>
      </c>
      <c r="V457" s="332">
        <f>((F457+L457+H457+P457)-(D457+J457+T457+N457+R457))*radconv</f>
        <v/>
      </c>
      <c r="W457" s="334">
        <f>IF(V457&gt;0,V457,V457+180)</f>
        <v/>
      </c>
      <c r="Y457" s="307">
        <f>IF(U457&lt;0,A457,1000000000)</f>
        <v/>
      </c>
      <c r="Z457" s="307">
        <f>A457^2</f>
        <v/>
      </c>
      <c r="AB457" s="333">
        <f>20*LOG10((K457/(I457*M457))*AEA)</f>
        <v/>
      </c>
      <c r="AC457" s="334">
        <f>(L457-(J457+N457))*radconv</f>
        <v/>
      </c>
      <c r="AE457" s="333">
        <f>20*LOG10((E457*G457/(C457*S457))*Acs*Am)</f>
        <v/>
      </c>
      <c r="AF457" s="334">
        <f>(F457+H457-(D457+T457))*radconv</f>
        <v/>
      </c>
      <c r="AH457">
        <f>SUM((U458&lt;0)*(U457&gt;0))*A457</f>
        <v/>
      </c>
      <c r="AI457">
        <f>IF(AH457&gt;0,W457,0)</f>
        <v/>
      </c>
    </row>
    <row r="458">
      <c r="A458" s="335" t="n">
        <v>50410.75</v>
      </c>
      <c r="B458" s="352">
        <f>A458/1000</f>
        <v/>
      </c>
      <c r="C458" s="1047">
        <f>SQRT(1+(A458/pole1)^2)</f>
        <v/>
      </c>
      <c r="D458" s="1048">
        <f>ATAN(A458/pole1)</f>
        <v/>
      </c>
      <c r="E458" s="1048">
        <f>SQRT(1+(A458/Zero1)^2)</f>
        <v/>
      </c>
      <c r="F458" s="1049">
        <f>ATAN(A458/Zero1)</f>
        <v/>
      </c>
      <c r="G458" s="1048">
        <f>IF(VIN_nom&gt;Vout, 1, SQRT(1+(A458/z_RHP)^2))</f>
        <v/>
      </c>
      <c r="H458" s="1049">
        <f>IF(VIN_nom&gt;Vout, 0, -ATAN(A458/z_RHP))</f>
        <v/>
      </c>
      <c r="I458" s="1047">
        <f>SQRT(1+(A458/Pole2)^2)</f>
        <v/>
      </c>
      <c r="J458" s="1050">
        <f>ATAN(A458/Pole2)</f>
        <v/>
      </c>
      <c r="K458" s="1056">
        <f>SQRT(1+(A458/Zero2)^2)</f>
        <v/>
      </c>
      <c r="L458" s="1057">
        <f>ATAN(A458/Zero2)</f>
        <v/>
      </c>
      <c r="M458" s="1047">
        <f>SQRT(1+(A458/pole4)^2)</f>
        <v/>
      </c>
      <c r="N458" s="1057">
        <f>ATAN(A458/pole4)</f>
        <v/>
      </c>
      <c r="O458" s="1058">
        <f>IF(VOUT_setting=1,1,SQRT(1+(A458*zterm1)^2))</f>
        <v/>
      </c>
      <c r="P458" s="1059">
        <f>IF(VOUT_setting=1,0,ATAN(((A458*zterm1))))</f>
        <v/>
      </c>
      <c r="Q458" s="1056">
        <f>IF(VOUT_setting=1,1,SQRT((1+Afbr-$Q$5*(A458)^2)^2+(A458*$Q$4)^2))</f>
        <v/>
      </c>
      <c r="R458" s="1060">
        <f>IF(VOUT_setting=1,0,ATAN(A458*$Q$4/(1+Afbr-$Q$5*(A458)^2)))</f>
        <v/>
      </c>
      <c r="S458" s="1054">
        <f>SQRT((1-(Z458/pterm2))^2+(A458/pterm1)^2)</f>
        <v/>
      </c>
      <c r="T458" s="1055">
        <f>IF((ATAN((A458/pterm1)/(1-A458^2/pterm2))&gt;0),ATAN((A458/pterm1)/(1-A458^2/pterm2)),PI()+ATAN((A458/pterm1)/(1-A458^2/pterm2)))</f>
        <v/>
      </c>
      <c r="U458" s="331">
        <f>20*LOG10(((E458*K458*G458*O458)/(C458*I458*S458*M458*Q458))*Adc)</f>
        <v/>
      </c>
      <c r="V458" s="332">
        <f>((F458+L458+H458+P458)-(D458+J458+T458+N458+R458))*radconv</f>
        <v/>
      </c>
      <c r="W458" s="334">
        <f>IF(V458&gt;0,V458,V458+180)</f>
        <v/>
      </c>
      <c r="Y458" s="307">
        <f>IF(U458&lt;0,A458,1000000000)</f>
        <v/>
      </c>
      <c r="Z458" s="307">
        <f>A458^2</f>
        <v/>
      </c>
      <c r="AB458" s="333">
        <f>20*LOG10((K458/(I458*M458))*AEA)</f>
        <v/>
      </c>
      <c r="AC458" s="334">
        <f>(L458-(J458+N458))*radconv</f>
        <v/>
      </c>
      <c r="AE458" s="333">
        <f>20*LOG10((E458*G458/(C458*S458))*Acs*Am)</f>
        <v/>
      </c>
      <c r="AF458" s="334">
        <f>(F458+H458-(D458+T458))*radconv</f>
        <v/>
      </c>
      <c r="AH458">
        <f>SUM((U459&lt;0)*(U458&gt;0))*A458</f>
        <v/>
      </c>
      <c r="AI458">
        <f>IF(AH458&gt;0,W458,0)</f>
        <v/>
      </c>
    </row>
    <row r="459">
      <c r="A459" s="335" t="n">
        <v>50702.5</v>
      </c>
      <c r="B459" s="352">
        <f>A459/1000</f>
        <v/>
      </c>
      <c r="C459" s="1047">
        <f>SQRT(1+(A459/pole1)^2)</f>
        <v/>
      </c>
      <c r="D459" s="1048">
        <f>ATAN(A459/pole1)</f>
        <v/>
      </c>
      <c r="E459" s="1048">
        <f>SQRT(1+(A459/Zero1)^2)</f>
        <v/>
      </c>
      <c r="F459" s="1049">
        <f>ATAN(A459/Zero1)</f>
        <v/>
      </c>
      <c r="G459" s="1048">
        <f>IF(VIN_nom&gt;Vout, 1, SQRT(1+(A459/z_RHP)^2))</f>
        <v/>
      </c>
      <c r="H459" s="1049">
        <f>IF(VIN_nom&gt;Vout, 0, -ATAN(A459/z_RHP))</f>
        <v/>
      </c>
      <c r="I459" s="1047">
        <f>SQRT(1+(A459/Pole2)^2)</f>
        <v/>
      </c>
      <c r="J459" s="1050">
        <f>ATAN(A459/Pole2)</f>
        <v/>
      </c>
      <c r="K459" s="1056">
        <f>SQRT(1+(A459/Zero2)^2)</f>
        <v/>
      </c>
      <c r="L459" s="1057">
        <f>ATAN(A459/Zero2)</f>
        <v/>
      </c>
      <c r="M459" s="1047">
        <f>SQRT(1+(A459/pole4)^2)</f>
        <v/>
      </c>
      <c r="N459" s="1057">
        <f>ATAN(A459/pole4)</f>
        <v/>
      </c>
      <c r="O459" s="1058">
        <f>IF(VOUT_setting=1,1,SQRT(1+(A459*zterm1)^2))</f>
        <v/>
      </c>
      <c r="P459" s="1059">
        <f>IF(VOUT_setting=1,0,ATAN(((A459*zterm1))))</f>
        <v/>
      </c>
      <c r="Q459" s="1056">
        <f>IF(VOUT_setting=1,1,SQRT((1+Afbr-$Q$5*(A459)^2)^2+(A459*$Q$4)^2))</f>
        <v/>
      </c>
      <c r="R459" s="1060">
        <f>IF(VOUT_setting=1,0,ATAN(A459*$Q$4/(1+Afbr-$Q$5*(A459)^2)))</f>
        <v/>
      </c>
      <c r="S459" s="1054">
        <f>SQRT((1-(Z459/pterm2))^2+(A459/pterm1)^2)</f>
        <v/>
      </c>
      <c r="T459" s="1055">
        <f>IF((ATAN((A459/pterm1)/(1-A459^2/pterm2))&gt;0),ATAN((A459/pterm1)/(1-A459^2/pterm2)),PI()+ATAN((A459/pterm1)/(1-A459^2/pterm2)))</f>
        <v/>
      </c>
      <c r="U459" s="331">
        <f>20*LOG10(((E459*K459*G459*O459)/(C459*I459*S459*M459*Q459))*Adc)</f>
        <v/>
      </c>
      <c r="V459" s="332">
        <f>((F459+L459+H459+P459)-(D459+J459+T459+N459+R459))*radconv</f>
        <v/>
      </c>
      <c r="W459" s="334">
        <f>IF(V459&gt;0,V459,V459+180)</f>
        <v/>
      </c>
      <c r="Y459" s="307">
        <f>IF(U459&lt;0,A459,1000000000)</f>
        <v/>
      </c>
      <c r="Z459" s="307">
        <f>A459^2</f>
        <v/>
      </c>
      <c r="AB459" s="333">
        <f>20*LOG10((K459/(I459*M459))*AEA)</f>
        <v/>
      </c>
      <c r="AC459" s="334">
        <f>(L459-(J459+N459))*radconv</f>
        <v/>
      </c>
      <c r="AE459" s="333">
        <f>20*LOG10((E459*G459/(C459*S459))*Acs*Am)</f>
        <v/>
      </c>
      <c r="AF459" s="334">
        <f>(F459+H459-(D459+T459))*radconv</f>
        <v/>
      </c>
      <c r="AH459">
        <f>SUM((U460&lt;0)*(U459&gt;0))*A459</f>
        <v/>
      </c>
      <c r="AI459">
        <f>IF(AH459&gt;0,W459,0)</f>
        <v/>
      </c>
    </row>
    <row r="460">
      <c r="A460" s="335" t="n">
        <v>50994.25</v>
      </c>
      <c r="B460" s="352">
        <f>A460/1000</f>
        <v/>
      </c>
      <c r="C460" s="1047">
        <f>SQRT(1+(A460/pole1)^2)</f>
        <v/>
      </c>
      <c r="D460" s="1048">
        <f>ATAN(A460/pole1)</f>
        <v/>
      </c>
      <c r="E460" s="1048">
        <f>SQRT(1+(A460/Zero1)^2)</f>
        <v/>
      </c>
      <c r="F460" s="1049">
        <f>ATAN(A460/Zero1)</f>
        <v/>
      </c>
      <c r="G460" s="1048">
        <f>IF(VIN_nom&gt;Vout, 1, SQRT(1+(A460/z_RHP)^2))</f>
        <v/>
      </c>
      <c r="H460" s="1049">
        <f>IF(VIN_nom&gt;Vout, 0, -ATAN(A460/z_RHP))</f>
        <v/>
      </c>
      <c r="I460" s="1047">
        <f>SQRT(1+(A460/Pole2)^2)</f>
        <v/>
      </c>
      <c r="J460" s="1050">
        <f>ATAN(A460/Pole2)</f>
        <v/>
      </c>
      <c r="K460" s="1056">
        <f>SQRT(1+(A460/Zero2)^2)</f>
        <v/>
      </c>
      <c r="L460" s="1057">
        <f>ATAN(A460/Zero2)</f>
        <v/>
      </c>
      <c r="M460" s="1047">
        <f>SQRT(1+(A460/pole4)^2)</f>
        <v/>
      </c>
      <c r="N460" s="1057">
        <f>ATAN(A460/pole4)</f>
        <v/>
      </c>
      <c r="O460" s="1058">
        <f>IF(VOUT_setting=1,1,SQRT(1+(A460*zterm1)^2))</f>
        <v/>
      </c>
      <c r="P460" s="1059">
        <f>IF(VOUT_setting=1,0,ATAN(((A460*zterm1))))</f>
        <v/>
      </c>
      <c r="Q460" s="1056">
        <f>IF(VOUT_setting=1,1,SQRT((1+Afbr-$Q$5*(A460)^2)^2+(A460*$Q$4)^2))</f>
        <v/>
      </c>
      <c r="R460" s="1060">
        <f>IF(VOUT_setting=1,0,ATAN(A460*$Q$4/(1+Afbr-$Q$5*(A460)^2)))</f>
        <v/>
      </c>
      <c r="S460" s="1054">
        <f>SQRT((1-(Z460/pterm2))^2+(A460/pterm1)^2)</f>
        <v/>
      </c>
      <c r="T460" s="1055">
        <f>IF((ATAN((A460/pterm1)/(1-A460^2/pterm2))&gt;0),ATAN((A460/pterm1)/(1-A460^2/pterm2)),PI()+ATAN((A460/pterm1)/(1-A460^2/pterm2)))</f>
        <v/>
      </c>
      <c r="U460" s="331">
        <f>20*LOG10(((E460*K460*G460*O460)/(C460*I460*S460*M460*Q460))*Adc)</f>
        <v/>
      </c>
      <c r="V460" s="332">
        <f>((F460+L460+H460+P460)-(D460+J460+T460+N460+R460))*radconv</f>
        <v/>
      </c>
      <c r="W460" s="334">
        <f>IF(V460&gt;0,V460,V460+180)</f>
        <v/>
      </c>
      <c r="Y460" s="307">
        <f>IF(U460&lt;0,A460,1000000000)</f>
        <v/>
      </c>
      <c r="Z460" s="307">
        <f>A460^2</f>
        <v/>
      </c>
      <c r="AB460" s="333">
        <f>20*LOG10((K460/(I460*M460))*AEA)</f>
        <v/>
      </c>
      <c r="AC460" s="334">
        <f>(L460-(J460+N460))*radconv</f>
        <v/>
      </c>
      <c r="AE460" s="333">
        <f>20*LOG10((E460*G460/(C460*S460))*Acs*Am)</f>
        <v/>
      </c>
      <c r="AF460" s="334">
        <f>(F460+H460-(D460+T460))*radconv</f>
        <v/>
      </c>
      <c r="AH460">
        <f>SUM((U461&lt;0)*(U460&gt;0))*A460</f>
        <v/>
      </c>
      <c r="AI460">
        <f>IF(AH460&gt;0,W460,0)</f>
        <v/>
      </c>
    </row>
    <row r="461">
      <c r="A461" s="335" t="n">
        <v>51286</v>
      </c>
      <c r="B461" s="352">
        <f>A461/1000</f>
        <v/>
      </c>
      <c r="C461" s="1047">
        <f>SQRT(1+(A461/pole1)^2)</f>
        <v/>
      </c>
      <c r="D461" s="1048">
        <f>ATAN(A461/pole1)</f>
        <v/>
      </c>
      <c r="E461" s="1048">
        <f>SQRT(1+(A461/Zero1)^2)</f>
        <v/>
      </c>
      <c r="F461" s="1049">
        <f>ATAN(A461/Zero1)</f>
        <v/>
      </c>
      <c r="G461" s="1048">
        <f>IF(VIN_nom&gt;Vout, 1, SQRT(1+(A461/z_RHP)^2))</f>
        <v/>
      </c>
      <c r="H461" s="1049">
        <f>IF(VIN_nom&gt;Vout, 0, -ATAN(A461/z_RHP))</f>
        <v/>
      </c>
      <c r="I461" s="1047">
        <f>SQRT(1+(A461/Pole2)^2)</f>
        <v/>
      </c>
      <c r="J461" s="1050">
        <f>ATAN(A461/Pole2)</f>
        <v/>
      </c>
      <c r="K461" s="1056">
        <f>SQRT(1+(A461/Zero2)^2)</f>
        <v/>
      </c>
      <c r="L461" s="1057">
        <f>ATAN(A461/Zero2)</f>
        <v/>
      </c>
      <c r="M461" s="1047">
        <f>SQRT(1+(A461/pole4)^2)</f>
        <v/>
      </c>
      <c r="N461" s="1057">
        <f>ATAN(A461/pole4)</f>
        <v/>
      </c>
      <c r="O461" s="1058">
        <f>IF(VOUT_setting=1,1,SQRT(1+(A461*zterm1)^2))</f>
        <v/>
      </c>
      <c r="P461" s="1059">
        <f>IF(VOUT_setting=1,0,ATAN(((A461*zterm1))))</f>
        <v/>
      </c>
      <c r="Q461" s="1056">
        <f>IF(VOUT_setting=1,1,SQRT((1+Afbr-$Q$5*(A461)^2)^2+(A461*$Q$4)^2))</f>
        <v/>
      </c>
      <c r="R461" s="1060">
        <f>IF(VOUT_setting=1,0,ATAN(A461*$Q$4/(1+Afbr-$Q$5*(A461)^2)))</f>
        <v/>
      </c>
      <c r="S461" s="1054">
        <f>SQRT((1-(Z461/pterm2))^2+(A461/pterm1)^2)</f>
        <v/>
      </c>
      <c r="T461" s="1055">
        <f>IF((ATAN((A461/pterm1)/(1-A461^2/pterm2))&gt;0),ATAN((A461/pterm1)/(1-A461^2/pterm2)),PI()+ATAN((A461/pterm1)/(1-A461^2/pterm2)))</f>
        <v/>
      </c>
      <c r="U461" s="331">
        <f>20*LOG10(((E461*K461*G461*O461)/(C461*I461*S461*M461*Q461))*Adc)</f>
        <v/>
      </c>
      <c r="V461" s="332">
        <f>((F461+L461+H461+P461)-(D461+J461+T461+N461+R461))*radconv</f>
        <v/>
      </c>
      <c r="W461" s="334">
        <f>IF(V461&gt;0,V461,V461+180)</f>
        <v/>
      </c>
      <c r="Y461" s="307">
        <f>IF(U461&lt;0,A461,1000000000)</f>
        <v/>
      </c>
      <c r="Z461" s="307">
        <f>A461^2</f>
        <v/>
      </c>
      <c r="AB461" s="333">
        <f>20*LOG10((K461/(I461*M461))*AEA)</f>
        <v/>
      </c>
      <c r="AC461" s="334">
        <f>(L461-(J461+N461))*radconv</f>
        <v/>
      </c>
      <c r="AE461" s="333">
        <f>20*LOG10((E461*G461/(C461*S461))*Acs*Am)</f>
        <v/>
      </c>
      <c r="AF461" s="334">
        <f>(F461+H461-(D461+T461))*radconv</f>
        <v/>
      </c>
      <c r="AH461">
        <f>SUM((U462&lt;0)*(U461&gt;0))*A461</f>
        <v/>
      </c>
      <c r="AI461">
        <f>IF(AH461&gt;0,W461,0)</f>
        <v/>
      </c>
    </row>
    <row r="462">
      <c r="A462" s="335" t="n">
        <v>51584.75</v>
      </c>
      <c r="B462" s="352">
        <f>A462/1000</f>
        <v/>
      </c>
      <c r="C462" s="1047">
        <f>SQRT(1+(A462/pole1)^2)</f>
        <v/>
      </c>
      <c r="D462" s="1048">
        <f>ATAN(A462/pole1)</f>
        <v/>
      </c>
      <c r="E462" s="1048">
        <f>SQRT(1+(A462/Zero1)^2)</f>
        <v/>
      </c>
      <c r="F462" s="1049">
        <f>ATAN(A462/Zero1)</f>
        <v/>
      </c>
      <c r="G462" s="1048">
        <f>IF(VIN_nom&gt;Vout, 1, SQRT(1+(A462/z_RHP)^2))</f>
        <v/>
      </c>
      <c r="H462" s="1049">
        <f>IF(VIN_nom&gt;Vout, 0, -ATAN(A462/z_RHP))</f>
        <v/>
      </c>
      <c r="I462" s="1047">
        <f>SQRT(1+(A462/Pole2)^2)</f>
        <v/>
      </c>
      <c r="J462" s="1050">
        <f>ATAN(A462/Pole2)</f>
        <v/>
      </c>
      <c r="K462" s="1056">
        <f>SQRT(1+(A462/Zero2)^2)</f>
        <v/>
      </c>
      <c r="L462" s="1057">
        <f>ATAN(A462/Zero2)</f>
        <v/>
      </c>
      <c r="M462" s="1047">
        <f>SQRT(1+(A462/pole4)^2)</f>
        <v/>
      </c>
      <c r="N462" s="1057">
        <f>ATAN(A462/pole4)</f>
        <v/>
      </c>
      <c r="O462" s="1058">
        <f>IF(VOUT_setting=1,1,SQRT(1+(A462*zterm1)^2))</f>
        <v/>
      </c>
      <c r="P462" s="1059">
        <f>IF(VOUT_setting=1,0,ATAN(((A462*zterm1))))</f>
        <v/>
      </c>
      <c r="Q462" s="1056">
        <f>IF(VOUT_setting=1,1,SQRT((1+Afbr-$Q$5*(A462)^2)^2+(A462*$Q$4)^2))</f>
        <v/>
      </c>
      <c r="R462" s="1060">
        <f>IF(VOUT_setting=1,0,ATAN(A462*$Q$4/(1+Afbr-$Q$5*(A462)^2)))</f>
        <v/>
      </c>
      <c r="S462" s="1054">
        <f>SQRT((1-(Z462/pterm2))^2+(A462/pterm1)^2)</f>
        <v/>
      </c>
      <c r="T462" s="1055">
        <f>IF((ATAN((A462/pterm1)/(1-A462^2/pterm2))&gt;0),ATAN((A462/pterm1)/(1-A462^2/pterm2)),PI()+ATAN((A462/pterm1)/(1-A462^2/pterm2)))</f>
        <v/>
      </c>
      <c r="U462" s="331">
        <f>20*LOG10(((E462*K462*G462*O462)/(C462*I462*S462*M462*Q462))*Adc)</f>
        <v/>
      </c>
      <c r="V462" s="332">
        <f>((F462+L462+H462+P462)-(D462+J462+T462+N462+R462))*radconv</f>
        <v/>
      </c>
      <c r="W462" s="334">
        <f>IF(V462&gt;0,V462,V462+180)</f>
        <v/>
      </c>
      <c r="Y462" s="307">
        <f>IF(U462&lt;0,A462,1000000000)</f>
        <v/>
      </c>
      <c r="Z462" s="307">
        <f>A462^2</f>
        <v/>
      </c>
      <c r="AB462" s="333">
        <f>20*LOG10((K462/(I462*M462))*AEA)</f>
        <v/>
      </c>
      <c r="AC462" s="334">
        <f>(L462-(J462+N462))*radconv</f>
        <v/>
      </c>
      <c r="AE462" s="333">
        <f>20*LOG10((E462*G462/(C462*S462))*Acs*Am)</f>
        <v/>
      </c>
      <c r="AF462" s="334">
        <f>(F462+H462-(D462+T462))*radconv</f>
        <v/>
      </c>
      <c r="AH462">
        <f>SUM((U463&lt;0)*(U462&gt;0))*A462</f>
        <v/>
      </c>
      <c r="AI462">
        <f>IF(AH462&gt;0,W462,0)</f>
        <v/>
      </c>
    </row>
    <row r="463">
      <c r="A463" s="335" t="n">
        <v>51883.5</v>
      </c>
      <c r="B463" s="352">
        <f>A463/1000</f>
        <v/>
      </c>
      <c r="C463" s="1047">
        <f>SQRT(1+(A463/pole1)^2)</f>
        <v/>
      </c>
      <c r="D463" s="1048">
        <f>ATAN(A463/pole1)</f>
        <v/>
      </c>
      <c r="E463" s="1048">
        <f>SQRT(1+(A463/Zero1)^2)</f>
        <v/>
      </c>
      <c r="F463" s="1049">
        <f>ATAN(A463/Zero1)</f>
        <v/>
      </c>
      <c r="G463" s="1048">
        <f>IF(VIN_nom&gt;Vout, 1, SQRT(1+(A463/z_RHP)^2))</f>
        <v/>
      </c>
      <c r="H463" s="1049">
        <f>IF(VIN_nom&gt;Vout, 0, -ATAN(A463/z_RHP))</f>
        <v/>
      </c>
      <c r="I463" s="1047">
        <f>SQRT(1+(A463/Pole2)^2)</f>
        <v/>
      </c>
      <c r="J463" s="1050">
        <f>ATAN(A463/Pole2)</f>
        <v/>
      </c>
      <c r="K463" s="1056">
        <f>SQRT(1+(A463/Zero2)^2)</f>
        <v/>
      </c>
      <c r="L463" s="1057">
        <f>ATAN(A463/Zero2)</f>
        <v/>
      </c>
      <c r="M463" s="1047">
        <f>SQRT(1+(A463/pole4)^2)</f>
        <v/>
      </c>
      <c r="N463" s="1057">
        <f>ATAN(A463/pole4)</f>
        <v/>
      </c>
      <c r="O463" s="1058">
        <f>IF(VOUT_setting=1,1,SQRT(1+(A463*zterm1)^2))</f>
        <v/>
      </c>
      <c r="P463" s="1059">
        <f>IF(VOUT_setting=1,0,ATAN(((A463*zterm1))))</f>
        <v/>
      </c>
      <c r="Q463" s="1056">
        <f>IF(VOUT_setting=1,1,SQRT((1+Afbr-$Q$5*(A463)^2)^2+(A463*$Q$4)^2))</f>
        <v/>
      </c>
      <c r="R463" s="1060">
        <f>IF(VOUT_setting=1,0,ATAN(A463*$Q$4/(1+Afbr-$Q$5*(A463)^2)))</f>
        <v/>
      </c>
      <c r="S463" s="1054">
        <f>SQRT((1-(Z463/pterm2))^2+(A463/pterm1)^2)</f>
        <v/>
      </c>
      <c r="T463" s="1055">
        <f>IF((ATAN((A463/pterm1)/(1-A463^2/pterm2))&gt;0),ATAN((A463/pterm1)/(1-A463^2/pterm2)),PI()+ATAN((A463/pterm1)/(1-A463^2/pterm2)))</f>
        <v/>
      </c>
      <c r="U463" s="331">
        <f>20*LOG10(((E463*K463*G463*O463)/(C463*I463*S463*M463*Q463))*Adc)</f>
        <v/>
      </c>
      <c r="V463" s="332">
        <f>((F463+L463+H463+P463)-(D463+J463+T463+N463+R463))*radconv</f>
        <v/>
      </c>
      <c r="W463" s="334">
        <f>IF(V463&gt;0,V463,V463+180)</f>
        <v/>
      </c>
      <c r="Y463" s="307">
        <f>IF(U463&lt;0,A463,1000000000)</f>
        <v/>
      </c>
      <c r="Z463" s="307">
        <f>A463^2</f>
        <v/>
      </c>
      <c r="AB463" s="333">
        <f>20*LOG10((K463/(I463*M463))*AEA)</f>
        <v/>
      </c>
      <c r="AC463" s="334">
        <f>(L463-(J463+N463))*radconv</f>
        <v/>
      </c>
      <c r="AE463" s="333">
        <f>20*LOG10((E463*G463/(C463*S463))*Acs*Am)</f>
        <v/>
      </c>
      <c r="AF463" s="334">
        <f>(F463+H463-(D463+T463))*radconv</f>
        <v/>
      </c>
      <c r="AH463">
        <f>SUM((U464&lt;0)*(U463&gt;0))*A463</f>
        <v/>
      </c>
      <c r="AI463">
        <f>IF(AH463&gt;0,W463,0)</f>
        <v/>
      </c>
    </row>
    <row r="464">
      <c r="A464" s="335" t="n">
        <v>52182.25</v>
      </c>
      <c r="B464" s="352">
        <f>A464/1000</f>
        <v/>
      </c>
      <c r="C464" s="1047">
        <f>SQRT(1+(A464/pole1)^2)</f>
        <v/>
      </c>
      <c r="D464" s="1048">
        <f>ATAN(A464/pole1)</f>
        <v/>
      </c>
      <c r="E464" s="1048">
        <f>SQRT(1+(A464/Zero1)^2)</f>
        <v/>
      </c>
      <c r="F464" s="1049">
        <f>ATAN(A464/Zero1)</f>
        <v/>
      </c>
      <c r="G464" s="1048">
        <f>IF(VIN_nom&gt;Vout, 1, SQRT(1+(A464/z_RHP)^2))</f>
        <v/>
      </c>
      <c r="H464" s="1049">
        <f>IF(VIN_nom&gt;Vout, 0, -ATAN(A464/z_RHP))</f>
        <v/>
      </c>
      <c r="I464" s="1047">
        <f>SQRT(1+(A464/Pole2)^2)</f>
        <v/>
      </c>
      <c r="J464" s="1050">
        <f>ATAN(A464/Pole2)</f>
        <v/>
      </c>
      <c r="K464" s="1056">
        <f>SQRT(1+(A464/Zero2)^2)</f>
        <v/>
      </c>
      <c r="L464" s="1057">
        <f>ATAN(A464/Zero2)</f>
        <v/>
      </c>
      <c r="M464" s="1047">
        <f>SQRT(1+(A464/pole4)^2)</f>
        <v/>
      </c>
      <c r="N464" s="1057">
        <f>ATAN(A464/pole4)</f>
        <v/>
      </c>
      <c r="O464" s="1058">
        <f>IF(VOUT_setting=1,1,SQRT(1+(A464*zterm1)^2))</f>
        <v/>
      </c>
      <c r="P464" s="1059">
        <f>IF(VOUT_setting=1,0,ATAN(((A464*zterm1))))</f>
        <v/>
      </c>
      <c r="Q464" s="1056">
        <f>IF(VOUT_setting=1,1,SQRT((1+Afbr-$Q$5*(A464)^2)^2+(A464*$Q$4)^2))</f>
        <v/>
      </c>
      <c r="R464" s="1060">
        <f>IF(VOUT_setting=1,0,ATAN(A464*$Q$4/(1+Afbr-$Q$5*(A464)^2)))</f>
        <v/>
      </c>
      <c r="S464" s="1054">
        <f>SQRT((1-(Z464/pterm2))^2+(A464/pterm1)^2)</f>
        <v/>
      </c>
      <c r="T464" s="1055">
        <f>IF((ATAN((A464/pterm1)/(1-A464^2/pterm2))&gt;0),ATAN((A464/pterm1)/(1-A464^2/pterm2)),PI()+ATAN((A464/pterm1)/(1-A464^2/pterm2)))</f>
        <v/>
      </c>
      <c r="U464" s="331">
        <f>20*LOG10(((E464*K464*G464*O464)/(C464*I464*S464*M464*Q464))*Adc)</f>
        <v/>
      </c>
      <c r="V464" s="332">
        <f>((F464+L464+H464+P464)-(D464+J464+T464+N464+R464))*radconv</f>
        <v/>
      </c>
      <c r="W464" s="334">
        <f>IF(V464&gt;0,V464,V464+180)</f>
        <v/>
      </c>
      <c r="Y464" s="307">
        <f>IF(U464&lt;0,A464,1000000000)</f>
        <v/>
      </c>
      <c r="Z464" s="307">
        <f>A464^2</f>
        <v/>
      </c>
      <c r="AB464" s="333">
        <f>20*LOG10((K464/(I464*M464))*AEA)</f>
        <v/>
      </c>
      <c r="AC464" s="334">
        <f>(L464-(J464+N464))*radconv</f>
        <v/>
      </c>
      <c r="AE464" s="333">
        <f>20*LOG10((E464*G464/(C464*S464))*Acs*Am)</f>
        <v/>
      </c>
      <c r="AF464" s="334">
        <f>(F464+H464-(D464+T464))*radconv</f>
        <v/>
      </c>
      <c r="AH464">
        <f>SUM((U465&lt;0)*(U464&gt;0))*A464</f>
        <v/>
      </c>
      <c r="AI464">
        <f>IF(AH464&gt;0,W464,0)</f>
        <v/>
      </c>
    </row>
    <row r="465">
      <c r="A465" s="335" t="n">
        <v>52481</v>
      </c>
      <c r="B465" s="352">
        <f>A465/1000</f>
        <v/>
      </c>
      <c r="C465" s="1047">
        <f>SQRT(1+(A465/pole1)^2)</f>
        <v/>
      </c>
      <c r="D465" s="1048">
        <f>ATAN(A465/pole1)</f>
        <v/>
      </c>
      <c r="E465" s="1048">
        <f>SQRT(1+(A465/Zero1)^2)</f>
        <v/>
      </c>
      <c r="F465" s="1049">
        <f>ATAN(A465/Zero1)</f>
        <v/>
      </c>
      <c r="G465" s="1048">
        <f>IF(VIN_nom&gt;Vout, 1, SQRT(1+(A465/z_RHP)^2))</f>
        <v/>
      </c>
      <c r="H465" s="1049">
        <f>IF(VIN_nom&gt;Vout, 0, -ATAN(A465/z_RHP))</f>
        <v/>
      </c>
      <c r="I465" s="1047">
        <f>SQRT(1+(A465/Pole2)^2)</f>
        <v/>
      </c>
      <c r="J465" s="1050">
        <f>ATAN(A465/Pole2)</f>
        <v/>
      </c>
      <c r="K465" s="1056">
        <f>SQRT(1+(A465/Zero2)^2)</f>
        <v/>
      </c>
      <c r="L465" s="1057">
        <f>ATAN(A465/Zero2)</f>
        <v/>
      </c>
      <c r="M465" s="1047">
        <f>SQRT(1+(A465/pole4)^2)</f>
        <v/>
      </c>
      <c r="N465" s="1057">
        <f>ATAN(A465/pole4)</f>
        <v/>
      </c>
      <c r="O465" s="1058">
        <f>IF(VOUT_setting=1,1,SQRT(1+(A465*zterm1)^2))</f>
        <v/>
      </c>
      <c r="P465" s="1059">
        <f>IF(VOUT_setting=1,0,ATAN(((A465*zterm1))))</f>
        <v/>
      </c>
      <c r="Q465" s="1056">
        <f>IF(VOUT_setting=1,1,SQRT((1+Afbr-$Q$5*(A465)^2)^2+(A465*$Q$4)^2))</f>
        <v/>
      </c>
      <c r="R465" s="1060">
        <f>IF(VOUT_setting=1,0,ATAN(A465*$Q$4/(1+Afbr-$Q$5*(A465)^2)))</f>
        <v/>
      </c>
      <c r="S465" s="1054">
        <f>SQRT((1-(Z465/pterm2))^2+(A465/pterm1)^2)</f>
        <v/>
      </c>
      <c r="T465" s="1055">
        <f>IF((ATAN((A465/pterm1)/(1-A465^2/pterm2))&gt;0),ATAN((A465/pterm1)/(1-A465^2/pterm2)),PI()+ATAN((A465/pterm1)/(1-A465^2/pterm2)))</f>
        <v/>
      </c>
      <c r="U465" s="331">
        <f>20*LOG10(((E465*K465*G465*O465)/(C465*I465*S465*M465*Q465))*Adc)</f>
        <v/>
      </c>
      <c r="V465" s="332">
        <f>((F465+L465+H465+P465)-(D465+J465+T465+N465+R465))*radconv</f>
        <v/>
      </c>
      <c r="W465" s="334">
        <f>IF(V465&gt;0,V465,V465+180)</f>
        <v/>
      </c>
      <c r="Y465" s="307">
        <f>IF(U465&lt;0,A465,1000000000)</f>
        <v/>
      </c>
      <c r="Z465" s="307">
        <f>A465^2</f>
        <v/>
      </c>
      <c r="AB465" s="333">
        <f>20*LOG10((K465/(I465*M465))*AEA)</f>
        <v/>
      </c>
      <c r="AC465" s="334">
        <f>(L465-(J465+N465))*radconv</f>
        <v/>
      </c>
      <c r="AE465" s="333">
        <f>20*LOG10((E465*G465/(C465*S465))*Acs*Am)</f>
        <v/>
      </c>
      <c r="AF465" s="334">
        <f>(F465+H465-(D465+T465))*radconv</f>
        <v/>
      </c>
      <c r="AH465">
        <f>SUM((U466&lt;0)*(U465&gt;0))*A465</f>
        <v/>
      </c>
      <c r="AI465">
        <f>IF(AH465&gt;0,W465,0)</f>
        <v/>
      </c>
    </row>
    <row r="466">
      <c r="A466" s="335" t="n">
        <v>52786.5</v>
      </c>
      <c r="B466" s="352">
        <f>A466/1000</f>
        <v/>
      </c>
      <c r="C466" s="1047">
        <f>SQRT(1+(A466/pole1)^2)</f>
        <v/>
      </c>
      <c r="D466" s="1048">
        <f>ATAN(A466/pole1)</f>
        <v/>
      </c>
      <c r="E466" s="1048">
        <f>SQRT(1+(A466/Zero1)^2)</f>
        <v/>
      </c>
      <c r="F466" s="1049">
        <f>ATAN(A466/Zero1)</f>
        <v/>
      </c>
      <c r="G466" s="1048">
        <f>IF(VIN_nom&gt;Vout, 1, SQRT(1+(A466/z_RHP)^2))</f>
        <v/>
      </c>
      <c r="H466" s="1049">
        <f>IF(VIN_nom&gt;Vout, 0, -ATAN(A466/z_RHP))</f>
        <v/>
      </c>
      <c r="I466" s="1047">
        <f>SQRT(1+(A466/Pole2)^2)</f>
        <v/>
      </c>
      <c r="J466" s="1050">
        <f>ATAN(A466/Pole2)</f>
        <v/>
      </c>
      <c r="K466" s="1056">
        <f>SQRT(1+(A466/Zero2)^2)</f>
        <v/>
      </c>
      <c r="L466" s="1057">
        <f>ATAN(A466/Zero2)</f>
        <v/>
      </c>
      <c r="M466" s="1047">
        <f>SQRT(1+(A466/pole4)^2)</f>
        <v/>
      </c>
      <c r="N466" s="1057">
        <f>ATAN(A466/pole4)</f>
        <v/>
      </c>
      <c r="O466" s="1058">
        <f>IF(VOUT_setting=1,1,SQRT(1+(A466*zterm1)^2))</f>
        <v/>
      </c>
      <c r="P466" s="1059">
        <f>IF(VOUT_setting=1,0,ATAN(((A466*zterm1))))</f>
        <v/>
      </c>
      <c r="Q466" s="1056">
        <f>IF(VOUT_setting=1,1,SQRT((1+Afbr-$Q$5*(A466)^2)^2+(A466*$Q$4)^2))</f>
        <v/>
      </c>
      <c r="R466" s="1060">
        <f>IF(VOUT_setting=1,0,ATAN(A466*$Q$4/(1+Afbr-$Q$5*(A466)^2)))</f>
        <v/>
      </c>
      <c r="S466" s="1054">
        <f>SQRT((1-(Z466/pterm2))^2+(A466/pterm1)^2)</f>
        <v/>
      </c>
      <c r="T466" s="1055">
        <f>IF((ATAN((A466/pterm1)/(1-A466^2/pterm2))&gt;0),ATAN((A466/pterm1)/(1-A466^2/pterm2)),PI()+ATAN((A466/pterm1)/(1-A466^2/pterm2)))</f>
        <v/>
      </c>
      <c r="U466" s="331">
        <f>20*LOG10(((E466*K466*G466*O466)/(C466*I466*S466*M466*Q466))*Adc)</f>
        <v/>
      </c>
      <c r="V466" s="332">
        <f>((F466+L466+H466+P466)-(D466+J466+T466+N466+R466))*radconv</f>
        <v/>
      </c>
      <c r="W466" s="334">
        <f>IF(V466&gt;0,V466,V466+180)</f>
        <v/>
      </c>
      <c r="Y466" s="307">
        <f>IF(U466&lt;0,A466,1000000000)</f>
        <v/>
      </c>
      <c r="Z466" s="307">
        <f>A466^2</f>
        <v/>
      </c>
      <c r="AB466" s="333">
        <f>20*LOG10((K466/(I466*M466))*AEA)</f>
        <v/>
      </c>
      <c r="AC466" s="334">
        <f>(L466-(J466+N466))*radconv</f>
        <v/>
      </c>
      <c r="AE466" s="333">
        <f>20*LOG10((E466*G466/(C466*S466))*Acs*Am)</f>
        <v/>
      </c>
      <c r="AF466" s="334">
        <f>(F466+H466-(D466+T466))*radconv</f>
        <v/>
      </c>
      <c r="AH466">
        <f>SUM((U467&lt;0)*(U466&gt;0))*A466</f>
        <v/>
      </c>
      <c r="AI466">
        <f>IF(AH466&gt;0,W466,0)</f>
        <v/>
      </c>
    </row>
    <row r="467">
      <c r="A467" s="335" t="n">
        <v>53092</v>
      </c>
      <c r="B467" s="352">
        <f>A467/1000</f>
        <v/>
      </c>
      <c r="C467" s="1047">
        <f>SQRT(1+(A467/pole1)^2)</f>
        <v/>
      </c>
      <c r="D467" s="1048">
        <f>ATAN(A467/pole1)</f>
        <v/>
      </c>
      <c r="E467" s="1048">
        <f>SQRT(1+(A467/Zero1)^2)</f>
        <v/>
      </c>
      <c r="F467" s="1049">
        <f>ATAN(A467/Zero1)</f>
        <v/>
      </c>
      <c r="G467" s="1048">
        <f>IF(VIN_nom&gt;Vout, 1, SQRT(1+(A467/z_RHP)^2))</f>
        <v/>
      </c>
      <c r="H467" s="1049">
        <f>IF(VIN_nom&gt;Vout, 0, -ATAN(A467/z_RHP))</f>
        <v/>
      </c>
      <c r="I467" s="1047">
        <f>SQRT(1+(A467/Pole2)^2)</f>
        <v/>
      </c>
      <c r="J467" s="1050">
        <f>ATAN(A467/Pole2)</f>
        <v/>
      </c>
      <c r="K467" s="1056">
        <f>SQRT(1+(A467/Zero2)^2)</f>
        <v/>
      </c>
      <c r="L467" s="1057">
        <f>ATAN(A467/Zero2)</f>
        <v/>
      </c>
      <c r="M467" s="1047">
        <f>SQRT(1+(A467/pole4)^2)</f>
        <v/>
      </c>
      <c r="N467" s="1057">
        <f>ATAN(A467/pole4)</f>
        <v/>
      </c>
      <c r="O467" s="1058">
        <f>IF(VOUT_setting=1,1,SQRT(1+(A467*zterm1)^2))</f>
        <v/>
      </c>
      <c r="P467" s="1059">
        <f>IF(VOUT_setting=1,0,ATAN(((A467*zterm1))))</f>
        <v/>
      </c>
      <c r="Q467" s="1056">
        <f>IF(VOUT_setting=1,1,SQRT((1+Afbr-$Q$5*(A467)^2)^2+(A467*$Q$4)^2))</f>
        <v/>
      </c>
      <c r="R467" s="1060">
        <f>IF(VOUT_setting=1,0,ATAN(A467*$Q$4/(1+Afbr-$Q$5*(A467)^2)))</f>
        <v/>
      </c>
      <c r="S467" s="1054">
        <f>SQRT((1-(Z467/pterm2))^2+(A467/pterm1)^2)</f>
        <v/>
      </c>
      <c r="T467" s="1055">
        <f>IF((ATAN((A467/pterm1)/(1-A467^2/pterm2))&gt;0),ATAN((A467/pterm1)/(1-A467^2/pterm2)),PI()+ATAN((A467/pterm1)/(1-A467^2/pterm2)))</f>
        <v/>
      </c>
      <c r="U467" s="331">
        <f>20*LOG10(((E467*K467*G467*O467)/(C467*I467*S467*M467*Q467))*Adc)</f>
        <v/>
      </c>
      <c r="V467" s="332">
        <f>((F467+L467+H467+P467)-(D467+J467+T467+N467+R467))*radconv</f>
        <v/>
      </c>
      <c r="W467" s="334">
        <f>IF(V467&gt;0,V467,V467+180)</f>
        <v/>
      </c>
      <c r="Y467" s="307">
        <f>IF(U467&lt;0,A467,1000000000)</f>
        <v/>
      </c>
      <c r="Z467" s="307">
        <f>A467^2</f>
        <v/>
      </c>
      <c r="AB467" s="333">
        <f>20*LOG10((K467/(I467*M467))*AEA)</f>
        <v/>
      </c>
      <c r="AC467" s="334">
        <f>(L467-(J467+N467))*radconv</f>
        <v/>
      </c>
      <c r="AE467" s="333">
        <f>20*LOG10((E467*G467/(C467*S467))*Acs*Am)</f>
        <v/>
      </c>
      <c r="AF467" s="334">
        <f>(F467+H467-(D467+T467))*radconv</f>
        <v/>
      </c>
      <c r="AH467">
        <f>SUM((U468&lt;0)*(U467&gt;0))*A467</f>
        <v/>
      </c>
      <c r="AI467">
        <f>IF(AH467&gt;0,W467,0)</f>
        <v/>
      </c>
    </row>
    <row r="468">
      <c r="A468" s="335" t="n">
        <v>53397.5</v>
      </c>
      <c r="B468" s="352">
        <f>A468/1000</f>
        <v/>
      </c>
      <c r="C468" s="1047">
        <f>SQRT(1+(A468/pole1)^2)</f>
        <v/>
      </c>
      <c r="D468" s="1048">
        <f>ATAN(A468/pole1)</f>
        <v/>
      </c>
      <c r="E468" s="1048">
        <f>SQRT(1+(A468/Zero1)^2)</f>
        <v/>
      </c>
      <c r="F468" s="1049">
        <f>ATAN(A468/Zero1)</f>
        <v/>
      </c>
      <c r="G468" s="1048">
        <f>IF(VIN_nom&gt;Vout, 1, SQRT(1+(A468/z_RHP)^2))</f>
        <v/>
      </c>
      <c r="H468" s="1049">
        <f>IF(VIN_nom&gt;Vout, 0, -ATAN(A468/z_RHP))</f>
        <v/>
      </c>
      <c r="I468" s="1047">
        <f>SQRT(1+(A468/Pole2)^2)</f>
        <v/>
      </c>
      <c r="J468" s="1050">
        <f>ATAN(A468/Pole2)</f>
        <v/>
      </c>
      <c r="K468" s="1056">
        <f>SQRT(1+(A468/Zero2)^2)</f>
        <v/>
      </c>
      <c r="L468" s="1057">
        <f>ATAN(A468/Zero2)</f>
        <v/>
      </c>
      <c r="M468" s="1047">
        <f>SQRT(1+(A468/pole4)^2)</f>
        <v/>
      </c>
      <c r="N468" s="1057">
        <f>ATAN(A468/pole4)</f>
        <v/>
      </c>
      <c r="O468" s="1058">
        <f>IF(VOUT_setting=1,1,SQRT(1+(A468*zterm1)^2))</f>
        <v/>
      </c>
      <c r="P468" s="1059">
        <f>IF(VOUT_setting=1,0,ATAN(((A468*zterm1))))</f>
        <v/>
      </c>
      <c r="Q468" s="1056">
        <f>IF(VOUT_setting=1,1,SQRT((1+Afbr-$Q$5*(A468)^2)^2+(A468*$Q$4)^2))</f>
        <v/>
      </c>
      <c r="R468" s="1060">
        <f>IF(VOUT_setting=1,0,ATAN(A468*$Q$4/(1+Afbr-$Q$5*(A468)^2)))</f>
        <v/>
      </c>
      <c r="S468" s="1054">
        <f>SQRT((1-(Z468/pterm2))^2+(A468/pterm1)^2)</f>
        <v/>
      </c>
      <c r="T468" s="1055">
        <f>IF((ATAN((A468/pterm1)/(1-A468^2/pterm2))&gt;0),ATAN((A468/pterm1)/(1-A468^2/pterm2)),PI()+ATAN((A468/pterm1)/(1-A468^2/pterm2)))</f>
        <v/>
      </c>
      <c r="U468" s="331">
        <f>20*LOG10(((E468*K468*G468*O468)/(C468*I468*S468*M468*Q468))*Adc)</f>
        <v/>
      </c>
      <c r="V468" s="332">
        <f>((F468+L468+H468+P468)-(D468+J468+T468+N468+R468))*radconv</f>
        <v/>
      </c>
      <c r="W468" s="334">
        <f>IF(V468&gt;0,V468,V468+180)</f>
        <v/>
      </c>
      <c r="Y468" s="307">
        <f>IF(U468&lt;0,A468,1000000000)</f>
        <v/>
      </c>
      <c r="Z468" s="307">
        <f>A468^2</f>
        <v/>
      </c>
      <c r="AB468" s="333">
        <f>20*LOG10((K468/(I468*M468))*AEA)</f>
        <v/>
      </c>
      <c r="AC468" s="334">
        <f>(L468-(J468+N468))*radconv</f>
        <v/>
      </c>
      <c r="AE468" s="333">
        <f>20*LOG10((E468*G468/(C468*S468))*Acs*Am)</f>
        <v/>
      </c>
      <c r="AF468" s="334">
        <f>(F468+H468-(D468+T468))*radconv</f>
        <v/>
      </c>
      <c r="AH468">
        <f>SUM((U469&lt;0)*(U468&gt;0))*A468</f>
        <v/>
      </c>
      <c r="AI468">
        <f>IF(AH468&gt;0,W468,0)</f>
        <v/>
      </c>
    </row>
    <row r="469">
      <c r="A469" s="335" t="n">
        <v>53703</v>
      </c>
      <c r="B469" s="352">
        <f>A469/1000</f>
        <v/>
      </c>
      <c r="C469" s="1047">
        <f>SQRT(1+(A469/pole1)^2)</f>
        <v/>
      </c>
      <c r="D469" s="1048">
        <f>ATAN(A469/pole1)</f>
        <v/>
      </c>
      <c r="E469" s="1048">
        <f>SQRT(1+(A469/Zero1)^2)</f>
        <v/>
      </c>
      <c r="F469" s="1049">
        <f>ATAN(A469/Zero1)</f>
        <v/>
      </c>
      <c r="G469" s="1048">
        <f>IF(VIN_nom&gt;Vout, 1, SQRT(1+(A469/z_RHP)^2))</f>
        <v/>
      </c>
      <c r="H469" s="1049">
        <f>IF(VIN_nom&gt;Vout, 0, -ATAN(A469/z_RHP))</f>
        <v/>
      </c>
      <c r="I469" s="1047">
        <f>SQRT(1+(A469/Pole2)^2)</f>
        <v/>
      </c>
      <c r="J469" s="1050">
        <f>ATAN(A469/Pole2)</f>
        <v/>
      </c>
      <c r="K469" s="1056">
        <f>SQRT(1+(A469/Zero2)^2)</f>
        <v/>
      </c>
      <c r="L469" s="1057">
        <f>ATAN(A469/Zero2)</f>
        <v/>
      </c>
      <c r="M469" s="1047">
        <f>SQRT(1+(A469/pole4)^2)</f>
        <v/>
      </c>
      <c r="N469" s="1057">
        <f>ATAN(A469/pole4)</f>
        <v/>
      </c>
      <c r="O469" s="1058">
        <f>IF(VOUT_setting=1,1,SQRT(1+(A469*zterm1)^2))</f>
        <v/>
      </c>
      <c r="P469" s="1059">
        <f>IF(VOUT_setting=1,0,ATAN(((A469*zterm1))))</f>
        <v/>
      </c>
      <c r="Q469" s="1056">
        <f>IF(VOUT_setting=1,1,SQRT((1+Afbr-$Q$5*(A469)^2)^2+(A469*$Q$4)^2))</f>
        <v/>
      </c>
      <c r="R469" s="1060">
        <f>IF(VOUT_setting=1,0,ATAN(A469*$Q$4/(1+Afbr-$Q$5*(A469)^2)))</f>
        <v/>
      </c>
      <c r="S469" s="1054">
        <f>SQRT((1-(Z469/pterm2))^2+(A469/pterm1)^2)</f>
        <v/>
      </c>
      <c r="T469" s="1055">
        <f>IF((ATAN((A469/pterm1)/(1-A469^2/pterm2))&gt;0),ATAN((A469/pterm1)/(1-A469^2/pterm2)),PI()+ATAN((A469/pterm1)/(1-A469^2/pterm2)))</f>
        <v/>
      </c>
      <c r="U469" s="331">
        <f>20*LOG10(((E469*K469*G469*O469)/(C469*I469*S469*M469*Q469))*Adc)</f>
        <v/>
      </c>
      <c r="V469" s="332">
        <f>((F469+L469+H469+P469)-(D469+J469+T469+N469+R469))*radconv</f>
        <v/>
      </c>
      <c r="W469" s="334">
        <f>IF(V469&gt;0,V469,V469+180)</f>
        <v/>
      </c>
      <c r="Y469" s="307">
        <f>IF(U469&lt;0,A469,1000000000)</f>
        <v/>
      </c>
      <c r="Z469" s="307">
        <f>A469^2</f>
        <v/>
      </c>
      <c r="AB469" s="333">
        <f>20*LOG10((K469/(I469*M469))*AEA)</f>
        <v/>
      </c>
      <c r="AC469" s="334">
        <f>(L469-(J469+N469))*radconv</f>
        <v/>
      </c>
      <c r="AE469" s="333">
        <f>20*LOG10((E469*G469/(C469*S469))*Acs*Am)</f>
        <v/>
      </c>
      <c r="AF469" s="334">
        <f>(F469+H469-(D469+T469))*radconv</f>
        <v/>
      </c>
      <c r="AH469">
        <f>SUM((U470&lt;0)*(U469&gt;0))*A469</f>
        <v/>
      </c>
      <c r="AI469">
        <f>IF(AH469&gt;0,W469,0)</f>
        <v/>
      </c>
    </row>
    <row r="470">
      <c r="A470" s="335" t="n">
        <v>54015.75</v>
      </c>
      <c r="B470" s="352">
        <f>A470/1000</f>
        <v/>
      </c>
      <c r="C470" s="1047">
        <f>SQRT(1+(A470/pole1)^2)</f>
        <v/>
      </c>
      <c r="D470" s="1048">
        <f>ATAN(A470/pole1)</f>
        <v/>
      </c>
      <c r="E470" s="1048">
        <f>SQRT(1+(A470/Zero1)^2)</f>
        <v/>
      </c>
      <c r="F470" s="1049">
        <f>ATAN(A470/Zero1)</f>
        <v/>
      </c>
      <c r="G470" s="1048">
        <f>IF(VIN_nom&gt;Vout, 1, SQRT(1+(A470/z_RHP)^2))</f>
        <v/>
      </c>
      <c r="H470" s="1049">
        <f>IF(VIN_nom&gt;Vout, 0, -ATAN(A470/z_RHP))</f>
        <v/>
      </c>
      <c r="I470" s="1047">
        <f>SQRT(1+(A470/Pole2)^2)</f>
        <v/>
      </c>
      <c r="J470" s="1050">
        <f>ATAN(A470/Pole2)</f>
        <v/>
      </c>
      <c r="K470" s="1056">
        <f>SQRT(1+(A470/Zero2)^2)</f>
        <v/>
      </c>
      <c r="L470" s="1057">
        <f>ATAN(A470/Zero2)</f>
        <v/>
      </c>
      <c r="M470" s="1047">
        <f>SQRT(1+(A470/pole4)^2)</f>
        <v/>
      </c>
      <c r="N470" s="1057">
        <f>ATAN(A470/pole4)</f>
        <v/>
      </c>
      <c r="O470" s="1058">
        <f>IF(VOUT_setting=1,1,SQRT(1+(A470*zterm1)^2))</f>
        <v/>
      </c>
      <c r="P470" s="1059">
        <f>IF(VOUT_setting=1,0,ATAN(((A470*zterm1))))</f>
        <v/>
      </c>
      <c r="Q470" s="1056">
        <f>IF(VOUT_setting=1,1,SQRT((1+Afbr-$Q$5*(A470)^2)^2+(A470*$Q$4)^2))</f>
        <v/>
      </c>
      <c r="R470" s="1060">
        <f>IF(VOUT_setting=1,0,ATAN(A470*$Q$4/(1+Afbr-$Q$5*(A470)^2)))</f>
        <v/>
      </c>
      <c r="S470" s="1054">
        <f>SQRT((1-(Z470/pterm2))^2+(A470/pterm1)^2)</f>
        <v/>
      </c>
      <c r="T470" s="1055">
        <f>IF((ATAN((A470/pterm1)/(1-A470^2/pterm2))&gt;0),ATAN((A470/pterm1)/(1-A470^2/pterm2)),PI()+ATAN((A470/pterm1)/(1-A470^2/pterm2)))</f>
        <v/>
      </c>
      <c r="U470" s="331">
        <f>20*LOG10(((E470*K470*G470*O470)/(C470*I470*S470*M470*Q470))*Adc)</f>
        <v/>
      </c>
      <c r="V470" s="332">
        <f>((F470+L470+H470+P470)-(D470+J470+T470+N470+R470))*radconv</f>
        <v/>
      </c>
      <c r="W470" s="334">
        <f>IF(V470&gt;0,V470,V470+180)</f>
        <v/>
      </c>
      <c r="Y470" s="307">
        <f>IF(U470&lt;0,A470,1000000000)</f>
        <v/>
      </c>
      <c r="Z470" s="307">
        <f>A470^2</f>
        <v/>
      </c>
      <c r="AB470" s="333">
        <f>20*LOG10((K470/(I470*M470))*AEA)</f>
        <v/>
      </c>
      <c r="AC470" s="334">
        <f>(L470-(J470+N470))*radconv</f>
        <v/>
      </c>
      <c r="AE470" s="333">
        <f>20*LOG10((E470*G470/(C470*S470))*Acs*Am)</f>
        <v/>
      </c>
      <c r="AF470" s="334">
        <f>(F470+H470-(D470+T470))*radconv</f>
        <v/>
      </c>
      <c r="AH470">
        <f>SUM((U471&lt;0)*(U470&gt;0))*A470</f>
        <v/>
      </c>
      <c r="AI470">
        <f>IF(AH470&gt;0,W470,0)</f>
        <v/>
      </c>
    </row>
    <row r="471">
      <c r="A471" s="335" t="n">
        <v>54328.5</v>
      </c>
      <c r="B471" s="352">
        <f>A471/1000</f>
        <v/>
      </c>
      <c r="C471" s="1047">
        <f>SQRT(1+(A471/pole1)^2)</f>
        <v/>
      </c>
      <c r="D471" s="1048">
        <f>ATAN(A471/pole1)</f>
        <v/>
      </c>
      <c r="E471" s="1048">
        <f>SQRT(1+(A471/Zero1)^2)</f>
        <v/>
      </c>
      <c r="F471" s="1049">
        <f>ATAN(A471/Zero1)</f>
        <v/>
      </c>
      <c r="G471" s="1048">
        <f>IF(VIN_nom&gt;Vout, 1, SQRT(1+(A471/z_RHP)^2))</f>
        <v/>
      </c>
      <c r="H471" s="1049">
        <f>IF(VIN_nom&gt;Vout, 0, -ATAN(A471/z_RHP))</f>
        <v/>
      </c>
      <c r="I471" s="1047">
        <f>SQRT(1+(A471/Pole2)^2)</f>
        <v/>
      </c>
      <c r="J471" s="1050">
        <f>ATAN(A471/Pole2)</f>
        <v/>
      </c>
      <c r="K471" s="1056">
        <f>SQRT(1+(A471/Zero2)^2)</f>
        <v/>
      </c>
      <c r="L471" s="1057">
        <f>ATAN(A471/Zero2)</f>
        <v/>
      </c>
      <c r="M471" s="1047">
        <f>SQRT(1+(A471/pole4)^2)</f>
        <v/>
      </c>
      <c r="N471" s="1057">
        <f>ATAN(A471/pole4)</f>
        <v/>
      </c>
      <c r="O471" s="1058">
        <f>IF(VOUT_setting=1,1,SQRT(1+(A471*zterm1)^2))</f>
        <v/>
      </c>
      <c r="P471" s="1059">
        <f>IF(VOUT_setting=1,0,ATAN(((A471*zterm1))))</f>
        <v/>
      </c>
      <c r="Q471" s="1056">
        <f>IF(VOUT_setting=1,1,SQRT((1+Afbr-$Q$5*(A471)^2)^2+(A471*$Q$4)^2))</f>
        <v/>
      </c>
      <c r="R471" s="1060">
        <f>IF(VOUT_setting=1,0,ATAN(A471*$Q$4/(1+Afbr-$Q$5*(A471)^2)))</f>
        <v/>
      </c>
      <c r="S471" s="1054">
        <f>SQRT((1-(Z471/pterm2))^2+(A471/pterm1)^2)</f>
        <v/>
      </c>
      <c r="T471" s="1055">
        <f>IF((ATAN((A471/pterm1)/(1-A471^2/pterm2))&gt;0),ATAN((A471/pterm1)/(1-A471^2/pterm2)),PI()+ATAN((A471/pterm1)/(1-A471^2/pterm2)))</f>
        <v/>
      </c>
      <c r="U471" s="331">
        <f>20*LOG10(((E471*K471*G471*O471)/(C471*I471*S471*M471*Q471))*Adc)</f>
        <v/>
      </c>
      <c r="V471" s="332">
        <f>((F471+L471+H471+P471)-(D471+J471+T471+N471+R471))*radconv</f>
        <v/>
      </c>
      <c r="W471" s="334">
        <f>IF(V471&gt;0,V471,V471+180)</f>
        <v/>
      </c>
      <c r="Y471" s="307">
        <f>IF(U471&lt;0,A471,1000000000)</f>
        <v/>
      </c>
      <c r="Z471" s="307">
        <f>A471^2</f>
        <v/>
      </c>
      <c r="AB471" s="333">
        <f>20*LOG10((K471/(I471*M471))*AEA)</f>
        <v/>
      </c>
      <c r="AC471" s="334">
        <f>(L471-(J471+N471))*radconv</f>
        <v/>
      </c>
      <c r="AE471" s="333">
        <f>20*LOG10((E471*G471/(C471*S471))*Acs*Am)</f>
        <v/>
      </c>
      <c r="AF471" s="334">
        <f>(F471+H471-(D471+T471))*radconv</f>
        <v/>
      </c>
      <c r="AH471">
        <f>SUM((U472&lt;0)*(U471&gt;0))*A471</f>
        <v/>
      </c>
      <c r="AI471">
        <f>IF(AH471&gt;0,W471,0)</f>
        <v/>
      </c>
    </row>
    <row r="472">
      <c r="A472" s="335" t="n">
        <v>54641.25</v>
      </c>
      <c r="B472" s="352">
        <f>A472/1000</f>
        <v/>
      </c>
      <c r="C472" s="1047">
        <f>SQRT(1+(A472/pole1)^2)</f>
        <v/>
      </c>
      <c r="D472" s="1048">
        <f>ATAN(A472/pole1)</f>
        <v/>
      </c>
      <c r="E472" s="1048">
        <f>SQRT(1+(A472/Zero1)^2)</f>
        <v/>
      </c>
      <c r="F472" s="1049">
        <f>ATAN(A472/Zero1)</f>
        <v/>
      </c>
      <c r="G472" s="1048">
        <f>IF(VIN_nom&gt;Vout, 1, SQRT(1+(A472/z_RHP)^2))</f>
        <v/>
      </c>
      <c r="H472" s="1049">
        <f>IF(VIN_nom&gt;Vout, 0, -ATAN(A472/z_RHP))</f>
        <v/>
      </c>
      <c r="I472" s="1047">
        <f>SQRT(1+(A472/Pole2)^2)</f>
        <v/>
      </c>
      <c r="J472" s="1050">
        <f>ATAN(A472/Pole2)</f>
        <v/>
      </c>
      <c r="K472" s="1056">
        <f>SQRT(1+(A472/Zero2)^2)</f>
        <v/>
      </c>
      <c r="L472" s="1057">
        <f>ATAN(A472/Zero2)</f>
        <v/>
      </c>
      <c r="M472" s="1047">
        <f>SQRT(1+(A472/pole4)^2)</f>
        <v/>
      </c>
      <c r="N472" s="1057">
        <f>ATAN(A472/pole4)</f>
        <v/>
      </c>
      <c r="O472" s="1058">
        <f>IF(VOUT_setting=1,1,SQRT(1+(A472*zterm1)^2))</f>
        <v/>
      </c>
      <c r="P472" s="1059">
        <f>IF(VOUT_setting=1,0,ATAN(((A472*zterm1))))</f>
        <v/>
      </c>
      <c r="Q472" s="1056">
        <f>IF(VOUT_setting=1,1,SQRT((1+Afbr-$Q$5*(A472)^2)^2+(A472*$Q$4)^2))</f>
        <v/>
      </c>
      <c r="R472" s="1060">
        <f>IF(VOUT_setting=1,0,ATAN(A472*$Q$4/(1+Afbr-$Q$5*(A472)^2)))</f>
        <v/>
      </c>
      <c r="S472" s="1054">
        <f>SQRT((1-(Z472/pterm2))^2+(A472/pterm1)^2)</f>
        <v/>
      </c>
      <c r="T472" s="1055">
        <f>IF((ATAN((A472/pterm1)/(1-A472^2/pterm2))&gt;0),ATAN((A472/pterm1)/(1-A472^2/pterm2)),PI()+ATAN((A472/pterm1)/(1-A472^2/pterm2)))</f>
        <v/>
      </c>
      <c r="U472" s="331">
        <f>20*LOG10(((E472*K472*G472*O472)/(C472*I472*S472*M472*Q472))*Adc)</f>
        <v/>
      </c>
      <c r="V472" s="332">
        <f>((F472+L472+H472+P472)-(D472+J472+T472+N472+R472))*radconv</f>
        <v/>
      </c>
      <c r="W472" s="334">
        <f>IF(V472&gt;0,V472,V472+180)</f>
        <v/>
      </c>
      <c r="Y472" s="307">
        <f>IF(U472&lt;0,A472,1000000000)</f>
        <v/>
      </c>
      <c r="Z472" s="307">
        <f>A472^2</f>
        <v/>
      </c>
      <c r="AB472" s="333">
        <f>20*LOG10((K472/(I472*M472))*AEA)</f>
        <v/>
      </c>
      <c r="AC472" s="334">
        <f>(L472-(J472+N472))*radconv</f>
        <v/>
      </c>
      <c r="AE472" s="333">
        <f>20*LOG10((E472*G472/(C472*S472))*Acs*Am)</f>
        <v/>
      </c>
      <c r="AF472" s="334">
        <f>(F472+H472-(D472+T472))*radconv</f>
        <v/>
      </c>
      <c r="AH472">
        <f>SUM((U473&lt;0)*(U472&gt;0))*A472</f>
        <v/>
      </c>
      <c r="AI472">
        <f>IF(AH472&gt;0,W472,0)</f>
        <v/>
      </c>
    </row>
    <row r="473">
      <c r="A473" s="335" t="n">
        <v>54954</v>
      </c>
      <c r="B473" s="352">
        <f>A473/1000</f>
        <v/>
      </c>
      <c r="C473" s="1047">
        <f>SQRT(1+(A473/pole1)^2)</f>
        <v/>
      </c>
      <c r="D473" s="1048">
        <f>ATAN(A473/pole1)</f>
        <v/>
      </c>
      <c r="E473" s="1048">
        <f>SQRT(1+(A473/Zero1)^2)</f>
        <v/>
      </c>
      <c r="F473" s="1049">
        <f>ATAN(A473/Zero1)</f>
        <v/>
      </c>
      <c r="G473" s="1048">
        <f>IF(VIN_nom&gt;Vout, 1, SQRT(1+(A473/z_RHP)^2))</f>
        <v/>
      </c>
      <c r="H473" s="1049">
        <f>IF(VIN_nom&gt;Vout, 0, -ATAN(A473/z_RHP))</f>
        <v/>
      </c>
      <c r="I473" s="1047">
        <f>SQRT(1+(A473/Pole2)^2)</f>
        <v/>
      </c>
      <c r="J473" s="1050">
        <f>ATAN(A473/Pole2)</f>
        <v/>
      </c>
      <c r="K473" s="1056">
        <f>SQRT(1+(A473/Zero2)^2)</f>
        <v/>
      </c>
      <c r="L473" s="1057">
        <f>ATAN(A473/Zero2)</f>
        <v/>
      </c>
      <c r="M473" s="1047">
        <f>SQRT(1+(A473/pole4)^2)</f>
        <v/>
      </c>
      <c r="N473" s="1057">
        <f>ATAN(A473/pole4)</f>
        <v/>
      </c>
      <c r="O473" s="1058">
        <f>IF(VOUT_setting=1,1,SQRT(1+(A473*zterm1)^2))</f>
        <v/>
      </c>
      <c r="P473" s="1059">
        <f>IF(VOUT_setting=1,0,ATAN(((A473*zterm1))))</f>
        <v/>
      </c>
      <c r="Q473" s="1056">
        <f>IF(VOUT_setting=1,1,SQRT((1+Afbr-$Q$5*(A473)^2)^2+(A473*$Q$4)^2))</f>
        <v/>
      </c>
      <c r="R473" s="1060">
        <f>IF(VOUT_setting=1,0,ATAN(A473*$Q$4/(1+Afbr-$Q$5*(A473)^2)))</f>
        <v/>
      </c>
      <c r="S473" s="1054">
        <f>SQRT((1-(Z473/pterm2))^2+(A473/pterm1)^2)</f>
        <v/>
      </c>
      <c r="T473" s="1055">
        <f>IF((ATAN((A473/pterm1)/(1-A473^2/pterm2))&gt;0),ATAN((A473/pterm1)/(1-A473^2/pterm2)),PI()+ATAN((A473/pterm1)/(1-A473^2/pterm2)))</f>
        <v/>
      </c>
      <c r="U473" s="331">
        <f>20*LOG10(((E473*K473*G473*O473)/(C473*I473*S473*M473*Q473))*Adc)</f>
        <v/>
      </c>
      <c r="V473" s="332">
        <f>((F473+L473+H473+P473)-(D473+J473+T473+N473+R473))*radconv</f>
        <v/>
      </c>
      <c r="W473" s="334">
        <f>IF(V473&gt;0,V473,V473+180)</f>
        <v/>
      </c>
      <c r="Y473" s="307">
        <f>IF(U473&lt;0,A473,1000000000)</f>
        <v/>
      </c>
      <c r="Z473" s="307">
        <f>A473^2</f>
        <v/>
      </c>
      <c r="AB473" s="333">
        <f>20*LOG10((K473/(I473*M473))*AEA)</f>
        <v/>
      </c>
      <c r="AC473" s="334">
        <f>(L473-(J473+N473))*radconv</f>
        <v/>
      </c>
      <c r="AE473" s="333">
        <f>20*LOG10((E473*G473/(C473*S473))*Acs*Am)</f>
        <v/>
      </c>
      <c r="AF473" s="334">
        <f>(F473+H473-(D473+T473))*radconv</f>
        <v/>
      </c>
      <c r="AH473">
        <f>SUM((U474&lt;0)*(U473&gt;0))*A473</f>
        <v/>
      </c>
      <c r="AI473">
        <f>IF(AH473&gt;0,W473,0)</f>
        <v/>
      </c>
    </row>
    <row r="474">
      <c r="A474" s="335" t="n">
        <v>55274</v>
      </c>
      <c r="B474" s="352">
        <f>A474/1000</f>
        <v/>
      </c>
      <c r="C474" s="1047">
        <f>SQRT(1+(A474/pole1)^2)</f>
        <v/>
      </c>
      <c r="D474" s="1048">
        <f>ATAN(A474/pole1)</f>
        <v/>
      </c>
      <c r="E474" s="1048">
        <f>SQRT(1+(A474/Zero1)^2)</f>
        <v/>
      </c>
      <c r="F474" s="1049">
        <f>ATAN(A474/Zero1)</f>
        <v/>
      </c>
      <c r="G474" s="1048">
        <f>IF(VIN_nom&gt;Vout, 1, SQRT(1+(A474/z_RHP)^2))</f>
        <v/>
      </c>
      <c r="H474" s="1049">
        <f>IF(VIN_nom&gt;Vout, 0, -ATAN(A474/z_RHP))</f>
        <v/>
      </c>
      <c r="I474" s="1047">
        <f>SQRT(1+(A474/Pole2)^2)</f>
        <v/>
      </c>
      <c r="J474" s="1050">
        <f>ATAN(A474/Pole2)</f>
        <v/>
      </c>
      <c r="K474" s="1056">
        <f>SQRT(1+(A474/Zero2)^2)</f>
        <v/>
      </c>
      <c r="L474" s="1057">
        <f>ATAN(A474/Zero2)</f>
        <v/>
      </c>
      <c r="M474" s="1047">
        <f>SQRT(1+(A474/pole4)^2)</f>
        <v/>
      </c>
      <c r="N474" s="1057">
        <f>ATAN(A474/pole4)</f>
        <v/>
      </c>
      <c r="O474" s="1058">
        <f>IF(VOUT_setting=1,1,SQRT(1+(A474*zterm1)^2))</f>
        <v/>
      </c>
      <c r="P474" s="1059">
        <f>IF(VOUT_setting=1,0,ATAN(((A474*zterm1))))</f>
        <v/>
      </c>
      <c r="Q474" s="1056">
        <f>IF(VOUT_setting=1,1,SQRT((1+Afbr-$Q$5*(A474)^2)^2+(A474*$Q$4)^2))</f>
        <v/>
      </c>
      <c r="R474" s="1060">
        <f>IF(VOUT_setting=1,0,ATAN(A474*$Q$4/(1+Afbr-$Q$5*(A474)^2)))</f>
        <v/>
      </c>
      <c r="S474" s="1054">
        <f>SQRT((1-(Z474/pterm2))^2+(A474/pterm1)^2)</f>
        <v/>
      </c>
      <c r="T474" s="1055">
        <f>IF((ATAN((A474/pterm1)/(1-A474^2/pterm2))&gt;0),ATAN((A474/pterm1)/(1-A474^2/pterm2)),PI()+ATAN((A474/pterm1)/(1-A474^2/pterm2)))</f>
        <v/>
      </c>
      <c r="U474" s="331">
        <f>20*LOG10(((E474*K474*G474*O474)/(C474*I474*S474*M474*Q474))*Adc)</f>
        <v/>
      </c>
      <c r="V474" s="332">
        <f>((F474+L474+H474+P474)-(D474+J474+T474+N474+R474))*radconv</f>
        <v/>
      </c>
      <c r="W474" s="334">
        <f>IF(V474&gt;0,V474,V474+180)</f>
        <v/>
      </c>
      <c r="Y474" s="307">
        <f>IF(U474&lt;0,A474,1000000000)</f>
        <v/>
      </c>
      <c r="Z474" s="307">
        <f>A474^2</f>
        <v/>
      </c>
      <c r="AB474" s="333">
        <f>20*LOG10((K474/(I474*M474))*AEA)</f>
        <v/>
      </c>
      <c r="AC474" s="334">
        <f>(L474-(J474+N474))*radconv</f>
        <v/>
      </c>
      <c r="AE474" s="333">
        <f>20*LOG10((E474*G474/(C474*S474))*Acs*Am)</f>
        <v/>
      </c>
      <c r="AF474" s="334">
        <f>(F474+H474-(D474+T474))*radconv</f>
        <v/>
      </c>
      <c r="AH474">
        <f>SUM((U475&lt;0)*(U474&gt;0))*A474</f>
        <v/>
      </c>
      <c r="AI474">
        <f>IF(AH474&gt;0,W474,0)</f>
        <v/>
      </c>
    </row>
    <row r="475">
      <c r="A475" s="335" t="n">
        <v>55594</v>
      </c>
      <c r="B475" s="352">
        <f>A475/1000</f>
        <v/>
      </c>
      <c r="C475" s="1047">
        <f>SQRT(1+(A475/pole1)^2)</f>
        <v/>
      </c>
      <c r="D475" s="1048">
        <f>ATAN(A475/pole1)</f>
        <v/>
      </c>
      <c r="E475" s="1048">
        <f>SQRT(1+(A475/Zero1)^2)</f>
        <v/>
      </c>
      <c r="F475" s="1049">
        <f>ATAN(A475/Zero1)</f>
        <v/>
      </c>
      <c r="G475" s="1048">
        <f>IF(VIN_nom&gt;Vout, 1, SQRT(1+(A475/z_RHP)^2))</f>
        <v/>
      </c>
      <c r="H475" s="1049">
        <f>IF(VIN_nom&gt;Vout, 0, -ATAN(A475/z_RHP))</f>
        <v/>
      </c>
      <c r="I475" s="1047">
        <f>SQRT(1+(A475/Pole2)^2)</f>
        <v/>
      </c>
      <c r="J475" s="1050">
        <f>ATAN(A475/Pole2)</f>
        <v/>
      </c>
      <c r="K475" s="1056">
        <f>SQRT(1+(A475/Zero2)^2)</f>
        <v/>
      </c>
      <c r="L475" s="1057">
        <f>ATAN(A475/Zero2)</f>
        <v/>
      </c>
      <c r="M475" s="1047">
        <f>SQRT(1+(A475/pole4)^2)</f>
        <v/>
      </c>
      <c r="N475" s="1057">
        <f>ATAN(A475/pole4)</f>
        <v/>
      </c>
      <c r="O475" s="1058">
        <f>IF(VOUT_setting=1,1,SQRT(1+(A475*zterm1)^2))</f>
        <v/>
      </c>
      <c r="P475" s="1059">
        <f>IF(VOUT_setting=1,0,ATAN(((A475*zterm1))))</f>
        <v/>
      </c>
      <c r="Q475" s="1056">
        <f>IF(VOUT_setting=1,1,SQRT((1+Afbr-$Q$5*(A475)^2)^2+(A475*$Q$4)^2))</f>
        <v/>
      </c>
      <c r="R475" s="1060">
        <f>IF(VOUT_setting=1,0,ATAN(A475*$Q$4/(1+Afbr-$Q$5*(A475)^2)))</f>
        <v/>
      </c>
      <c r="S475" s="1054">
        <f>SQRT((1-(Z475/pterm2))^2+(A475/pterm1)^2)</f>
        <v/>
      </c>
      <c r="T475" s="1055">
        <f>IF((ATAN((A475/pterm1)/(1-A475^2/pterm2))&gt;0),ATAN((A475/pterm1)/(1-A475^2/pterm2)),PI()+ATAN((A475/pterm1)/(1-A475^2/pterm2)))</f>
        <v/>
      </c>
      <c r="U475" s="331">
        <f>20*LOG10(((E475*K475*G475*O475)/(C475*I475*S475*M475*Q475))*Adc)</f>
        <v/>
      </c>
      <c r="V475" s="332">
        <f>((F475+L475+H475+P475)-(D475+J475+T475+N475+R475))*radconv</f>
        <v/>
      </c>
      <c r="W475" s="334">
        <f>IF(V475&gt;0,V475,V475+180)</f>
        <v/>
      </c>
      <c r="Y475" s="307">
        <f>IF(U475&lt;0,A475,1000000000)</f>
        <v/>
      </c>
      <c r="Z475" s="307">
        <f>A475^2</f>
        <v/>
      </c>
      <c r="AB475" s="333">
        <f>20*LOG10((K475/(I475*M475))*AEA)</f>
        <v/>
      </c>
      <c r="AC475" s="334">
        <f>(L475-(J475+N475))*radconv</f>
        <v/>
      </c>
      <c r="AE475" s="333">
        <f>20*LOG10((E475*G475/(C475*S475))*Acs*Am)</f>
        <v/>
      </c>
      <c r="AF475" s="334">
        <f>(F475+H475-(D475+T475))*radconv</f>
        <v/>
      </c>
      <c r="AH475">
        <f>SUM((U476&lt;0)*(U475&gt;0))*A475</f>
        <v/>
      </c>
      <c r="AI475">
        <f>IF(AH475&gt;0,W475,0)</f>
        <v/>
      </c>
    </row>
    <row r="476">
      <c r="A476" s="335" t="n">
        <v>55914</v>
      </c>
      <c r="B476" s="352">
        <f>A476/1000</f>
        <v/>
      </c>
      <c r="C476" s="1047">
        <f>SQRT(1+(A476/pole1)^2)</f>
        <v/>
      </c>
      <c r="D476" s="1048">
        <f>ATAN(A476/pole1)</f>
        <v/>
      </c>
      <c r="E476" s="1048">
        <f>SQRT(1+(A476/Zero1)^2)</f>
        <v/>
      </c>
      <c r="F476" s="1049">
        <f>ATAN(A476/Zero1)</f>
        <v/>
      </c>
      <c r="G476" s="1048">
        <f>IF(VIN_nom&gt;Vout, 1, SQRT(1+(A476/z_RHP)^2))</f>
        <v/>
      </c>
      <c r="H476" s="1049">
        <f>IF(VIN_nom&gt;Vout, 0, -ATAN(A476/z_RHP))</f>
        <v/>
      </c>
      <c r="I476" s="1047">
        <f>SQRT(1+(A476/Pole2)^2)</f>
        <v/>
      </c>
      <c r="J476" s="1050">
        <f>ATAN(A476/Pole2)</f>
        <v/>
      </c>
      <c r="K476" s="1056">
        <f>SQRT(1+(A476/Zero2)^2)</f>
        <v/>
      </c>
      <c r="L476" s="1057">
        <f>ATAN(A476/Zero2)</f>
        <v/>
      </c>
      <c r="M476" s="1047">
        <f>SQRT(1+(A476/pole4)^2)</f>
        <v/>
      </c>
      <c r="N476" s="1057">
        <f>ATAN(A476/pole4)</f>
        <v/>
      </c>
      <c r="O476" s="1058">
        <f>IF(VOUT_setting=1,1,SQRT(1+(A476*zterm1)^2))</f>
        <v/>
      </c>
      <c r="P476" s="1059">
        <f>IF(VOUT_setting=1,0,ATAN(((A476*zterm1))))</f>
        <v/>
      </c>
      <c r="Q476" s="1056">
        <f>IF(VOUT_setting=1,1,SQRT((1+Afbr-$Q$5*(A476)^2)^2+(A476*$Q$4)^2))</f>
        <v/>
      </c>
      <c r="R476" s="1060">
        <f>IF(VOUT_setting=1,0,ATAN(A476*$Q$4/(1+Afbr-$Q$5*(A476)^2)))</f>
        <v/>
      </c>
      <c r="S476" s="1054">
        <f>SQRT((1-(Z476/pterm2))^2+(A476/pterm1)^2)</f>
        <v/>
      </c>
      <c r="T476" s="1055">
        <f>IF((ATAN((A476/pterm1)/(1-A476^2/pterm2))&gt;0),ATAN((A476/pterm1)/(1-A476^2/pterm2)),PI()+ATAN((A476/pterm1)/(1-A476^2/pterm2)))</f>
        <v/>
      </c>
      <c r="U476" s="331">
        <f>20*LOG10(((E476*K476*G476*O476)/(C476*I476*S476*M476*Q476))*Adc)</f>
        <v/>
      </c>
      <c r="V476" s="332">
        <f>((F476+L476+H476+P476)-(D476+J476+T476+N476+R476))*radconv</f>
        <v/>
      </c>
      <c r="W476" s="334">
        <f>IF(V476&gt;0,V476,V476+180)</f>
        <v/>
      </c>
      <c r="Y476" s="307">
        <f>IF(U476&lt;0,A476,1000000000)</f>
        <v/>
      </c>
      <c r="Z476" s="307">
        <f>A476^2</f>
        <v/>
      </c>
      <c r="AB476" s="333">
        <f>20*LOG10((K476/(I476*M476))*AEA)</f>
        <v/>
      </c>
      <c r="AC476" s="334">
        <f>(L476-(J476+N476))*radconv</f>
        <v/>
      </c>
      <c r="AE476" s="333">
        <f>20*LOG10((E476*G476/(C476*S476))*Acs*Am)</f>
        <v/>
      </c>
      <c r="AF476" s="334">
        <f>(F476+H476-(D476+T476))*radconv</f>
        <v/>
      </c>
      <c r="AH476">
        <f>SUM((U477&lt;0)*(U476&gt;0))*A476</f>
        <v/>
      </c>
      <c r="AI476">
        <f>IF(AH476&gt;0,W476,0)</f>
        <v/>
      </c>
    </row>
    <row r="477">
      <c r="A477" s="335" t="n">
        <v>56234</v>
      </c>
      <c r="B477" s="352">
        <f>A477/1000</f>
        <v/>
      </c>
      <c r="C477" s="1047">
        <f>SQRT(1+(A477/pole1)^2)</f>
        <v/>
      </c>
      <c r="D477" s="1048">
        <f>ATAN(A477/pole1)</f>
        <v/>
      </c>
      <c r="E477" s="1048">
        <f>SQRT(1+(A477/Zero1)^2)</f>
        <v/>
      </c>
      <c r="F477" s="1049">
        <f>ATAN(A477/Zero1)</f>
        <v/>
      </c>
      <c r="G477" s="1048">
        <f>IF(VIN_nom&gt;Vout, 1, SQRT(1+(A477/z_RHP)^2))</f>
        <v/>
      </c>
      <c r="H477" s="1049">
        <f>IF(VIN_nom&gt;Vout, 0, -ATAN(A477/z_RHP))</f>
        <v/>
      </c>
      <c r="I477" s="1047">
        <f>SQRT(1+(A477/Pole2)^2)</f>
        <v/>
      </c>
      <c r="J477" s="1050">
        <f>ATAN(A477/Pole2)</f>
        <v/>
      </c>
      <c r="K477" s="1056">
        <f>SQRT(1+(A477/Zero2)^2)</f>
        <v/>
      </c>
      <c r="L477" s="1057">
        <f>ATAN(A477/Zero2)</f>
        <v/>
      </c>
      <c r="M477" s="1047">
        <f>SQRT(1+(A477/pole4)^2)</f>
        <v/>
      </c>
      <c r="N477" s="1057">
        <f>ATAN(A477/pole4)</f>
        <v/>
      </c>
      <c r="O477" s="1058">
        <f>IF(VOUT_setting=1,1,SQRT(1+(A477*zterm1)^2))</f>
        <v/>
      </c>
      <c r="P477" s="1059">
        <f>IF(VOUT_setting=1,0,ATAN(((A477*zterm1))))</f>
        <v/>
      </c>
      <c r="Q477" s="1056">
        <f>IF(VOUT_setting=1,1,SQRT((1+Afbr-$Q$5*(A477)^2)^2+(A477*$Q$4)^2))</f>
        <v/>
      </c>
      <c r="R477" s="1060">
        <f>IF(VOUT_setting=1,0,ATAN(A477*$Q$4/(1+Afbr-$Q$5*(A477)^2)))</f>
        <v/>
      </c>
      <c r="S477" s="1054">
        <f>SQRT((1-(Z477/pterm2))^2+(A477/pterm1)^2)</f>
        <v/>
      </c>
      <c r="T477" s="1055">
        <f>IF((ATAN((A477/pterm1)/(1-A477^2/pterm2))&gt;0),ATAN((A477/pterm1)/(1-A477^2/pterm2)),PI()+ATAN((A477/pterm1)/(1-A477^2/pterm2)))</f>
        <v/>
      </c>
      <c r="U477" s="331">
        <f>20*LOG10(((E477*K477*G477*O477)/(C477*I477*S477*M477*Q477))*Adc)</f>
        <v/>
      </c>
      <c r="V477" s="332">
        <f>((F477+L477+H477+P477)-(D477+J477+T477+N477+R477))*radconv</f>
        <v/>
      </c>
      <c r="W477" s="334">
        <f>IF(V477&gt;0,V477,V477+180)</f>
        <v/>
      </c>
      <c r="Y477" s="307">
        <f>IF(U477&lt;0,A477,1000000000)</f>
        <v/>
      </c>
      <c r="Z477" s="307">
        <f>A477^2</f>
        <v/>
      </c>
      <c r="AB477" s="333">
        <f>20*LOG10((K477/(I477*M477))*AEA)</f>
        <v/>
      </c>
      <c r="AC477" s="334">
        <f>(L477-(J477+N477))*radconv</f>
        <v/>
      </c>
      <c r="AE477" s="333">
        <f>20*LOG10((E477*G477/(C477*S477))*Acs*Am)</f>
        <v/>
      </c>
      <c r="AF477" s="334">
        <f>(F477+H477-(D477+T477))*radconv</f>
        <v/>
      </c>
      <c r="AH477">
        <f>SUM((U478&lt;0)*(U477&gt;0))*A477</f>
        <v/>
      </c>
      <c r="AI477">
        <f>IF(AH477&gt;0,W477,0)</f>
        <v/>
      </c>
    </row>
    <row r="478">
      <c r="A478" s="335" t="n">
        <v>56561.5</v>
      </c>
      <c r="B478" s="352">
        <f>A478/1000</f>
        <v/>
      </c>
      <c r="C478" s="1047">
        <f>SQRT(1+(A478/pole1)^2)</f>
        <v/>
      </c>
      <c r="D478" s="1048">
        <f>ATAN(A478/pole1)</f>
        <v/>
      </c>
      <c r="E478" s="1048">
        <f>SQRT(1+(A478/Zero1)^2)</f>
        <v/>
      </c>
      <c r="F478" s="1049">
        <f>ATAN(A478/Zero1)</f>
        <v/>
      </c>
      <c r="G478" s="1048">
        <f>IF(VIN_nom&gt;Vout, 1, SQRT(1+(A478/z_RHP)^2))</f>
        <v/>
      </c>
      <c r="H478" s="1049">
        <f>IF(VIN_nom&gt;Vout, 0, -ATAN(A478/z_RHP))</f>
        <v/>
      </c>
      <c r="I478" s="1047">
        <f>SQRT(1+(A478/Pole2)^2)</f>
        <v/>
      </c>
      <c r="J478" s="1050">
        <f>ATAN(A478/Pole2)</f>
        <v/>
      </c>
      <c r="K478" s="1056">
        <f>SQRT(1+(A478/Zero2)^2)</f>
        <v/>
      </c>
      <c r="L478" s="1057">
        <f>ATAN(A478/Zero2)</f>
        <v/>
      </c>
      <c r="M478" s="1047">
        <f>SQRT(1+(A478/pole4)^2)</f>
        <v/>
      </c>
      <c r="N478" s="1057">
        <f>ATAN(A478/pole4)</f>
        <v/>
      </c>
      <c r="O478" s="1058">
        <f>IF(VOUT_setting=1,1,SQRT(1+(A478*zterm1)^2))</f>
        <v/>
      </c>
      <c r="P478" s="1059">
        <f>IF(VOUT_setting=1,0,ATAN(((A478*zterm1))))</f>
        <v/>
      </c>
      <c r="Q478" s="1056">
        <f>IF(VOUT_setting=1,1,SQRT((1+Afbr-$Q$5*(A478)^2)^2+(A478*$Q$4)^2))</f>
        <v/>
      </c>
      <c r="R478" s="1060">
        <f>IF(VOUT_setting=1,0,ATAN(A478*$Q$4/(1+Afbr-$Q$5*(A478)^2)))</f>
        <v/>
      </c>
      <c r="S478" s="1054">
        <f>SQRT((1-(Z478/pterm2))^2+(A478/pterm1)^2)</f>
        <v/>
      </c>
      <c r="T478" s="1055">
        <f>IF((ATAN((A478/pterm1)/(1-A478^2/pterm2))&gt;0),ATAN((A478/pterm1)/(1-A478^2/pterm2)),PI()+ATAN((A478/pterm1)/(1-A478^2/pterm2)))</f>
        <v/>
      </c>
      <c r="U478" s="331">
        <f>20*LOG10(((E478*K478*G478*O478)/(C478*I478*S478*M478*Q478))*Adc)</f>
        <v/>
      </c>
      <c r="V478" s="332">
        <f>((F478+L478+H478+P478)-(D478+J478+T478+N478+R478))*radconv</f>
        <v/>
      </c>
      <c r="W478" s="334">
        <f>IF(V478&gt;0,V478,V478+180)</f>
        <v/>
      </c>
      <c r="Y478" s="307">
        <f>IF(U478&lt;0,A478,1000000000)</f>
        <v/>
      </c>
      <c r="Z478" s="307">
        <f>A478^2</f>
        <v/>
      </c>
      <c r="AB478" s="333">
        <f>20*LOG10((K478/(I478*M478))*AEA)</f>
        <v/>
      </c>
      <c r="AC478" s="334">
        <f>(L478-(J478+N478))*radconv</f>
        <v/>
      </c>
      <c r="AE478" s="333">
        <f>20*LOG10((E478*G478/(C478*S478))*Acs*Am)</f>
        <v/>
      </c>
      <c r="AF478" s="334">
        <f>(F478+H478-(D478+T478))*radconv</f>
        <v/>
      </c>
      <c r="AH478">
        <f>SUM((U479&lt;0)*(U478&gt;0))*A478</f>
        <v/>
      </c>
      <c r="AI478">
        <f>IF(AH478&gt;0,W478,0)</f>
        <v/>
      </c>
    </row>
    <row r="479">
      <c r="A479" s="335" t="n">
        <v>56889</v>
      </c>
      <c r="B479" s="352">
        <f>A479/1000</f>
        <v/>
      </c>
      <c r="C479" s="1047">
        <f>SQRT(1+(A479/pole1)^2)</f>
        <v/>
      </c>
      <c r="D479" s="1048">
        <f>ATAN(A479/pole1)</f>
        <v/>
      </c>
      <c r="E479" s="1048">
        <f>SQRT(1+(A479/Zero1)^2)</f>
        <v/>
      </c>
      <c r="F479" s="1049">
        <f>ATAN(A479/Zero1)</f>
        <v/>
      </c>
      <c r="G479" s="1048">
        <f>IF(VIN_nom&gt;Vout, 1, SQRT(1+(A479/z_RHP)^2))</f>
        <v/>
      </c>
      <c r="H479" s="1049">
        <f>IF(VIN_nom&gt;Vout, 0, -ATAN(A479/z_RHP))</f>
        <v/>
      </c>
      <c r="I479" s="1047">
        <f>SQRT(1+(A479/Pole2)^2)</f>
        <v/>
      </c>
      <c r="J479" s="1050">
        <f>ATAN(A479/Pole2)</f>
        <v/>
      </c>
      <c r="K479" s="1056">
        <f>SQRT(1+(A479/Zero2)^2)</f>
        <v/>
      </c>
      <c r="L479" s="1057">
        <f>ATAN(A479/Zero2)</f>
        <v/>
      </c>
      <c r="M479" s="1047">
        <f>SQRT(1+(A479/pole4)^2)</f>
        <v/>
      </c>
      <c r="N479" s="1057">
        <f>ATAN(A479/pole4)</f>
        <v/>
      </c>
      <c r="O479" s="1058">
        <f>IF(VOUT_setting=1,1,SQRT(1+(A479*zterm1)^2))</f>
        <v/>
      </c>
      <c r="P479" s="1059">
        <f>IF(VOUT_setting=1,0,ATAN(((A479*zterm1))))</f>
        <v/>
      </c>
      <c r="Q479" s="1056">
        <f>IF(VOUT_setting=1,1,SQRT((1+Afbr-$Q$5*(A479)^2)^2+(A479*$Q$4)^2))</f>
        <v/>
      </c>
      <c r="R479" s="1060">
        <f>IF(VOUT_setting=1,0,ATAN(A479*$Q$4/(1+Afbr-$Q$5*(A479)^2)))</f>
        <v/>
      </c>
      <c r="S479" s="1054">
        <f>SQRT((1-(Z479/pterm2))^2+(A479/pterm1)^2)</f>
        <v/>
      </c>
      <c r="T479" s="1055">
        <f>IF((ATAN((A479/pterm1)/(1-A479^2/pterm2))&gt;0),ATAN((A479/pterm1)/(1-A479^2/pterm2)),PI()+ATAN((A479/pterm1)/(1-A479^2/pterm2)))</f>
        <v/>
      </c>
      <c r="U479" s="331">
        <f>20*LOG10(((E479*K479*G479*O479)/(C479*I479*S479*M479*Q479))*Adc)</f>
        <v/>
      </c>
      <c r="V479" s="332">
        <f>((F479+L479+H479+P479)-(D479+J479+T479+N479+R479))*radconv</f>
        <v/>
      </c>
      <c r="W479" s="334">
        <f>IF(V479&gt;0,V479,V479+180)</f>
        <v/>
      </c>
      <c r="Y479" s="307">
        <f>IF(U479&lt;0,A479,1000000000)</f>
        <v/>
      </c>
      <c r="Z479" s="307">
        <f>A479^2</f>
        <v/>
      </c>
      <c r="AB479" s="333">
        <f>20*LOG10((K479/(I479*M479))*AEA)</f>
        <v/>
      </c>
      <c r="AC479" s="334">
        <f>(L479-(J479+N479))*radconv</f>
        <v/>
      </c>
      <c r="AE479" s="333">
        <f>20*LOG10((E479*G479/(C479*S479))*Acs*Am)</f>
        <v/>
      </c>
      <c r="AF479" s="334">
        <f>(F479+H479-(D479+T479))*radconv</f>
        <v/>
      </c>
      <c r="AH479">
        <f>SUM((U480&lt;0)*(U479&gt;0))*A479</f>
        <v/>
      </c>
      <c r="AI479">
        <f>IF(AH479&gt;0,W479,0)</f>
        <v/>
      </c>
    </row>
    <row r="480">
      <c r="A480" s="335" t="n">
        <v>57216.5</v>
      </c>
      <c r="B480" s="352">
        <f>A480/1000</f>
        <v/>
      </c>
      <c r="C480" s="1047">
        <f>SQRT(1+(A480/pole1)^2)</f>
        <v/>
      </c>
      <c r="D480" s="1048">
        <f>ATAN(A480/pole1)</f>
        <v/>
      </c>
      <c r="E480" s="1048">
        <f>SQRT(1+(A480/Zero1)^2)</f>
        <v/>
      </c>
      <c r="F480" s="1049">
        <f>ATAN(A480/Zero1)</f>
        <v/>
      </c>
      <c r="G480" s="1048">
        <f>IF(VIN_nom&gt;Vout, 1, SQRT(1+(A480/z_RHP)^2))</f>
        <v/>
      </c>
      <c r="H480" s="1049">
        <f>IF(VIN_nom&gt;Vout, 0, -ATAN(A480/z_RHP))</f>
        <v/>
      </c>
      <c r="I480" s="1047">
        <f>SQRT(1+(A480/Pole2)^2)</f>
        <v/>
      </c>
      <c r="J480" s="1050">
        <f>ATAN(A480/Pole2)</f>
        <v/>
      </c>
      <c r="K480" s="1056">
        <f>SQRT(1+(A480/Zero2)^2)</f>
        <v/>
      </c>
      <c r="L480" s="1057">
        <f>ATAN(A480/Zero2)</f>
        <v/>
      </c>
      <c r="M480" s="1047">
        <f>SQRT(1+(A480/pole4)^2)</f>
        <v/>
      </c>
      <c r="N480" s="1057">
        <f>ATAN(A480/pole4)</f>
        <v/>
      </c>
      <c r="O480" s="1058">
        <f>IF(VOUT_setting=1,1,SQRT(1+(A480*zterm1)^2))</f>
        <v/>
      </c>
      <c r="P480" s="1059">
        <f>IF(VOUT_setting=1,0,ATAN(((A480*zterm1))))</f>
        <v/>
      </c>
      <c r="Q480" s="1056">
        <f>IF(VOUT_setting=1,1,SQRT((1+Afbr-$Q$5*(A480)^2)^2+(A480*$Q$4)^2))</f>
        <v/>
      </c>
      <c r="R480" s="1060">
        <f>IF(VOUT_setting=1,0,ATAN(A480*$Q$4/(1+Afbr-$Q$5*(A480)^2)))</f>
        <v/>
      </c>
      <c r="S480" s="1054">
        <f>SQRT((1-(Z480/pterm2))^2+(A480/pterm1)^2)</f>
        <v/>
      </c>
      <c r="T480" s="1055">
        <f>IF((ATAN((A480/pterm1)/(1-A480^2/pterm2))&gt;0),ATAN((A480/pterm1)/(1-A480^2/pterm2)),PI()+ATAN((A480/pterm1)/(1-A480^2/pterm2)))</f>
        <v/>
      </c>
      <c r="U480" s="331">
        <f>20*LOG10(((E480*K480*G480*O480)/(C480*I480*S480*M480*Q480))*Adc)</f>
        <v/>
      </c>
      <c r="V480" s="332">
        <f>((F480+L480+H480+P480)-(D480+J480+T480+N480+R480))*radconv</f>
        <v/>
      </c>
      <c r="W480" s="334">
        <f>IF(V480&gt;0,V480,V480+180)</f>
        <v/>
      </c>
      <c r="Y480" s="307">
        <f>IF(U480&lt;0,A480,1000000000)</f>
        <v/>
      </c>
      <c r="Z480" s="307">
        <f>A480^2</f>
        <v/>
      </c>
      <c r="AB480" s="333">
        <f>20*LOG10((K480/(I480*M480))*AEA)</f>
        <v/>
      </c>
      <c r="AC480" s="334">
        <f>(L480-(J480+N480))*radconv</f>
        <v/>
      </c>
      <c r="AE480" s="333">
        <f>20*LOG10((E480*G480/(C480*S480))*Acs*Am)</f>
        <v/>
      </c>
      <c r="AF480" s="334">
        <f>(F480+H480-(D480+T480))*radconv</f>
        <v/>
      </c>
      <c r="AH480">
        <f>SUM((U481&lt;0)*(U480&gt;0))*A480</f>
        <v/>
      </c>
      <c r="AI480">
        <f>IF(AH480&gt;0,W480,0)</f>
        <v/>
      </c>
    </row>
    <row r="481">
      <c r="A481" s="335" t="n">
        <v>57544</v>
      </c>
      <c r="B481" s="352">
        <f>A481/1000</f>
        <v/>
      </c>
      <c r="C481" s="1047">
        <f>SQRT(1+(A481/pole1)^2)</f>
        <v/>
      </c>
      <c r="D481" s="1048">
        <f>ATAN(A481/pole1)</f>
        <v/>
      </c>
      <c r="E481" s="1048">
        <f>SQRT(1+(A481/Zero1)^2)</f>
        <v/>
      </c>
      <c r="F481" s="1049">
        <f>ATAN(A481/Zero1)</f>
        <v/>
      </c>
      <c r="G481" s="1048">
        <f>IF(VIN_nom&gt;Vout, 1, SQRT(1+(A481/z_RHP)^2))</f>
        <v/>
      </c>
      <c r="H481" s="1049">
        <f>IF(VIN_nom&gt;Vout, 0, -ATAN(A481/z_RHP))</f>
        <v/>
      </c>
      <c r="I481" s="1047">
        <f>SQRT(1+(A481/Pole2)^2)</f>
        <v/>
      </c>
      <c r="J481" s="1050">
        <f>ATAN(A481/Pole2)</f>
        <v/>
      </c>
      <c r="K481" s="1056">
        <f>SQRT(1+(A481/Zero2)^2)</f>
        <v/>
      </c>
      <c r="L481" s="1057">
        <f>ATAN(A481/Zero2)</f>
        <v/>
      </c>
      <c r="M481" s="1047">
        <f>SQRT(1+(A481/pole4)^2)</f>
        <v/>
      </c>
      <c r="N481" s="1057">
        <f>ATAN(A481/pole4)</f>
        <v/>
      </c>
      <c r="O481" s="1058">
        <f>IF(VOUT_setting=1,1,SQRT(1+(A481*zterm1)^2))</f>
        <v/>
      </c>
      <c r="P481" s="1059">
        <f>IF(VOUT_setting=1,0,ATAN(((A481*zterm1))))</f>
        <v/>
      </c>
      <c r="Q481" s="1056">
        <f>IF(VOUT_setting=1,1,SQRT((1+Afbr-$Q$5*(A481)^2)^2+(A481*$Q$4)^2))</f>
        <v/>
      </c>
      <c r="R481" s="1060">
        <f>IF(VOUT_setting=1,0,ATAN(A481*$Q$4/(1+Afbr-$Q$5*(A481)^2)))</f>
        <v/>
      </c>
      <c r="S481" s="1054">
        <f>SQRT((1-(Z481/pterm2))^2+(A481/pterm1)^2)</f>
        <v/>
      </c>
      <c r="T481" s="1055">
        <f>IF((ATAN((A481/pterm1)/(1-A481^2/pterm2))&gt;0),ATAN((A481/pterm1)/(1-A481^2/pterm2)),PI()+ATAN((A481/pterm1)/(1-A481^2/pterm2)))</f>
        <v/>
      </c>
      <c r="U481" s="331">
        <f>20*LOG10(((E481*K481*G481*O481)/(C481*I481*S481*M481*Q481))*Adc)</f>
        <v/>
      </c>
      <c r="V481" s="332">
        <f>((F481+L481+H481+P481)-(D481+J481+T481+N481+R481))*radconv</f>
        <v/>
      </c>
      <c r="W481" s="334">
        <f>IF(V481&gt;0,V481,V481+180)</f>
        <v/>
      </c>
      <c r="Y481" s="307">
        <f>IF(U481&lt;0,A481,1000000000)</f>
        <v/>
      </c>
      <c r="Z481" s="307">
        <f>A481^2</f>
        <v/>
      </c>
      <c r="AB481" s="333">
        <f>20*LOG10((K481/(I481*M481))*AEA)</f>
        <v/>
      </c>
      <c r="AC481" s="334">
        <f>(L481-(J481+N481))*radconv</f>
        <v/>
      </c>
      <c r="AE481" s="333">
        <f>20*LOG10((E481*G481/(C481*S481))*Acs*Am)</f>
        <v/>
      </c>
      <c r="AF481" s="334">
        <f>(F481+H481-(D481+T481))*radconv</f>
        <v/>
      </c>
      <c r="AH481">
        <f>SUM((U482&lt;0)*(U481&gt;0))*A481</f>
        <v/>
      </c>
      <c r="AI481">
        <f>IF(AH481&gt;0,W481,0)</f>
        <v/>
      </c>
    </row>
    <row r="482">
      <c r="A482" s="335" t="n">
        <v>57879</v>
      </c>
      <c r="B482" s="352">
        <f>A482/1000</f>
        <v/>
      </c>
      <c r="C482" s="1047">
        <f>SQRT(1+(A482/pole1)^2)</f>
        <v/>
      </c>
      <c r="D482" s="1048">
        <f>ATAN(A482/pole1)</f>
        <v/>
      </c>
      <c r="E482" s="1048">
        <f>SQRT(1+(A482/Zero1)^2)</f>
        <v/>
      </c>
      <c r="F482" s="1049">
        <f>ATAN(A482/Zero1)</f>
        <v/>
      </c>
      <c r="G482" s="1048">
        <f>IF(VIN_nom&gt;Vout, 1, SQRT(1+(A482/z_RHP)^2))</f>
        <v/>
      </c>
      <c r="H482" s="1049">
        <f>IF(VIN_nom&gt;Vout, 0, -ATAN(A482/z_RHP))</f>
        <v/>
      </c>
      <c r="I482" s="1047">
        <f>SQRT(1+(A482/Pole2)^2)</f>
        <v/>
      </c>
      <c r="J482" s="1050">
        <f>ATAN(A482/Pole2)</f>
        <v/>
      </c>
      <c r="K482" s="1056">
        <f>SQRT(1+(A482/Zero2)^2)</f>
        <v/>
      </c>
      <c r="L482" s="1057">
        <f>ATAN(A482/Zero2)</f>
        <v/>
      </c>
      <c r="M482" s="1047">
        <f>SQRT(1+(A482/pole4)^2)</f>
        <v/>
      </c>
      <c r="N482" s="1057">
        <f>ATAN(A482/pole4)</f>
        <v/>
      </c>
      <c r="O482" s="1058">
        <f>IF(VOUT_setting=1,1,SQRT(1+(A482*zterm1)^2))</f>
        <v/>
      </c>
      <c r="P482" s="1059">
        <f>IF(VOUT_setting=1,0,ATAN(((A482*zterm1))))</f>
        <v/>
      </c>
      <c r="Q482" s="1056">
        <f>IF(VOUT_setting=1,1,SQRT((1+Afbr-$Q$5*(A482)^2)^2+(A482*$Q$4)^2))</f>
        <v/>
      </c>
      <c r="R482" s="1060">
        <f>IF(VOUT_setting=1,0,ATAN(A482*$Q$4/(1+Afbr-$Q$5*(A482)^2)))</f>
        <v/>
      </c>
      <c r="S482" s="1054">
        <f>SQRT((1-(Z482/pterm2))^2+(A482/pterm1)^2)</f>
        <v/>
      </c>
      <c r="T482" s="1055">
        <f>IF((ATAN((A482/pterm1)/(1-A482^2/pterm2))&gt;0),ATAN((A482/pterm1)/(1-A482^2/pterm2)),PI()+ATAN((A482/pterm1)/(1-A482^2/pterm2)))</f>
        <v/>
      </c>
      <c r="U482" s="331">
        <f>20*LOG10(((E482*K482*G482*O482)/(C482*I482*S482*M482*Q482))*Adc)</f>
        <v/>
      </c>
      <c r="V482" s="332">
        <f>((F482+L482+H482+P482)-(D482+J482+T482+N482+R482))*radconv</f>
        <v/>
      </c>
      <c r="W482" s="334">
        <f>IF(V482&gt;0,V482,V482+180)</f>
        <v/>
      </c>
      <c r="Y482" s="307">
        <f>IF(U482&lt;0,A482,1000000000)</f>
        <v/>
      </c>
      <c r="Z482" s="307">
        <f>A482^2</f>
        <v/>
      </c>
      <c r="AB482" s="333">
        <f>20*LOG10((K482/(I482*M482))*AEA)</f>
        <v/>
      </c>
      <c r="AC482" s="334">
        <f>(L482-(J482+N482))*radconv</f>
        <v/>
      </c>
      <c r="AE482" s="333">
        <f>20*LOG10((E482*G482/(C482*S482))*Acs*Am)</f>
        <v/>
      </c>
      <c r="AF482" s="334">
        <f>(F482+H482-(D482+T482))*radconv</f>
        <v/>
      </c>
      <c r="AH482">
        <f>SUM((U483&lt;0)*(U482&gt;0))*A482</f>
        <v/>
      </c>
      <c r="AI482">
        <f>IF(AH482&gt;0,W482,0)</f>
        <v/>
      </c>
    </row>
    <row r="483">
      <c r="A483" s="335" t="n">
        <v>58214</v>
      </c>
      <c r="B483" s="352">
        <f>A483/1000</f>
        <v/>
      </c>
      <c r="C483" s="1047">
        <f>SQRT(1+(A483/pole1)^2)</f>
        <v/>
      </c>
      <c r="D483" s="1048">
        <f>ATAN(A483/pole1)</f>
        <v/>
      </c>
      <c r="E483" s="1048">
        <f>SQRT(1+(A483/Zero1)^2)</f>
        <v/>
      </c>
      <c r="F483" s="1049">
        <f>ATAN(A483/Zero1)</f>
        <v/>
      </c>
      <c r="G483" s="1048">
        <f>IF(VIN_nom&gt;Vout, 1, SQRT(1+(A483/z_RHP)^2))</f>
        <v/>
      </c>
      <c r="H483" s="1049">
        <f>IF(VIN_nom&gt;Vout, 0, -ATAN(A483/z_RHP))</f>
        <v/>
      </c>
      <c r="I483" s="1047">
        <f>SQRT(1+(A483/Pole2)^2)</f>
        <v/>
      </c>
      <c r="J483" s="1050">
        <f>ATAN(A483/Pole2)</f>
        <v/>
      </c>
      <c r="K483" s="1056">
        <f>SQRT(1+(A483/Zero2)^2)</f>
        <v/>
      </c>
      <c r="L483" s="1057">
        <f>ATAN(A483/Zero2)</f>
        <v/>
      </c>
      <c r="M483" s="1047">
        <f>SQRT(1+(A483/pole4)^2)</f>
        <v/>
      </c>
      <c r="N483" s="1057">
        <f>ATAN(A483/pole4)</f>
        <v/>
      </c>
      <c r="O483" s="1058">
        <f>IF(VOUT_setting=1,1,SQRT(1+(A483*zterm1)^2))</f>
        <v/>
      </c>
      <c r="P483" s="1059">
        <f>IF(VOUT_setting=1,0,ATAN(((A483*zterm1))))</f>
        <v/>
      </c>
      <c r="Q483" s="1056">
        <f>IF(VOUT_setting=1,1,SQRT((1+Afbr-$Q$5*(A483)^2)^2+(A483*$Q$4)^2))</f>
        <v/>
      </c>
      <c r="R483" s="1060">
        <f>IF(VOUT_setting=1,0,ATAN(A483*$Q$4/(1+Afbr-$Q$5*(A483)^2)))</f>
        <v/>
      </c>
      <c r="S483" s="1054">
        <f>SQRT((1-(Z483/pterm2))^2+(A483/pterm1)^2)</f>
        <v/>
      </c>
      <c r="T483" s="1055">
        <f>IF((ATAN((A483/pterm1)/(1-A483^2/pterm2))&gt;0),ATAN((A483/pterm1)/(1-A483^2/pterm2)),PI()+ATAN((A483/pterm1)/(1-A483^2/pterm2)))</f>
        <v/>
      </c>
      <c r="U483" s="331">
        <f>20*LOG10(((E483*K483*G483*O483)/(C483*I483*S483*M483*Q483))*Adc)</f>
        <v/>
      </c>
      <c r="V483" s="332">
        <f>((F483+L483+H483+P483)-(D483+J483+T483+N483+R483))*radconv</f>
        <v/>
      </c>
      <c r="W483" s="334">
        <f>IF(V483&gt;0,V483,V483+180)</f>
        <v/>
      </c>
      <c r="Y483" s="307">
        <f>IF(U483&lt;0,A483,1000000000)</f>
        <v/>
      </c>
      <c r="Z483" s="307">
        <f>A483^2</f>
        <v/>
      </c>
      <c r="AB483" s="333">
        <f>20*LOG10((K483/(I483*M483))*AEA)</f>
        <v/>
      </c>
      <c r="AC483" s="334">
        <f>(L483-(J483+N483))*radconv</f>
        <v/>
      </c>
      <c r="AE483" s="333">
        <f>20*LOG10((E483*G483/(C483*S483))*Acs*Am)</f>
        <v/>
      </c>
      <c r="AF483" s="334">
        <f>(F483+H483-(D483+T483))*radconv</f>
        <v/>
      </c>
      <c r="AH483">
        <f>SUM((U484&lt;0)*(U483&gt;0))*A483</f>
        <v/>
      </c>
      <c r="AI483">
        <f>IF(AH483&gt;0,W483,0)</f>
        <v/>
      </c>
    </row>
    <row r="484">
      <c r="A484" s="335" t="n">
        <v>58549</v>
      </c>
      <c r="B484" s="352">
        <f>A484/1000</f>
        <v/>
      </c>
      <c r="C484" s="1047">
        <f>SQRT(1+(A484/pole1)^2)</f>
        <v/>
      </c>
      <c r="D484" s="1048">
        <f>ATAN(A484/pole1)</f>
        <v/>
      </c>
      <c r="E484" s="1048">
        <f>SQRT(1+(A484/Zero1)^2)</f>
        <v/>
      </c>
      <c r="F484" s="1049">
        <f>ATAN(A484/Zero1)</f>
        <v/>
      </c>
      <c r="G484" s="1048">
        <f>IF(VIN_nom&gt;Vout, 1, SQRT(1+(A484/z_RHP)^2))</f>
        <v/>
      </c>
      <c r="H484" s="1049">
        <f>IF(VIN_nom&gt;Vout, 0, -ATAN(A484/z_RHP))</f>
        <v/>
      </c>
      <c r="I484" s="1047">
        <f>SQRT(1+(A484/Pole2)^2)</f>
        <v/>
      </c>
      <c r="J484" s="1050">
        <f>ATAN(A484/Pole2)</f>
        <v/>
      </c>
      <c r="K484" s="1056">
        <f>SQRT(1+(A484/Zero2)^2)</f>
        <v/>
      </c>
      <c r="L484" s="1057">
        <f>ATAN(A484/Zero2)</f>
        <v/>
      </c>
      <c r="M484" s="1047">
        <f>SQRT(1+(A484/pole4)^2)</f>
        <v/>
      </c>
      <c r="N484" s="1057">
        <f>ATAN(A484/pole4)</f>
        <v/>
      </c>
      <c r="O484" s="1058">
        <f>IF(VOUT_setting=1,1,SQRT(1+(A484*zterm1)^2))</f>
        <v/>
      </c>
      <c r="P484" s="1059">
        <f>IF(VOUT_setting=1,0,ATAN(((A484*zterm1))))</f>
        <v/>
      </c>
      <c r="Q484" s="1056">
        <f>IF(VOUT_setting=1,1,SQRT((1+Afbr-$Q$5*(A484)^2)^2+(A484*$Q$4)^2))</f>
        <v/>
      </c>
      <c r="R484" s="1060">
        <f>IF(VOUT_setting=1,0,ATAN(A484*$Q$4/(1+Afbr-$Q$5*(A484)^2)))</f>
        <v/>
      </c>
      <c r="S484" s="1054">
        <f>SQRT((1-(Z484/pterm2))^2+(A484/pterm1)^2)</f>
        <v/>
      </c>
      <c r="T484" s="1055">
        <f>IF((ATAN((A484/pterm1)/(1-A484^2/pterm2))&gt;0),ATAN((A484/pterm1)/(1-A484^2/pterm2)),PI()+ATAN((A484/pterm1)/(1-A484^2/pterm2)))</f>
        <v/>
      </c>
      <c r="U484" s="331">
        <f>20*LOG10(((E484*K484*G484*O484)/(C484*I484*S484*M484*Q484))*Adc)</f>
        <v/>
      </c>
      <c r="V484" s="332">
        <f>((F484+L484+H484+P484)-(D484+J484+T484+N484+R484))*radconv</f>
        <v/>
      </c>
      <c r="W484" s="334">
        <f>IF(V484&gt;0,V484,V484+180)</f>
        <v/>
      </c>
      <c r="Y484" s="307">
        <f>IF(U484&lt;0,A484,1000000000)</f>
        <v/>
      </c>
      <c r="Z484" s="307">
        <f>A484^2</f>
        <v/>
      </c>
      <c r="AB484" s="333">
        <f>20*LOG10((K484/(I484*M484))*AEA)</f>
        <v/>
      </c>
      <c r="AC484" s="334">
        <f>(L484-(J484+N484))*radconv</f>
        <v/>
      </c>
      <c r="AE484" s="333">
        <f>20*LOG10((E484*G484/(C484*S484))*Acs*Am)</f>
        <v/>
      </c>
      <c r="AF484" s="334">
        <f>(F484+H484-(D484+T484))*radconv</f>
        <v/>
      </c>
      <c r="AH484">
        <f>SUM((U485&lt;0)*(U484&gt;0))*A484</f>
        <v/>
      </c>
      <c r="AI484">
        <f>IF(AH484&gt;0,W484,0)</f>
        <v/>
      </c>
    </row>
    <row r="485">
      <c r="A485" s="335" t="n">
        <v>58884</v>
      </c>
      <c r="B485" s="352">
        <f>A485/1000</f>
        <v/>
      </c>
      <c r="C485" s="1047">
        <f>SQRT(1+(A485/pole1)^2)</f>
        <v/>
      </c>
      <c r="D485" s="1048">
        <f>ATAN(A485/pole1)</f>
        <v/>
      </c>
      <c r="E485" s="1048">
        <f>SQRT(1+(A485/Zero1)^2)</f>
        <v/>
      </c>
      <c r="F485" s="1049">
        <f>ATAN(A485/Zero1)</f>
        <v/>
      </c>
      <c r="G485" s="1048">
        <f>IF(VIN_nom&gt;Vout, 1, SQRT(1+(A485/z_RHP)^2))</f>
        <v/>
      </c>
      <c r="H485" s="1049">
        <f>IF(VIN_nom&gt;Vout, 0, -ATAN(A485/z_RHP))</f>
        <v/>
      </c>
      <c r="I485" s="1047">
        <f>SQRT(1+(A485/Pole2)^2)</f>
        <v/>
      </c>
      <c r="J485" s="1050">
        <f>ATAN(A485/Pole2)</f>
        <v/>
      </c>
      <c r="K485" s="1056">
        <f>SQRT(1+(A485/Zero2)^2)</f>
        <v/>
      </c>
      <c r="L485" s="1057">
        <f>ATAN(A485/Zero2)</f>
        <v/>
      </c>
      <c r="M485" s="1047">
        <f>SQRT(1+(A485/pole4)^2)</f>
        <v/>
      </c>
      <c r="N485" s="1057">
        <f>ATAN(A485/pole4)</f>
        <v/>
      </c>
      <c r="O485" s="1058">
        <f>IF(VOUT_setting=1,1,SQRT(1+(A485*zterm1)^2))</f>
        <v/>
      </c>
      <c r="P485" s="1059">
        <f>IF(VOUT_setting=1,0,ATAN(((A485*zterm1))))</f>
        <v/>
      </c>
      <c r="Q485" s="1056">
        <f>IF(VOUT_setting=1,1,SQRT((1+Afbr-$Q$5*(A485)^2)^2+(A485*$Q$4)^2))</f>
        <v/>
      </c>
      <c r="R485" s="1060">
        <f>IF(VOUT_setting=1,0,ATAN(A485*$Q$4/(1+Afbr-$Q$5*(A485)^2)))</f>
        <v/>
      </c>
      <c r="S485" s="1054">
        <f>SQRT((1-(Z485/pterm2))^2+(A485/pterm1)^2)</f>
        <v/>
      </c>
      <c r="T485" s="1055">
        <f>IF((ATAN((A485/pterm1)/(1-A485^2/pterm2))&gt;0),ATAN((A485/pterm1)/(1-A485^2/pterm2)),PI()+ATAN((A485/pterm1)/(1-A485^2/pterm2)))</f>
        <v/>
      </c>
      <c r="U485" s="331">
        <f>20*LOG10(((E485*K485*G485*O485)/(C485*I485*S485*M485*Q485))*Adc)</f>
        <v/>
      </c>
      <c r="V485" s="332">
        <f>((F485+L485+H485+P485)-(D485+J485+T485+N485+R485))*radconv</f>
        <v/>
      </c>
      <c r="W485" s="334">
        <f>IF(V485&gt;0,V485,V485+180)</f>
        <v/>
      </c>
      <c r="Y485" s="307">
        <f>IF(U485&lt;0,A485,1000000000)</f>
        <v/>
      </c>
      <c r="Z485" s="307">
        <f>A485^2</f>
        <v/>
      </c>
      <c r="AB485" s="333">
        <f>20*LOG10((K485/(I485*M485))*AEA)</f>
        <v/>
      </c>
      <c r="AC485" s="334">
        <f>(L485-(J485+N485))*radconv</f>
        <v/>
      </c>
      <c r="AE485" s="333">
        <f>20*LOG10((E485*G485/(C485*S485))*Acs*Am)</f>
        <v/>
      </c>
      <c r="AF485" s="334">
        <f>(F485+H485-(D485+T485))*radconv</f>
        <v/>
      </c>
      <c r="AH485">
        <f>SUM((U486&lt;0)*(U485&gt;0))*A485</f>
        <v/>
      </c>
      <c r="AI485">
        <f>IF(AH485&gt;0,W485,0)</f>
        <v/>
      </c>
    </row>
    <row r="486">
      <c r="A486" s="335" t="n">
        <v>59227</v>
      </c>
      <c r="B486" s="352">
        <f>A486/1000</f>
        <v/>
      </c>
      <c r="C486" s="1047">
        <f>SQRT(1+(A486/pole1)^2)</f>
        <v/>
      </c>
      <c r="D486" s="1048">
        <f>ATAN(A486/pole1)</f>
        <v/>
      </c>
      <c r="E486" s="1048">
        <f>SQRT(1+(A486/Zero1)^2)</f>
        <v/>
      </c>
      <c r="F486" s="1049">
        <f>ATAN(A486/Zero1)</f>
        <v/>
      </c>
      <c r="G486" s="1048">
        <f>IF(VIN_nom&gt;Vout, 1, SQRT(1+(A486/z_RHP)^2))</f>
        <v/>
      </c>
      <c r="H486" s="1049">
        <f>IF(VIN_nom&gt;Vout, 0, -ATAN(A486/z_RHP))</f>
        <v/>
      </c>
      <c r="I486" s="1047">
        <f>SQRT(1+(A486/Pole2)^2)</f>
        <v/>
      </c>
      <c r="J486" s="1050">
        <f>ATAN(A486/Pole2)</f>
        <v/>
      </c>
      <c r="K486" s="1056">
        <f>SQRT(1+(A486/Zero2)^2)</f>
        <v/>
      </c>
      <c r="L486" s="1057">
        <f>ATAN(A486/Zero2)</f>
        <v/>
      </c>
      <c r="M486" s="1047">
        <f>SQRT(1+(A486/pole4)^2)</f>
        <v/>
      </c>
      <c r="N486" s="1057">
        <f>ATAN(A486/pole4)</f>
        <v/>
      </c>
      <c r="O486" s="1058">
        <f>IF(VOUT_setting=1,1,SQRT(1+(A486*zterm1)^2))</f>
        <v/>
      </c>
      <c r="P486" s="1059">
        <f>IF(VOUT_setting=1,0,ATAN(((A486*zterm1))))</f>
        <v/>
      </c>
      <c r="Q486" s="1056">
        <f>IF(VOUT_setting=1,1,SQRT((1+Afbr-$Q$5*(A486)^2)^2+(A486*$Q$4)^2))</f>
        <v/>
      </c>
      <c r="R486" s="1060">
        <f>IF(VOUT_setting=1,0,ATAN(A486*$Q$4/(1+Afbr-$Q$5*(A486)^2)))</f>
        <v/>
      </c>
      <c r="S486" s="1054">
        <f>SQRT((1-(Z486/pterm2))^2+(A486/pterm1)^2)</f>
        <v/>
      </c>
      <c r="T486" s="1055">
        <f>IF((ATAN((A486/pterm1)/(1-A486^2/pterm2))&gt;0),ATAN((A486/pterm1)/(1-A486^2/pterm2)),PI()+ATAN((A486/pterm1)/(1-A486^2/pterm2)))</f>
        <v/>
      </c>
      <c r="U486" s="331">
        <f>20*LOG10(((E486*K486*G486*O486)/(C486*I486*S486*M486*Q486))*Adc)</f>
        <v/>
      </c>
      <c r="V486" s="332">
        <f>((F486+L486+H486+P486)-(D486+J486+T486+N486+R486))*radconv</f>
        <v/>
      </c>
      <c r="W486" s="334">
        <f>IF(V486&gt;0,V486,V486+180)</f>
        <v/>
      </c>
      <c r="Y486" s="307">
        <f>IF(U486&lt;0,A486,1000000000)</f>
        <v/>
      </c>
      <c r="Z486" s="307">
        <f>A486^2</f>
        <v/>
      </c>
      <c r="AB486" s="333">
        <f>20*LOG10((K486/(I486*M486))*AEA)</f>
        <v/>
      </c>
      <c r="AC486" s="334">
        <f>(L486-(J486+N486))*radconv</f>
        <v/>
      </c>
      <c r="AE486" s="333">
        <f>20*LOG10((E486*G486/(C486*S486))*Acs*Am)</f>
        <v/>
      </c>
      <c r="AF486" s="334">
        <f>(F486+H486-(D486+T486))*radconv</f>
        <v/>
      </c>
      <c r="AH486">
        <f>SUM((U487&lt;0)*(U486&gt;0))*A486</f>
        <v/>
      </c>
      <c r="AI486">
        <f>IF(AH486&gt;0,W486,0)</f>
        <v/>
      </c>
    </row>
    <row r="487">
      <c r="A487" s="335" t="n">
        <v>59570</v>
      </c>
      <c r="B487" s="352">
        <f>A487/1000</f>
        <v/>
      </c>
      <c r="C487" s="1047">
        <f>SQRT(1+(A487/pole1)^2)</f>
        <v/>
      </c>
      <c r="D487" s="1048">
        <f>ATAN(A487/pole1)</f>
        <v/>
      </c>
      <c r="E487" s="1048">
        <f>SQRT(1+(A487/Zero1)^2)</f>
        <v/>
      </c>
      <c r="F487" s="1049">
        <f>ATAN(A487/Zero1)</f>
        <v/>
      </c>
      <c r="G487" s="1048">
        <f>IF(VIN_nom&gt;Vout, 1, SQRT(1+(A487/z_RHP)^2))</f>
        <v/>
      </c>
      <c r="H487" s="1049">
        <f>IF(VIN_nom&gt;Vout, 0, -ATAN(A487/z_RHP))</f>
        <v/>
      </c>
      <c r="I487" s="1047">
        <f>SQRT(1+(A487/Pole2)^2)</f>
        <v/>
      </c>
      <c r="J487" s="1050">
        <f>ATAN(A487/Pole2)</f>
        <v/>
      </c>
      <c r="K487" s="1056">
        <f>SQRT(1+(A487/Zero2)^2)</f>
        <v/>
      </c>
      <c r="L487" s="1057">
        <f>ATAN(A487/Zero2)</f>
        <v/>
      </c>
      <c r="M487" s="1047">
        <f>SQRT(1+(A487/pole4)^2)</f>
        <v/>
      </c>
      <c r="N487" s="1057">
        <f>ATAN(A487/pole4)</f>
        <v/>
      </c>
      <c r="O487" s="1058">
        <f>IF(VOUT_setting=1,1,SQRT(1+(A487*zterm1)^2))</f>
        <v/>
      </c>
      <c r="P487" s="1059">
        <f>IF(VOUT_setting=1,0,ATAN(((A487*zterm1))))</f>
        <v/>
      </c>
      <c r="Q487" s="1056">
        <f>IF(VOUT_setting=1,1,SQRT((1+Afbr-$Q$5*(A487)^2)^2+(A487*$Q$4)^2))</f>
        <v/>
      </c>
      <c r="R487" s="1060">
        <f>IF(VOUT_setting=1,0,ATAN(A487*$Q$4/(1+Afbr-$Q$5*(A487)^2)))</f>
        <v/>
      </c>
      <c r="S487" s="1054">
        <f>SQRT((1-(Z487/pterm2))^2+(A487/pterm1)^2)</f>
        <v/>
      </c>
      <c r="T487" s="1055">
        <f>IF((ATAN((A487/pterm1)/(1-A487^2/pterm2))&gt;0),ATAN((A487/pterm1)/(1-A487^2/pterm2)),PI()+ATAN((A487/pterm1)/(1-A487^2/pterm2)))</f>
        <v/>
      </c>
      <c r="U487" s="331">
        <f>20*LOG10(((E487*K487*G487*O487)/(C487*I487*S487*M487*Q487))*Adc)</f>
        <v/>
      </c>
      <c r="V487" s="332">
        <f>((F487+L487+H487+P487)-(D487+J487+T487+N487+R487))*radconv</f>
        <v/>
      </c>
      <c r="W487" s="334">
        <f>IF(V487&gt;0,V487,V487+180)</f>
        <v/>
      </c>
      <c r="Y487" s="307">
        <f>IF(U487&lt;0,A487,1000000000)</f>
        <v/>
      </c>
      <c r="Z487" s="307">
        <f>A487^2</f>
        <v/>
      </c>
      <c r="AB487" s="333">
        <f>20*LOG10((K487/(I487*M487))*AEA)</f>
        <v/>
      </c>
      <c r="AC487" s="334">
        <f>(L487-(J487+N487))*radconv</f>
        <v/>
      </c>
      <c r="AE487" s="333">
        <f>20*LOG10((E487*G487/(C487*S487))*Acs*Am)</f>
        <v/>
      </c>
      <c r="AF487" s="334">
        <f>(F487+H487-(D487+T487))*radconv</f>
        <v/>
      </c>
      <c r="AH487">
        <f>SUM((U488&lt;0)*(U487&gt;0))*A487</f>
        <v/>
      </c>
      <c r="AI487">
        <f>IF(AH487&gt;0,W487,0)</f>
        <v/>
      </c>
    </row>
    <row r="488">
      <c r="A488" s="335" t="n">
        <v>59913</v>
      </c>
      <c r="B488" s="352">
        <f>A488/1000</f>
        <v/>
      </c>
      <c r="C488" s="1047">
        <f>SQRT(1+(A488/pole1)^2)</f>
        <v/>
      </c>
      <c r="D488" s="1048">
        <f>ATAN(A488/pole1)</f>
        <v/>
      </c>
      <c r="E488" s="1048">
        <f>SQRT(1+(A488/Zero1)^2)</f>
        <v/>
      </c>
      <c r="F488" s="1049">
        <f>ATAN(A488/Zero1)</f>
        <v/>
      </c>
      <c r="G488" s="1048">
        <f>IF(VIN_nom&gt;Vout, 1, SQRT(1+(A488/z_RHP)^2))</f>
        <v/>
      </c>
      <c r="H488" s="1049">
        <f>IF(VIN_nom&gt;Vout, 0, -ATAN(A488/z_RHP))</f>
        <v/>
      </c>
      <c r="I488" s="1047">
        <f>SQRT(1+(A488/Pole2)^2)</f>
        <v/>
      </c>
      <c r="J488" s="1050">
        <f>ATAN(A488/Pole2)</f>
        <v/>
      </c>
      <c r="K488" s="1056">
        <f>SQRT(1+(A488/Zero2)^2)</f>
        <v/>
      </c>
      <c r="L488" s="1057">
        <f>ATAN(A488/Zero2)</f>
        <v/>
      </c>
      <c r="M488" s="1047">
        <f>SQRT(1+(A488/pole4)^2)</f>
        <v/>
      </c>
      <c r="N488" s="1057">
        <f>ATAN(A488/pole4)</f>
        <v/>
      </c>
      <c r="O488" s="1058">
        <f>IF(VOUT_setting=1,1,SQRT(1+(A488*zterm1)^2))</f>
        <v/>
      </c>
      <c r="P488" s="1059">
        <f>IF(VOUT_setting=1,0,ATAN(((A488*zterm1))))</f>
        <v/>
      </c>
      <c r="Q488" s="1056">
        <f>IF(VOUT_setting=1,1,SQRT((1+Afbr-$Q$5*(A488)^2)^2+(A488*$Q$4)^2))</f>
        <v/>
      </c>
      <c r="R488" s="1060">
        <f>IF(VOUT_setting=1,0,ATAN(A488*$Q$4/(1+Afbr-$Q$5*(A488)^2)))</f>
        <v/>
      </c>
      <c r="S488" s="1054">
        <f>SQRT((1-(Z488/pterm2))^2+(A488/pterm1)^2)</f>
        <v/>
      </c>
      <c r="T488" s="1055">
        <f>IF((ATAN((A488/pterm1)/(1-A488^2/pterm2))&gt;0),ATAN((A488/pterm1)/(1-A488^2/pterm2)),PI()+ATAN((A488/pterm1)/(1-A488^2/pterm2)))</f>
        <v/>
      </c>
      <c r="U488" s="331">
        <f>20*LOG10(((E488*K488*G488*O488)/(C488*I488*S488*M488*Q488))*Adc)</f>
        <v/>
      </c>
      <c r="V488" s="332">
        <f>((F488+L488+H488+P488)-(D488+J488+T488+N488+R488))*radconv</f>
        <v/>
      </c>
      <c r="W488" s="334">
        <f>IF(V488&gt;0,V488,V488+180)</f>
        <v/>
      </c>
      <c r="Y488" s="307">
        <f>IF(U488&lt;0,A488,1000000000)</f>
        <v/>
      </c>
      <c r="Z488" s="307">
        <f>A488^2</f>
        <v/>
      </c>
      <c r="AB488" s="333">
        <f>20*LOG10((K488/(I488*M488))*AEA)</f>
        <v/>
      </c>
      <c r="AC488" s="334">
        <f>(L488-(J488+N488))*radconv</f>
        <v/>
      </c>
      <c r="AE488" s="333">
        <f>20*LOG10((E488*G488/(C488*S488))*Acs*Am)</f>
        <v/>
      </c>
      <c r="AF488" s="334">
        <f>(F488+H488-(D488+T488))*radconv</f>
        <v/>
      </c>
      <c r="AH488">
        <f>SUM((U489&lt;0)*(U488&gt;0))*A488</f>
        <v/>
      </c>
      <c r="AI488">
        <f>IF(AH488&gt;0,W488,0)</f>
        <v/>
      </c>
    </row>
    <row r="489">
      <c r="A489" s="335" t="n">
        <v>60256</v>
      </c>
      <c r="B489" s="352">
        <f>A489/1000</f>
        <v/>
      </c>
      <c r="C489" s="1047">
        <f>SQRT(1+(A489/pole1)^2)</f>
        <v/>
      </c>
      <c r="D489" s="1048">
        <f>ATAN(A489/pole1)</f>
        <v/>
      </c>
      <c r="E489" s="1048">
        <f>SQRT(1+(A489/Zero1)^2)</f>
        <v/>
      </c>
      <c r="F489" s="1049">
        <f>ATAN(A489/Zero1)</f>
        <v/>
      </c>
      <c r="G489" s="1048">
        <f>IF(VIN_nom&gt;Vout, 1, SQRT(1+(A489/z_RHP)^2))</f>
        <v/>
      </c>
      <c r="H489" s="1049">
        <f>IF(VIN_nom&gt;Vout, 0, -ATAN(A489/z_RHP))</f>
        <v/>
      </c>
      <c r="I489" s="1047">
        <f>SQRT(1+(A489/Pole2)^2)</f>
        <v/>
      </c>
      <c r="J489" s="1050">
        <f>ATAN(A489/Pole2)</f>
        <v/>
      </c>
      <c r="K489" s="1056">
        <f>SQRT(1+(A489/Zero2)^2)</f>
        <v/>
      </c>
      <c r="L489" s="1057">
        <f>ATAN(A489/Zero2)</f>
        <v/>
      </c>
      <c r="M489" s="1047">
        <f>SQRT(1+(A489/pole4)^2)</f>
        <v/>
      </c>
      <c r="N489" s="1057">
        <f>ATAN(A489/pole4)</f>
        <v/>
      </c>
      <c r="O489" s="1058">
        <f>IF(VOUT_setting=1,1,SQRT(1+(A489*zterm1)^2))</f>
        <v/>
      </c>
      <c r="P489" s="1059">
        <f>IF(VOUT_setting=1,0,ATAN(((A489*zterm1))))</f>
        <v/>
      </c>
      <c r="Q489" s="1056">
        <f>IF(VOUT_setting=1,1,SQRT((1+Afbr-$Q$5*(A489)^2)^2+(A489*$Q$4)^2))</f>
        <v/>
      </c>
      <c r="R489" s="1060">
        <f>IF(VOUT_setting=1,0,ATAN(A489*$Q$4/(1+Afbr-$Q$5*(A489)^2)))</f>
        <v/>
      </c>
      <c r="S489" s="1054">
        <f>SQRT((1-(Z489/pterm2))^2+(A489/pterm1)^2)</f>
        <v/>
      </c>
      <c r="T489" s="1055">
        <f>IF((ATAN((A489/pterm1)/(1-A489^2/pterm2))&gt;0),ATAN((A489/pterm1)/(1-A489^2/pterm2)),PI()+ATAN((A489/pterm1)/(1-A489^2/pterm2)))</f>
        <v/>
      </c>
      <c r="U489" s="331">
        <f>20*LOG10(((E489*K489*G489*O489)/(C489*I489*S489*M489*Q489))*Adc)</f>
        <v/>
      </c>
      <c r="V489" s="332">
        <f>((F489+L489+H489+P489)-(D489+J489+T489+N489+R489))*radconv</f>
        <v/>
      </c>
      <c r="W489" s="334">
        <f>IF(V489&gt;0,V489,V489+180)</f>
        <v/>
      </c>
      <c r="Y489" s="307">
        <f>IF(U489&lt;0,A489,1000000000)</f>
        <v/>
      </c>
      <c r="Z489" s="307">
        <f>A489^2</f>
        <v/>
      </c>
      <c r="AB489" s="333">
        <f>20*LOG10((K489/(I489*M489))*AEA)</f>
        <v/>
      </c>
      <c r="AC489" s="334">
        <f>(L489-(J489+N489))*radconv</f>
        <v/>
      </c>
      <c r="AE489" s="333">
        <f>20*LOG10((E489*G489/(C489*S489))*Acs*Am)</f>
        <v/>
      </c>
      <c r="AF489" s="334">
        <f>(F489+H489-(D489+T489))*radconv</f>
        <v/>
      </c>
      <c r="AH489">
        <f>SUM((U490&lt;0)*(U489&gt;0))*A489</f>
        <v/>
      </c>
      <c r="AI489">
        <f>IF(AH489&gt;0,W489,0)</f>
        <v/>
      </c>
    </row>
    <row r="490">
      <c r="A490" s="335" t="n">
        <v>60607</v>
      </c>
      <c r="B490" s="352">
        <f>A490/1000</f>
        <v/>
      </c>
      <c r="C490" s="1047">
        <f>SQRT(1+(A490/pole1)^2)</f>
        <v/>
      </c>
      <c r="D490" s="1048">
        <f>ATAN(A490/pole1)</f>
        <v/>
      </c>
      <c r="E490" s="1048">
        <f>SQRT(1+(A490/Zero1)^2)</f>
        <v/>
      </c>
      <c r="F490" s="1049">
        <f>ATAN(A490/Zero1)</f>
        <v/>
      </c>
      <c r="G490" s="1048">
        <f>IF(VIN_nom&gt;Vout, 1, SQRT(1+(A490/z_RHP)^2))</f>
        <v/>
      </c>
      <c r="H490" s="1049">
        <f>IF(VIN_nom&gt;Vout, 0, -ATAN(A490/z_RHP))</f>
        <v/>
      </c>
      <c r="I490" s="1047">
        <f>SQRT(1+(A490/Pole2)^2)</f>
        <v/>
      </c>
      <c r="J490" s="1050">
        <f>ATAN(A490/Pole2)</f>
        <v/>
      </c>
      <c r="K490" s="1056">
        <f>SQRT(1+(A490/Zero2)^2)</f>
        <v/>
      </c>
      <c r="L490" s="1057">
        <f>ATAN(A490/Zero2)</f>
        <v/>
      </c>
      <c r="M490" s="1047">
        <f>SQRT(1+(A490/pole4)^2)</f>
        <v/>
      </c>
      <c r="N490" s="1057">
        <f>ATAN(A490/pole4)</f>
        <v/>
      </c>
      <c r="O490" s="1058">
        <f>IF(VOUT_setting=1,1,SQRT(1+(A490*zterm1)^2))</f>
        <v/>
      </c>
      <c r="P490" s="1059">
        <f>IF(VOUT_setting=1,0,ATAN(((A490*zterm1))))</f>
        <v/>
      </c>
      <c r="Q490" s="1056">
        <f>IF(VOUT_setting=1,1,SQRT((1+Afbr-$Q$5*(A490)^2)^2+(A490*$Q$4)^2))</f>
        <v/>
      </c>
      <c r="R490" s="1060">
        <f>IF(VOUT_setting=1,0,ATAN(A490*$Q$4/(1+Afbr-$Q$5*(A490)^2)))</f>
        <v/>
      </c>
      <c r="S490" s="1054">
        <f>SQRT((1-(Z490/pterm2))^2+(A490/pterm1)^2)</f>
        <v/>
      </c>
      <c r="T490" s="1055">
        <f>IF((ATAN((A490/pterm1)/(1-A490^2/pterm2))&gt;0),ATAN((A490/pterm1)/(1-A490^2/pterm2)),PI()+ATAN((A490/pterm1)/(1-A490^2/pterm2)))</f>
        <v/>
      </c>
      <c r="U490" s="331">
        <f>20*LOG10(((E490*K490*G490*O490)/(C490*I490*S490*M490*Q490))*Adc)</f>
        <v/>
      </c>
      <c r="V490" s="332">
        <f>((F490+L490+H490+P490)-(D490+J490+T490+N490+R490))*radconv</f>
        <v/>
      </c>
      <c r="W490" s="334">
        <f>IF(V490&gt;0,V490,V490+180)</f>
        <v/>
      </c>
      <c r="Y490" s="307">
        <f>IF(U490&lt;0,A490,1000000000)</f>
        <v/>
      </c>
      <c r="Z490" s="307">
        <f>A490^2</f>
        <v/>
      </c>
      <c r="AB490" s="333">
        <f>20*LOG10((K490/(I490*M490))*AEA)</f>
        <v/>
      </c>
      <c r="AC490" s="334">
        <f>(L490-(J490+N490))*radconv</f>
        <v/>
      </c>
      <c r="AE490" s="333">
        <f>20*LOG10((E490*G490/(C490*S490))*Acs*Am)</f>
        <v/>
      </c>
      <c r="AF490" s="334">
        <f>(F490+H490-(D490+T490))*radconv</f>
        <v/>
      </c>
      <c r="AH490">
        <f>SUM((U491&lt;0)*(U490&gt;0))*A490</f>
        <v/>
      </c>
      <c r="AI490">
        <f>IF(AH490&gt;0,W490,0)</f>
        <v/>
      </c>
    </row>
    <row r="491">
      <c r="A491" s="335" t="n">
        <v>60958</v>
      </c>
      <c r="B491" s="352">
        <f>A491/1000</f>
        <v/>
      </c>
      <c r="C491" s="1047">
        <f>SQRT(1+(A491/pole1)^2)</f>
        <v/>
      </c>
      <c r="D491" s="1048">
        <f>ATAN(A491/pole1)</f>
        <v/>
      </c>
      <c r="E491" s="1048">
        <f>SQRT(1+(A491/Zero1)^2)</f>
        <v/>
      </c>
      <c r="F491" s="1049">
        <f>ATAN(A491/Zero1)</f>
        <v/>
      </c>
      <c r="G491" s="1048">
        <f>IF(VIN_nom&gt;Vout, 1, SQRT(1+(A491/z_RHP)^2))</f>
        <v/>
      </c>
      <c r="H491" s="1049">
        <f>IF(VIN_nom&gt;Vout, 0, -ATAN(A491/z_RHP))</f>
        <v/>
      </c>
      <c r="I491" s="1047">
        <f>SQRT(1+(A491/Pole2)^2)</f>
        <v/>
      </c>
      <c r="J491" s="1050">
        <f>ATAN(A491/Pole2)</f>
        <v/>
      </c>
      <c r="K491" s="1056">
        <f>SQRT(1+(A491/Zero2)^2)</f>
        <v/>
      </c>
      <c r="L491" s="1057">
        <f>ATAN(A491/Zero2)</f>
        <v/>
      </c>
      <c r="M491" s="1047">
        <f>SQRT(1+(A491/pole4)^2)</f>
        <v/>
      </c>
      <c r="N491" s="1057">
        <f>ATAN(A491/pole4)</f>
        <v/>
      </c>
      <c r="O491" s="1058">
        <f>IF(VOUT_setting=1,1,SQRT(1+(A491*zterm1)^2))</f>
        <v/>
      </c>
      <c r="P491" s="1059">
        <f>IF(VOUT_setting=1,0,ATAN(((A491*zterm1))))</f>
        <v/>
      </c>
      <c r="Q491" s="1056">
        <f>IF(VOUT_setting=1,1,SQRT((1+Afbr-$Q$5*(A491)^2)^2+(A491*$Q$4)^2))</f>
        <v/>
      </c>
      <c r="R491" s="1060">
        <f>IF(VOUT_setting=1,0,ATAN(A491*$Q$4/(1+Afbr-$Q$5*(A491)^2)))</f>
        <v/>
      </c>
      <c r="S491" s="1054">
        <f>SQRT((1-(Z491/pterm2))^2+(A491/pterm1)^2)</f>
        <v/>
      </c>
      <c r="T491" s="1055">
        <f>IF((ATAN((A491/pterm1)/(1-A491^2/pterm2))&gt;0),ATAN((A491/pterm1)/(1-A491^2/pterm2)),PI()+ATAN((A491/pterm1)/(1-A491^2/pterm2)))</f>
        <v/>
      </c>
      <c r="U491" s="331">
        <f>20*LOG10(((E491*K491*G491*O491)/(C491*I491*S491*M491*Q491))*Adc)</f>
        <v/>
      </c>
      <c r="V491" s="332">
        <f>((F491+L491+H491+P491)-(D491+J491+T491+N491+R491))*radconv</f>
        <v/>
      </c>
      <c r="W491" s="334">
        <f>IF(V491&gt;0,V491,V491+180)</f>
        <v/>
      </c>
      <c r="Y491" s="307">
        <f>IF(U491&lt;0,A491,1000000000)</f>
        <v/>
      </c>
      <c r="Z491" s="307">
        <f>A491^2</f>
        <v/>
      </c>
      <c r="AB491" s="333">
        <f>20*LOG10((K491/(I491*M491))*AEA)</f>
        <v/>
      </c>
      <c r="AC491" s="334">
        <f>(L491-(J491+N491))*radconv</f>
        <v/>
      </c>
      <c r="AE491" s="333">
        <f>20*LOG10((E491*G491/(C491*S491))*Acs*Am)</f>
        <v/>
      </c>
      <c r="AF491" s="334">
        <f>(F491+H491-(D491+T491))*radconv</f>
        <v/>
      </c>
      <c r="AH491">
        <f>SUM((U492&lt;0)*(U491&gt;0))*A491</f>
        <v/>
      </c>
      <c r="AI491">
        <f>IF(AH491&gt;0,W491,0)</f>
        <v/>
      </c>
    </row>
    <row r="492">
      <c r="A492" s="335" t="n">
        <v>61309</v>
      </c>
      <c r="B492" s="352">
        <f>A492/1000</f>
        <v/>
      </c>
      <c r="C492" s="1047">
        <f>SQRT(1+(A492/pole1)^2)</f>
        <v/>
      </c>
      <c r="D492" s="1048">
        <f>ATAN(A492/pole1)</f>
        <v/>
      </c>
      <c r="E492" s="1048">
        <f>SQRT(1+(A492/Zero1)^2)</f>
        <v/>
      </c>
      <c r="F492" s="1049">
        <f>ATAN(A492/Zero1)</f>
        <v/>
      </c>
      <c r="G492" s="1048">
        <f>IF(VIN_nom&gt;Vout, 1, SQRT(1+(A492/z_RHP)^2))</f>
        <v/>
      </c>
      <c r="H492" s="1049">
        <f>IF(VIN_nom&gt;Vout, 0, -ATAN(A492/z_RHP))</f>
        <v/>
      </c>
      <c r="I492" s="1047">
        <f>SQRT(1+(A492/Pole2)^2)</f>
        <v/>
      </c>
      <c r="J492" s="1050">
        <f>ATAN(A492/Pole2)</f>
        <v/>
      </c>
      <c r="K492" s="1056">
        <f>SQRT(1+(A492/Zero2)^2)</f>
        <v/>
      </c>
      <c r="L492" s="1057">
        <f>ATAN(A492/Zero2)</f>
        <v/>
      </c>
      <c r="M492" s="1047">
        <f>SQRT(1+(A492/pole4)^2)</f>
        <v/>
      </c>
      <c r="N492" s="1057">
        <f>ATAN(A492/pole4)</f>
        <v/>
      </c>
      <c r="O492" s="1058">
        <f>IF(VOUT_setting=1,1,SQRT(1+(A492*zterm1)^2))</f>
        <v/>
      </c>
      <c r="P492" s="1059">
        <f>IF(VOUT_setting=1,0,ATAN(((A492*zterm1))))</f>
        <v/>
      </c>
      <c r="Q492" s="1056">
        <f>IF(VOUT_setting=1,1,SQRT((1+Afbr-$Q$5*(A492)^2)^2+(A492*$Q$4)^2))</f>
        <v/>
      </c>
      <c r="R492" s="1060">
        <f>IF(VOUT_setting=1,0,ATAN(A492*$Q$4/(1+Afbr-$Q$5*(A492)^2)))</f>
        <v/>
      </c>
      <c r="S492" s="1054">
        <f>SQRT((1-(Z492/pterm2))^2+(A492/pterm1)^2)</f>
        <v/>
      </c>
      <c r="T492" s="1055">
        <f>IF((ATAN((A492/pterm1)/(1-A492^2/pterm2))&gt;0),ATAN((A492/pterm1)/(1-A492^2/pterm2)),PI()+ATAN((A492/pterm1)/(1-A492^2/pterm2)))</f>
        <v/>
      </c>
      <c r="U492" s="331">
        <f>20*LOG10(((E492*K492*G492*O492)/(C492*I492*S492*M492*Q492))*Adc)</f>
        <v/>
      </c>
      <c r="V492" s="332">
        <f>((F492+L492+H492+P492)-(D492+J492+T492+N492+R492))*radconv</f>
        <v/>
      </c>
      <c r="W492" s="334">
        <f>IF(V492&gt;0,V492,V492+180)</f>
        <v/>
      </c>
      <c r="Y492" s="307">
        <f>IF(U492&lt;0,A492,1000000000)</f>
        <v/>
      </c>
      <c r="Z492" s="307">
        <f>A492^2</f>
        <v/>
      </c>
      <c r="AB492" s="333">
        <f>20*LOG10((K492/(I492*M492))*AEA)</f>
        <v/>
      </c>
      <c r="AC492" s="334">
        <f>(L492-(J492+N492))*radconv</f>
        <v/>
      </c>
      <c r="AE492" s="333">
        <f>20*LOG10((E492*G492/(C492*S492))*Acs*Am)</f>
        <v/>
      </c>
      <c r="AF492" s="334">
        <f>(F492+H492-(D492+T492))*radconv</f>
        <v/>
      </c>
      <c r="AH492">
        <f>SUM((U493&lt;0)*(U492&gt;0))*A492</f>
        <v/>
      </c>
      <c r="AI492">
        <f>IF(AH492&gt;0,W492,0)</f>
        <v/>
      </c>
    </row>
    <row r="493">
      <c r="A493" s="335" t="n">
        <v>61660</v>
      </c>
      <c r="B493" s="352">
        <f>A493/1000</f>
        <v/>
      </c>
      <c r="C493" s="1047">
        <f>SQRT(1+(A493/pole1)^2)</f>
        <v/>
      </c>
      <c r="D493" s="1048">
        <f>ATAN(A493/pole1)</f>
        <v/>
      </c>
      <c r="E493" s="1048">
        <f>SQRT(1+(A493/Zero1)^2)</f>
        <v/>
      </c>
      <c r="F493" s="1049">
        <f>ATAN(A493/Zero1)</f>
        <v/>
      </c>
      <c r="G493" s="1048">
        <f>IF(VIN_nom&gt;Vout, 1, SQRT(1+(A493/z_RHP)^2))</f>
        <v/>
      </c>
      <c r="H493" s="1049">
        <f>IF(VIN_nom&gt;Vout, 0, -ATAN(A493/z_RHP))</f>
        <v/>
      </c>
      <c r="I493" s="1047">
        <f>SQRT(1+(A493/Pole2)^2)</f>
        <v/>
      </c>
      <c r="J493" s="1050">
        <f>ATAN(A493/Pole2)</f>
        <v/>
      </c>
      <c r="K493" s="1056">
        <f>SQRT(1+(A493/Zero2)^2)</f>
        <v/>
      </c>
      <c r="L493" s="1057">
        <f>ATAN(A493/Zero2)</f>
        <v/>
      </c>
      <c r="M493" s="1047">
        <f>SQRT(1+(A493/pole4)^2)</f>
        <v/>
      </c>
      <c r="N493" s="1057">
        <f>ATAN(A493/pole4)</f>
        <v/>
      </c>
      <c r="O493" s="1058">
        <f>IF(VOUT_setting=1,1,SQRT(1+(A493*zterm1)^2))</f>
        <v/>
      </c>
      <c r="P493" s="1059">
        <f>IF(VOUT_setting=1,0,ATAN(((A493*zterm1))))</f>
        <v/>
      </c>
      <c r="Q493" s="1056">
        <f>IF(VOUT_setting=1,1,SQRT((1+Afbr-$Q$5*(A493)^2)^2+(A493*$Q$4)^2))</f>
        <v/>
      </c>
      <c r="R493" s="1060">
        <f>IF(VOUT_setting=1,0,ATAN(A493*$Q$4/(1+Afbr-$Q$5*(A493)^2)))</f>
        <v/>
      </c>
      <c r="S493" s="1054">
        <f>SQRT((1-(Z493/pterm2))^2+(A493/pterm1)^2)</f>
        <v/>
      </c>
      <c r="T493" s="1055">
        <f>IF((ATAN((A493/pterm1)/(1-A493^2/pterm2))&gt;0),ATAN((A493/pterm1)/(1-A493^2/pterm2)),PI()+ATAN((A493/pterm1)/(1-A493^2/pterm2)))</f>
        <v/>
      </c>
      <c r="U493" s="331">
        <f>20*LOG10(((E493*K493*G493*O493)/(C493*I493*S493*M493*Q493))*Adc)</f>
        <v/>
      </c>
      <c r="V493" s="332">
        <f>((F493+L493+H493+P493)-(D493+J493+T493+N493+R493))*radconv</f>
        <v/>
      </c>
      <c r="W493" s="334">
        <f>IF(V493&gt;0,V493,V493+180)</f>
        <v/>
      </c>
      <c r="Y493" s="307">
        <f>IF(U493&lt;0,A493,1000000000)</f>
        <v/>
      </c>
      <c r="Z493" s="307">
        <f>A493^2</f>
        <v/>
      </c>
      <c r="AB493" s="333">
        <f>20*LOG10((K493/(I493*M493))*AEA)</f>
        <v/>
      </c>
      <c r="AC493" s="334">
        <f>(L493-(J493+N493))*radconv</f>
        <v/>
      </c>
      <c r="AE493" s="333">
        <f>20*LOG10((E493*G493/(C493*S493))*Acs*Am)</f>
        <v/>
      </c>
      <c r="AF493" s="334">
        <f>(F493+H493-(D493+T493))*radconv</f>
        <v/>
      </c>
      <c r="AH493">
        <f>SUM((U494&lt;0)*(U493&gt;0))*A493</f>
        <v/>
      </c>
      <c r="AI493">
        <f>IF(AH493&gt;0,W493,0)</f>
        <v/>
      </c>
    </row>
    <row r="494">
      <c r="A494" s="335" t="n">
        <v>62019</v>
      </c>
      <c r="B494" s="352">
        <f>A494/1000</f>
        <v/>
      </c>
      <c r="C494" s="1047">
        <f>SQRT(1+(A494/pole1)^2)</f>
        <v/>
      </c>
      <c r="D494" s="1048">
        <f>ATAN(A494/pole1)</f>
        <v/>
      </c>
      <c r="E494" s="1048">
        <f>SQRT(1+(A494/Zero1)^2)</f>
        <v/>
      </c>
      <c r="F494" s="1049">
        <f>ATAN(A494/Zero1)</f>
        <v/>
      </c>
      <c r="G494" s="1048">
        <f>IF(VIN_nom&gt;Vout, 1, SQRT(1+(A494/z_RHP)^2))</f>
        <v/>
      </c>
      <c r="H494" s="1049">
        <f>IF(VIN_nom&gt;Vout, 0, -ATAN(A494/z_RHP))</f>
        <v/>
      </c>
      <c r="I494" s="1047">
        <f>SQRT(1+(A494/Pole2)^2)</f>
        <v/>
      </c>
      <c r="J494" s="1050">
        <f>ATAN(A494/Pole2)</f>
        <v/>
      </c>
      <c r="K494" s="1056">
        <f>SQRT(1+(A494/Zero2)^2)</f>
        <v/>
      </c>
      <c r="L494" s="1057">
        <f>ATAN(A494/Zero2)</f>
        <v/>
      </c>
      <c r="M494" s="1047">
        <f>SQRT(1+(A494/pole4)^2)</f>
        <v/>
      </c>
      <c r="N494" s="1057">
        <f>ATAN(A494/pole4)</f>
        <v/>
      </c>
      <c r="O494" s="1058">
        <f>IF(VOUT_setting=1,1,SQRT(1+(A494*zterm1)^2))</f>
        <v/>
      </c>
      <c r="P494" s="1059">
        <f>IF(VOUT_setting=1,0,ATAN(((A494*zterm1))))</f>
        <v/>
      </c>
      <c r="Q494" s="1056">
        <f>IF(VOUT_setting=1,1,SQRT((1+Afbr-$Q$5*(A494)^2)^2+(A494*$Q$4)^2))</f>
        <v/>
      </c>
      <c r="R494" s="1060">
        <f>IF(VOUT_setting=1,0,ATAN(A494*$Q$4/(1+Afbr-$Q$5*(A494)^2)))</f>
        <v/>
      </c>
      <c r="S494" s="1054">
        <f>SQRT((1-(Z494/pterm2))^2+(A494/pterm1)^2)</f>
        <v/>
      </c>
      <c r="T494" s="1055">
        <f>IF((ATAN((A494/pterm1)/(1-A494^2/pterm2))&gt;0),ATAN((A494/pterm1)/(1-A494^2/pterm2)),PI()+ATAN((A494/pterm1)/(1-A494^2/pterm2)))</f>
        <v/>
      </c>
      <c r="U494" s="331">
        <f>20*LOG10(((E494*K494*G494*O494)/(C494*I494*S494*M494*Q494))*Adc)</f>
        <v/>
      </c>
      <c r="V494" s="332">
        <f>((F494+L494+H494+P494)-(D494+J494+T494+N494+R494))*radconv</f>
        <v/>
      </c>
      <c r="W494" s="334">
        <f>IF(V494&gt;0,V494,V494+180)</f>
        <v/>
      </c>
      <c r="Y494" s="307">
        <f>IF(U494&lt;0,A494,1000000000)</f>
        <v/>
      </c>
      <c r="Z494" s="307">
        <f>A494^2</f>
        <v/>
      </c>
      <c r="AB494" s="333">
        <f>20*LOG10((K494/(I494*M494))*AEA)</f>
        <v/>
      </c>
      <c r="AC494" s="334">
        <f>(L494-(J494+N494))*radconv</f>
        <v/>
      </c>
      <c r="AE494" s="333">
        <f>20*LOG10((E494*G494/(C494*S494))*Acs*Am)</f>
        <v/>
      </c>
      <c r="AF494" s="334">
        <f>(F494+H494-(D494+T494))*radconv</f>
        <v/>
      </c>
      <c r="AH494">
        <f>SUM((U495&lt;0)*(U494&gt;0))*A494</f>
        <v/>
      </c>
      <c r="AI494">
        <f>IF(AH494&gt;0,W494,0)</f>
        <v/>
      </c>
    </row>
    <row r="495">
      <c r="A495" s="335" t="n">
        <v>62378</v>
      </c>
      <c r="B495" s="352">
        <f>A495/1000</f>
        <v/>
      </c>
      <c r="C495" s="1047">
        <f>SQRT(1+(A495/pole1)^2)</f>
        <v/>
      </c>
      <c r="D495" s="1048">
        <f>ATAN(A495/pole1)</f>
        <v/>
      </c>
      <c r="E495" s="1048">
        <f>SQRT(1+(A495/Zero1)^2)</f>
        <v/>
      </c>
      <c r="F495" s="1049">
        <f>ATAN(A495/Zero1)</f>
        <v/>
      </c>
      <c r="G495" s="1048">
        <f>IF(VIN_nom&gt;Vout, 1, SQRT(1+(A495/z_RHP)^2))</f>
        <v/>
      </c>
      <c r="H495" s="1049">
        <f>IF(VIN_nom&gt;Vout, 0, -ATAN(A495/z_RHP))</f>
        <v/>
      </c>
      <c r="I495" s="1047">
        <f>SQRT(1+(A495/Pole2)^2)</f>
        <v/>
      </c>
      <c r="J495" s="1050">
        <f>ATAN(A495/Pole2)</f>
        <v/>
      </c>
      <c r="K495" s="1056">
        <f>SQRT(1+(A495/Zero2)^2)</f>
        <v/>
      </c>
      <c r="L495" s="1057">
        <f>ATAN(A495/Zero2)</f>
        <v/>
      </c>
      <c r="M495" s="1047">
        <f>SQRT(1+(A495/pole4)^2)</f>
        <v/>
      </c>
      <c r="N495" s="1057">
        <f>ATAN(A495/pole4)</f>
        <v/>
      </c>
      <c r="O495" s="1058">
        <f>IF(VOUT_setting=1,1,SQRT(1+(A495*zterm1)^2))</f>
        <v/>
      </c>
      <c r="P495" s="1059">
        <f>IF(VOUT_setting=1,0,ATAN(((A495*zterm1))))</f>
        <v/>
      </c>
      <c r="Q495" s="1056">
        <f>IF(VOUT_setting=1,1,SQRT((1+Afbr-$Q$5*(A495)^2)^2+(A495*$Q$4)^2))</f>
        <v/>
      </c>
      <c r="R495" s="1060">
        <f>IF(VOUT_setting=1,0,ATAN(A495*$Q$4/(1+Afbr-$Q$5*(A495)^2)))</f>
        <v/>
      </c>
      <c r="S495" s="1054">
        <f>SQRT((1-(Z495/pterm2))^2+(A495/pterm1)^2)</f>
        <v/>
      </c>
      <c r="T495" s="1055">
        <f>IF((ATAN((A495/pterm1)/(1-A495^2/pterm2))&gt;0),ATAN((A495/pterm1)/(1-A495^2/pterm2)),PI()+ATAN((A495/pterm1)/(1-A495^2/pterm2)))</f>
        <v/>
      </c>
      <c r="U495" s="331">
        <f>20*LOG10(((E495*K495*G495*O495)/(C495*I495*S495*M495*Q495))*Adc)</f>
        <v/>
      </c>
      <c r="V495" s="332">
        <f>((F495+L495+H495+P495)-(D495+J495+T495+N495+R495))*radconv</f>
        <v/>
      </c>
      <c r="W495" s="334">
        <f>IF(V495&gt;0,V495,V495+180)</f>
        <v/>
      </c>
      <c r="Y495" s="307">
        <f>IF(U495&lt;0,A495,1000000000)</f>
        <v/>
      </c>
      <c r="Z495" s="307">
        <f>A495^2</f>
        <v/>
      </c>
      <c r="AB495" s="333">
        <f>20*LOG10((K495/(I495*M495))*AEA)</f>
        <v/>
      </c>
      <c r="AC495" s="334">
        <f>(L495-(J495+N495))*radconv</f>
        <v/>
      </c>
      <c r="AE495" s="333">
        <f>20*LOG10((E495*G495/(C495*S495))*Acs*Am)</f>
        <v/>
      </c>
      <c r="AF495" s="334">
        <f>(F495+H495-(D495+T495))*radconv</f>
        <v/>
      </c>
      <c r="AH495">
        <f>SUM((U496&lt;0)*(U495&gt;0))*A495</f>
        <v/>
      </c>
      <c r="AI495">
        <f>IF(AH495&gt;0,W495,0)</f>
        <v/>
      </c>
    </row>
    <row r="496">
      <c r="A496" s="335" t="n">
        <v>62737</v>
      </c>
      <c r="B496" s="352">
        <f>A496/1000</f>
        <v/>
      </c>
      <c r="C496" s="1047">
        <f>SQRT(1+(A496/pole1)^2)</f>
        <v/>
      </c>
      <c r="D496" s="1048">
        <f>ATAN(A496/pole1)</f>
        <v/>
      </c>
      <c r="E496" s="1048">
        <f>SQRT(1+(A496/Zero1)^2)</f>
        <v/>
      </c>
      <c r="F496" s="1049">
        <f>ATAN(A496/Zero1)</f>
        <v/>
      </c>
      <c r="G496" s="1048">
        <f>IF(VIN_nom&gt;Vout, 1, SQRT(1+(A496/z_RHP)^2))</f>
        <v/>
      </c>
      <c r="H496" s="1049">
        <f>IF(VIN_nom&gt;Vout, 0, -ATAN(A496/z_RHP))</f>
        <v/>
      </c>
      <c r="I496" s="1047">
        <f>SQRT(1+(A496/Pole2)^2)</f>
        <v/>
      </c>
      <c r="J496" s="1050">
        <f>ATAN(A496/Pole2)</f>
        <v/>
      </c>
      <c r="K496" s="1056">
        <f>SQRT(1+(A496/Zero2)^2)</f>
        <v/>
      </c>
      <c r="L496" s="1057">
        <f>ATAN(A496/Zero2)</f>
        <v/>
      </c>
      <c r="M496" s="1047">
        <f>SQRT(1+(A496/pole4)^2)</f>
        <v/>
      </c>
      <c r="N496" s="1057">
        <f>ATAN(A496/pole4)</f>
        <v/>
      </c>
      <c r="O496" s="1058">
        <f>IF(VOUT_setting=1,1,SQRT(1+(A496*zterm1)^2))</f>
        <v/>
      </c>
      <c r="P496" s="1059">
        <f>IF(VOUT_setting=1,0,ATAN(((A496*zterm1))))</f>
        <v/>
      </c>
      <c r="Q496" s="1056">
        <f>IF(VOUT_setting=1,1,SQRT((1+Afbr-$Q$5*(A496)^2)^2+(A496*$Q$4)^2))</f>
        <v/>
      </c>
      <c r="R496" s="1060">
        <f>IF(VOUT_setting=1,0,ATAN(A496*$Q$4/(1+Afbr-$Q$5*(A496)^2)))</f>
        <v/>
      </c>
      <c r="S496" s="1054">
        <f>SQRT((1-(Z496/pterm2))^2+(A496/pterm1)^2)</f>
        <v/>
      </c>
      <c r="T496" s="1055">
        <f>IF((ATAN((A496/pterm1)/(1-A496^2/pterm2))&gt;0),ATAN((A496/pterm1)/(1-A496^2/pterm2)),PI()+ATAN((A496/pterm1)/(1-A496^2/pterm2)))</f>
        <v/>
      </c>
      <c r="U496" s="331">
        <f>20*LOG10(((E496*K496*G496*O496)/(C496*I496*S496*M496*Q496))*Adc)</f>
        <v/>
      </c>
      <c r="V496" s="332">
        <f>((F496+L496+H496+P496)-(D496+J496+T496+N496+R496))*radconv</f>
        <v/>
      </c>
      <c r="W496" s="334">
        <f>IF(V496&gt;0,V496,V496+180)</f>
        <v/>
      </c>
      <c r="Y496" s="307">
        <f>IF(U496&lt;0,A496,1000000000)</f>
        <v/>
      </c>
      <c r="Z496" s="307">
        <f>A496^2</f>
        <v/>
      </c>
      <c r="AB496" s="333">
        <f>20*LOG10((K496/(I496*M496))*AEA)</f>
        <v/>
      </c>
      <c r="AC496" s="334">
        <f>(L496-(J496+N496))*radconv</f>
        <v/>
      </c>
      <c r="AE496" s="333">
        <f>20*LOG10((E496*G496/(C496*S496))*Acs*Am)</f>
        <v/>
      </c>
      <c r="AF496" s="334">
        <f>(F496+H496-(D496+T496))*radconv</f>
        <v/>
      </c>
      <c r="AH496">
        <f>SUM((U497&lt;0)*(U496&gt;0))*A496</f>
        <v/>
      </c>
      <c r="AI496">
        <f>IF(AH496&gt;0,W496,0)</f>
        <v/>
      </c>
    </row>
    <row r="497">
      <c r="A497" s="335" t="n">
        <v>63096</v>
      </c>
      <c r="B497" s="352">
        <f>A497/1000</f>
        <v/>
      </c>
      <c r="C497" s="1047">
        <f>SQRT(1+(A497/pole1)^2)</f>
        <v/>
      </c>
      <c r="D497" s="1048">
        <f>ATAN(A497/pole1)</f>
        <v/>
      </c>
      <c r="E497" s="1048">
        <f>SQRT(1+(A497/Zero1)^2)</f>
        <v/>
      </c>
      <c r="F497" s="1049">
        <f>ATAN(A497/Zero1)</f>
        <v/>
      </c>
      <c r="G497" s="1048">
        <f>IF(VIN_nom&gt;Vout, 1, SQRT(1+(A497/z_RHP)^2))</f>
        <v/>
      </c>
      <c r="H497" s="1049">
        <f>IF(VIN_nom&gt;Vout, 0, -ATAN(A497/z_RHP))</f>
        <v/>
      </c>
      <c r="I497" s="1047">
        <f>SQRT(1+(A497/Pole2)^2)</f>
        <v/>
      </c>
      <c r="J497" s="1050">
        <f>ATAN(A497/Pole2)</f>
        <v/>
      </c>
      <c r="K497" s="1056">
        <f>SQRT(1+(A497/Zero2)^2)</f>
        <v/>
      </c>
      <c r="L497" s="1057">
        <f>ATAN(A497/Zero2)</f>
        <v/>
      </c>
      <c r="M497" s="1047">
        <f>SQRT(1+(A497/pole4)^2)</f>
        <v/>
      </c>
      <c r="N497" s="1057">
        <f>ATAN(A497/pole4)</f>
        <v/>
      </c>
      <c r="O497" s="1058">
        <f>IF(VOUT_setting=1,1,SQRT(1+(A497*zterm1)^2))</f>
        <v/>
      </c>
      <c r="P497" s="1059">
        <f>IF(VOUT_setting=1,0,ATAN(((A497*zterm1))))</f>
        <v/>
      </c>
      <c r="Q497" s="1056">
        <f>IF(VOUT_setting=1,1,SQRT((1+Afbr-$Q$5*(A497)^2)^2+(A497*$Q$4)^2))</f>
        <v/>
      </c>
      <c r="R497" s="1060">
        <f>IF(VOUT_setting=1,0,ATAN(A497*$Q$4/(1+Afbr-$Q$5*(A497)^2)))</f>
        <v/>
      </c>
      <c r="S497" s="1054">
        <f>SQRT((1-(Z497/pterm2))^2+(A497/pterm1)^2)</f>
        <v/>
      </c>
      <c r="T497" s="1055">
        <f>IF((ATAN((A497/pterm1)/(1-A497^2/pterm2))&gt;0),ATAN((A497/pterm1)/(1-A497^2/pterm2)),PI()+ATAN((A497/pterm1)/(1-A497^2/pterm2)))</f>
        <v/>
      </c>
      <c r="U497" s="331">
        <f>20*LOG10(((E497*K497*G497*O497)/(C497*I497*S497*M497*Q497))*Adc)</f>
        <v/>
      </c>
      <c r="V497" s="332">
        <f>((F497+L497+H497+P497)-(D497+J497+T497+N497+R497))*radconv</f>
        <v/>
      </c>
      <c r="W497" s="334">
        <f>IF(V497&gt;0,V497,V497+180)</f>
        <v/>
      </c>
      <c r="Y497" s="307">
        <f>IF(U497&lt;0,A497,1000000000)</f>
        <v/>
      </c>
      <c r="Z497" s="307">
        <f>A497^2</f>
        <v/>
      </c>
      <c r="AB497" s="333">
        <f>20*LOG10((K497/(I497*M497))*AEA)</f>
        <v/>
      </c>
      <c r="AC497" s="334">
        <f>(L497-(J497+N497))*radconv</f>
        <v/>
      </c>
      <c r="AE497" s="333">
        <f>20*LOG10((E497*G497/(C497*S497))*Acs*Am)</f>
        <v/>
      </c>
      <c r="AF497" s="334">
        <f>(F497+H497-(D497+T497))*radconv</f>
        <v/>
      </c>
      <c r="AH497">
        <f>SUM((U498&lt;0)*(U497&gt;0))*A497</f>
        <v/>
      </c>
      <c r="AI497">
        <f>IF(AH497&gt;0,W497,0)</f>
        <v/>
      </c>
    </row>
    <row r="498">
      <c r="A498" s="335" t="n">
        <v>63463.25</v>
      </c>
      <c r="B498" s="352">
        <f>A498/1000</f>
        <v/>
      </c>
      <c r="C498" s="1047">
        <f>SQRT(1+(A498/pole1)^2)</f>
        <v/>
      </c>
      <c r="D498" s="1048">
        <f>ATAN(A498/pole1)</f>
        <v/>
      </c>
      <c r="E498" s="1048">
        <f>SQRT(1+(A498/Zero1)^2)</f>
        <v/>
      </c>
      <c r="F498" s="1049">
        <f>ATAN(A498/Zero1)</f>
        <v/>
      </c>
      <c r="G498" s="1048">
        <f>IF(VIN_nom&gt;Vout, 1, SQRT(1+(A498/z_RHP)^2))</f>
        <v/>
      </c>
      <c r="H498" s="1049">
        <f>IF(VIN_nom&gt;Vout, 0, -ATAN(A498/z_RHP))</f>
        <v/>
      </c>
      <c r="I498" s="1047">
        <f>SQRT(1+(A498/Pole2)^2)</f>
        <v/>
      </c>
      <c r="J498" s="1050">
        <f>ATAN(A498/Pole2)</f>
        <v/>
      </c>
      <c r="K498" s="1056">
        <f>SQRT(1+(A498/Zero2)^2)</f>
        <v/>
      </c>
      <c r="L498" s="1057">
        <f>ATAN(A498/Zero2)</f>
        <v/>
      </c>
      <c r="M498" s="1047">
        <f>SQRT(1+(A498/pole4)^2)</f>
        <v/>
      </c>
      <c r="N498" s="1057">
        <f>ATAN(A498/pole4)</f>
        <v/>
      </c>
      <c r="O498" s="1058">
        <f>IF(VOUT_setting=1,1,SQRT(1+(A498*zterm1)^2))</f>
        <v/>
      </c>
      <c r="P498" s="1059">
        <f>IF(VOUT_setting=1,0,ATAN(((A498*zterm1))))</f>
        <v/>
      </c>
      <c r="Q498" s="1056">
        <f>IF(VOUT_setting=1,1,SQRT((1+Afbr-$Q$5*(A498)^2)^2+(A498*$Q$4)^2))</f>
        <v/>
      </c>
      <c r="R498" s="1060">
        <f>IF(VOUT_setting=1,0,ATAN(A498*$Q$4/(1+Afbr-$Q$5*(A498)^2)))</f>
        <v/>
      </c>
      <c r="S498" s="1054">
        <f>SQRT((1-(Z498/pterm2))^2+(A498/pterm1)^2)</f>
        <v/>
      </c>
      <c r="T498" s="1055">
        <f>IF((ATAN((A498/pterm1)/(1-A498^2/pterm2))&gt;0),ATAN((A498/pterm1)/(1-A498^2/pterm2)),PI()+ATAN((A498/pterm1)/(1-A498^2/pterm2)))</f>
        <v/>
      </c>
      <c r="U498" s="331">
        <f>20*LOG10(((E498*K498*G498*O498)/(C498*I498*S498*M498*Q498))*Adc)</f>
        <v/>
      </c>
      <c r="V498" s="332">
        <f>((F498+L498+H498+P498)-(D498+J498+T498+N498+R498))*radconv</f>
        <v/>
      </c>
      <c r="W498" s="334">
        <f>IF(V498&gt;0,V498,V498+180)</f>
        <v/>
      </c>
      <c r="Y498" s="307">
        <f>IF(U498&lt;0,A498,1000000000)</f>
        <v/>
      </c>
      <c r="Z498" s="307">
        <f>A498^2</f>
        <v/>
      </c>
      <c r="AB498" s="333">
        <f>20*LOG10((K498/(I498*M498))*AEA)</f>
        <v/>
      </c>
      <c r="AC498" s="334">
        <f>(L498-(J498+N498))*radconv</f>
        <v/>
      </c>
      <c r="AE498" s="333">
        <f>20*LOG10((E498*G498/(C498*S498))*Acs*Am)</f>
        <v/>
      </c>
      <c r="AF498" s="334">
        <f>(F498+H498-(D498+T498))*radconv</f>
        <v/>
      </c>
      <c r="AH498">
        <f>SUM((U499&lt;0)*(U498&gt;0))*A498</f>
        <v/>
      </c>
      <c r="AI498">
        <f>IF(AH498&gt;0,W498,0)</f>
        <v/>
      </c>
    </row>
    <row r="499">
      <c r="A499" s="335" t="n">
        <v>63830.5</v>
      </c>
      <c r="B499" s="352">
        <f>A499/1000</f>
        <v/>
      </c>
      <c r="C499" s="1047">
        <f>SQRT(1+(A499/pole1)^2)</f>
        <v/>
      </c>
      <c r="D499" s="1048">
        <f>ATAN(A499/pole1)</f>
        <v/>
      </c>
      <c r="E499" s="1048">
        <f>SQRT(1+(A499/Zero1)^2)</f>
        <v/>
      </c>
      <c r="F499" s="1049">
        <f>ATAN(A499/Zero1)</f>
        <v/>
      </c>
      <c r="G499" s="1048">
        <f>IF(VIN_nom&gt;Vout, 1, SQRT(1+(A499/z_RHP)^2))</f>
        <v/>
      </c>
      <c r="H499" s="1049">
        <f>IF(VIN_nom&gt;Vout, 0, -ATAN(A499/z_RHP))</f>
        <v/>
      </c>
      <c r="I499" s="1047">
        <f>SQRT(1+(A499/Pole2)^2)</f>
        <v/>
      </c>
      <c r="J499" s="1050">
        <f>ATAN(A499/Pole2)</f>
        <v/>
      </c>
      <c r="K499" s="1056">
        <f>SQRT(1+(A499/Zero2)^2)</f>
        <v/>
      </c>
      <c r="L499" s="1057">
        <f>ATAN(A499/Zero2)</f>
        <v/>
      </c>
      <c r="M499" s="1047">
        <f>SQRT(1+(A499/pole4)^2)</f>
        <v/>
      </c>
      <c r="N499" s="1057">
        <f>ATAN(A499/pole4)</f>
        <v/>
      </c>
      <c r="O499" s="1058">
        <f>IF(VOUT_setting=1,1,SQRT(1+(A499*zterm1)^2))</f>
        <v/>
      </c>
      <c r="P499" s="1059">
        <f>IF(VOUT_setting=1,0,ATAN(((A499*zterm1))))</f>
        <v/>
      </c>
      <c r="Q499" s="1056">
        <f>IF(VOUT_setting=1,1,SQRT((1+Afbr-$Q$5*(A499)^2)^2+(A499*$Q$4)^2))</f>
        <v/>
      </c>
      <c r="R499" s="1060">
        <f>IF(VOUT_setting=1,0,ATAN(A499*$Q$4/(1+Afbr-$Q$5*(A499)^2)))</f>
        <v/>
      </c>
      <c r="S499" s="1054">
        <f>SQRT((1-(Z499/pterm2))^2+(A499/pterm1)^2)</f>
        <v/>
      </c>
      <c r="T499" s="1055">
        <f>IF((ATAN((A499/pterm1)/(1-A499^2/pterm2))&gt;0),ATAN((A499/pterm1)/(1-A499^2/pterm2)),PI()+ATAN((A499/pterm1)/(1-A499^2/pterm2)))</f>
        <v/>
      </c>
      <c r="U499" s="331">
        <f>20*LOG10(((E499*K499*G499*O499)/(C499*I499*S499*M499*Q499))*Adc)</f>
        <v/>
      </c>
      <c r="V499" s="332">
        <f>((F499+L499+H499+P499)-(D499+J499+T499+N499+R499))*radconv</f>
        <v/>
      </c>
      <c r="W499" s="334">
        <f>IF(V499&gt;0,V499,V499+180)</f>
        <v/>
      </c>
      <c r="Y499" s="307">
        <f>IF(U499&lt;0,A499,1000000000)</f>
        <v/>
      </c>
      <c r="Z499" s="307">
        <f>A499^2</f>
        <v/>
      </c>
      <c r="AB499" s="333">
        <f>20*LOG10((K499/(I499*M499))*AEA)</f>
        <v/>
      </c>
      <c r="AC499" s="334">
        <f>(L499-(J499+N499))*radconv</f>
        <v/>
      </c>
      <c r="AE499" s="333">
        <f>20*LOG10((E499*G499/(C499*S499))*Acs*Am)</f>
        <v/>
      </c>
      <c r="AF499" s="334">
        <f>(F499+H499-(D499+T499))*radconv</f>
        <v/>
      </c>
      <c r="AH499">
        <f>SUM((U500&lt;0)*(U499&gt;0))*A499</f>
        <v/>
      </c>
      <c r="AI499">
        <f>IF(AH499&gt;0,W499,0)</f>
        <v/>
      </c>
    </row>
    <row r="500">
      <c r="A500" s="335" t="n">
        <v>64197.75</v>
      </c>
      <c r="B500" s="352">
        <f>A500/1000</f>
        <v/>
      </c>
      <c r="C500" s="1047">
        <f>SQRT(1+(A500/pole1)^2)</f>
        <v/>
      </c>
      <c r="D500" s="1048">
        <f>ATAN(A500/pole1)</f>
        <v/>
      </c>
      <c r="E500" s="1048">
        <f>SQRT(1+(A500/Zero1)^2)</f>
        <v/>
      </c>
      <c r="F500" s="1049">
        <f>ATAN(A500/Zero1)</f>
        <v/>
      </c>
      <c r="G500" s="1048">
        <f>IF(VIN_nom&gt;Vout, 1, SQRT(1+(A500/z_RHP)^2))</f>
        <v/>
      </c>
      <c r="H500" s="1049">
        <f>IF(VIN_nom&gt;Vout, 0, -ATAN(A500/z_RHP))</f>
        <v/>
      </c>
      <c r="I500" s="1047">
        <f>SQRT(1+(A500/Pole2)^2)</f>
        <v/>
      </c>
      <c r="J500" s="1050">
        <f>ATAN(A500/Pole2)</f>
        <v/>
      </c>
      <c r="K500" s="1056">
        <f>SQRT(1+(A500/Zero2)^2)</f>
        <v/>
      </c>
      <c r="L500" s="1057">
        <f>ATAN(A500/Zero2)</f>
        <v/>
      </c>
      <c r="M500" s="1047">
        <f>SQRT(1+(A500/pole4)^2)</f>
        <v/>
      </c>
      <c r="N500" s="1057">
        <f>ATAN(A500/pole4)</f>
        <v/>
      </c>
      <c r="O500" s="1058">
        <f>IF(VOUT_setting=1,1,SQRT(1+(A500*zterm1)^2))</f>
        <v/>
      </c>
      <c r="P500" s="1059">
        <f>IF(VOUT_setting=1,0,ATAN(((A500*zterm1))))</f>
        <v/>
      </c>
      <c r="Q500" s="1056">
        <f>IF(VOUT_setting=1,1,SQRT((1+Afbr-$Q$5*(A500)^2)^2+(A500*$Q$4)^2))</f>
        <v/>
      </c>
      <c r="R500" s="1060">
        <f>IF(VOUT_setting=1,0,ATAN(A500*$Q$4/(1+Afbr-$Q$5*(A500)^2)))</f>
        <v/>
      </c>
      <c r="S500" s="1054">
        <f>SQRT((1-(Z500/pterm2))^2+(A500/pterm1)^2)</f>
        <v/>
      </c>
      <c r="T500" s="1055">
        <f>IF((ATAN((A500/pterm1)/(1-A500^2/pterm2))&gt;0),ATAN((A500/pterm1)/(1-A500^2/pterm2)),PI()+ATAN((A500/pterm1)/(1-A500^2/pterm2)))</f>
        <v/>
      </c>
      <c r="U500" s="331">
        <f>20*LOG10(((E500*K500*G500*O500)/(C500*I500*S500*M500*Q500))*Adc)</f>
        <v/>
      </c>
      <c r="V500" s="332">
        <f>((F500+L500+H500+P500)-(D500+J500+T500+N500+R500))*radconv</f>
        <v/>
      </c>
      <c r="W500" s="334">
        <f>IF(V500&gt;0,V500,V500+180)</f>
        <v/>
      </c>
      <c r="Y500" s="307">
        <f>IF(U500&lt;0,A500,1000000000)</f>
        <v/>
      </c>
      <c r="Z500" s="307">
        <f>A500^2</f>
        <v/>
      </c>
      <c r="AB500" s="333">
        <f>20*LOG10((K500/(I500*M500))*AEA)</f>
        <v/>
      </c>
      <c r="AC500" s="334">
        <f>(L500-(J500+N500))*radconv</f>
        <v/>
      </c>
      <c r="AE500" s="333">
        <f>20*LOG10((E500*G500/(C500*S500))*Acs*Am)</f>
        <v/>
      </c>
      <c r="AF500" s="334">
        <f>(F500+H500-(D500+T500))*radconv</f>
        <v/>
      </c>
      <c r="AH500">
        <f>SUM((U501&lt;0)*(U500&gt;0))*A500</f>
        <v/>
      </c>
      <c r="AI500">
        <f>IF(AH500&gt;0,W500,0)</f>
        <v/>
      </c>
    </row>
    <row r="501">
      <c r="A501" s="335" t="n">
        <v>64565</v>
      </c>
      <c r="B501" s="352">
        <f>A501/1000</f>
        <v/>
      </c>
      <c r="C501" s="1047">
        <f>SQRT(1+(A501/pole1)^2)</f>
        <v/>
      </c>
      <c r="D501" s="1048">
        <f>ATAN(A501/pole1)</f>
        <v/>
      </c>
      <c r="E501" s="1048">
        <f>SQRT(1+(A501/Zero1)^2)</f>
        <v/>
      </c>
      <c r="F501" s="1049">
        <f>ATAN(A501/Zero1)</f>
        <v/>
      </c>
      <c r="G501" s="1048">
        <f>IF(VIN_nom&gt;Vout, 1, SQRT(1+(A501/z_RHP)^2))</f>
        <v/>
      </c>
      <c r="H501" s="1049">
        <f>IF(VIN_nom&gt;Vout, 0, -ATAN(A501/z_RHP))</f>
        <v/>
      </c>
      <c r="I501" s="1047">
        <f>SQRT(1+(A501/Pole2)^2)</f>
        <v/>
      </c>
      <c r="J501" s="1050">
        <f>ATAN(A501/Pole2)</f>
        <v/>
      </c>
      <c r="K501" s="1056">
        <f>SQRT(1+(A501/Zero2)^2)</f>
        <v/>
      </c>
      <c r="L501" s="1057">
        <f>ATAN(A501/Zero2)</f>
        <v/>
      </c>
      <c r="M501" s="1047">
        <f>SQRT(1+(A501/pole4)^2)</f>
        <v/>
      </c>
      <c r="N501" s="1057">
        <f>ATAN(A501/pole4)</f>
        <v/>
      </c>
      <c r="O501" s="1058">
        <f>IF(VOUT_setting=1,1,SQRT(1+(A501*zterm1)^2))</f>
        <v/>
      </c>
      <c r="P501" s="1059">
        <f>IF(VOUT_setting=1,0,ATAN(((A501*zterm1))))</f>
        <v/>
      </c>
      <c r="Q501" s="1056">
        <f>IF(VOUT_setting=1,1,SQRT((1+Afbr-$Q$5*(A501)^2)^2+(A501*$Q$4)^2))</f>
        <v/>
      </c>
      <c r="R501" s="1060">
        <f>IF(VOUT_setting=1,0,ATAN(A501*$Q$4/(1+Afbr-$Q$5*(A501)^2)))</f>
        <v/>
      </c>
      <c r="S501" s="1054">
        <f>SQRT((1-(Z501/pterm2))^2+(A501/pterm1)^2)</f>
        <v/>
      </c>
      <c r="T501" s="1055">
        <f>IF((ATAN((A501/pterm1)/(1-A501^2/pterm2))&gt;0),ATAN((A501/pterm1)/(1-A501^2/pterm2)),PI()+ATAN((A501/pterm1)/(1-A501^2/pterm2)))</f>
        <v/>
      </c>
      <c r="U501" s="331">
        <f>20*LOG10(((E501*K501*G501*O501)/(C501*I501*S501*M501*Q501))*Adc)</f>
        <v/>
      </c>
      <c r="V501" s="332">
        <f>((F501+L501+H501+P501)-(D501+J501+T501+N501+R501))*radconv</f>
        <v/>
      </c>
      <c r="W501" s="334">
        <f>IF(V501&gt;0,V501,V501+180)</f>
        <v/>
      </c>
      <c r="Y501" s="307">
        <f>IF(U501&lt;0,A501,1000000000)</f>
        <v/>
      </c>
      <c r="Z501" s="307">
        <f>A501^2</f>
        <v/>
      </c>
      <c r="AB501" s="333">
        <f>20*LOG10((K501/(I501*M501))*AEA)</f>
        <v/>
      </c>
      <c r="AC501" s="334">
        <f>(L501-(J501+N501))*radconv</f>
        <v/>
      </c>
      <c r="AE501" s="333">
        <f>20*LOG10((E501*G501/(C501*S501))*Acs*Am)</f>
        <v/>
      </c>
      <c r="AF501" s="334">
        <f>(F501+H501-(D501+T501))*radconv</f>
        <v/>
      </c>
      <c r="AH501">
        <f>SUM((U502&lt;0)*(U501&gt;0))*A501</f>
        <v/>
      </c>
      <c r="AI501">
        <f>IF(AH501&gt;0,W501,0)</f>
        <v/>
      </c>
    </row>
    <row r="502">
      <c r="A502" s="335" t="n">
        <v>64941</v>
      </c>
      <c r="B502" s="352">
        <f>A502/1000</f>
        <v/>
      </c>
      <c r="C502" s="1047">
        <f>SQRT(1+(A502/pole1)^2)</f>
        <v/>
      </c>
      <c r="D502" s="1048">
        <f>ATAN(A502/pole1)</f>
        <v/>
      </c>
      <c r="E502" s="1048">
        <f>SQRT(1+(A502/Zero1)^2)</f>
        <v/>
      </c>
      <c r="F502" s="1049">
        <f>ATAN(A502/Zero1)</f>
        <v/>
      </c>
      <c r="G502" s="1048">
        <f>IF(VIN_nom&gt;Vout, 1, SQRT(1+(A502/z_RHP)^2))</f>
        <v/>
      </c>
      <c r="H502" s="1049">
        <f>IF(VIN_nom&gt;Vout, 0, -ATAN(A502/z_RHP))</f>
        <v/>
      </c>
      <c r="I502" s="1047">
        <f>SQRT(1+(A502/Pole2)^2)</f>
        <v/>
      </c>
      <c r="J502" s="1050">
        <f>ATAN(A502/Pole2)</f>
        <v/>
      </c>
      <c r="K502" s="1056">
        <f>SQRT(1+(A502/Zero2)^2)</f>
        <v/>
      </c>
      <c r="L502" s="1057">
        <f>ATAN(A502/Zero2)</f>
        <v/>
      </c>
      <c r="M502" s="1047">
        <f>SQRT(1+(A502/pole4)^2)</f>
        <v/>
      </c>
      <c r="N502" s="1057">
        <f>ATAN(A502/pole4)</f>
        <v/>
      </c>
      <c r="O502" s="1058">
        <f>IF(VOUT_setting=1,1,SQRT(1+(A502*zterm1)^2))</f>
        <v/>
      </c>
      <c r="P502" s="1059">
        <f>IF(VOUT_setting=1,0,ATAN(((A502*zterm1))))</f>
        <v/>
      </c>
      <c r="Q502" s="1056">
        <f>IF(VOUT_setting=1,1,SQRT((1+Afbr-$Q$5*(A502)^2)^2+(A502*$Q$4)^2))</f>
        <v/>
      </c>
      <c r="R502" s="1060">
        <f>IF(VOUT_setting=1,0,ATAN(A502*$Q$4/(1+Afbr-$Q$5*(A502)^2)))</f>
        <v/>
      </c>
      <c r="S502" s="1054">
        <f>SQRT((1-(Z502/pterm2))^2+(A502/pterm1)^2)</f>
        <v/>
      </c>
      <c r="T502" s="1055">
        <f>IF((ATAN((A502/pterm1)/(1-A502^2/pterm2))&gt;0),ATAN((A502/pterm1)/(1-A502^2/pterm2)),PI()+ATAN((A502/pterm1)/(1-A502^2/pterm2)))</f>
        <v/>
      </c>
      <c r="U502" s="331">
        <f>20*LOG10(((E502*K502*G502*O502)/(C502*I502*S502*M502*Q502))*Adc)</f>
        <v/>
      </c>
      <c r="V502" s="332">
        <f>((F502+L502+H502+P502)-(D502+J502+T502+N502+R502))*radconv</f>
        <v/>
      </c>
      <c r="W502" s="334">
        <f>IF(V502&gt;0,V502,V502+180)</f>
        <v/>
      </c>
      <c r="Y502" s="307">
        <f>IF(U502&lt;0,A502,1000000000)</f>
        <v/>
      </c>
      <c r="Z502" s="307">
        <f>A502^2</f>
        <v/>
      </c>
      <c r="AB502" s="333">
        <f>20*LOG10((K502/(I502*M502))*AEA)</f>
        <v/>
      </c>
      <c r="AC502" s="334">
        <f>(L502-(J502+N502))*radconv</f>
        <v/>
      </c>
      <c r="AE502" s="333">
        <f>20*LOG10((E502*G502/(C502*S502))*Acs*Am)</f>
        <v/>
      </c>
      <c r="AF502" s="334">
        <f>(F502+H502-(D502+T502))*radconv</f>
        <v/>
      </c>
      <c r="AH502">
        <f>SUM((U503&lt;0)*(U502&gt;0))*A502</f>
        <v/>
      </c>
      <c r="AI502">
        <f>IF(AH502&gt;0,W502,0)</f>
        <v/>
      </c>
    </row>
    <row r="503">
      <c r="A503" s="335" t="n">
        <v>65317</v>
      </c>
      <c r="B503" s="352">
        <f>A503/1000</f>
        <v/>
      </c>
      <c r="C503" s="1047">
        <f>SQRT(1+(A503/pole1)^2)</f>
        <v/>
      </c>
      <c r="D503" s="1048">
        <f>ATAN(A503/pole1)</f>
        <v/>
      </c>
      <c r="E503" s="1048">
        <f>SQRT(1+(A503/Zero1)^2)</f>
        <v/>
      </c>
      <c r="F503" s="1049">
        <f>ATAN(A503/Zero1)</f>
        <v/>
      </c>
      <c r="G503" s="1048">
        <f>IF(VIN_nom&gt;Vout, 1, SQRT(1+(A503/z_RHP)^2))</f>
        <v/>
      </c>
      <c r="H503" s="1049">
        <f>IF(VIN_nom&gt;Vout, 0, -ATAN(A503/z_RHP))</f>
        <v/>
      </c>
      <c r="I503" s="1047">
        <f>SQRT(1+(A503/Pole2)^2)</f>
        <v/>
      </c>
      <c r="J503" s="1050">
        <f>ATAN(A503/Pole2)</f>
        <v/>
      </c>
      <c r="K503" s="1056">
        <f>SQRT(1+(A503/Zero2)^2)</f>
        <v/>
      </c>
      <c r="L503" s="1057">
        <f>ATAN(A503/Zero2)</f>
        <v/>
      </c>
      <c r="M503" s="1047">
        <f>SQRT(1+(A503/pole4)^2)</f>
        <v/>
      </c>
      <c r="N503" s="1057">
        <f>ATAN(A503/pole4)</f>
        <v/>
      </c>
      <c r="O503" s="1058">
        <f>IF(VOUT_setting=1,1,SQRT(1+(A503*zterm1)^2))</f>
        <v/>
      </c>
      <c r="P503" s="1059">
        <f>IF(VOUT_setting=1,0,ATAN(((A503*zterm1))))</f>
        <v/>
      </c>
      <c r="Q503" s="1056">
        <f>IF(VOUT_setting=1,1,SQRT((1+Afbr-$Q$5*(A503)^2)^2+(A503*$Q$4)^2))</f>
        <v/>
      </c>
      <c r="R503" s="1060">
        <f>IF(VOUT_setting=1,0,ATAN(A503*$Q$4/(1+Afbr-$Q$5*(A503)^2)))</f>
        <v/>
      </c>
      <c r="S503" s="1054">
        <f>SQRT((1-(Z503/pterm2))^2+(A503/pterm1)^2)</f>
        <v/>
      </c>
      <c r="T503" s="1055">
        <f>IF((ATAN((A503/pterm1)/(1-A503^2/pterm2))&gt;0),ATAN((A503/pterm1)/(1-A503^2/pterm2)),PI()+ATAN((A503/pterm1)/(1-A503^2/pterm2)))</f>
        <v/>
      </c>
      <c r="U503" s="331">
        <f>20*LOG10(((E503*K503*G503*O503)/(C503*I503*S503*M503*Q503))*Adc)</f>
        <v/>
      </c>
      <c r="V503" s="332">
        <f>((F503+L503+H503+P503)-(D503+J503+T503+N503+R503))*radconv</f>
        <v/>
      </c>
      <c r="W503" s="334">
        <f>IF(V503&gt;0,V503,V503+180)</f>
        <v/>
      </c>
      <c r="Y503" s="307">
        <f>IF(U503&lt;0,A503,1000000000)</f>
        <v/>
      </c>
      <c r="Z503" s="307">
        <f>A503^2</f>
        <v/>
      </c>
      <c r="AB503" s="333">
        <f>20*LOG10((K503/(I503*M503))*AEA)</f>
        <v/>
      </c>
      <c r="AC503" s="334">
        <f>(L503-(J503+N503))*radconv</f>
        <v/>
      </c>
      <c r="AE503" s="333">
        <f>20*LOG10((E503*G503/(C503*S503))*Acs*Am)</f>
        <v/>
      </c>
      <c r="AF503" s="334">
        <f>(F503+H503-(D503+T503))*radconv</f>
        <v/>
      </c>
      <c r="AH503">
        <f>SUM((U504&lt;0)*(U503&gt;0))*A503</f>
        <v/>
      </c>
      <c r="AI503">
        <f>IF(AH503&gt;0,W503,0)</f>
        <v/>
      </c>
    </row>
    <row r="504">
      <c r="A504" s="335" t="n">
        <v>65693</v>
      </c>
      <c r="B504" s="352">
        <f>A504/1000</f>
        <v/>
      </c>
      <c r="C504" s="1047">
        <f>SQRT(1+(A504/pole1)^2)</f>
        <v/>
      </c>
      <c r="D504" s="1048">
        <f>ATAN(A504/pole1)</f>
        <v/>
      </c>
      <c r="E504" s="1048">
        <f>SQRT(1+(A504/Zero1)^2)</f>
        <v/>
      </c>
      <c r="F504" s="1049">
        <f>ATAN(A504/Zero1)</f>
        <v/>
      </c>
      <c r="G504" s="1048">
        <f>IF(VIN_nom&gt;Vout, 1, SQRT(1+(A504/z_RHP)^2))</f>
        <v/>
      </c>
      <c r="H504" s="1049">
        <f>IF(VIN_nom&gt;Vout, 0, -ATAN(A504/z_RHP))</f>
        <v/>
      </c>
      <c r="I504" s="1047">
        <f>SQRT(1+(A504/Pole2)^2)</f>
        <v/>
      </c>
      <c r="J504" s="1050">
        <f>ATAN(A504/Pole2)</f>
        <v/>
      </c>
      <c r="K504" s="1056">
        <f>SQRT(1+(A504/Zero2)^2)</f>
        <v/>
      </c>
      <c r="L504" s="1057">
        <f>ATAN(A504/Zero2)</f>
        <v/>
      </c>
      <c r="M504" s="1047">
        <f>SQRT(1+(A504/pole4)^2)</f>
        <v/>
      </c>
      <c r="N504" s="1057">
        <f>ATAN(A504/pole4)</f>
        <v/>
      </c>
      <c r="O504" s="1058">
        <f>IF(VOUT_setting=1,1,SQRT(1+(A504*zterm1)^2))</f>
        <v/>
      </c>
      <c r="P504" s="1059">
        <f>IF(VOUT_setting=1,0,ATAN(((A504*zterm1))))</f>
        <v/>
      </c>
      <c r="Q504" s="1056">
        <f>IF(VOUT_setting=1,1,SQRT((1+Afbr-$Q$5*(A504)^2)^2+(A504*$Q$4)^2))</f>
        <v/>
      </c>
      <c r="R504" s="1060">
        <f>IF(VOUT_setting=1,0,ATAN(A504*$Q$4/(1+Afbr-$Q$5*(A504)^2)))</f>
        <v/>
      </c>
      <c r="S504" s="1054">
        <f>SQRT((1-(Z504/pterm2))^2+(A504/pterm1)^2)</f>
        <v/>
      </c>
      <c r="T504" s="1055">
        <f>IF((ATAN((A504/pterm1)/(1-A504^2/pterm2))&gt;0),ATAN((A504/pterm1)/(1-A504^2/pterm2)),PI()+ATAN((A504/pterm1)/(1-A504^2/pterm2)))</f>
        <v/>
      </c>
      <c r="U504" s="331">
        <f>20*LOG10(((E504*K504*G504*O504)/(C504*I504*S504*M504*Q504))*Adc)</f>
        <v/>
      </c>
      <c r="V504" s="332">
        <f>((F504+L504+H504+P504)-(D504+J504+T504+N504+R504))*radconv</f>
        <v/>
      </c>
      <c r="W504" s="334">
        <f>IF(V504&gt;0,V504,V504+180)</f>
        <v/>
      </c>
      <c r="Y504" s="307">
        <f>IF(U504&lt;0,A504,1000000000)</f>
        <v/>
      </c>
      <c r="Z504" s="307">
        <f>A504^2</f>
        <v/>
      </c>
      <c r="AB504" s="333">
        <f>20*LOG10((K504/(I504*M504))*AEA)</f>
        <v/>
      </c>
      <c r="AC504" s="334">
        <f>(L504-(J504+N504))*radconv</f>
        <v/>
      </c>
      <c r="AE504" s="333">
        <f>20*LOG10((E504*G504/(C504*S504))*Acs*Am)</f>
        <v/>
      </c>
      <c r="AF504" s="334">
        <f>(F504+H504-(D504+T504))*radconv</f>
        <v/>
      </c>
      <c r="AH504">
        <f>SUM((U505&lt;0)*(U504&gt;0))*A504</f>
        <v/>
      </c>
      <c r="AI504">
        <f>IF(AH504&gt;0,W504,0)</f>
        <v/>
      </c>
    </row>
    <row r="505">
      <c r="A505" s="335" t="n">
        <v>66069</v>
      </c>
      <c r="B505" s="352">
        <f>A505/1000</f>
        <v/>
      </c>
      <c r="C505" s="1047">
        <f>SQRT(1+(A505/pole1)^2)</f>
        <v/>
      </c>
      <c r="D505" s="1048">
        <f>ATAN(A505/pole1)</f>
        <v/>
      </c>
      <c r="E505" s="1048">
        <f>SQRT(1+(A505/Zero1)^2)</f>
        <v/>
      </c>
      <c r="F505" s="1049">
        <f>ATAN(A505/Zero1)</f>
        <v/>
      </c>
      <c r="G505" s="1048">
        <f>IF(VIN_nom&gt;Vout, 1, SQRT(1+(A505/z_RHP)^2))</f>
        <v/>
      </c>
      <c r="H505" s="1049">
        <f>IF(VIN_nom&gt;Vout, 0, -ATAN(A505/z_RHP))</f>
        <v/>
      </c>
      <c r="I505" s="1047">
        <f>SQRT(1+(A505/Pole2)^2)</f>
        <v/>
      </c>
      <c r="J505" s="1050">
        <f>ATAN(A505/Pole2)</f>
        <v/>
      </c>
      <c r="K505" s="1056">
        <f>SQRT(1+(A505/Zero2)^2)</f>
        <v/>
      </c>
      <c r="L505" s="1057">
        <f>ATAN(A505/Zero2)</f>
        <v/>
      </c>
      <c r="M505" s="1047">
        <f>SQRT(1+(A505/pole4)^2)</f>
        <v/>
      </c>
      <c r="N505" s="1057">
        <f>ATAN(A505/pole4)</f>
        <v/>
      </c>
      <c r="O505" s="1058">
        <f>IF(VOUT_setting=1,1,SQRT(1+(A505*zterm1)^2))</f>
        <v/>
      </c>
      <c r="P505" s="1059">
        <f>IF(VOUT_setting=1,0,ATAN(((A505*zterm1))))</f>
        <v/>
      </c>
      <c r="Q505" s="1056">
        <f>IF(VOUT_setting=1,1,SQRT((1+Afbr-$Q$5*(A505)^2)^2+(A505*$Q$4)^2))</f>
        <v/>
      </c>
      <c r="R505" s="1060">
        <f>IF(VOUT_setting=1,0,ATAN(A505*$Q$4/(1+Afbr-$Q$5*(A505)^2)))</f>
        <v/>
      </c>
      <c r="S505" s="1054">
        <f>SQRT((1-(Z505/pterm2))^2+(A505/pterm1)^2)</f>
        <v/>
      </c>
      <c r="T505" s="1055">
        <f>IF((ATAN((A505/pterm1)/(1-A505^2/pterm2))&gt;0),ATAN((A505/pterm1)/(1-A505^2/pterm2)),PI()+ATAN((A505/pterm1)/(1-A505^2/pterm2)))</f>
        <v/>
      </c>
      <c r="U505" s="331">
        <f>20*LOG10(((E505*K505*G505*O505)/(C505*I505*S505*M505*Q505))*Adc)</f>
        <v/>
      </c>
      <c r="V505" s="332">
        <f>((F505+L505+H505+P505)-(D505+J505+T505+N505+R505))*radconv</f>
        <v/>
      </c>
      <c r="W505" s="334">
        <f>IF(V505&gt;0,V505,V505+180)</f>
        <v/>
      </c>
      <c r="Y505" s="307">
        <f>IF(U505&lt;0,A505,1000000000)</f>
        <v/>
      </c>
      <c r="Z505" s="307">
        <f>A505^2</f>
        <v/>
      </c>
      <c r="AB505" s="333">
        <f>20*LOG10((K505/(I505*M505))*AEA)</f>
        <v/>
      </c>
      <c r="AC505" s="334">
        <f>(L505-(J505+N505))*radconv</f>
        <v/>
      </c>
      <c r="AE505" s="333">
        <f>20*LOG10((E505*G505/(C505*S505))*Acs*Am)</f>
        <v/>
      </c>
      <c r="AF505" s="334">
        <f>(F505+H505-(D505+T505))*radconv</f>
        <v/>
      </c>
      <c r="AH505">
        <f>SUM((U506&lt;0)*(U505&gt;0))*A505</f>
        <v/>
      </c>
      <c r="AI505">
        <f>IF(AH505&gt;0,W505,0)</f>
        <v/>
      </c>
    </row>
    <row r="506">
      <c r="A506" s="335" t="n">
        <v>66453.75</v>
      </c>
      <c r="B506" s="352">
        <f>A506/1000</f>
        <v/>
      </c>
      <c r="C506" s="1047">
        <f>SQRT(1+(A506/pole1)^2)</f>
        <v/>
      </c>
      <c r="D506" s="1048">
        <f>ATAN(A506/pole1)</f>
        <v/>
      </c>
      <c r="E506" s="1048">
        <f>SQRT(1+(A506/Zero1)^2)</f>
        <v/>
      </c>
      <c r="F506" s="1049">
        <f>ATAN(A506/Zero1)</f>
        <v/>
      </c>
      <c r="G506" s="1048">
        <f>IF(VIN_nom&gt;Vout, 1, SQRT(1+(A506/z_RHP)^2))</f>
        <v/>
      </c>
      <c r="H506" s="1049">
        <f>IF(VIN_nom&gt;Vout, 0, -ATAN(A506/z_RHP))</f>
        <v/>
      </c>
      <c r="I506" s="1047">
        <f>SQRT(1+(A506/Pole2)^2)</f>
        <v/>
      </c>
      <c r="J506" s="1050">
        <f>ATAN(A506/Pole2)</f>
        <v/>
      </c>
      <c r="K506" s="1056">
        <f>SQRT(1+(A506/Zero2)^2)</f>
        <v/>
      </c>
      <c r="L506" s="1057">
        <f>ATAN(A506/Zero2)</f>
        <v/>
      </c>
      <c r="M506" s="1047">
        <f>SQRT(1+(A506/pole4)^2)</f>
        <v/>
      </c>
      <c r="N506" s="1057">
        <f>ATAN(A506/pole4)</f>
        <v/>
      </c>
      <c r="O506" s="1058">
        <f>IF(VOUT_setting=1,1,SQRT(1+(A506*zterm1)^2))</f>
        <v/>
      </c>
      <c r="P506" s="1059">
        <f>IF(VOUT_setting=1,0,ATAN(((A506*zterm1))))</f>
        <v/>
      </c>
      <c r="Q506" s="1056">
        <f>IF(VOUT_setting=1,1,SQRT((1+Afbr-$Q$5*(A506)^2)^2+(A506*$Q$4)^2))</f>
        <v/>
      </c>
      <c r="R506" s="1060">
        <f>IF(VOUT_setting=1,0,ATAN(A506*$Q$4/(1+Afbr-$Q$5*(A506)^2)))</f>
        <v/>
      </c>
      <c r="S506" s="1054">
        <f>SQRT((1-(Z506/pterm2))^2+(A506/pterm1)^2)</f>
        <v/>
      </c>
      <c r="T506" s="1055">
        <f>IF((ATAN((A506/pterm1)/(1-A506^2/pterm2))&gt;0),ATAN((A506/pterm1)/(1-A506^2/pterm2)),PI()+ATAN((A506/pterm1)/(1-A506^2/pterm2)))</f>
        <v/>
      </c>
      <c r="U506" s="331">
        <f>20*LOG10(((E506*K506*G506*O506)/(C506*I506*S506*M506*Q506))*Adc)</f>
        <v/>
      </c>
      <c r="V506" s="332">
        <f>((F506+L506+H506+P506)-(D506+J506+T506+N506+R506))*radconv</f>
        <v/>
      </c>
      <c r="W506" s="334">
        <f>IF(V506&gt;0,V506,V506+180)</f>
        <v/>
      </c>
      <c r="Y506" s="307">
        <f>IF(U506&lt;0,A506,1000000000)</f>
        <v/>
      </c>
      <c r="Z506" s="307">
        <f>A506^2</f>
        <v/>
      </c>
      <c r="AB506" s="333">
        <f>20*LOG10((K506/(I506*M506))*AEA)</f>
        <v/>
      </c>
      <c r="AC506" s="334">
        <f>(L506-(J506+N506))*radconv</f>
        <v/>
      </c>
      <c r="AE506" s="333">
        <f>20*LOG10((E506*G506/(C506*S506))*Acs*Am)</f>
        <v/>
      </c>
      <c r="AF506" s="334">
        <f>(F506+H506-(D506+T506))*radconv</f>
        <v/>
      </c>
      <c r="AH506">
        <f>SUM((U507&lt;0)*(U506&gt;0))*A506</f>
        <v/>
      </c>
      <c r="AI506">
        <f>IF(AH506&gt;0,W506,0)</f>
        <v/>
      </c>
    </row>
    <row r="507">
      <c r="A507" s="335" t="n">
        <v>66838.5</v>
      </c>
      <c r="B507" s="352">
        <f>A507/1000</f>
        <v/>
      </c>
      <c r="C507" s="1047">
        <f>SQRT(1+(A507/pole1)^2)</f>
        <v/>
      </c>
      <c r="D507" s="1048">
        <f>ATAN(A507/pole1)</f>
        <v/>
      </c>
      <c r="E507" s="1048">
        <f>SQRT(1+(A507/Zero1)^2)</f>
        <v/>
      </c>
      <c r="F507" s="1049">
        <f>ATAN(A507/Zero1)</f>
        <v/>
      </c>
      <c r="G507" s="1048">
        <f>IF(VIN_nom&gt;Vout, 1, SQRT(1+(A507/z_RHP)^2))</f>
        <v/>
      </c>
      <c r="H507" s="1049">
        <f>IF(VIN_nom&gt;Vout, 0, -ATAN(A507/z_RHP))</f>
        <v/>
      </c>
      <c r="I507" s="1047">
        <f>SQRT(1+(A507/Pole2)^2)</f>
        <v/>
      </c>
      <c r="J507" s="1050">
        <f>ATAN(A507/Pole2)</f>
        <v/>
      </c>
      <c r="K507" s="1056">
        <f>SQRT(1+(A507/Zero2)^2)</f>
        <v/>
      </c>
      <c r="L507" s="1057">
        <f>ATAN(A507/Zero2)</f>
        <v/>
      </c>
      <c r="M507" s="1047">
        <f>SQRT(1+(A507/pole4)^2)</f>
        <v/>
      </c>
      <c r="N507" s="1057">
        <f>ATAN(A507/pole4)</f>
        <v/>
      </c>
      <c r="O507" s="1058">
        <f>IF(VOUT_setting=1,1,SQRT(1+(A507*zterm1)^2))</f>
        <v/>
      </c>
      <c r="P507" s="1059">
        <f>IF(VOUT_setting=1,0,ATAN(((A507*zterm1))))</f>
        <v/>
      </c>
      <c r="Q507" s="1056">
        <f>IF(VOUT_setting=1,1,SQRT((1+Afbr-$Q$5*(A507)^2)^2+(A507*$Q$4)^2))</f>
        <v/>
      </c>
      <c r="R507" s="1060">
        <f>IF(VOUT_setting=1,0,ATAN(A507*$Q$4/(1+Afbr-$Q$5*(A507)^2)))</f>
        <v/>
      </c>
      <c r="S507" s="1054">
        <f>SQRT((1-(Z507/pterm2))^2+(A507/pterm1)^2)</f>
        <v/>
      </c>
      <c r="T507" s="1055">
        <f>IF((ATAN((A507/pterm1)/(1-A507^2/pterm2))&gt;0),ATAN((A507/pterm1)/(1-A507^2/pterm2)),PI()+ATAN((A507/pterm1)/(1-A507^2/pterm2)))</f>
        <v/>
      </c>
      <c r="U507" s="331">
        <f>20*LOG10(((E507*K507*G507*O507)/(C507*I507*S507*M507*Q507))*Adc)</f>
        <v/>
      </c>
      <c r="V507" s="332">
        <f>((F507+L507+H507+P507)-(D507+J507+T507+N507+R507))*radconv</f>
        <v/>
      </c>
      <c r="W507" s="334">
        <f>IF(V507&gt;0,V507,V507+180)</f>
        <v/>
      </c>
      <c r="Y507" s="307">
        <f>IF(U507&lt;0,A507,1000000000)</f>
        <v/>
      </c>
      <c r="Z507" s="307">
        <f>A507^2</f>
        <v/>
      </c>
      <c r="AB507" s="333">
        <f>20*LOG10((K507/(I507*M507))*AEA)</f>
        <v/>
      </c>
      <c r="AC507" s="334">
        <f>(L507-(J507+N507))*radconv</f>
        <v/>
      </c>
      <c r="AE507" s="333">
        <f>20*LOG10((E507*G507/(C507*S507))*Acs*Am)</f>
        <v/>
      </c>
      <c r="AF507" s="334">
        <f>(F507+H507-(D507+T507))*radconv</f>
        <v/>
      </c>
      <c r="AH507">
        <f>SUM((U508&lt;0)*(U507&gt;0))*A507</f>
        <v/>
      </c>
      <c r="AI507">
        <f>IF(AH507&gt;0,W507,0)</f>
        <v/>
      </c>
    </row>
    <row r="508">
      <c r="A508" s="335" t="n">
        <v>67223.25</v>
      </c>
      <c r="B508" s="352">
        <f>A508/1000</f>
        <v/>
      </c>
      <c r="C508" s="1047">
        <f>SQRT(1+(A508/pole1)^2)</f>
        <v/>
      </c>
      <c r="D508" s="1048">
        <f>ATAN(A508/pole1)</f>
        <v/>
      </c>
      <c r="E508" s="1048">
        <f>SQRT(1+(A508/Zero1)^2)</f>
        <v/>
      </c>
      <c r="F508" s="1049">
        <f>ATAN(A508/Zero1)</f>
        <v/>
      </c>
      <c r="G508" s="1048">
        <f>IF(VIN_nom&gt;Vout, 1, SQRT(1+(A508/z_RHP)^2))</f>
        <v/>
      </c>
      <c r="H508" s="1049">
        <f>IF(VIN_nom&gt;Vout, 0, -ATAN(A508/z_RHP))</f>
        <v/>
      </c>
      <c r="I508" s="1047">
        <f>SQRT(1+(A508/Pole2)^2)</f>
        <v/>
      </c>
      <c r="J508" s="1050">
        <f>ATAN(A508/Pole2)</f>
        <v/>
      </c>
      <c r="K508" s="1056">
        <f>SQRT(1+(A508/Zero2)^2)</f>
        <v/>
      </c>
      <c r="L508" s="1057">
        <f>ATAN(A508/Zero2)</f>
        <v/>
      </c>
      <c r="M508" s="1047">
        <f>SQRT(1+(A508/pole4)^2)</f>
        <v/>
      </c>
      <c r="N508" s="1057">
        <f>ATAN(A508/pole4)</f>
        <v/>
      </c>
      <c r="O508" s="1058">
        <f>IF(VOUT_setting=1,1,SQRT(1+(A508*zterm1)^2))</f>
        <v/>
      </c>
      <c r="P508" s="1059">
        <f>IF(VOUT_setting=1,0,ATAN(((A508*zterm1))))</f>
        <v/>
      </c>
      <c r="Q508" s="1056">
        <f>IF(VOUT_setting=1,1,SQRT((1+Afbr-$Q$5*(A508)^2)^2+(A508*$Q$4)^2))</f>
        <v/>
      </c>
      <c r="R508" s="1060">
        <f>IF(VOUT_setting=1,0,ATAN(A508*$Q$4/(1+Afbr-$Q$5*(A508)^2)))</f>
        <v/>
      </c>
      <c r="S508" s="1054">
        <f>SQRT((1-(Z508/pterm2))^2+(A508/pterm1)^2)</f>
        <v/>
      </c>
      <c r="T508" s="1055">
        <f>IF((ATAN((A508/pterm1)/(1-A508^2/pterm2))&gt;0),ATAN((A508/pterm1)/(1-A508^2/pterm2)),PI()+ATAN((A508/pterm1)/(1-A508^2/pterm2)))</f>
        <v/>
      </c>
      <c r="U508" s="331">
        <f>20*LOG10(((E508*K508*G508*O508)/(C508*I508*S508*M508*Q508))*Adc)</f>
        <v/>
      </c>
      <c r="V508" s="332">
        <f>((F508+L508+H508+P508)-(D508+J508+T508+N508+R508))*radconv</f>
        <v/>
      </c>
      <c r="W508" s="334">
        <f>IF(V508&gt;0,V508,V508+180)</f>
        <v/>
      </c>
      <c r="Y508" s="307">
        <f>IF(U508&lt;0,A508,1000000000)</f>
        <v/>
      </c>
      <c r="Z508" s="307">
        <f>A508^2</f>
        <v/>
      </c>
      <c r="AB508" s="333">
        <f>20*LOG10((K508/(I508*M508))*AEA)</f>
        <v/>
      </c>
      <c r="AC508" s="334">
        <f>(L508-(J508+N508))*radconv</f>
        <v/>
      </c>
      <c r="AE508" s="333">
        <f>20*LOG10((E508*G508/(C508*S508))*Acs*Am)</f>
        <v/>
      </c>
      <c r="AF508" s="334">
        <f>(F508+H508-(D508+T508))*radconv</f>
        <v/>
      </c>
      <c r="AH508">
        <f>SUM((U509&lt;0)*(U508&gt;0))*A508</f>
        <v/>
      </c>
      <c r="AI508">
        <f>IF(AH508&gt;0,W508,0)</f>
        <v/>
      </c>
    </row>
    <row r="509">
      <c r="A509" s="335" t="n">
        <v>67608</v>
      </c>
      <c r="B509" s="352">
        <f>A509/1000</f>
        <v/>
      </c>
      <c r="C509" s="1047">
        <f>SQRT(1+(A509/pole1)^2)</f>
        <v/>
      </c>
      <c r="D509" s="1048">
        <f>ATAN(A509/pole1)</f>
        <v/>
      </c>
      <c r="E509" s="1048">
        <f>SQRT(1+(A509/Zero1)^2)</f>
        <v/>
      </c>
      <c r="F509" s="1049">
        <f>ATAN(A509/Zero1)</f>
        <v/>
      </c>
      <c r="G509" s="1048">
        <f>IF(VIN_nom&gt;Vout, 1, SQRT(1+(A509/z_RHP)^2))</f>
        <v/>
      </c>
      <c r="H509" s="1049">
        <f>IF(VIN_nom&gt;Vout, 0, -ATAN(A509/z_RHP))</f>
        <v/>
      </c>
      <c r="I509" s="1047">
        <f>SQRT(1+(A509/Pole2)^2)</f>
        <v/>
      </c>
      <c r="J509" s="1050">
        <f>ATAN(A509/Pole2)</f>
        <v/>
      </c>
      <c r="K509" s="1056">
        <f>SQRT(1+(A509/Zero2)^2)</f>
        <v/>
      </c>
      <c r="L509" s="1057">
        <f>ATAN(A509/Zero2)</f>
        <v/>
      </c>
      <c r="M509" s="1047">
        <f>SQRT(1+(A509/pole4)^2)</f>
        <v/>
      </c>
      <c r="N509" s="1057">
        <f>ATAN(A509/pole4)</f>
        <v/>
      </c>
      <c r="O509" s="1058">
        <f>IF(VOUT_setting=1,1,SQRT(1+(A509*zterm1)^2))</f>
        <v/>
      </c>
      <c r="P509" s="1059">
        <f>IF(VOUT_setting=1,0,ATAN(((A509*zterm1))))</f>
        <v/>
      </c>
      <c r="Q509" s="1056">
        <f>IF(VOUT_setting=1,1,SQRT((1+Afbr-$Q$5*(A509)^2)^2+(A509*$Q$4)^2))</f>
        <v/>
      </c>
      <c r="R509" s="1060">
        <f>IF(VOUT_setting=1,0,ATAN(A509*$Q$4/(1+Afbr-$Q$5*(A509)^2)))</f>
        <v/>
      </c>
      <c r="S509" s="1054">
        <f>SQRT((1-(Z509/pterm2))^2+(A509/pterm1)^2)</f>
        <v/>
      </c>
      <c r="T509" s="1055">
        <f>IF((ATAN((A509/pterm1)/(1-A509^2/pterm2))&gt;0),ATAN((A509/pterm1)/(1-A509^2/pterm2)),PI()+ATAN((A509/pterm1)/(1-A509^2/pterm2)))</f>
        <v/>
      </c>
      <c r="U509" s="331">
        <f>20*LOG10(((E509*K509*G509*O509)/(C509*I509*S509*M509*Q509))*Adc)</f>
        <v/>
      </c>
      <c r="V509" s="332">
        <f>((F509+L509+H509+P509)-(D509+J509+T509+N509+R509))*radconv</f>
        <v/>
      </c>
      <c r="W509" s="334">
        <f>IF(V509&gt;0,V509,V509+180)</f>
        <v/>
      </c>
      <c r="Y509" s="307">
        <f>IF(U509&lt;0,A509,1000000000)</f>
        <v/>
      </c>
      <c r="Z509" s="307">
        <f>A509^2</f>
        <v/>
      </c>
      <c r="AB509" s="333">
        <f>20*LOG10((K509/(I509*M509))*AEA)</f>
        <v/>
      </c>
      <c r="AC509" s="334">
        <f>(L509-(J509+N509))*radconv</f>
        <v/>
      </c>
      <c r="AE509" s="333">
        <f>20*LOG10((E509*G509/(C509*S509))*Acs*Am)</f>
        <v/>
      </c>
      <c r="AF509" s="334">
        <f>(F509+H509-(D509+T509))*radconv</f>
        <v/>
      </c>
      <c r="AH509">
        <f>SUM((U510&lt;0)*(U509&gt;0))*A509</f>
        <v/>
      </c>
      <c r="AI509">
        <f>IF(AH509&gt;0,W509,0)</f>
        <v/>
      </c>
    </row>
    <row r="510">
      <c r="A510" s="335" t="n">
        <v>68001.75</v>
      </c>
      <c r="B510" s="352">
        <f>A510/1000</f>
        <v/>
      </c>
      <c r="C510" s="1047">
        <f>SQRT(1+(A510/pole1)^2)</f>
        <v/>
      </c>
      <c r="D510" s="1048">
        <f>ATAN(A510/pole1)</f>
        <v/>
      </c>
      <c r="E510" s="1048">
        <f>SQRT(1+(A510/Zero1)^2)</f>
        <v/>
      </c>
      <c r="F510" s="1049">
        <f>ATAN(A510/Zero1)</f>
        <v/>
      </c>
      <c r="G510" s="1048">
        <f>IF(VIN_nom&gt;Vout, 1, SQRT(1+(A510/z_RHP)^2))</f>
        <v/>
      </c>
      <c r="H510" s="1049">
        <f>IF(VIN_nom&gt;Vout, 0, -ATAN(A510/z_RHP))</f>
        <v/>
      </c>
      <c r="I510" s="1047">
        <f>SQRT(1+(A510/Pole2)^2)</f>
        <v/>
      </c>
      <c r="J510" s="1050">
        <f>ATAN(A510/Pole2)</f>
        <v/>
      </c>
      <c r="K510" s="1056">
        <f>SQRT(1+(A510/Zero2)^2)</f>
        <v/>
      </c>
      <c r="L510" s="1057">
        <f>ATAN(A510/Zero2)</f>
        <v/>
      </c>
      <c r="M510" s="1047">
        <f>SQRT(1+(A510/pole4)^2)</f>
        <v/>
      </c>
      <c r="N510" s="1057">
        <f>ATAN(A510/pole4)</f>
        <v/>
      </c>
      <c r="O510" s="1058">
        <f>IF(VOUT_setting=1,1,SQRT(1+(A510*zterm1)^2))</f>
        <v/>
      </c>
      <c r="P510" s="1059">
        <f>IF(VOUT_setting=1,0,ATAN(((A510*zterm1))))</f>
        <v/>
      </c>
      <c r="Q510" s="1056">
        <f>IF(VOUT_setting=1,1,SQRT((1+Afbr-$Q$5*(A510)^2)^2+(A510*$Q$4)^2))</f>
        <v/>
      </c>
      <c r="R510" s="1060">
        <f>IF(VOUT_setting=1,0,ATAN(A510*$Q$4/(1+Afbr-$Q$5*(A510)^2)))</f>
        <v/>
      </c>
      <c r="S510" s="1054">
        <f>SQRT((1-(Z510/pterm2))^2+(A510/pterm1)^2)</f>
        <v/>
      </c>
      <c r="T510" s="1055">
        <f>IF((ATAN((A510/pterm1)/(1-A510^2/pterm2))&gt;0),ATAN((A510/pterm1)/(1-A510^2/pterm2)),PI()+ATAN((A510/pterm1)/(1-A510^2/pterm2)))</f>
        <v/>
      </c>
      <c r="U510" s="331">
        <f>20*LOG10(((E510*K510*G510*O510)/(C510*I510*S510*M510*Q510))*Adc)</f>
        <v/>
      </c>
      <c r="V510" s="332">
        <f>((F510+L510+H510+P510)-(D510+J510+T510+N510+R510))*radconv</f>
        <v/>
      </c>
      <c r="W510" s="334">
        <f>IF(V510&gt;0,V510,V510+180)</f>
        <v/>
      </c>
      <c r="Y510" s="307">
        <f>IF(U510&lt;0,A510,1000000000)</f>
        <v/>
      </c>
      <c r="Z510" s="307">
        <f>A510^2</f>
        <v/>
      </c>
      <c r="AB510" s="333">
        <f>20*LOG10((K510/(I510*M510))*AEA)</f>
        <v/>
      </c>
      <c r="AC510" s="334">
        <f>(L510-(J510+N510))*radconv</f>
        <v/>
      </c>
      <c r="AE510" s="333">
        <f>20*LOG10((E510*G510/(C510*S510))*Acs*Am)</f>
        <v/>
      </c>
      <c r="AF510" s="334">
        <f>(F510+H510-(D510+T510))*radconv</f>
        <v/>
      </c>
      <c r="AH510">
        <f>SUM((U511&lt;0)*(U510&gt;0))*A510</f>
        <v/>
      </c>
      <c r="AI510">
        <f>IF(AH510&gt;0,W510,0)</f>
        <v/>
      </c>
    </row>
    <row r="511">
      <c r="A511" s="335" t="n">
        <v>68395.5</v>
      </c>
      <c r="B511" s="352">
        <f>A511/1000</f>
        <v/>
      </c>
      <c r="C511" s="1047">
        <f>SQRT(1+(A511/pole1)^2)</f>
        <v/>
      </c>
      <c r="D511" s="1048">
        <f>ATAN(A511/pole1)</f>
        <v/>
      </c>
      <c r="E511" s="1048">
        <f>SQRT(1+(A511/Zero1)^2)</f>
        <v/>
      </c>
      <c r="F511" s="1049">
        <f>ATAN(A511/Zero1)</f>
        <v/>
      </c>
      <c r="G511" s="1048">
        <f>IF(VIN_nom&gt;Vout, 1, SQRT(1+(A511/z_RHP)^2))</f>
        <v/>
      </c>
      <c r="H511" s="1049">
        <f>IF(VIN_nom&gt;Vout, 0, -ATAN(A511/z_RHP))</f>
        <v/>
      </c>
      <c r="I511" s="1047">
        <f>SQRT(1+(A511/Pole2)^2)</f>
        <v/>
      </c>
      <c r="J511" s="1050">
        <f>ATAN(A511/Pole2)</f>
        <v/>
      </c>
      <c r="K511" s="1056">
        <f>SQRT(1+(A511/Zero2)^2)</f>
        <v/>
      </c>
      <c r="L511" s="1057">
        <f>ATAN(A511/Zero2)</f>
        <v/>
      </c>
      <c r="M511" s="1047">
        <f>SQRT(1+(A511/pole4)^2)</f>
        <v/>
      </c>
      <c r="N511" s="1057">
        <f>ATAN(A511/pole4)</f>
        <v/>
      </c>
      <c r="O511" s="1058">
        <f>IF(VOUT_setting=1,1,SQRT(1+(A511*zterm1)^2))</f>
        <v/>
      </c>
      <c r="P511" s="1059">
        <f>IF(VOUT_setting=1,0,ATAN(((A511*zterm1))))</f>
        <v/>
      </c>
      <c r="Q511" s="1056">
        <f>IF(VOUT_setting=1,1,SQRT((1+Afbr-$Q$5*(A511)^2)^2+(A511*$Q$4)^2))</f>
        <v/>
      </c>
      <c r="R511" s="1060">
        <f>IF(VOUT_setting=1,0,ATAN(A511*$Q$4/(1+Afbr-$Q$5*(A511)^2)))</f>
        <v/>
      </c>
      <c r="S511" s="1054">
        <f>SQRT((1-(Z511/pterm2))^2+(A511/pterm1)^2)</f>
        <v/>
      </c>
      <c r="T511" s="1055">
        <f>IF((ATAN((A511/pterm1)/(1-A511^2/pterm2))&gt;0),ATAN((A511/pterm1)/(1-A511^2/pterm2)),PI()+ATAN((A511/pterm1)/(1-A511^2/pterm2)))</f>
        <v/>
      </c>
      <c r="U511" s="331">
        <f>20*LOG10(((E511*K511*G511*O511)/(C511*I511*S511*M511*Q511))*Adc)</f>
        <v/>
      </c>
      <c r="V511" s="332">
        <f>((F511+L511+H511+P511)-(D511+J511+T511+N511+R511))*radconv</f>
        <v/>
      </c>
      <c r="W511" s="334">
        <f>IF(V511&gt;0,V511,V511+180)</f>
        <v/>
      </c>
      <c r="Y511" s="307">
        <f>IF(U511&lt;0,A511,1000000000)</f>
        <v/>
      </c>
      <c r="Z511" s="307">
        <f>A511^2</f>
        <v/>
      </c>
      <c r="AB511" s="333">
        <f>20*LOG10((K511/(I511*M511))*AEA)</f>
        <v/>
      </c>
      <c r="AC511" s="334">
        <f>(L511-(J511+N511))*radconv</f>
        <v/>
      </c>
      <c r="AE511" s="333">
        <f>20*LOG10((E511*G511/(C511*S511))*Acs*Am)</f>
        <v/>
      </c>
      <c r="AF511" s="334">
        <f>(F511+H511-(D511+T511))*radconv</f>
        <v/>
      </c>
      <c r="AH511">
        <f>SUM((U512&lt;0)*(U511&gt;0))*A511</f>
        <v/>
      </c>
      <c r="AI511">
        <f>IF(AH511&gt;0,W511,0)</f>
        <v/>
      </c>
    </row>
    <row r="512">
      <c r="A512" s="335" t="n">
        <v>68789.25</v>
      </c>
      <c r="B512" s="352">
        <f>A512/1000</f>
        <v/>
      </c>
      <c r="C512" s="1047">
        <f>SQRT(1+(A512/pole1)^2)</f>
        <v/>
      </c>
      <c r="D512" s="1048">
        <f>ATAN(A512/pole1)</f>
        <v/>
      </c>
      <c r="E512" s="1048">
        <f>SQRT(1+(A512/Zero1)^2)</f>
        <v/>
      </c>
      <c r="F512" s="1049">
        <f>ATAN(A512/Zero1)</f>
        <v/>
      </c>
      <c r="G512" s="1048">
        <f>IF(VIN_nom&gt;Vout, 1, SQRT(1+(A512/z_RHP)^2))</f>
        <v/>
      </c>
      <c r="H512" s="1049">
        <f>IF(VIN_nom&gt;Vout, 0, -ATAN(A512/z_RHP))</f>
        <v/>
      </c>
      <c r="I512" s="1047">
        <f>SQRT(1+(A512/Pole2)^2)</f>
        <v/>
      </c>
      <c r="J512" s="1050">
        <f>ATAN(A512/Pole2)</f>
        <v/>
      </c>
      <c r="K512" s="1056">
        <f>SQRT(1+(A512/Zero2)^2)</f>
        <v/>
      </c>
      <c r="L512" s="1057">
        <f>ATAN(A512/Zero2)</f>
        <v/>
      </c>
      <c r="M512" s="1047">
        <f>SQRT(1+(A512/pole4)^2)</f>
        <v/>
      </c>
      <c r="N512" s="1057">
        <f>ATAN(A512/pole4)</f>
        <v/>
      </c>
      <c r="O512" s="1058">
        <f>IF(VOUT_setting=1,1,SQRT(1+(A512*zterm1)^2))</f>
        <v/>
      </c>
      <c r="P512" s="1059">
        <f>IF(VOUT_setting=1,0,ATAN(((A512*zterm1))))</f>
        <v/>
      </c>
      <c r="Q512" s="1056">
        <f>IF(VOUT_setting=1,1,SQRT((1+Afbr-$Q$5*(A512)^2)^2+(A512*$Q$4)^2))</f>
        <v/>
      </c>
      <c r="R512" s="1060">
        <f>IF(VOUT_setting=1,0,ATAN(A512*$Q$4/(1+Afbr-$Q$5*(A512)^2)))</f>
        <v/>
      </c>
      <c r="S512" s="1054">
        <f>SQRT((1-(Z512/pterm2))^2+(A512/pterm1)^2)</f>
        <v/>
      </c>
      <c r="T512" s="1055">
        <f>IF((ATAN((A512/pterm1)/(1-A512^2/pterm2))&gt;0),ATAN((A512/pterm1)/(1-A512^2/pterm2)),PI()+ATAN((A512/pterm1)/(1-A512^2/pterm2)))</f>
        <v/>
      </c>
      <c r="U512" s="331">
        <f>20*LOG10(((E512*K512*G512*O512)/(C512*I512*S512*M512*Q512))*Adc)</f>
        <v/>
      </c>
      <c r="V512" s="332">
        <f>((F512+L512+H512+P512)-(D512+J512+T512+N512+R512))*radconv</f>
        <v/>
      </c>
      <c r="W512" s="334">
        <f>IF(V512&gt;0,V512,V512+180)</f>
        <v/>
      </c>
      <c r="Y512" s="307">
        <f>IF(U512&lt;0,A512,1000000000)</f>
        <v/>
      </c>
      <c r="Z512" s="307">
        <f>A512^2</f>
        <v/>
      </c>
      <c r="AB512" s="333">
        <f>20*LOG10((K512/(I512*M512))*AEA)</f>
        <v/>
      </c>
      <c r="AC512" s="334">
        <f>(L512-(J512+N512))*radconv</f>
        <v/>
      </c>
      <c r="AE512" s="333">
        <f>20*LOG10((E512*G512/(C512*S512))*Acs*Am)</f>
        <v/>
      </c>
      <c r="AF512" s="334">
        <f>(F512+H512-(D512+T512))*radconv</f>
        <v/>
      </c>
      <c r="AH512">
        <f>SUM((U513&lt;0)*(U512&gt;0))*A512</f>
        <v/>
      </c>
      <c r="AI512">
        <f>IF(AH512&gt;0,W512,0)</f>
        <v/>
      </c>
    </row>
    <row r="513">
      <c r="A513" s="335" t="n">
        <v>69183</v>
      </c>
      <c r="B513" s="352">
        <f>A513/1000</f>
        <v/>
      </c>
      <c r="C513" s="1047">
        <f>SQRT(1+(A513/pole1)^2)</f>
        <v/>
      </c>
      <c r="D513" s="1048">
        <f>ATAN(A513/pole1)</f>
        <v/>
      </c>
      <c r="E513" s="1048">
        <f>SQRT(1+(A513/Zero1)^2)</f>
        <v/>
      </c>
      <c r="F513" s="1049">
        <f>ATAN(A513/Zero1)</f>
        <v/>
      </c>
      <c r="G513" s="1048">
        <f>IF(VIN_nom&gt;Vout, 1, SQRT(1+(A513/z_RHP)^2))</f>
        <v/>
      </c>
      <c r="H513" s="1049">
        <f>IF(VIN_nom&gt;Vout, 0, -ATAN(A513/z_RHP))</f>
        <v/>
      </c>
      <c r="I513" s="1047">
        <f>SQRT(1+(A513/Pole2)^2)</f>
        <v/>
      </c>
      <c r="J513" s="1050">
        <f>ATAN(A513/Pole2)</f>
        <v/>
      </c>
      <c r="K513" s="1056">
        <f>SQRT(1+(A513/Zero2)^2)</f>
        <v/>
      </c>
      <c r="L513" s="1057">
        <f>ATAN(A513/Zero2)</f>
        <v/>
      </c>
      <c r="M513" s="1047">
        <f>SQRT(1+(A513/pole4)^2)</f>
        <v/>
      </c>
      <c r="N513" s="1057">
        <f>ATAN(A513/pole4)</f>
        <v/>
      </c>
      <c r="O513" s="1058">
        <f>IF(VOUT_setting=1,1,SQRT(1+(A513*zterm1)^2))</f>
        <v/>
      </c>
      <c r="P513" s="1059">
        <f>IF(VOUT_setting=1,0,ATAN(((A513*zterm1))))</f>
        <v/>
      </c>
      <c r="Q513" s="1056">
        <f>IF(VOUT_setting=1,1,SQRT((1+Afbr-$Q$5*(A513)^2)^2+(A513*$Q$4)^2))</f>
        <v/>
      </c>
      <c r="R513" s="1060">
        <f>IF(VOUT_setting=1,0,ATAN(A513*$Q$4/(1+Afbr-$Q$5*(A513)^2)))</f>
        <v/>
      </c>
      <c r="S513" s="1054">
        <f>SQRT((1-(Z513/pterm2))^2+(A513/pterm1)^2)</f>
        <v/>
      </c>
      <c r="T513" s="1055">
        <f>IF((ATAN((A513/pterm1)/(1-A513^2/pterm2))&gt;0),ATAN((A513/pterm1)/(1-A513^2/pterm2)),PI()+ATAN((A513/pterm1)/(1-A513^2/pterm2)))</f>
        <v/>
      </c>
      <c r="U513" s="331">
        <f>20*LOG10(((E513*K513*G513*O513)/(C513*I513*S513*M513*Q513))*Adc)</f>
        <v/>
      </c>
      <c r="V513" s="332">
        <f>((F513+L513+H513+P513)-(D513+J513+T513+N513+R513))*radconv</f>
        <v/>
      </c>
      <c r="W513" s="334">
        <f>IF(V513&gt;0,V513,V513+180)</f>
        <v/>
      </c>
      <c r="Y513" s="307">
        <f>IF(U513&lt;0,A513,1000000000)</f>
        <v/>
      </c>
      <c r="Z513" s="307">
        <f>A513^2</f>
        <v/>
      </c>
      <c r="AB513" s="333">
        <f>20*LOG10((K513/(I513*M513))*AEA)</f>
        <v/>
      </c>
      <c r="AC513" s="334">
        <f>(L513-(J513+N513))*radconv</f>
        <v/>
      </c>
      <c r="AE513" s="333">
        <f>20*LOG10((E513*G513/(C513*S513))*Acs*Am)</f>
        <v/>
      </c>
      <c r="AF513" s="334">
        <f>(F513+H513-(D513+T513))*radconv</f>
        <v/>
      </c>
      <c r="AH513">
        <f>SUM((U514&lt;0)*(U513&gt;0))*A513</f>
        <v/>
      </c>
      <c r="AI513">
        <f>IF(AH513&gt;0,W513,0)</f>
        <v/>
      </c>
    </row>
    <row r="514">
      <c r="A514" s="335" t="n">
        <v>69586</v>
      </c>
      <c r="B514" s="352">
        <f>A514/1000</f>
        <v/>
      </c>
      <c r="C514" s="1047">
        <f>SQRT(1+(A514/pole1)^2)</f>
        <v/>
      </c>
      <c r="D514" s="1048">
        <f>ATAN(A514/pole1)</f>
        <v/>
      </c>
      <c r="E514" s="1048">
        <f>SQRT(1+(A514/Zero1)^2)</f>
        <v/>
      </c>
      <c r="F514" s="1049">
        <f>ATAN(A514/Zero1)</f>
        <v/>
      </c>
      <c r="G514" s="1048">
        <f>IF(VIN_nom&gt;Vout, 1, SQRT(1+(A514/z_RHP)^2))</f>
        <v/>
      </c>
      <c r="H514" s="1049">
        <f>IF(VIN_nom&gt;Vout, 0, -ATAN(A514/z_RHP))</f>
        <v/>
      </c>
      <c r="I514" s="1047">
        <f>SQRT(1+(A514/Pole2)^2)</f>
        <v/>
      </c>
      <c r="J514" s="1050">
        <f>ATAN(A514/Pole2)</f>
        <v/>
      </c>
      <c r="K514" s="1056">
        <f>SQRT(1+(A514/Zero2)^2)</f>
        <v/>
      </c>
      <c r="L514" s="1057">
        <f>ATAN(A514/Zero2)</f>
        <v/>
      </c>
      <c r="M514" s="1047">
        <f>SQRT(1+(A514/pole4)^2)</f>
        <v/>
      </c>
      <c r="N514" s="1057">
        <f>ATAN(A514/pole4)</f>
        <v/>
      </c>
      <c r="O514" s="1058">
        <f>IF(VOUT_setting=1,1,SQRT(1+(A514*zterm1)^2))</f>
        <v/>
      </c>
      <c r="P514" s="1059">
        <f>IF(VOUT_setting=1,0,ATAN(((A514*zterm1))))</f>
        <v/>
      </c>
      <c r="Q514" s="1056">
        <f>IF(VOUT_setting=1,1,SQRT((1+Afbr-$Q$5*(A514)^2)^2+(A514*$Q$4)^2))</f>
        <v/>
      </c>
      <c r="R514" s="1060">
        <f>IF(VOUT_setting=1,0,ATAN(A514*$Q$4/(1+Afbr-$Q$5*(A514)^2)))</f>
        <v/>
      </c>
      <c r="S514" s="1054">
        <f>SQRT((1-(Z514/pterm2))^2+(A514/pterm1)^2)</f>
        <v/>
      </c>
      <c r="T514" s="1055">
        <f>IF((ATAN((A514/pterm1)/(1-A514^2/pterm2))&gt;0),ATAN((A514/pterm1)/(1-A514^2/pterm2)),PI()+ATAN((A514/pterm1)/(1-A514^2/pterm2)))</f>
        <v/>
      </c>
      <c r="U514" s="331">
        <f>20*LOG10(((E514*K514*G514*O514)/(C514*I514*S514*M514*Q514))*Adc)</f>
        <v/>
      </c>
      <c r="V514" s="332">
        <f>((F514+L514+H514+P514)-(D514+J514+T514+N514+R514))*radconv</f>
        <v/>
      </c>
      <c r="W514" s="334">
        <f>IF(V514&gt;0,V514,V514+180)</f>
        <v/>
      </c>
      <c r="Y514" s="307">
        <f>IF(U514&lt;0,A514,1000000000)</f>
        <v/>
      </c>
      <c r="Z514" s="307">
        <f>A514^2</f>
        <v/>
      </c>
      <c r="AB514" s="333">
        <f>20*LOG10((K514/(I514*M514))*AEA)</f>
        <v/>
      </c>
      <c r="AC514" s="334">
        <f>(L514-(J514+N514))*radconv</f>
        <v/>
      </c>
      <c r="AE514" s="333">
        <f>20*LOG10((E514*G514/(C514*S514))*Acs*Am)</f>
        <v/>
      </c>
      <c r="AF514" s="334">
        <f>(F514+H514-(D514+T514))*radconv</f>
        <v/>
      </c>
      <c r="AH514">
        <f>SUM((U515&lt;0)*(U514&gt;0))*A514</f>
        <v/>
      </c>
      <c r="AI514">
        <f>IF(AH514&gt;0,W514,0)</f>
        <v/>
      </c>
    </row>
    <row r="515">
      <c r="A515" s="335" t="n">
        <v>69989</v>
      </c>
      <c r="B515" s="352">
        <f>A515/1000</f>
        <v/>
      </c>
      <c r="C515" s="1047">
        <f>SQRT(1+(A515/pole1)^2)</f>
        <v/>
      </c>
      <c r="D515" s="1048">
        <f>ATAN(A515/pole1)</f>
        <v/>
      </c>
      <c r="E515" s="1048">
        <f>SQRT(1+(A515/Zero1)^2)</f>
        <v/>
      </c>
      <c r="F515" s="1049">
        <f>ATAN(A515/Zero1)</f>
        <v/>
      </c>
      <c r="G515" s="1048">
        <f>IF(VIN_nom&gt;Vout, 1, SQRT(1+(A515/z_RHP)^2))</f>
        <v/>
      </c>
      <c r="H515" s="1049">
        <f>IF(VIN_nom&gt;Vout, 0, -ATAN(A515/z_RHP))</f>
        <v/>
      </c>
      <c r="I515" s="1047">
        <f>SQRT(1+(A515/Pole2)^2)</f>
        <v/>
      </c>
      <c r="J515" s="1050">
        <f>ATAN(A515/Pole2)</f>
        <v/>
      </c>
      <c r="K515" s="1056">
        <f>SQRT(1+(A515/Zero2)^2)</f>
        <v/>
      </c>
      <c r="L515" s="1057">
        <f>ATAN(A515/Zero2)</f>
        <v/>
      </c>
      <c r="M515" s="1047">
        <f>SQRT(1+(A515/pole4)^2)</f>
        <v/>
      </c>
      <c r="N515" s="1057">
        <f>ATAN(A515/pole4)</f>
        <v/>
      </c>
      <c r="O515" s="1058">
        <f>IF(VOUT_setting=1,1,SQRT(1+(A515*zterm1)^2))</f>
        <v/>
      </c>
      <c r="P515" s="1059">
        <f>IF(VOUT_setting=1,0,ATAN(((A515*zterm1))))</f>
        <v/>
      </c>
      <c r="Q515" s="1056">
        <f>IF(VOUT_setting=1,1,SQRT((1+Afbr-$Q$5*(A515)^2)^2+(A515*$Q$4)^2))</f>
        <v/>
      </c>
      <c r="R515" s="1060">
        <f>IF(VOUT_setting=1,0,ATAN(A515*$Q$4/(1+Afbr-$Q$5*(A515)^2)))</f>
        <v/>
      </c>
      <c r="S515" s="1054">
        <f>SQRT((1-(Z515/pterm2))^2+(A515/pterm1)^2)</f>
        <v/>
      </c>
      <c r="T515" s="1055">
        <f>IF((ATAN((A515/pterm1)/(1-A515^2/pterm2))&gt;0),ATAN((A515/pterm1)/(1-A515^2/pterm2)),PI()+ATAN((A515/pterm1)/(1-A515^2/pterm2)))</f>
        <v/>
      </c>
      <c r="U515" s="331">
        <f>20*LOG10(((E515*K515*G515*O515)/(C515*I515*S515*M515*Q515))*Adc)</f>
        <v/>
      </c>
      <c r="V515" s="332">
        <f>((F515+L515+H515+P515)-(D515+J515+T515+N515+R515))*radconv</f>
        <v/>
      </c>
      <c r="W515" s="334">
        <f>IF(V515&gt;0,V515,V515+180)</f>
        <v/>
      </c>
      <c r="Y515" s="307">
        <f>IF(U515&lt;0,A515,1000000000)</f>
        <v/>
      </c>
      <c r="Z515" s="307">
        <f>A515^2</f>
        <v/>
      </c>
      <c r="AB515" s="333">
        <f>20*LOG10((K515/(I515*M515))*AEA)</f>
        <v/>
      </c>
      <c r="AC515" s="334">
        <f>(L515-(J515+N515))*radconv</f>
        <v/>
      </c>
      <c r="AE515" s="333">
        <f>20*LOG10((E515*G515/(C515*S515))*Acs*Am)</f>
        <v/>
      </c>
      <c r="AF515" s="334">
        <f>(F515+H515-(D515+T515))*radconv</f>
        <v/>
      </c>
      <c r="AH515">
        <f>SUM((U516&lt;0)*(U515&gt;0))*A515</f>
        <v/>
      </c>
      <c r="AI515">
        <f>IF(AH515&gt;0,W515,0)</f>
        <v/>
      </c>
    </row>
    <row r="516">
      <c r="A516" s="335" t="n">
        <v>70392</v>
      </c>
      <c r="B516" s="352">
        <f>A516/1000</f>
        <v/>
      </c>
      <c r="C516" s="1047">
        <f>SQRT(1+(A516/pole1)^2)</f>
        <v/>
      </c>
      <c r="D516" s="1048">
        <f>ATAN(A516/pole1)</f>
        <v/>
      </c>
      <c r="E516" s="1048">
        <f>SQRT(1+(A516/Zero1)^2)</f>
        <v/>
      </c>
      <c r="F516" s="1049">
        <f>ATAN(A516/Zero1)</f>
        <v/>
      </c>
      <c r="G516" s="1048">
        <f>IF(VIN_nom&gt;Vout, 1, SQRT(1+(A516/z_RHP)^2))</f>
        <v/>
      </c>
      <c r="H516" s="1049">
        <f>IF(VIN_nom&gt;Vout, 0, -ATAN(A516/z_RHP))</f>
        <v/>
      </c>
      <c r="I516" s="1047">
        <f>SQRT(1+(A516/Pole2)^2)</f>
        <v/>
      </c>
      <c r="J516" s="1050">
        <f>ATAN(A516/Pole2)</f>
        <v/>
      </c>
      <c r="K516" s="1056">
        <f>SQRT(1+(A516/Zero2)^2)</f>
        <v/>
      </c>
      <c r="L516" s="1057">
        <f>ATAN(A516/Zero2)</f>
        <v/>
      </c>
      <c r="M516" s="1047">
        <f>SQRT(1+(A516/pole4)^2)</f>
        <v/>
      </c>
      <c r="N516" s="1057">
        <f>ATAN(A516/pole4)</f>
        <v/>
      </c>
      <c r="O516" s="1058">
        <f>IF(VOUT_setting=1,1,SQRT(1+(A516*zterm1)^2))</f>
        <v/>
      </c>
      <c r="P516" s="1059">
        <f>IF(VOUT_setting=1,0,ATAN(((A516*zterm1))))</f>
        <v/>
      </c>
      <c r="Q516" s="1056">
        <f>IF(VOUT_setting=1,1,SQRT((1+Afbr-$Q$5*(A516)^2)^2+(A516*$Q$4)^2))</f>
        <v/>
      </c>
      <c r="R516" s="1060">
        <f>IF(VOUT_setting=1,0,ATAN(A516*$Q$4/(1+Afbr-$Q$5*(A516)^2)))</f>
        <v/>
      </c>
      <c r="S516" s="1054">
        <f>SQRT((1-(Z516/pterm2))^2+(A516/pterm1)^2)</f>
        <v/>
      </c>
      <c r="T516" s="1055">
        <f>IF((ATAN((A516/pterm1)/(1-A516^2/pterm2))&gt;0),ATAN((A516/pterm1)/(1-A516^2/pterm2)),PI()+ATAN((A516/pterm1)/(1-A516^2/pterm2)))</f>
        <v/>
      </c>
      <c r="U516" s="331">
        <f>20*LOG10(((E516*K516*G516*O516)/(C516*I516*S516*M516*Q516))*Adc)</f>
        <v/>
      </c>
      <c r="V516" s="332">
        <f>((F516+L516+H516+P516)-(D516+J516+T516+N516+R516))*radconv</f>
        <v/>
      </c>
      <c r="W516" s="334">
        <f>IF(V516&gt;0,V516,V516+180)</f>
        <v/>
      </c>
      <c r="Y516" s="307">
        <f>IF(U516&lt;0,A516,1000000000)</f>
        <v/>
      </c>
      <c r="Z516" s="307">
        <f>A516^2</f>
        <v/>
      </c>
      <c r="AB516" s="333">
        <f>20*LOG10((K516/(I516*M516))*AEA)</f>
        <v/>
      </c>
      <c r="AC516" s="334">
        <f>(L516-(J516+N516))*radconv</f>
        <v/>
      </c>
      <c r="AE516" s="333">
        <f>20*LOG10((E516*G516/(C516*S516))*Acs*Am)</f>
        <v/>
      </c>
      <c r="AF516" s="334">
        <f>(F516+H516-(D516+T516))*radconv</f>
        <v/>
      </c>
      <c r="AH516">
        <f>SUM((U517&lt;0)*(U516&gt;0))*A516</f>
        <v/>
      </c>
      <c r="AI516">
        <f>IF(AH516&gt;0,W516,0)</f>
        <v/>
      </c>
    </row>
    <row r="517">
      <c r="A517" s="335" t="n">
        <v>70795</v>
      </c>
      <c r="B517" s="352">
        <f>A517/1000</f>
        <v/>
      </c>
      <c r="C517" s="1047">
        <f>SQRT(1+(A517/pole1)^2)</f>
        <v/>
      </c>
      <c r="D517" s="1048">
        <f>ATAN(A517/pole1)</f>
        <v/>
      </c>
      <c r="E517" s="1048">
        <f>SQRT(1+(A517/Zero1)^2)</f>
        <v/>
      </c>
      <c r="F517" s="1049">
        <f>ATAN(A517/Zero1)</f>
        <v/>
      </c>
      <c r="G517" s="1048">
        <f>IF(VIN_nom&gt;Vout, 1, SQRT(1+(A517/z_RHP)^2))</f>
        <v/>
      </c>
      <c r="H517" s="1049">
        <f>IF(VIN_nom&gt;Vout, 0, -ATAN(A517/z_RHP))</f>
        <v/>
      </c>
      <c r="I517" s="1047">
        <f>SQRT(1+(A517/Pole2)^2)</f>
        <v/>
      </c>
      <c r="J517" s="1050">
        <f>ATAN(A517/Pole2)</f>
        <v/>
      </c>
      <c r="K517" s="1056">
        <f>SQRT(1+(A517/Zero2)^2)</f>
        <v/>
      </c>
      <c r="L517" s="1057">
        <f>ATAN(A517/Zero2)</f>
        <v/>
      </c>
      <c r="M517" s="1047">
        <f>SQRT(1+(A517/pole4)^2)</f>
        <v/>
      </c>
      <c r="N517" s="1057">
        <f>ATAN(A517/pole4)</f>
        <v/>
      </c>
      <c r="O517" s="1058">
        <f>IF(VOUT_setting=1,1,SQRT(1+(A517*zterm1)^2))</f>
        <v/>
      </c>
      <c r="P517" s="1059">
        <f>IF(VOUT_setting=1,0,ATAN(((A517*zterm1))))</f>
        <v/>
      </c>
      <c r="Q517" s="1056">
        <f>IF(VOUT_setting=1,1,SQRT((1+Afbr-$Q$5*(A517)^2)^2+(A517*$Q$4)^2))</f>
        <v/>
      </c>
      <c r="R517" s="1060">
        <f>IF(VOUT_setting=1,0,ATAN(A517*$Q$4/(1+Afbr-$Q$5*(A517)^2)))</f>
        <v/>
      </c>
      <c r="S517" s="1054">
        <f>SQRT((1-(Z517/pterm2))^2+(A517/pterm1)^2)</f>
        <v/>
      </c>
      <c r="T517" s="1055">
        <f>IF((ATAN((A517/pterm1)/(1-A517^2/pterm2))&gt;0),ATAN((A517/pterm1)/(1-A517^2/pterm2)),PI()+ATAN((A517/pterm1)/(1-A517^2/pterm2)))</f>
        <v/>
      </c>
      <c r="U517" s="331">
        <f>20*LOG10(((E517*K517*G517*O517)/(C517*I517*S517*M517*Q517))*Adc)</f>
        <v/>
      </c>
      <c r="V517" s="332">
        <f>((F517+L517+H517+P517)-(D517+J517+T517+N517+R517))*radconv</f>
        <v/>
      </c>
      <c r="W517" s="334">
        <f>IF(V517&gt;0,V517,V517+180)</f>
        <v/>
      </c>
      <c r="Y517" s="307">
        <f>IF(U517&lt;0,A517,1000000000)</f>
        <v/>
      </c>
      <c r="Z517" s="307">
        <f>A517^2</f>
        <v/>
      </c>
      <c r="AB517" s="333">
        <f>20*LOG10((K517/(I517*M517))*AEA)</f>
        <v/>
      </c>
      <c r="AC517" s="334">
        <f>(L517-(J517+N517))*radconv</f>
        <v/>
      </c>
      <c r="AE517" s="333">
        <f>20*LOG10((E517*G517/(C517*S517))*Acs*Am)</f>
        <v/>
      </c>
      <c r="AF517" s="334">
        <f>(F517+H517-(D517+T517))*radconv</f>
        <v/>
      </c>
      <c r="AH517">
        <f>SUM((U518&lt;0)*(U517&gt;0))*A517</f>
        <v/>
      </c>
      <c r="AI517">
        <f>IF(AH517&gt;0,W517,0)</f>
        <v/>
      </c>
    </row>
    <row r="518">
      <c r="A518" s="335" t="n">
        <v>71207.25</v>
      </c>
      <c r="B518" s="352">
        <f>A518/1000</f>
        <v/>
      </c>
      <c r="C518" s="1047">
        <f>SQRT(1+(A518/pole1)^2)</f>
        <v/>
      </c>
      <c r="D518" s="1048">
        <f>ATAN(A518/pole1)</f>
        <v/>
      </c>
      <c r="E518" s="1048">
        <f>SQRT(1+(A518/Zero1)^2)</f>
        <v/>
      </c>
      <c r="F518" s="1049">
        <f>ATAN(A518/Zero1)</f>
        <v/>
      </c>
      <c r="G518" s="1048">
        <f>IF(VIN_nom&gt;Vout, 1, SQRT(1+(A518/z_RHP)^2))</f>
        <v/>
      </c>
      <c r="H518" s="1049">
        <f>IF(VIN_nom&gt;Vout, 0, -ATAN(A518/z_RHP))</f>
        <v/>
      </c>
      <c r="I518" s="1047">
        <f>SQRT(1+(A518/Pole2)^2)</f>
        <v/>
      </c>
      <c r="J518" s="1050">
        <f>ATAN(A518/Pole2)</f>
        <v/>
      </c>
      <c r="K518" s="1056">
        <f>SQRT(1+(A518/Zero2)^2)</f>
        <v/>
      </c>
      <c r="L518" s="1057">
        <f>ATAN(A518/Zero2)</f>
        <v/>
      </c>
      <c r="M518" s="1047">
        <f>SQRT(1+(A518/pole4)^2)</f>
        <v/>
      </c>
      <c r="N518" s="1057">
        <f>ATAN(A518/pole4)</f>
        <v/>
      </c>
      <c r="O518" s="1058">
        <f>IF(VOUT_setting=1,1,SQRT(1+(A518*zterm1)^2))</f>
        <v/>
      </c>
      <c r="P518" s="1059">
        <f>IF(VOUT_setting=1,0,ATAN(((A518*zterm1))))</f>
        <v/>
      </c>
      <c r="Q518" s="1056">
        <f>IF(VOUT_setting=1,1,SQRT((1+Afbr-$Q$5*(A518)^2)^2+(A518*$Q$4)^2))</f>
        <v/>
      </c>
      <c r="R518" s="1060">
        <f>IF(VOUT_setting=1,0,ATAN(A518*$Q$4/(1+Afbr-$Q$5*(A518)^2)))</f>
        <v/>
      </c>
      <c r="S518" s="1054">
        <f>SQRT((1-(Z518/pterm2))^2+(A518/pterm1)^2)</f>
        <v/>
      </c>
      <c r="T518" s="1055">
        <f>IF((ATAN((A518/pterm1)/(1-A518^2/pterm2))&gt;0),ATAN((A518/pterm1)/(1-A518^2/pterm2)),PI()+ATAN((A518/pterm1)/(1-A518^2/pterm2)))</f>
        <v/>
      </c>
      <c r="U518" s="331">
        <f>20*LOG10(((E518*K518*G518*O518)/(C518*I518*S518*M518*Q518))*Adc)</f>
        <v/>
      </c>
      <c r="V518" s="332">
        <f>((F518+L518+H518+P518)-(D518+J518+T518+N518+R518))*radconv</f>
        <v/>
      </c>
      <c r="W518" s="334">
        <f>IF(V518&gt;0,V518,V518+180)</f>
        <v/>
      </c>
      <c r="Y518" s="307">
        <f>IF(U518&lt;0,A518,1000000000)</f>
        <v/>
      </c>
      <c r="Z518" s="307">
        <f>A518^2</f>
        <v/>
      </c>
      <c r="AB518" s="333">
        <f>20*LOG10((K518/(I518*M518))*AEA)</f>
        <v/>
      </c>
      <c r="AC518" s="334">
        <f>(L518-(J518+N518))*radconv</f>
        <v/>
      </c>
      <c r="AE518" s="333">
        <f>20*LOG10((E518*G518/(C518*S518))*Acs*Am)</f>
        <v/>
      </c>
      <c r="AF518" s="334">
        <f>(F518+H518-(D518+T518))*radconv</f>
        <v/>
      </c>
      <c r="AH518">
        <f>SUM((U519&lt;0)*(U518&gt;0))*A518</f>
        <v/>
      </c>
      <c r="AI518">
        <f>IF(AH518&gt;0,W518,0)</f>
        <v/>
      </c>
    </row>
    <row r="519">
      <c r="A519" s="335" t="n">
        <v>71619.5</v>
      </c>
      <c r="B519" s="352">
        <f>A519/1000</f>
        <v/>
      </c>
      <c r="C519" s="1047">
        <f>SQRT(1+(A519/pole1)^2)</f>
        <v/>
      </c>
      <c r="D519" s="1048">
        <f>ATAN(A519/pole1)</f>
        <v/>
      </c>
      <c r="E519" s="1048">
        <f>SQRT(1+(A519/Zero1)^2)</f>
        <v/>
      </c>
      <c r="F519" s="1049">
        <f>ATAN(A519/Zero1)</f>
        <v/>
      </c>
      <c r="G519" s="1048">
        <f>IF(VIN_nom&gt;Vout, 1, SQRT(1+(A519/z_RHP)^2))</f>
        <v/>
      </c>
      <c r="H519" s="1049">
        <f>IF(VIN_nom&gt;Vout, 0, -ATAN(A519/z_RHP))</f>
        <v/>
      </c>
      <c r="I519" s="1047">
        <f>SQRT(1+(A519/Pole2)^2)</f>
        <v/>
      </c>
      <c r="J519" s="1050">
        <f>ATAN(A519/Pole2)</f>
        <v/>
      </c>
      <c r="K519" s="1056">
        <f>SQRT(1+(A519/Zero2)^2)</f>
        <v/>
      </c>
      <c r="L519" s="1057">
        <f>ATAN(A519/Zero2)</f>
        <v/>
      </c>
      <c r="M519" s="1047">
        <f>SQRT(1+(A519/pole4)^2)</f>
        <v/>
      </c>
      <c r="N519" s="1057">
        <f>ATAN(A519/pole4)</f>
        <v/>
      </c>
      <c r="O519" s="1058">
        <f>IF(VOUT_setting=1,1,SQRT(1+(A519*zterm1)^2))</f>
        <v/>
      </c>
      <c r="P519" s="1059">
        <f>IF(VOUT_setting=1,0,ATAN(((A519*zterm1))))</f>
        <v/>
      </c>
      <c r="Q519" s="1056">
        <f>IF(VOUT_setting=1,1,SQRT((1+Afbr-$Q$5*(A519)^2)^2+(A519*$Q$4)^2))</f>
        <v/>
      </c>
      <c r="R519" s="1060">
        <f>IF(VOUT_setting=1,0,ATAN(A519*$Q$4/(1+Afbr-$Q$5*(A519)^2)))</f>
        <v/>
      </c>
      <c r="S519" s="1054">
        <f>SQRT((1-(Z519/pterm2))^2+(A519/pterm1)^2)</f>
        <v/>
      </c>
      <c r="T519" s="1055">
        <f>IF((ATAN((A519/pterm1)/(1-A519^2/pterm2))&gt;0),ATAN((A519/pterm1)/(1-A519^2/pterm2)),PI()+ATAN((A519/pterm1)/(1-A519^2/pterm2)))</f>
        <v/>
      </c>
      <c r="U519" s="331">
        <f>20*LOG10(((E519*K519*G519*O519)/(C519*I519*S519*M519*Q519))*Adc)</f>
        <v/>
      </c>
      <c r="V519" s="332">
        <f>((F519+L519+H519+P519)-(D519+J519+T519+N519+R519))*radconv</f>
        <v/>
      </c>
      <c r="W519" s="334">
        <f>IF(V519&gt;0,V519,V519+180)</f>
        <v/>
      </c>
      <c r="Y519" s="307">
        <f>IF(U519&lt;0,A519,1000000000)</f>
        <v/>
      </c>
      <c r="Z519" s="307">
        <f>A519^2</f>
        <v/>
      </c>
      <c r="AB519" s="333">
        <f>20*LOG10((K519/(I519*M519))*AEA)</f>
        <v/>
      </c>
      <c r="AC519" s="334">
        <f>(L519-(J519+N519))*radconv</f>
        <v/>
      </c>
      <c r="AE519" s="333">
        <f>20*LOG10((E519*G519/(C519*S519))*Acs*Am)</f>
        <v/>
      </c>
      <c r="AF519" s="334">
        <f>(F519+H519-(D519+T519))*radconv</f>
        <v/>
      </c>
      <c r="AH519">
        <f>SUM((U520&lt;0)*(U519&gt;0))*A519</f>
        <v/>
      </c>
      <c r="AI519">
        <f>IF(AH519&gt;0,W519,0)</f>
        <v/>
      </c>
    </row>
    <row r="520">
      <c r="A520" s="335" t="n">
        <v>72031.75</v>
      </c>
      <c r="B520" s="352">
        <f>A520/1000</f>
        <v/>
      </c>
      <c r="C520" s="1047">
        <f>SQRT(1+(A520/pole1)^2)</f>
        <v/>
      </c>
      <c r="D520" s="1048">
        <f>ATAN(A520/pole1)</f>
        <v/>
      </c>
      <c r="E520" s="1048">
        <f>SQRT(1+(A520/Zero1)^2)</f>
        <v/>
      </c>
      <c r="F520" s="1049">
        <f>ATAN(A520/Zero1)</f>
        <v/>
      </c>
      <c r="G520" s="1048">
        <f>IF(VIN_nom&gt;Vout, 1, SQRT(1+(A520/z_RHP)^2))</f>
        <v/>
      </c>
      <c r="H520" s="1049">
        <f>IF(VIN_nom&gt;Vout, 0, -ATAN(A520/z_RHP))</f>
        <v/>
      </c>
      <c r="I520" s="1047">
        <f>SQRT(1+(A520/Pole2)^2)</f>
        <v/>
      </c>
      <c r="J520" s="1050">
        <f>ATAN(A520/Pole2)</f>
        <v/>
      </c>
      <c r="K520" s="1056">
        <f>SQRT(1+(A520/Zero2)^2)</f>
        <v/>
      </c>
      <c r="L520" s="1057">
        <f>ATAN(A520/Zero2)</f>
        <v/>
      </c>
      <c r="M520" s="1047">
        <f>SQRT(1+(A520/pole4)^2)</f>
        <v/>
      </c>
      <c r="N520" s="1057">
        <f>ATAN(A520/pole4)</f>
        <v/>
      </c>
      <c r="O520" s="1058">
        <f>IF(VOUT_setting=1,1,SQRT(1+(A520*zterm1)^2))</f>
        <v/>
      </c>
      <c r="P520" s="1059">
        <f>IF(VOUT_setting=1,0,ATAN(((A520*zterm1))))</f>
        <v/>
      </c>
      <c r="Q520" s="1056">
        <f>IF(VOUT_setting=1,1,SQRT((1+Afbr-$Q$5*(A520)^2)^2+(A520*$Q$4)^2))</f>
        <v/>
      </c>
      <c r="R520" s="1060">
        <f>IF(VOUT_setting=1,0,ATAN(A520*$Q$4/(1+Afbr-$Q$5*(A520)^2)))</f>
        <v/>
      </c>
      <c r="S520" s="1054">
        <f>SQRT((1-(Z520/pterm2))^2+(A520/pterm1)^2)</f>
        <v/>
      </c>
      <c r="T520" s="1055">
        <f>IF((ATAN((A520/pterm1)/(1-A520^2/pterm2))&gt;0),ATAN((A520/pterm1)/(1-A520^2/pterm2)),PI()+ATAN((A520/pterm1)/(1-A520^2/pterm2)))</f>
        <v/>
      </c>
      <c r="U520" s="331">
        <f>20*LOG10(((E520*K520*G520*O520)/(C520*I520*S520*M520*Q520))*Adc)</f>
        <v/>
      </c>
      <c r="V520" s="332">
        <f>((F520+L520+H520+P520)-(D520+J520+T520+N520+R520))*radconv</f>
        <v/>
      </c>
      <c r="W520" s="334">
        <f>IF(V520&gt;0,V520,V520+180)</f>
        <v/>
      </c>
      <c r="Y520" s="307">
        <f>IF(U520&lt;0,A520,1000000000)</f>
        <v/>
      </c>
      <c r="Z520" s="307">
        <f>A520^2</f>
        <v/>
      </c>
      <c r="AB520" s="333">
        <f>20*LOG10((K520/(I520*M520))*AEA)</f>
        <v/>
      </c>
      <c r="AC520" s="334">
        <f>(L520-(J520+N520))*radconv</f>
        <v/>
      </c>
      <c r="AE520" s="333">
        <f>20*LOG10((E520*G520/(C520*S520))*Acs*Am)</f>
        <v/>
      </c>
      <c r="AF520" s="334">
        <f>(F520+H520-(D520+T520))*radconv</f>
        <v/>
      </c>
      <c r="AH520">
        <f>SUM((U521&lt;0)*(U520&gt;0))*A520</f>
        <v/>
      </c>
      <c r="AI520">
        <f>IF(AH520&gt;0,W520,0)</f>
        <v/>
      </c>
    </row>
    <row r="521">
      <c r="A521" s="335" t="n">
        <v>72444</v>
      </c>
      <c r="B521" s="352">
        <f>A521/1000</f>
        <v/>
      </c>
      <c r="C521" s="1047">
        <f>SQRT(1+(A521/pole1)^2)</f>
        <v/>
      </c>
      <c r="D521" s="1048">
        <f>ATAN(A521/pole1)</f>
        <v/>
      </c>
      <c r="E521" s="1048">
        <f>SQRT(1+(A521/Zero1)^2)</f>
        <v/>
      </c>
      <c r="F521" s="1049">
        <f>ATAN(A521/Zero1)</f>
        <v/>
      </c>
      <c r="G521" s="1048">
        <f>IF(VIN_nom&gt;Vout, 1, SQRT(1+(A521/z_RHP)^2))</f>
        <v/>
      </c>
      <c r="H521" s="1049">
        <f>IF(VIN_nom&gt;Vout, 0, -ATAN(A521/z_RHP))</f>
        <v/>
      </c>
      <c r="I521" s="1047">
        <f>SQRT(1+(A521/Pole2)^2)</f>
        <v/>
      </c>
      <c r="J521" s="1050">
        <f>ATAN(A521/Pole2)</f>
        <v/>
      </c>
      <c r="K521" s="1056">
        <f>SQRT(1+(A521/Zero2)^2)</f>
        <v/>
      </c>
      <c r="L521" s="1057">
        <f>ATAN(A521/Zero2)</f>
        <v/>
      </c>
      <c r="M521" s="1047">
        <f>SQRT(1+(A521/pole4)^2)</f>
        <v/>
      </c>
      <c r="N521" s="1057">
        <f>ATAN(A521/pole4)</f>
        <v/>
      </c>
      <c r="O521" s="1058">
        <f>IF(VOUT_setting=1,1,SQRT(1+(A521*zterm1)^2))</f>
        <v/>
      </c>
      <c r="P521" s="1059">
        <f>IF(VOUT_setting=1,0,ATAN(((A521*zterm1))))</f>
        <v/>
      </c>
      <c r="Q521" s="1056">
        <f>IF(VOUT_setting=1,1,SQRT((1+Afbr-$Q$5*(A521)^2)^2+(A521*$Q$4)^2))</f>
        <v/>
      </c>
      <c r="R521" s="1060">
        <f>IF(VOUT_setting=1,0,ATAN(A521*$Q$4/(1+Afbr-$Q$5*(A521)^2)))</f>
        <v/>
      </c>
      <c r="S521" s="1054">
        <f>SQRT((1-(Z521/pterm2))^2+(A521/pterm1)^2)</f>
        <v/>
      </c>
      <c r="T521" s="1055">
        <f>IF((ATAN((A521/pterm1)/(1-A521^2/pterm2))&gt;0),ATAN((A521/pterm1)/(1-A521^2/pterm2)),PI()+ATAN((A521/pterm1)/(1-A521^2/pterm2)))</f>
        <v/>
      </c>
      <c r="U521" s="331">
        <f>20*LOG10(((E521*K521*G521*O521)/(C521*I521*S521*M521*Q521))*Adc)</f>
        <v/>
      </c>
      <c r="V521" s="332">
        <f>((F521+L521+H521+P521)-(D521+J521+T521+N521+R521))*radconv</f>
        <v/>
      </c>
      <c r="W521" s="334">
        <f>IF(V521&gt;0,V521,V521+180)</f>
        <v/>
      </c>
      <c r="Y521" s="307">
        <f>IF(U521&lt;0,A521,1000000000)</f>
        <v/>
      </c>
      <c r="Z521" s="307">
        <f>A521^2</f>
        <v/>
      </c>
      <c r="AB521" s="333">
        <f>20*LOG10((K521/(I521*M521))*AEA)</f>
        <v/>
      </c>
      <c r="AC521" s="334">
        <f>(L521-(J521+N521))*radconv</f>
        <v/>
      </c>
      <c r="AE521" s="333">
        <f>20*LOG10((E521*G521/(C521*S521))*Acs*Am)</f>
        <v/>
      </c>
      <c r="AF521" s="334">
        <f>(F521+H521-(D521+T521))*radconv</f>
        <v/>
      </c>
      <c r="AH521">
        <f>SUM((U522&lt;0)*(U521&gt;0))*A521</f>
        <v/>
      </c>
      <c r="AI521">
        <f>IF(AH521&gt;0,W521,0)</f>
        <v/>
      </c>
    </row>
    <row r="522">
      <c r="A522" s="335" t="n">
        <v>72865.75</v>
      </c>
      <c r="B522" s="352">
        <f>A522/1000</f>
        <v/>
      </c>
      <c r="C522" s="1047">
        <f>SQRT(1+(A522/pole1)^2)</f>
        <v/>
      </c>
      <c r="D522" s="1048">
        <f>ATAN(A522/pole1)</f>
        <v/>
      </c>
      <c r="E522" s="1048">
        <f>SQRT(1+(A522/Zero1)^2)</f>
        <v/>
      </c>
      <c r="F522" s="1049">
        <f>ATAN(A522/Zero1)</f>
        <v/>
      </c>
      <c r="G522" s="1048">
        <f>IF(VIN_nom&gt;Vout, 1, SQRT(1+(A522/z_RHP)^2))</f>
        <v/>
      </c>
      <c r="H522" s="1049">
        <f>IF(VIN_nom&gt;Vout, 0, -ATAN(A522/z_RHP))</f>
        <v/>
      </c>
      <c r="I522" s="1047">
        <f>SQRT(1+(A522/Pole2)^2)</f>
        <v/>
      </c>
      <c r="J522" s="1050">
        <f>ATAN(A522/Pole2)</f>
        <v/>
      </c>
      <c r="K522" s="1056">
        <f>SQRT(1+(A522/Zero2)^2)</f>
        <v/>
      </c>
      <c r="L522" s="1057">
        <f>ATAN(A522/Zero2)</f>
        <v/>
      </c>
      <c r="M522" s="1047">
        <f>SQRT(1+(A522/pole4)^2)</f>
        <v/>
      </c>
      <c r="N522" s="1057">
        <f>ATAN(A522/pole4)</f>
        <v/>
      </c>
      <c r="O522" s="1058">
        <f>IF(VOUT_setting=1,1,SQRT(1+(A522*zterm1)^2))</f>
        <v/>
      </c>
      <c r="P522" s="1059">
        <f>IF(VOUT_setting=1,0,ATAN(((A522*zterm1))))</f>
        <v/>
      </c>
      <c r="Q522" s="1056">
        <f>IF(VOUT_setting=1,1,SQRT((1+Afbr-$Q$5*(A522)^2)^2+(A522*$Q$4)^2))</f>
        <v/>
      </c>
      <c r="R522" s="1060">
        <f>IF(VOUT_setting=1,0,ATAN(A522*$Q$4/(1+Afbr-$Q$5*(A522)^2)))</f>
        <v/>
      </c>
      <c r="S522" s="1054">
        <f>SQRT((1-(Z522/pterm2))^2+(A522/pterm1)^2)</f>
        <v/>
      </c>
      <c r="T522" s="1055">
        <f>IF((ATAN((A522/pterm1)/(1-A522^2/pterm2))&gt;0),ATAN((A522/pterm1)/(1-A522^2/pterm2)),PI()+ATAN((A522/pterm1)/(1-A522^2/pterm2)))</f>
        <v/>
      </c>
      <c r="U522" s="331">
        <f>20*LOG10(((E522*K522*G522*O522)/(C522*I522*S522*M522*Q522))*Adc)</f>
        <v/>
      </c>
      <c r="V522" s="332">
        <f>((F522+L522+H522+P522)-(D522+J522+T522+N522+R522))*radconv</f>
        <v/>
      </c>
      <c r="W522" s="334">
        <f>IF(V522&gt;0,V522,V522+180)</f>
        <v/>
      </c>
      <c r="Y522" s="307">
        <f>IF(U522&lt;0,A522,1000000000)</f>
        <v/>
      </c>
      <c r="Z522" s="307">
        <f>A522^2</f>
        <v/>
      </c>
      <c r="AB522" s="333">
        <f>20*LOG10((K522/(I522*M522))*AEA)</f>
        <v/>
      </c>
      <c r="AC522" s="334">
        <f>(L522-(J522+N522))*radconv</f>
        <v/>
      </c>
      <c r="AE522" s="333">
        <f>20*LOG10((E522*G522/(C522*S522))*Acs*Am)</f>
        <v/>
      </c>
      <c r="AF522" s="334">
        <f>(F522+H522-(D522+T522))*radconv</f>
        <v/>
      </c>
      <c r="AH522">
        <f>SUM((U523&lt;0)*(U522&gt;0))*A522</f>
        <v/>
      </c>
      <c r="AI522">
        <f>IF(AH522&gt;0,W522,0)</f>
        <v/>
      </c>
    </row>
    <row r="523">
      <c r="A523" s="335" t="n">
        <v>73287.5</v>
      </c>
      <c r="B523" s="352">
        <f>A523/1000</f>
        <v/>
      </c>
      <c r="C523" s="1047">
        <f>SQRT(1+(A523/pole1)^2)</f>
        <v/>
      </c>
      <c r="D523" s="1048">
        <f>ATAN(A523/pole1)</f>
        <v/>
      </c>
      <c r="E523" s="1048">
        <f>SQRT(1+(A523/Zero1)^2)</f>
        <v/>
      </c>
      <c r="F523" s="1049">
        <f>ATAN(A523/Zero1)</f>
        <v/>
      </c>
      <c r="G523" s="1048">
        <f>IF(VIN_nom&gt;Vout, 1, SQRT(1+(A523/z_RHP)^2))</f>
        <v/>
      </c>
      <c r="H523" s="1049">
        <f>IF(VIN_nom&gt;Vout, 0, -ATAN(A523/z_RHP))</f>
        <v/>
      </c>
      <c r="I523" s="1047">
        <f>SQRT(1+(A523/Pole2)^2)</f>
        <v/>
      </c>
      <c r="J523" s="1050">
        <f>ATAN(A523/Pole2)</f>
        <v/>
      </c>
      <c r="K523" s="1056">
        <f>SQRT(1+(A523/Zero2)^2)</f>
        <v/>
      </c>
      <c r="L523" s="1057">
        <f>ATAN(A523/Zero2)</f>
        <v/>
      </c>
      <c r="M523" s="1047">
        <f>SQRT(1+(A523/pole4)^2)</f>
        <v/>
      </c>
      <c r="N523" s="1057">
        <f>ATAN(A523/pole4)</f>
        <v/>
      </c>
      <c r="O523" s="1058">
        <f>IF(VOUT_setting=1,1,SQRT(1+(A523*zterm1)^2))</f>
        <v/>
      </c>
      <c r="P523" s="1059">
        <f>IF(VOUT_setting=1,0,ATAN(((A523*zterm1))))</f>
        <v/>
      </c>
      <c r="Q523" s="1056">
        <f>IF(VOUT_setting=1,1,SQRT((1+Afbr-$Q$5*(A523)^2)^2+(A523*$Q$4)^2))</f>
        <v/>
      </c>
      <c r="R523" s="1060">
        <f>IF(VOUT_setting=1,0,ATAN(A523*$Q$4/(1+Afbr-$Q$5*(A523)^2)))</f>
        <v/>
      </c>
      <c r="S523" s="1054">
        <f>SQRT((1-(Z523/pterm2))^2+(A523/pterm1)^2)</f>
        <v/>
      </c>
      <c r="T523" s="1055">
        <f>IF((ATAN((A523/pterm1)/(1-A523^2/pterm2))&gt;0),ATAN((A523/pterm1)/(1-A523^2/pterm2)),PI()+ATAN((A523/pterm1)/(1-A523^2/pterm2)))</f>
        <v/>
      </c>
      <c r="U523" s="331">
        <f>20*LOG10(((E523*K523*G523*O523)/(C523*I523*S523*M523*Q523))*Adc)</f>
        <v/>
      </c>
      <c r="V523" s="332">
        <f>((F523+L523+H523+P523)-(D523+J523+T523+N523+R523))*radconv</f>
        <v/>
      </c>
      <c r="W523" s="334">
        <f>IF(V523&gt;0,V523,V523+180)</f>
        <v/>
      </c>
      <c r="Y523" s="307">
        <f>IF(U523&lt;0,A523,1000000000)</f>
        <v/>
      </c>
      <c r="Z523" s="307">
        <f>A523^2</f>
        <v/>
      </c>
      <c r="AB523" s="333">
        <f>20*LOG10((K523/(I523*M523))*AEA)</f>
        <v/>
      </c>
      <c r="AC523" s="334">
        <f>(L523-(J523+N523))*radconv</f>
        <v/>
      </c>
      <c r="AE523" s="333">
        <f>20*LOG10((E523*G523/(C523*S523))*Acs*Am)</f>
        <v/>
      </c>
      <c r="AF523" s="334">
        <f>(F523+H523-(D523+T523))*radconv</f>
        <v/>
      </c>
      <c r="AH523">
        <f>SUM((U524&lt;0)*(U523&gt;0))*A523</f>
        <v/>
      </c>
      <c r="AI523">
        <f>IF(AH523&gt;0,W523,0)</f>
        <v/>
      </c>
    </row>
    <row r="524">
      <c r="A524" s="335" t="n">
        <v>73709.25</v>
      </c>
      <c r="B524" s="352">
        <f>A524/1000</f>
        <v/>
      </c>
      <c r="C524" s="1047">
        <f>SQRT(1+(A524/pole1)^2)</f>
        <v/>
      </c>
      <c r="D524" s="1048">
        <f>ATAN(A524/pole1)</f>
        <v/>
      </c>
      <c r="E524" s="1048">
        <f>SQRT(1+(A524/Zero1)^2)</f>
        <v/>
      </c>
      <c r="F524" s="1049">
        <f>ATAN(A524/Zero1)</f>
        <v/>
      </c>
      <c r="G524" s="1048">
        <f>IF(VIN_nom&gt;Vout, 1, SQRT(1+(A524/z_RHP)^2))</f>
        <v/>
      </c>
      <c r="H524" s="1049">
        <f>IF(VIN_nom&gt;Vout, 0, -ATAN(A524/z_RHP))</f>
        <v/>
      </c>
      <c r="I524" s="1047">
        <f>SQRT(1+(A524/Pole2)^2)</f>
        <v/>
      </c>
      <c r="J524" s="1050">
        <f>ATAN(A524/Pole2)</f>
        <v/>
      </c>
      <c r="K524" s="1056">
        <f>SQRT(1+(A524/Zero2)^2)</f>
        <v/>
      </c>
      <c r="L524" s="1057">
        <f>ATAN(A524/Zero2)</f>
        <v/>
      </c>
      <c r="M524" s="1047">
        <f>SQRT(1+(A524/pole4)^2)</f>
        <v/>
      </c>
      <c r="N524" s="1057">
        <f>ATAN(A524/pole4)</f>
        <v/>
      </c>
      <c r="O524" s="1058">
        <f>IF(VOUT_setting=1,1,SQRT(1+(A524*zterm1)^2))</f>
        <v/>
      </c>
      <c r="P524" s="1059">
        <f>IF(VOUT_setting=1,0,ATAN(((A524*zterm1))))</f>
        <v/>
      </c>
      <c r="Q524" s="1056">
        <f>IF(VOUT_setting=1,1,SQRT((1+Afbr-$Q$5*(A524)^2)^2+(A524*$Q$4)^2))</f>
        <v/>
      </c>
      <c r="R524" s="1060">
        <f>IF(VOUT_setting=1,0,ATAN(A524*$Q$4/(1+Afbr-$Q$5*(A524)^2)))</f>
        <v/>
      </c>
      <c r="S524" s="1054">
        <f>SQRT((1-(Z524/pterm2))^2+(A524/pterm1)^2)</f>
        <v/>
      </c>
      <c r="T524" s="1055">
        <f>IF((ATAN((A524/pterm1)/(1-A524^2/pterm2))&gt;0),ATAN((A524/pterm1)/(1-A524^2/pterm2)),PI()+ATAN((A524/pterm1)/(1-A524^2/pterm2)))</f>
        <v/>
      </c>
      <c r="U524" s="331">
        <f>20*LOG10(((E524*K524*G524*O524)/(C524*I524*S524*M524*Q524))*Adc)</f>
        <v/>
      </c>
      <c r="V524" s="332">
        <f>((F524+L524+H524+P524)-(D524+J524+T524+N524+R524))*radconv</f>
        <v/>
      </c>
      <c r="W524" s="334">
        <f>IF(V524&gt;0,V524,V524+180)</f>
        <v/>
      </c>
      <c r="Y524" s="307">
        <f>IF(U524&lt;0,A524,1000000000)</f>
        <v/>
      </c>
      <c r="Z524" s="307">
        <f>A524^2</f>
        <v/>
      </c>
      <c r="AB524" s="333">
        <f>20*LOG10((K524/(I524*M524))*AEA)</f>
        <v/>
      </c>
      <c r="AC524" s="334">
        <f>(L524-(J524+N524))*radconv</f>
        <v/>
      </c>
      <c r="AE524" s="333">
        <f>20*LOG10((E524*G524/(C524*S524))*Acs*Am)</f>
        <v/>
      </c>
      <c r="AF524" s="334">
        <f>(F524+H524-(D524+T524))*radconv</f>
        <v/>
      </c>
      <c r="AH524">
        <f>SUM((U525&lt;0)*(U524&gt;0))*A524</f>
        <v/>
      </c>
      <c r="AI524">
        <f>IF(AH524&gt;0,W524,0)</f>
        <v/>
      </c>
    </row>
    <row r="525">
      <c r="A525" s="335" t="n">
        <v>74131</v>
      </c>
      <c r="B525" s="352">
        <f>A525/1000</f>
        <v/>
      </c>
      <c r="C525" s="1047">
        <f>SQRT(1+(A525/pole1)^2)</f>
        <v/>
      </c>
      <c r="D525" s="1048">
        <f>ATAN(A525/pole1)</f>
        <v/>
      </c>
      <c r="E525" s="1048">
        <f>SQRT(1+(A525/Zero1)^2)</f>
        <v/>
      </c>
      <c r="F525" s="1049">
        <f>ATAN(A525/Zero1)</f>
        <v/>
      </c>
      <c r="G525" s="1048">
        <f>IF(VIN_nom&gt;Vout, 1, SQRT(1+(A525/z_RHP)^2))</f>
        <v/>
      </c>
      <c r="H525" s="1049">
        <f>IF(VIN_nom&gt;Vout, 0, -ATAN(A525/z_RHP))</f>
        <v/>
      </c>
      <c r="I525" s="1047">
        <f>SQRT(1+(A525/Pole2)^2)</f>
        <v/>
      </c>
      <c r="J525" s="1050">
        <f>ATAN(A525/Pole2)</f>
        <v/>
      </c>
      <c r="K525" s="1056">
        <f>SQRT(1+(A525/Zero2)^2)</f>
        <v/>
      </c>
      <c r="L525" s="1057">
        <f>ATAN(A525/Zero2)</f>
        <v/>
      </c>
      <c r="M525" s="1047">
        <f>SQRT(1+(A525/pole4)^2)</f>
        <v/>
      </c>
      <c r="N525" s="1057">
        <f>ATAN(A525/pole4)</f>
        <v/>
      </c>
      <c r="O525" s="1058">
        <f>IF(VOUT_setting=1,1,SQRT(1+(A525*zterm1)^2))</f>
        <v/>
      </c>
      <c r="P525" s="1059">
        <f>IF(VOUT_setting=1,0,ATAN(((A525*zterm1))))</f>
        <v/>
      </c>
      <c r="Q525" s="1056">
        <f>IF(VOUT_setting=1,1,SQRT((1+Afbr-$Q$5*(A525)^2)^2+(A525*$Q$4)^2))</f>
        <v/>
      </c>
      <c r="R525" s="1060">
        <f>IF(VOUT_setting=1,0,ATAN(A525*$Q$4/(1+Afbr-$Q$5*(A525)^2)))</f>
        <v/>
      </c>
      <c r="S525" s="1054">
        <f>SQRT((1-(Z525/pterm2))^2+(A525/pterm1)^2)</f>
        <v/>
      </c>
      <c r="T525" s="1055">
        <f>IF((ATAN((A525/pterm1)/(1-A525^2/pterm2))&gt;0),ATAN((A525/pterm1)/(1-A525^2/pterm2)),PI()+ATAN((A525/pterm1)/(1-A525^2/pterm2)))</f>
        <v/>
      </c>
      <c r="U525" s="331">
        <f>20*LOG10(((E525*K525*G525*O525)/(C525*I525*S525*M525*Q525))*Adc)</f>
        <v/>
      </c>
      <c r="V525" s="332">
        <f>((F525+L525+H525+P525)-(D525+J525+T525+N525+R525))*radconv</f>
        <v/>
      </c>
      <c r="W525" s="334">
        <f>IF(V525&gt;0,V525,V525+180)</f>
        <v/>
      </c>
      <c r="Y525" s="307">
        <f>IF(U525&lt;0,A525,1000000000)</f>
        <v/>
      </c>
      <c r="Z525" s="307">
        <f>A525^2</f>
        <v/>
      </c>
      <c r="AB525" s="333">
        <f>20*LOG10((K525/(I525*M525))*AEA)</f>
        <v/>
      </c>
      <c r="AC525" s="334">
        <f>(L525-(J525+N525))*radconv</f>
        <v/>
      </c>
      <c r="AE525" s="333">
        <f>20*LOG10((E525*G525/(C525*S525))*Acs*Am)</f>
        <v/>
      </c>
      <c r="AF525" s="334">
        <f>(F525+H525-(D525+T525))*radconv</f>
        <v/>
      </c>
      <c r="AH525">
        <f>SUM((U526&lt;0)*(U525&gt;0))*A525</f>
        <v/>
      </c>
      <c r="AI525">
        <f>IF(AH525&gt;0,W525,0)</f>
        <v/>
      </c>
    </row>
    <row r="526">
      <c r="A526" s="335" t="n">
        <v>74562.75</v>
      </c>
      <c r="B526" s="352">
        <f>A526/1000</f>
        <v/>
      </c>
      <c r="C526" s="1047">
        <f>SQRT(1+(A526/pole1)^2)</f>
        <v/>
      </c>
      <c r="D526" s="1048">
        <f>ATAN(A526/pole1)</f>
        <v/>
      </c>
      <c r="E526" s="1048">
        <f>SQRT(1+(A526/Zero1)^2)</f>
        <v/>
      </c>
      <c r="F526" s="1049">
        <f>ATAN(A526/Zero1)</f>
        <v/>
      </c>
      <c r="G526" s="1048">
        <f>IF(VIN_nom&gt;Vout, 1, SQRT(1+(A526/z_RHP)^2))</f>
        <v/>
      </c>
      <c r="H526" s="1049">
        <f>IF(VIN_nom&gt;Vout, 0, -ATAN(A526/z_RHP))</f>
        <v/>
      </c>
      <c r="I526" s="1047">
        <f>SQRT(1+(A526/Pole2)^2)</f>
        <v/>
      </c>
      <c r="J526" s="1050">
        <f>ATAN(A526/Pole2)</f>
        <v/>
      </c>
      <c r="K526" s="1056">
        <f>SQRT(1+(A526/Zero2)^2)</f>
        <v/>
      </c>
      <c r="L526" s="1057">
        <f>ATAN(A526/Zero2)</f>
        <v/>
      </c>
      <c r="M526" s="1047">
        <f>SQRT(1+(A526/pole4)^2)</f>
        <v/>
      </c>
      <c r="N526" s="1057">
        <f>ATAN(A526/pole4)</f>
        <v/>
      </c>
      <c r="O526" s="1058">
        <f>IF(VOUT_setting=1,1,SQRT(1+(A526*zterm1)^2))</f>
        <v/>
      </c>
      <c r="P526" s="1059">
        <f>IF(VOUT_setting=1,0,ATAN(((A526*zterm1))))</f>
        <v/>
      </c>
      <c r="Q526" s="1056">
        <f>IF(VOUT_setting=1,1,SQRT((1+Afbr-$Q$5*(A526)^2)^2+(A526*$Q$4)^2))</f>
        <v/>
      </c>
      <c r="R526" s="1060">
        <f>IF(VOUT_setting=1,0,ATAN(A526*$Q$4/(1+Afbr-$Q$5*(A526)^2)))</f>
        <v/>
      </c>
      <c r="S526" s="1054">
        <f>SQRT((1-(Z526/pterm2))^2+(A526/pterm1)^2)</f>
        <v/>
      </c>
      <c r="T526" s="1055">
        <f>IF((ATAN((A526/pterm1)/(1-A526^2/pterm2))&gt;0),ATAN((A526/pterm1)/(1-A526^2/pterm2)),PI()+ATAN((A526/pterm1)/(1-A526^2/pterm2)))</f>
        <v/>
      </c>
      <c r="U526" s="331">
        <f>20*LOG10(((E526*K526*G526*O526)/(C526*I526*S526*M526*Q526))*Adc)</f>
        <v/>
      </c>
      <c r="V526" s="332">
        <f>((F526+L526+H526+P526)-(D526+J526+T526+N526+R526))*radconv</f>
        <v/>
      </c>
      <c r="W526" s="334">
        <f>IF(V526&gt;0,V526,V526+180)</f>
        <v/>
      </c>
      <c r="Y526" s="307">
        <f>IF(U526&lt;0,A526,1000000000)</f>
        <v/>
      </c>
      <c r="Z526" s="307">
        <f>A526^2</f>
        <v/>
      </c>
      <c r="AB526" s="333">
        <f>20*LOG10((K526/(I526*M526))*AEA)</f>
        <v/>
      </c>
      <c r="AC526" s="334">
        <f>(L526-(J526+N526))*radconv</f>
        <v/>
      </c>
      <c r="AE526" s="333">
        <f>20*LOG10((E526*G526/(C526*S526))*Acs*Am)</f>
        <v/>
      </c>
      <c r="AF526" s="334">
        <f>(F526+H526-(D526+T526))*radconv</f>
        <v/>
      </c>
      <c r="AH526">
        <f>SUM((U527&lt;0)*(U526&gt;0))*A526</f>
        <v/>
      </c>
      <c r="AI526">
        <f>IF(AH526&gt;0,W526,0)</f>
        <v/>
      </c>
    </row>
    <row r="527">
      <c r="A527" s="335" t="n">
        <v>74994.5</v>
      </c>
      <c r="B527" s="352">
        <f>A527/1000</f>
        <v/>
      </c>
      <c r="C527" s="1047">
        <f>SQRT(1+(A527/pole1)^2)</f>
        <v/>
      </c>
      <c r="D527" s="1048">
        <f>ATAN(A527/pole1)</f>
        <v/>
      </c>
      <c r="E527" s="1048">
        <f>SQRT(1+(A527/Zero1)^2)</f>
        <v/>
      </c>
      <c r="F527" s="1049">
        <f>ATAN(A527/Zero1)</f>
        <v/>
      </c>
      <c r="G527" s="1048">
        <f>IF(VIN_nom&gt;Vout, 1, SQRT(1+(A527/z_RHP)^2))</f>
        <v/>
      </c>
      <c r="H527" s="1049">
        <f>IF(VIN_nom&gt;Vout, 0, -ATAN(A527/z_RHP))</f>
        <v/>
      </c>
      <c r="I527" s="1047">
        <f>SQRT(1+(A527/Pole2)^2)</f>
        <v/>
      </c>
      <c r="J527" s="1050">
        <f>ATAN(A527/Pole2)</f>
        <v/>
      </c>
      <c r="K527" s="1056">
        <f>SQRT(1+(A527/Zero2)^2)</f>
        <v/>
      </c>
      <c r="L527" s="1057">
        <f>ATAN(A527/Zero2)</f>
        <v/>
      </c>
      <c r="M527" s="1047">
        <f>SQRT(1+(A527/pole4)^2)</f>
        <v/>
      </c>
      <c r="N527" s="1057">
        <f>ATAN(A527/pole4)</f>
        <v/>
      </c>
      <c r="O527" s="1058">
        <f>IF(VOUT_setting=1,1,SQRT(1+(A527*zterm1)^2))</f>
        <v/>
      </c>
      <c r="P527" s="1059">
        <f>IF(VOUT_setting=1,0,ATAN(((A527*zterm1))))</f>
        <v/>
      </c>
      <c r="Q527" s="1056">
        <f>IF(VOUT_setting=1,1,SQRT((1+Afbr-$Q$5*(A527)^2)^2+(A527*$Q$4)^2))</f>
        <v/>
      </c>
      <c r="R527" s="1060">
        <f>IF(VOUT_setting=1,0,ATAN(A527*$Q$4/(1+Afbr-$Q$5*(A527)^2)))</f>
        <v/>
      </c>
      <c r="S527" s="1054">
        <f>SQRT((1-(Z527/pterm2))^2+(A527/pterm1)^2)</f>
        <v/>
      </c>
      <c r="T527" s="1055">
        <f>IF((ATAN((A527/pterm1)/(1-A527^2/pterm2))&gt;0),ATAN((A527/pterm1)/(1-A527^2/pterm2)),PI()+ATAN((A527/pterm1)/(1-A527^2/pterm2)))</f>
        <v/>
      </c>
      <c r="U527" s="331">
        <f>20*LOG10(((E527*K527*G527*O527)/(C527*I527*S527*M527*Q527))*Adc)</f>
        <v/>
      </c>
      <c r="V527" s="332">
        <f>((F527+L527+H527+P527)-(D527+J527+T527+N527+R527))*radconv</f>
        <v/>
      </c>
      <c r="W527" s="334">
        <f>IF(V527&gt;0,V527,V527+180)</f>
        <v/>
      </c>
      <c r="Y527" s="307">
        <f>IF(U527&lt;0,A527,1000000000)</f>
        <v/>
      </c>
      <c r="Z527" s="307">
        <f>A527^2</f>
        <v/>
      </c>
      <c r="AB527" s="333">
        <f>20*LOG10((K527/(I527*M527))*AEA)</f>
        <v/>
      </c>
      <c r="AC527" s="334">
        <f>(L527-(J527+N527))*radconv</f>
        <v/>
      </c>
      <c r="AE527" s="333">
        <f>20*LOG10((E527*G527/(C527*S527))*Acs*Am)</f>
        <v/>
      </c>
      <c r="AF527" s="334">
        <f>(F527+H527-(D527+T527))*radconv</f>
        <v/>
      </c>
      <c r="AH527">
        <f>SUM((U528&lt;0)*(U527&gt;0))*A527</f>
        <v/>
      </c>
      <c r="AI527">
        <f>IF(AH527&gt;0,W527,0)</f>
        <v/>
      </c>
    </row>
    <row r="528">
      <c r="A528" s="335" t="n">
        <v>75426.25</v>
      </c>
      <c r="B528" s="352">
        <f>A528/1000</f>
        <v/>
      </c>
      <c r="C528" s="1047">
        <f>SQRT(1+(A528/pole1)^2)</f>
        <v/>
      </c>
      <c r="D528" s="1048">
        <f>ATAN(A528/pole1)</f>
        <v/>
      </c>
      <c r="E528" s="1048">
        <f>SQRT(1+(A528/Zero1)^2)</f>
        <v/>
      </c>
      <c r="F528" s="1049">
        <f>ATAN(A528/Zero1)</f>
        <v/>
      </c>
      <c r="G528" s="1048">
        <f>IF(VIN_nom&gt;Vout, 1, SQRT(1+(A528/z_RHP)^2))</f>
        <v/>
      </c>
      <c r="H528" s="1049">
        <f>IF(VIN_nom&gt;Vout, 0, -ATAN(A528/z_RHP))</f>
        <v/>
      </c>
      <c r="I528" s="1047">
        <f>SQRT(1+(A528/Pole2)^2)</f>
        <v/>
      </c>
      <c r="J528" s="1050">
        <f>ATAN(A528/Pole2)</f>
        <v/>
      </c>
      <c r="K528" s="1056">
        <f>SQRT(1+(A528/Zero2)^2)</f>
        <v/>
      </c>
      <c r="L528" s="1057">
        <f>ATAN(A528/Zero2)</f>
        <v/>
      </c>
      <c r="M528" s="1047">
        <f>SQRT(1+(A528/pole4)^2)</f>
        <v/>
      </c>
      <c r="N528" s="1057">
        <f>ATAN(A528/pole4)</f>
        <v/>
      </c>
      <c r="O528" s="1058">
        <f>IF(VOUT_setting=1,1,SQRT(1+(A528*zterm1)^2))</f>
        <v/>
      </c>
      <c r="P528" s="1059">
        <f>IF(VOUT_setting=1,0,ATAN(((A528*zterm1))))</f>
        <v/>
      </c>
      <c r="Q528" s="1056">
        <f>IF(VOUT_setting=1,1,SQRT((1+Afbr-$Q$5*(A528)^2)^2+(A528*$Q$4)^2))</f>
        <v/>
      </c>
      <c r="R528" s="1060">
        <f>IF(VOUT_setting=1,0,ATAN(A528*$Q$4/(1+Afbr-$Q$5*(A528)^2)))</f>
        <v/>
      </c>
      <c r="S528" s="1054">
        <f>SQRT((1-(Z528/pterm2))^2+(A528/pterm1)^2)</f>
        <v/>
      </c>
      <c r="T528" s="1055">
        <f>IF((ATAN((A528/pterm1)/(1-A528^2/pterm2))&gt;0),ATAN((A528/pterm1)/(1-A528^2/pterm2)),PI()+ATAN((A528/pterm1)/(1-A528^2/pterm2)))</f>
        <v/>
      </c>
      <c r="U528" s="331">
        <f>20*LOG10(((E528*K528*G528*O528)/(C528*I528*S528*M528*Q528))*Adc)</f>
        <v/>
      </c>
      <c r="V528" s="332">
        <f>((F528+L528+H528+P528)-(D528+J528+T528+N528+R528))*radconv</f>
        <v/>
      </c>
      <c r="W528" s="334">
        <f>IF(V528&gt;0,V528,V528+180)</f>
        <v/>
      </c>
      <c r="Y528" s="307">
        <f>IF(U528&lt;0,A528,1000000000)</f>
        <v/>
      </c>
      <c r="Z528" s="307">
        <f>A528^2</f>
        <v/>
      </c>
      <c r="AB528" s="333">
        <f>20*LOG10((K528/(I528*M528))*AEA)</f>
        <v/>
      </c>
      <c r="AC528" s="334">
        <f>(L528-(J528+N528))*radconv</f>
        <v/>
      </c>
      <c r="AE528" s="333">
        <f>20*LOG10((E528*G528/(C528*S528))*Acs*Am)</f>
        <v/>
      </c>
      <c r="AF528" s="334">
        <f>(F528+H528-(D528+T528))*radconv</f>
        <v/>
      </c>
      <c r="AH528">
        <f>SUM((U529&lt;0)*(U528&gt;0))*A528</f>
        <v/>
      </c>
      <c r="AI528">
        <f>IF(AH528&gt;0,W528,0)</f>
        <v/>
      </c>
    </row>
    <row r="529">
      <c r="A529" s="335" t="n">
        <v>75858</v>
      </c>
      <c r="B529" s="352">
        <f>A529/1000</f>
        <v/>
      </c>
      <c r="C529" s="1047">
        <f>SQRT(1+(A529/pole1)^2)</f>
        <v/>
      </c>
      <c r="D529" s="1048">
        <f>ATAN(A529/pole1)</f>
        <v/>
      </c>
      <c r="E529" s="1048">
        <f>SQRT(1+(A529/Zero1)^2)</f>
        <v/>
      </c>
      <c r="F529" s="1049">
        <f>ATAN(A529/Zero1)</f>
        <v/>
      </c>
      <c r="G529" s="1048">
        <f>IF(VIN_nom&gt;Vout, 1, SQRT(1+(A529/z_RHP)^2))</f>
        <v/>
      </c>
      <c r="H529" s="1049">
        <f>IF(VIN_nom&gt;Vout, 0, -ATAN(A529/z_RHP))</f>
        <v/>
      </c>
      <c r="I529" s="1047">
        <f>SQRT(1+(A529/Pole2)^2)</f>
        <v/>
      </c>
      <c r="J529" s="1050">
        <f>ATAN(A529/Pole2)</f>
        <v/>
      </c>
      <c r="K529" s="1056">
        <f>SQRT(1+(A529/Zero2)^2)</f>
        <v/>
      </c>
      <c r="L529" s="1057">
        <f>ATAN(A529/Zero2)</f>
        <v/>
      </c>
      <c r="M529" s="1047">
        <f>SQRT(1+(A529/pole4)^2)</f>
        <v/>
      </c>
      <c r="N529" s="1057">
        <f>ATAN(A529/pole4)</f>
        <v/>
      </c>
      <c r="O529" s="1058">
        <f>IF(VOUT_setting=1,1,SQRT(1+(A529*zterm1)^2))</f>
        <v/>
      </c>
      <c r="P529" s="1059">
        <f>IF(VOUT_setting=1,0,ATAN(((A529*zterm1))))</f>
        <v/>
      </c>
      <c r="Q529" s="1056">
        <f>IF(VOUT_setting=1,1,SQRT((1+Afbr-$Q$5*(A529)^2)^2+(A529*$Q$4)^2))</f>
        <v/>
      </c>
      <c r="R529" s="1060">
        <f>IF(VOUT_setting=1,0,ATAN(A529*$Q$4/(1+Afbr-$Q$5*(A529)^2)))</f>
        <v/>
      </c>
      <c r="S529" s="1054">
        <f>SQRT((1-(Z529/pterm2))^2+(A529/pterm1)^2)</f>
        <v/>
      </c>
      <c r="T529" s="1055">
        <f>IF((ATAN((A529/pterm1)/(1-A529^2/pterm2))&gt;0),ATAN((A529/pterm1)/(1-A529^2/pterm2)),PI()+ATAN((A529/pterm1)/(1-A529^2/pterm2)))</f>
        <v/>
      </c>
      <c r="U529" s="331">
        <f>20*LOG10(((E529*K529*G529*O529)/(C529*I529*S529*M529*Q529))*Adc)</f>
        <v/>
      </c>
      <c r="V529" s="332">
        <f>((F529+L529+H529+P529)-(D529+J529+T529+N529+R529))*radconv</f>
        <v/>
      </c>
      <c r="W529" s="334">
        <f>IF(V529&gt;0,V529,V529+180)</f>
        <v/>
      </c>
      <c r="Y529" s="307">
        <f>IF(U529&lt;0,A529,1000000000)</f>
        <v/>
      </c>
      <c r="Z529" s="307">
        <f>A529^2</f>
        <v/>
      </c>
      <c r="AB529" s="333">
        <f>20*LOG10((K529/(I529*M529))*AEA)</f>
        <v/>
      </c>
      <c r="AC529" s="334">
        <f>(L529-(J529+N529))*radconv</f>
        <v/>
      </c>
      <c r="AE529" s="333">
        <f>20*LOG10((E529*G529/(C529*S529))*Acs*Am)</f>
        <v/>
      </c>
      <c r="AF529" s="334">
        <f>(F529+H529-(D529+T529))*radconv</f>
        <v/>
      </c>
      <c r="AH529">
        <f>SUM((U530&lt;0)*(U529&gt;0))*A529</f>
        <v/>
      </c>
      <c r="AI529">
        <f>IF(AH529&gt;0,W529,0)</f>
        <v/>
      </c>
    </row>
    <row r="530">
      <c r="A530" s="335" t="n">
        <v>76299.75</v>
      </c>
      <c r="B530" s="352">
        <f>A530/1000</f>
        <v/>
      </c>
      <c r="C530" s="1047">
        <f>SQRT(1+(A530/pole1)^2)</f>
        <v/>
      </c>
      <c r="D530" s="1048">
        <f>ATAN(A530/pole1)</f>
        <v/>
      </c>
      <c r="E530" s="1048">
        <f>SQRT(1+(A530/Zero1)^2)</f>
        <v/>
      </c>
      <c r="F530" s="1049">
        <f>ATAN(A530/Zero1)</f>
        <v/>
      </c>
      <c r="G530" s="1048">
        <f>IF(VIN_nom&gt;Vout, 1, SQRT(1+(A530/z_RHP)^2))</f>
        <v/>
      </c>
      <c r="H530" s="1049">
        <f>IF(VIN_nom&gt;Vout, 0, -ATAN(A530/z_RHP))</f>
        <v/>
      </c>
      <c r="I530" s="1047">
        <f>SQRT(1+(A530/Pole2)^2)</f>
        <v/>
      </c>
      <c r="J530" s="1050">
        <f>ATAN(A530/Pole2)</f>
        <v/>
      </c>
      <c r="K530" s="1056">
        <f>SQRT(1+(A530/Zero2)^2)</f>
        <v/>
      </c>
      <c r="L530" s="1057">
        <f>ATAN(A530/Zero2)</f>
        <v/>
      </c>
      <c r="M530" s="1047">
        <f>SQRT(1+(A530/pole4)^2)</f>
        <v/>
      </c>
      <c r="N530" s="1057">
        <f>ATAN(A530/pole4)</f>
        <v/>
      </c>
      <c r="O530" s="1058">
        <f>IF(VOUT_setting=1,1,SQRT(1+(A530*zterm1)^2))</f>
        <v/>
      </c>
      <c r="P530" s="1059">
        <f>IF(VOUT_setting=1,0,ATAN(((A530*zterm1))))</f>
        <v/>
      </c>
      <c r="Q530" s="1056">
        <f>IF(VOUT_setting=1,1,SQRT((1+Afbr-$Q$5*(A530)^2)^2+(A530*$Q$4)^2))</f>
        <v/>
      </c>
      <c r="R530" s="1060">
        <f>IF(VOUT_setting=1,0,ATAN(A530*$Q$4/(1+Afbr-$Q$5*(A530)^2)))</f>
        <v/>
      </c>
      <c r="S530" s="1054">
        <f>SQRT((1-(Z530/pterm2))^2+(A530/pterm1)^2)</f>
        <v/>
      </c>
      <c r="T530" s="1055">
        <f>IF((ATAN((A530/pterm1)/(1-A530^2/pterm2))&gt;0),ATAN((A530/pterm1)/(1-A530^2/pterm2)),PI()+ATAN((A530/pterm1)/(1-A530^2/pterm2)))</f>
        <v/>
      </c>
      <c r="U530" s="331">
        <f>20*LOG10(((E530*K530*G530*O530)/(C530*I530*S530*M530*Q530))*Adc)</f>
        <v/>
      </c>
      <c r="V530" s="332">
        <f>((F530+L530+H530+P530)-(D530+J530+T530+N530+R530))*radconv</f>
        <v/>
      </c>
      <c r="W530" s="334">
        <f>IF(V530&gt;0,V530,V530+180)</f>
        <v/>
      </c>
      <c r="Y530" s="307">
        <f>IF(U530&lt;0,A530,1000000000)</f>
        <v/>
      </c>
      <c r="Z530" s="307">
        <f>A530^2</f>
        <v/>
      </c>
      <c r="AB530" s="333">
        <f>20*LOG10((K530/(I530*M530))*AEA)</f>
        <v/>
      </c>
      <c r="AC530" s="334">
        <f>(L530-(J530+N530))*radconv</f>
        <v/>
      </c>
      <c r="AE530" s="333">
        <f>20*LOG10((E530*G530/(C530*S530))*Acs*Am)</f>
        <v/>
      </c>
      <c r="AF530" s="334">
        <f>(F530+H530-(D530+T530))*radconv</f>
        <v/>
      </c>
      <c r="AH530">
        <f>SUM((U531&lt;0)*(U530&gt;0))*A530</f>
        <v/>
      </c>
      <c r="AI530">
        <f>IF(AH530&gt;0,W530,0)</f>
        <v/>
      </c>
    </row>
    <row r="531">
      <c r="A531" s="335" t="n">
        <v>76741.5</v>
      </c>
      <c r="B531" s="352">
        <f>A531/1000</f>
        <v/>
      </c>
      <c r="C531" s="1047">
        <f>SQRT(1+(A531/pole1)^2)</f>
        <v/>
      </c>
      <c r="D531" s="1048">
        <f>ATAN(A531/pole1)</f>
        <v/>
      </c>
      <c r="E531" s="1048">
        <f>SQRT(1+(A531/Zero1)^2)</f>
        <v/>
      </c>
      <c r="F531" s="1049">
        <f>ATAN(A531/Zero1)</f>
        <v/>
      </c>
      <c r="G531" s="1048">
        <f>IF(VIN_nom&gt;Vout, 1, SQRT(1+(A531/z_RHP)^2))</f>
        <v/>
      </c>
      <c r="H531" s="1049">
        <f>IF(VIN_nom&gt;Vout, 0, -ATAN(A531/z_RHP))</f>
        <v/>
      </c>
      <c r="I531" s="1047">
        <f>SQRT(1+(A531/Pole2)^2)</f>
        <v/>
      </c>
      <c r="J531" s="1050">
        <f>ATAN(A531/Pole2)</f>
        <v/>
      </c>
      <c r="K531" s="1056">
        <f>SQRT(1+(A531/Zero2)^2)</f>
        <v/>
      </c>
      <c r="L531" s="1057">
        <f>ATAN(A531/Zero2)</f>
        <v/>
      </c>
      <c r="M531" s="1047">
        <f>SQRT(1+(A531/pole4)^2)</f>
        <v/>
      </c>
      <c r="N531" s="1057">
        <f>ATAN(A531/pole4)</f>
        <v/>
      </c>
      <c r="O531" s="1058">
        <f>IF(VOUT_setting=1,1,SQRT(1+(A531*zterm1)^2))</f>
        <v/>
      </c>
      <c r="P531" s="1059">
        <f>IF(VOUT_setting=1,0,ATAN(((A531*zterm1))))</f>
        <v/>
      </c>
      <c r="Q531" s="1056">
        <f>IF(VOUT_setting=1,1,SQRT((1+Afbr-$Q$5*(A531)^2)^2+(A531*$Q$4)^2))</f>
        <v/>
      </c>
      <c r="R531" s="1060">
        <f>IF(VOUT_setting=1,0,ATAN(A531*$Q$4/(1+Afbr-$Q$5*(A531)^2)))</f>
        <v/>
      </c>
      <c r="S531" s="1054">
        <f>SQRT((1-(Z531/pterm2))^2+(A531/pterm1)^2)</f>
        <v/>
      </c>
      <c r="T531" s="1055">
        <f>IF((ATAN((A531/pterm1)/(1-A531^2/pterm2))&gt;0),ATAN((A531/pterm1)/(1-A531^2/pterm2)),PI()+ATAN((A531/pterm1)/(1-A531^2/pterm2)))</f>
        <v/>
      </c>
      <c r="U531" s="331">
        <f>20*LOG10(((E531*K531*G531*O531)/(C531*I531*S531*M531*Q531))*Adc)</f>
        <v/>
      </c>
      <c r="V531" s="332">
        <f>((F531+L531+H531+P531)-(D531+J531+T531+N531+R531))*radconv</f>
        <v/>
      </c>
      <c r="W531" s="334">
        <f>IF(V531&gt;0,V531,V531+180)</f>
        <v/>
      </c>
      <c r="Y531" s="307">
        <f>IF(U531&lt;0,A531,1000000000)</f>
        <v/>
      </c>
      <c r="Z531" s="307">
        <f>A531^2</f>
        <v/>
      </c>
      <c r="AB531" s="333">
        <f>20*LOG10((K531/(I531*M531))*AEA)</f>
        <v/>
      </c>
      <c r="AC531" s="334">
        <f>(L531-(J531+N531))*radconv</f>
        <v/>
      </c>
      <c r="AE531" s="333">
        <f>20*LOG10((E531*G531/(C531*S531))*Acs*Am)</f>
        <v/>
      </c>
      <c r="AF531" s="334">
        <f>(F531+H531-(D531+T531))*radconv</f>
        <v/>
      </c>
      <c r="AH531">
        <f>SUM((U532&lt;0)*(U531&gt;0))*A531</f>
        <v/>
      </c>
      <c r="AI531">
        <f>IF(AH531&gt;0,W531,0)</f>
        <v/>
      </c>
    </row>
    <row r="532">
      <c r="A532" s="335" t="n">
        <v>77183.25</v>
      </c>
      <c r="B532" s="352">
        <f>A532/1000</f>
        <v/>
      </c>
      <c r="C532" s="1047">
        <f>SQRT(1+(A532/pole1)^2)</f>
        <v/>
      </c>
      <c r="D532" s="1048">
        <f>ATAN(A532/pole1)</f>
        <v/>
      </c>
      <c r="E532" s="1048">
        <f>SQRT(1+(A532/Zero1)^2)</f>
        <v/>
      </c>
      <c r="F532" s="1049">
        <f>ATAN(A532/Zero1)</f>
        <v/>
      </c>
      <c r="G532" s="1048">
        <f>IF(VIN_nom&gt;Vout, 1, SQRT(1+(A532/z_RHP)^2))</f>
        <v/>
      </c>
      <c r="H532" s="1049">
        <f>IF(VIN_nom&gt;Vout, 0, -ATAN(A532/z_RHP))</f>
        <v/>
      </c>
      <c r="I532" s="1047">
        <f>SQRT(1+(A532/Pole2)^2)</f>
        <v/>
      </c>
      <c r="J532" s="1050">
        <f>ATAN(A532/Pole2)</f>
        <v/>
      </c>
      <c r="K532" s="1056">
        <f>SQRT(1+(A532/Zero2)^2)</f>
        <v/>
      </c>
      <c r="L532" s="1057">
        <f>ATAN(A532/Zero2)</f>
        <v/>
      </c>
      <c r="M532" s="1047">
        <f>SQRT(1+(A532/pole4)^2)</f>
        <v/>
      </c>
      <c r="N532" s="1057">
        <f>ATAN(A532/pole4)</f>
        <v/>
      </c>
      <c r="O532" s="1058">
        <f>IF(VOUT_setting=1,1,SQRT(1+(A532*zterm1)^2))</f>
        <v/>
      </c>
      <c r="P532" s="1059">
        <f>IF(VOUT_setting=1,0,ATAN(((A532*zterm1))))</f>
        <v/>
      </c>
      <c r="Q532" s="1056">
        <f>IF(VOUT_setting=1,1,SQRT((1+Afbr-$Q$5*(A532)^2)^2+(A532*$Q$4)^2))</f>
        <v/>
      </c>
      <c r="R532" s="1060">
        <f>IF(VOUT_setting=1,0,ATAN(A532*$Q$4/(1+Afbr-$Q$5*(A532)^2)))</f>
        <v/>
      </c>
      <c r="S532" s="1054">
        <f>SQRT((1-(Z532/pterm2))^2+(A532/pterm1)^2)</f>
        <v/>
      </c>
      <c r="T532" s="1055">
        <f>IF((ATAN((A532/pterm1)/(1-A532^2/pterm2))&gt;0),ATAN((A532/pterm1)/(1-A532^2/pterm2)),PI()+ATAN((A532/pterm1)/(1-A532^2/pterm2)))</f>
        <v/>
      </c>
      <c r="U532" s="331">
        <f>20*LOG10(((E532*K532*G532*O532)/(C532*I532*S532*M532*Q532))*Adc)</f>
        <v/>
      </c>
      <c r="V532" s="332">
        <f>((F532+L532+H532+P532)-(D532+J532+T532+N532+R532))*radconv</f>
        <v/>
      </c>
      <c r="W532" s="334">
        <f>IF(V532&gt;0,V532,V532+180)</f>
        <v/>
      </c>
      <c r="Y532" s="307">
        <f>IF(U532&lt;0,A532,1000000000)</f>
        <v/>
      </c>
      <c r="Z532" s="307">
        <f>A532^2</f>
        <v/>
      </c>
      <c r="AB532" s="333">
        <f>20*LOG10((K532/(I532*M532))*AEA)</f>
        <v/>
      </c>
      <c r="AC532" s="334">
        <f>(L532-(J532+N532))*radconv</f>
        <v/>
      </c>
      <c r="AE532" s="333">
        <f>20*LOG10((E532*G532/(C532*S532))*Acs*Am)</f>
        <v/>
      </c>
      <c r="AF532" s="334">
        <f>(F532+H532-(D532+T532))*radconv</f>
        <v/>
      </c>
      <c r="AH532">
        <f>SUM((U533&lt;0)*(U532&gt;0))*A532</f>
        <v/>
      </c>
      <c r="AI532">
        <f>IF(AH532&gt;0,W532,0)</f>
        <v/>
      </c>
    </row>
    <row r="533">
      <c r="A533" s="335" t="n">
        <v>77625</v>
      </c>
      <c r="B533" s="352">
        <f>A533/1000</f>
        <v/>
      </c>
      <c r="C533" s="1047">
        <f>SQRT(1+(A533/pole1)^2)</f>
        <v/>
      </c>
      <c r="D533" s="1048">
        <f>ATAN(A533/pole1)</f>
        <v/>
      </c>
      <c r="E533" s="1048">
        <f>SQRT(1+(A533/Zero1)^2)</f>
        <v/>
      </c>
      <c r="F533" s="1049">
        <f>ATAN(A533/Zero1)</f>
        <v/>
      </c>
      <c r="G533" s="1048">
        <f>IF(VIN_nom&gt;Vout, 1, SQRT(1+(A533/z_RHP)^2))</f>
        <v/>
      </c>
      <c r="H533" s="1049">
        <f>IF(VIN_nom&gt;Vout, 0, -ATAN(A533/z_RHP))</f>
        <v/>
      </c>
      <c r="I533" s="1047">
        <f>SQRT(1+(A533/Pole2)^2)</f>
        <v/>
      </c>
      <c r="J533" s="1050">
        <f>ATAN(A533/Pole2)</f>
        <v/>
      </c>
      <c r="K533" s="1056">
        <f>SQRT(1+(A533/Zero2)^2)</f>
        <v/>
      </c>
      <c r="L533" s="1057">
        <f>ATAN(A533/Zero2)</f>
        <v/>
      </c>
      <c r="M533" s="1047">
        <f>SQRT(1+(A533/pole4)^2)</f>
        <v/>
      </c>
      <c r="N533" s="1057">
        <f>ATAN(A533/pole4)</f>
        <v/>
      </c>
      <c r="O533" s="1058">
        <f>IF(VOUT_setting=1,1,SQRT(1+(A533*zterm1)^2))</f>
        <v/>
      </c>
      <c r="P533" s="1059">
        <f>IF(VOUT_setting=1,0,ATAN(((A533*zterm1))))</f>
        <v/>
      </c>
      <c r="Q533" s="1056">
        <f>IF(VOUT_setting=1,1,SQRT((1+Afbr-$Q$5*(A533)^2)^2+(A533*$Q$4)^2))</f>
        <v/>
      </c>
      <c r="R533" s="1060">
        <f>IF(VOUT_setting=1,0,ATAN(A533*$Q$4/(1+Afbr-$Q$5*(A533)^2)))</f>
        <v/>
      </c>
      <c r="S533" s="1054">
        <f>SQRT((1-(Z533/pterm2))^2+(A533/pterm1)^2)</f>
        <v/>
      </c>
      <c r="T533" s="1055">
        <f>IF((ATAN((A533/pterm1)/(1-A533^2/pterm2))&gt;0),ATAN((A533/pterm1)/(1-A533^2/pterm2)),PI()+ATAN((A533/pterm1)/(1-A533^2/pterm2)))</f>
        <v/>
      </c>
      <c r="U533" s="331">
        <f>20*LOG10(((E533*K533*G533*O533)/(C533*I533*S533*M533*Q533))*Adc)</f>
        <v/>
      </c>
      <c r="V533" s="332">
        <f>((F533+L533+H533+P533)-(D533+J533+T533+N533+R533))*radconv</f>
        <v/>
      </c>
      <c r="W533" s="334">
        <f>IF(V533&gt;0,V533,V533+180)</f>
        <v/>
      </c>
      <c r="Y533" s="307">
        <f>IF(U533&lt;0,A533,1000000000)</f>
        <v/>
      </c>
      <c r="Z533" s="307">
        <f>A533^2</f>
        <v/>
      </c>
      <c r="AB533" s="333">
        <f>20*LOG10((K533/(I533*M533))*AEA)</f>
        <v/>
      </c>
      <c r="AC533" s="334">
        <f>(L533-(J533+N533))*radconv</f>
        <v/>
      </c>
      <c r="AE533" s="333">
        <f>20*LOG10((E533*G533/(C533*S533))*Acs*Am)</f>
        <v/>
      </c>
      <c r="AF533" s="334">
        <f>(F533+H533-(D533+T533))*radconv</f>
        <v/>
      </c>
      <c r="AH533">
        <f>SUM((U534&lt;0)*(U533&gt;0))*A533</f>
        <v/>
      </c>
      <c r="AI533">
        <f>IF(AH533&gt;0,W533,0)</f>
        <v/>
      </c>
    </row>
    <row r="534">
      <c r="A534" s="335" t="n">
        <v>78077</v>
      </c>
      <c r="B534" s="352">
        <f>A534/1000</f>
        <v/>
      </c>
      <c r="C534" s="1047">
        <f>SQRT(1+(A534/pole1)^2)</f>
        <v/>
      </c>
      <c r="D534" s="1048">
        <f>ATAN(A534/pole1)</f>
        <v/>
      </c>
      <c r="E534" s="1048">
        <f>SQRT(1+(A534/Zero1)^2)</f>
        <v/>
      </c>
      <c r="F534" s="1049">
        <f>ATAN(A534/Zero1)</f>
        <v/>
      </c>
      <c r="G534" s="1048">
        <f>IF(VIN_nom&gt;Vout, 1, SQRT(1+(A534/z_RHP)^2))</f>
        <v/>
      </c>
      <c r="H534" s="1049">
        <f>IF(VIN_nom&gt;Vout, 0, -ATAN(A534/z_RHP))</f>
        <v/>
      </c>
      <c r="I534" s="1047">
        <f>SQRT(1+(A534/Pole2)^2)</f>
        <v/>
      </c>
      <c r="J534" s="1050">
        <f>ATAN(A534/Pole2)</f>
        <v/>
      </c>
      <c r="K534" s="1056">
        <f>SQRT(1+(A534/Zero2)^2)</f>
        <v/>
      </c>
      <c r="L534" s="1057">
        <f>ATAN(A534/Zero2)</f>
        <v/>
      </c>
      <c r="M534" s="1047">
        <f>SQRT(1+(A534/pole4)^2)</f>
        <v/>
      </c>
      <c r="N534" s="1057">
        <f>ATAN(A534/pole4)</f>
        <v/>
      </c>
      <c r="O534" s="1058">
        <f>IF(VOUT_setting=1,1,SQRT(1+(A534*zterm1)^2))</f>
        <v/>
      </c>
      <c r="P534" s="1059">
        <f>IF(VOUT_setting=1,0,ATAN(((A534*zterm1))))</f>
        <v/>
      </c>
      <c r="Q534" s="1056">
        <f>IF(VOUT_setting=1,1,SQRT((1+Afbr-$Q$5*(A534)^2)^2+(A534*$Q$4)^2))</f>
        <v/>
      </c>
      <c r="R534" s="1060">
        <f>IF(VOUT_setting=1,0,ATAN(A534*$Q$4/(1+Afbr-$Q$5*(A534)^2)))</f>
        <v/>
      </c>
      <c r="S534" s="1054">
        <f>SQRT((1-(Z534/pterm2))^2+(A534/pterm1)^2)</f>
        <v/>
      </c>
      <c r="T534" s="1055">
        <f>IF((ATAN((A534/pterm1)/(1-A534^2/pterm2))&gt;0),ATAN((A534/pterm1)/(1-A534^2/pterm2)),PI()+ATAN((A534/pterm1)/(1-A534^2/pterm2)))</f>
        <v/>
      </c>
      <c r="U534" s="331">
        <f>20*LOG10(((E534*K534*G534*O534)/(C534*I534*S534*M534*Q534))*Adc)</f>
        <v/>
      </c>
      <c r="V534" s="332">
        <f>((F534+L534+H534+P534)-(D534+J534+T534+N534+R534))*radconv</f>
        <v/>
      </c>
      <c r="W534" s="334">
        <f>IF(V534&gt;0,V534,V534+180)</f>
        <v/>
      </c>
      <c r="Y534" s="307">
        <f>IF(U534&lt;0,A534,1000000000)</f>
        <v/>
      </c>
      <c r="Z534" s="307">
        <f>A534^2</f>
        <v/>
      </c>
      <c r="AB534" s="333">
        <f>20*LOG10((K534/(I534*M534))*AEA)</f>
        <v/>
      </c>
      <c r="AC534" s="334">
        <f>(L534-(J534+N534))*radconv</f>
        <v/>
      </c>
      <c r="AE534" s="333">
        <f>20*LOG10((E534*G534/(C534*S534))*Acs*Am)</f>
        <v/>
      </c>
      <c r="AF534" s="334">
        <f>(F534+H534-(D534+T534))*radconv</f>
        <v/>
      </c>
      <c r="AH534">
        <f>SUM((U535&lt;0)*(U534&gt;0))*A534</f>
        <v/>
      </c>
      <c r="AI534">
        <f>IF(AH534&gt;0,W534,0)</f>
        <v/>
      </c>
    </row>
    <row r="535">
      <c r="A535" s="335" t="n">
        <v>78529</v>
      </c>
      <c r="B535" s="352">
        <f>A535/1000</f>
        <v/>
      </c>
      <c r="C535" s="1047">
        <f>SQRT(1+(A535/pole1)^2)</f>
        <v/>
      </c>
      <c r="D535" s="1048">
        <f>ATAN(A535/pole1)</f>
        <v/>
      </c>
      <c r="E535" s="1048">
        <f>SQRT(1+(A535/Zero1)^2)</f>
        <v/>
      </c>
      <c r="F535" s="1049">
        <f>ATAN(A535/Zero1)</f>
        <v/>
      </c>
      <c r="G535" s="1048">
        <f>IF(VIN_nom&gt;Vout, 1, SQRT(1+(A535/z_RHP)^2))</f>
        <v/>
      </c>
      <c r="H535" s="1049">
        <f>IF(VIN_nom&gt;Vout, 0, -ATAN(A535/z_RHP))</f>
        <v/>
      </c>
      <c r="I535" s="1047">
        <f>SQRT(1+(A535/Pole2)^2)</f>
        <v/>
      </c>
      <c r="J535" s="1050">
        <f>ATAN(A535/Pole2)</f>
        <v/>
      </c>
      <c r="K535" s="1056">
        <f>SQRT(1+(A535/Zero2)^2)</f>
        <v/>
      </c>
      <c r="L535" s="1057">
        <f>ATAN(A535/Zero2)</f>
        <v/>
      </c>
      <c r="M535" s="1047">
        <f>SQRT(1+(A535/pole4)^2)</f>
        <v/>
      </c>
      <c r="N535" s="1057">
        <f>ATAN(A535/pole4)</f>
        <v/>
      </c>
      <c r="O535" s="1058">
        <f>IF(VOUT_setting=1,1,SQRT(1+(A535*zterm1)^2))</f>
        <v/>
      </c>
      <c r="P535" s="1059">
        <f>IF(VOUT_setting=1,0,ATAN(((A535*zterm1))))</f>
        <v/>
      </c>
      <c r="Q535" s="1056">
        <f>IF(VOUT_setting=1,1,SQRT((1+Afbr-$Q$5*(A535)^2)^2+(A535*$Q$4)^2))</f>
        <v/>
      </c>
      <c r="R535" s="1060">
        <f>IF(VOUT_setting=1,0,ATAN(A535*$Q$4/(1+Afbr-$Q$5*(A535)^2)))</f>
        <v/>
      </c>
      <c r="S535" s="1054">
        <f>SQRT((1-(Z535/pterm2))^2+(A535/pterm1)^2)</f>
        <v/>
      </c>
      <c r="T535" s="1055">
        <f>IF((ATAN((A535/pterm1)/(1-A535^2/pterm2))&gt;0),ATAN((A535/pterm1)/(1-A535^2/pterm2)),PI()+ATAN((A535/pterm1)/(1-A535^2/pterm2)))</f>
        <v/>
      </c>
      <c r="U535" s="331">
        <f>20*LOG10(((E535*K535*G535*O535)/(C535*I535*S535*M535*Q535))*Adc)</f>
        <v/>
      </c>
      <c r="V535" s="332">
        <f>((F535+L535+H535+P535)-(D535+J535+T535+N535+R535))*radconv</f>
        <v/>
      </c>
      <c r="W535" s="334">
        <f>IF(V535&gt;0,V535,V535+180)</f>
        <v/>
      </c>
      <c r="Y535" s="307">
        <f>IF(U535&lt;0,A535,1000000000)</f>
        <v/>
      </c>
      <c r="Z535" s="307">
        <f>A535^2</f>
        <v/>
      </c>
      <c r="AB535" s="333">
        <f>20*LOG10((K535/(I535*M535))*AEA)</f>
        <v/>
      </c>
      <c r="AC535" s="334">
        <f>(L535-(J535+N535))*radconv</f>
        <v/>
      </c>
      <c r="AE535" s="333">
        <f>20*LOG10((E535*G535/(C535*S535))*Acs*Am)</f>
        <v/>
      </c>
      <c r="AF535" s="334">
        <f>(F535+H535-(D535+T535))*radconv</f>
        <v/>
      </c>
      <c r="AH535">
        <f>SUM((U536&lt;0)*(U535&gt;0))*A535</f>
        <v/>
      </c>
      <c r="AI535">
        <f>IF(AH535&gt;0,W535,0)</f>
        <v/>
      </c>
    </row>
    <row r="536">
      <c r="A536" s="335" t="n">
        <v>78981</v>
      </c>
      <c r="B536" s="352">
        <f>A536/1000</f>
        <v/>
      </c>
      <c r="C536" s="1047">
        <f>SQRT(1+(A536/pole1)^2)</f>
        <v/>
      </c>
      <c r="D536" s="1048">
        <f>ATAN(A536/pole1)</f>
        <v/>
      </c>
      <c r="E536" s="1048">
        <f>SQRT(1+(A536/Zero1)^2)</f>
        <v/>
      </c>
      <c r="F536" s="1049">
        <f>ATAN(A536/Zero1)</f>
        <v/>
      </c>
      <c r="G536" s="1048">
        <f>IF(VIN_nom&gt;Vout, 1, SQRT(1+(A536/z_RHP)^2))</f>
        <v/>
      </c>
      <c r="H536" s="1049">
        <f>IF(VIN_nom&gt;Vout, 0, -ATAN(A536/z_RHP))</f>
        <v/>
      </c>
      <c r="I536" s="1047">
        <f>SQRT(1+(A536/Pole2)^2)</f>
        <v/>
      </c>
      <c r="J536" s="1050">
        <f>ATAN(A536/Pole2)</f>
        <v/>
      </c>
      <c r="K536" s="1056">
        <f>SQRT(1+(A536/Zero2)^2)</f>
        <v/>
      </c>
      <c r="L536" s="1057">
        <f>ATAN(A536/Zero2)</f>
        <v/>
      </c>
      <c r="M536" s="1047">
        <f>SQRT(1+(A536/pole4)^2)</f>
        <v/>
      </c>
      <c r="N536" s="1057">
        <f>ATAN(A536/pole4)</f>
        <v/>
      </c>
      <c r="O536" s="1058">
        <f>IF(VOUT_setting=1,1,SQRT(1+(A536*zterm1)^2))</f>
        <v/>
      </c>
      <c r="P536" s="1059">
        <f>IF(VOUT_setting=1,0,ATAN(((A536*zterm1))))</f>
        <v/>
      </c>
      <c r="Q536" s="1056">
        <f>IF(VOUT_setting=1,1,SQRT((1+Afbr-$Q$5*(A536)^2)^2+(A536*$Q$4)^2))</f>
        <v/>
      </c>
      <c r="R536" s="1060">
        <f>IF(VOUT_setting=1,0,ATAN(A536*$Q$4/(1+Afbr-$Q$5*(A536)^2)))</f>
        <v/>
      </c>
      <c r="S536" s="1054">
        <f>SQRT((1-(Z536/pterm2))^2+(A536/pterm1)^2)</f>
        <v/>
      </c>
      <c r="T536" s="1055">
        <f>IF((ATAN((A536/pterm1)/(1-A536^2/pterm2))&gt;0),ATAN((A536/pterm1)/(1-A536^2/pterm2)),PI()+ATAN((A536/pterm1)/(1-A536^2/pterm2)))</f>
        <v/>
      </c>
      <c r="U536" s="331">
        <f>20*LOG10(((E536*K536*G536*O536)/(C536*I536*S536*M536*Q536))*Adc)</f>
        <v/>
      </c>
      <c r="V536" s="332">
        <f>((F536+L536+H536+P536)-(D536+J536+T536+N536+R536))*radconv</f>
        <v/>
      </c>
      <c r="W536" s="334">
        <f>IF(V536&gt;0,V536,V536+180)</f>
        <v/>
      </c>
      <c r="Y536" s="307">
        <f>IF(U536&lt;0,A536,1000000000)</f>
        <v/>
      </c>
      <c r="Z536" s="307">
        <f>A536^2</f>
        <v/>
      </c>
      <c r="AB536" s="333">
        <f>20*LOG10((K536/(I536*M536))*AEA)</f>
        <v/>
      </c>
      <c r="AC536" s="334">
        <f>(L536-(J536+N536))*radconv</f>
        <v/>
      </c>
      <c r="AE536" s="333">
        <f>20*LOG10((E536*G536/(C536*S536))*Acs*Am)</f>
        <v/>
      </c>
      <c r="AF536" s="334">
        <f>(F536+H536-(D536+T536))*radconv</f>
        <v/>
      </c>
      <c r="AH536">
        <f>SUM((U537&lt;0)*(U536&gt;0))*A536</f>
        <v/>
      </c>
      <c r="AI536">
        <f>IF(AH536&gt;0,W536,0)</f>
        <v/>
      </c>
    </row>
    <row r="537">
      <c r="A537" s="335" t="n">
        <v>79433</v>
      </c>
      <c r="B537" s="352">
        <f>A537/1000</f>
        <v/>
      </c>
      <c r="C537" s="1047">
        <f>SQRT(1+(A537/pole1)^2)</f>
        <v/>
      </c>
      <c r="D537" s="1048">
        <f>ATAN(A537/pole1)</f>
        <v/>
      </c>
      <c r="E537" s="1048">
        <f>SQRT(1+(A537/Zero1)^2)</f>
        <v/>
      </c>
      <c r="F537" s="1049">
        <f>ATAN(A537/Zero1)</f>
        <v/>
      </c>
      <c r="G537" s="1048">
        <f>IF(VIN_nom&gt;Vout, 1, SQRT(1+(A537/z_RHP)^2))</f>
        <v/>
      </c>
      <c r="H537" s="1049">
        <f>IF(VIN_nom&gt;Vout, 0, -ATAN(A537/z_RHP))</f>
        <v/>
      </c>
      <c r="I537" s="1047">
        <f>SQRT(1+(A537/Pole2)^2)</f>
        <v/>
      </c>
      <c r="J537" s="1050">
        <f>ATAN(A537/Pole2)</f>
        <v/>
      </c>
      <c r="K537" s="1056">
        <f>SQRT(1+(A537/Zero2)^2)</f>
        <v/>
      </c>
      <c r="L537" s="1057">
        <f>ATAN(A537/Zero2)</f>
        <v/>
      </c>
      <c r="M537" s="1047">
        <f>SQRT(1+(A537/pole4)^2)</f>
        <v/>
      </c>
      <c r="N537" s="1057">
        <f>ATAN(A537/pole4)</f>
        <v/>
      </c>
      <c r="O537" s="1058">
        <f>IF(VOUT_setting=1,1,SQRT(1+(A537*zterm1)^2))</f>
        <v/>
      </c>
      <c r="P537" s="1059">
        <f>IF(VOUT_setting=1,0,ATAN(((A537*zterm1))))</f>
        <v/>
      </c>
      <c r="Q537" s="1056">
        <f>IF(VOUT_setting=1,1,SQRT((1+Afbr-$Q$5*(A537)^2)^2+(A537*$Q$4)^2))</f>
        <v/>
      </c>
      <c r="R537" s="1060">
        <f>IF(VOUT_setting=1,0,ATAN(A537*$Q$4/(1+Afbr-$Q$5*(A537)^2)))</f>
        <v/>
      </c>
      <c r="S537" s="1054">
        <f>SQRT((1-(Z537/pterm2))^2+(A537/pterm1)^2)</f>
        <v/>
      </c>
      <c r="T537" s="1055">
        <f>IF((ATAN((A537/pterm1)/(1-A537^2/pterm2))&gt;0),ATAN((A537/pterm1)/(1-A537^2/pterm2)),PI()+ATAN((A537/pterm1)/(1-A537^2/pterm2)))</f>
        <v/>
      </c>
      <c r="U537" s="331">
        <f>20*LOG10(((E537*K537*G537*O537)/(C537*I537*S537*M537*Q537))*Adc)</f>
        <v/>
      </c>
      <c r="V537" s="332">
        <f>((F537+L537+H537+P537)-(D537+J537+T537+N537+R537))*radconv</f>
        <v/>
      </c>
      <c r="W537" s="334">
        <f>IF(V537&gt;0,V537,V537+180)</f>
        <v/>
      </c>
      <c r="Y537" s="307">
        <f>IF(U537&lt;0,A537,1000000000)</f>
        <v/>
      </c>
      <c r="Z537" s="307">
        <f>A537^2</f>
        <v/>
      </c>
      <c r="AB537" s="333">
        <f>20*LOG10((K537/(I537*M537))*AEA)</f>
        <v/>
      </c>
      <c r="AC537" s="334">
        <f>(L537-(J537+N537))*radconv</f>
        <v/>
      </c>
      <c r="AE537" s="333">
        <f>20*LOG10((E537*G537/(C537*S537))*Acs*Am)</f>
        <v/>
      </c>
      <c r="AF537" s="334">
        <f>(F537+H537-(D537+T537))*radconv</f>
        <v/>
      </c>
      <c r="AH537">
        <f>SUM((U538&lt;0)*(U537&gt;0))*A537</f>
        <v/>
      </c>
      <c r="AI537">
        <f>IF(AH537&gt;0,W537,0)</f>
        <v/>
      </c>
    </row>
    <row r="538">
      <c r="A538" s="335" t="n">
        <v>79895.5</v>
      </c>
      <c r="B538" s="352">
        <f>A538/1000</f>
        <v/>
      </c>
      <c r="C538" s="1047">
        <f>SQRT(1+(A538/pole1)^2)</f>
        <v/>
      </c>
      <c r="D538" s="1048">
        <f>ATAN(A538/pole1)</f>
        <v/>
      </c>
      <c r="E538" s="1048">
        <f>SQRT(1+(A538/Zero1)^2)</f>
        <v/>
      </c>
      <c r="F538" s="1049">
        <f>ATAN(A538/Zero1)</f>
        <v/>
      </c>
      <c r="G538" s="1048">
        <f>IF(VIN_nom&gt;Vout, 1, SQRT(1+(A538/z_RHP)^2))</f>
        <v/>
      </c>
      <c r="H538" s="1049">
        <f>IF(VIN_nom&gt;Vout, 0, -ATAN(A538/z_RHP))</f>
        <v/>
      </c>
      <c r="I538" s="1047">
        <f>SQRT(1+(A538/Pole2)^2)</f>
        <v/>
      </c>
      <c r="J538" s="1050">
        <f>ATAN(A538/Pole2)</f>
        <v/>
      </c>
      <c r="K538" s="1056">
        <f>SQRT(1+(A538/Zero2)^2)</f>
        <v/>
      </c>
      <c r="L538" s="1057">
        <f>ATAN(A538/Zero2)</f>
        <v/>
      </c>
      <c r="M538" s="1047">
        <f>SQRT(1+(A538/pole4)^2)</f>
        <v/>
      </c>
      <c r="N538" s="1057">
        <f>ATAN(A538/pole4)</f>
        <v/>
      </c>
      <c r="O538" s="1058">
        <f>IF(VOUT_setting=1,1,SQRT(1+(A538*zterm1)^2))</f>
        <v/>
      </c>
      <c r="P538" s="1059">
        <f>IF(VOUT_setting=1,0,ATAN(((A538*zterm1))))</f>
        <v/>
      </c>
      <c r="Q538" s="1056">
        <f>IF(VOUT_setting=1,1,SQRT((1+Afbr-$Q$5*(A538)^2)^2+(A538*$Q$4)^2))</f>
        <v/>
      </c>
      <c r="R538" s="1060">
        <f>IF(VOUT_setting=1,0,ATAN(A538*$Q$4/(1+Afbr-$Q$5*(A538)^2)))</f>
        <v/>
      </c>
      <c r="S538" s="1054">
        <f>SQRT((1-(Z538/pterm2))^2+(A538/pterm1)^2)</f>
        <v/>
      </c>
      <c r="T538" s="1055">
        <f>IF((ATAN((A538/pterm1)/(1-A538^2/pterm2))&gt;0),ATAN((A538/pterm1)/(1-A538^2/pterm2)),PI()+ATAN((A538/pterm1)/(1-A538^2/pterm2)))</f>
        <v/>
      </c>
      <c r="U538" s="331">
        <f>20*LOG10(((E538*K538*G538*O538)/(C538*I538*S538*M538*Q538))*Adc)</f>
        <v/>
      </c>
      <c r="V538" s="332">
        <f>((F538+L538+H538+P538)-(D538+J538+T538+N538+R538))*radconv</f>
        <v/>
      </c>
      <c r="W538" s="334">
        <f>IF(V538&gt;0,V538,V538+180)</f>
        <v/>
      </c>
      <c r="Y538" s="307">
        <f>IF(U538&lt;0,A538,1000000000)</f>
        <v/>
      </c>
      <c r="Z538" s="307">
        <f>A538^2</f>
        <v/>
      </c>
      <c r="AB538" s="333">
        <f>20*LOG10((K538/(I538*M538))*AEA)</f>
        <v/>
      </c>
      <c r="AC538" s="334">
        <f>(L538-(J538+N538))*radconv</f>
        <v/>
      </c>
      <c r="AE538" s="333">
        <f>20*LOG10((E538*G538/(C538*S538))*Acs*Am)</f>
        <v/>
      </c>
      <c r="AF538" s="334">
        <f>(F538+H538-(D538+T538))*radconv</f>
        <v/>
      </c>
      <c r="AH538">
        <f>SUM((U539&lt;0)*(U538&gt;0))*A538</f>
        <v/>
      </c>
      <c r="AI538">
        <f>IF(AH538&gt;0,W538,0)</f>
        <v/>
      </c>
    </row>
    <row r="539">
      <c r="A539" s="335" t="n">
        <v>80358</v>
      </c>
      <c r="B539" s="352">
        <f>A539/1000</f>
        <v/>
      </c>
      <c r="C539" s="1047">
        <f>SQRT(1+(A539/pole1)^2)</f>
        <v/>
      </c>
      <c r="D539" s="1048">
        <f>ATAN(A539/pole1)</f>
        <v/>
      </c>
      <c r="E539" s="1048">
        <f>SQRT(1+(A539/Zero1)^2)</f>
        <v/>
      </c>
      <c r="F539" s="1049">
        <f>ATAN(A539/Zero1)</f>
        <v/>
      </c>
      <c r="G539" s="1048">
        <f>IF(VIN_nom&gt;Vout, 1, SQRT(1+(A539/z_RHP)^2))</f>
        <v/>
      </c>
      <c r="H539" s="1049">
        <f>IF(VIN_nom&gt;Vout, 0, -ATAN(A539/z_RHP))</f>
        <v/>
      </c>
      <c r="I539" s="1047">
        <f>SQRT(1+(A539/Pole2)^2)</f>
        <v/>
      </c>
      <c r="J539" s="1050">
        <f>ATAN(A539/Pole2)</f>
        <v/>
      </c>
      <c r="K539" s="1056">
        <f>SQRT(1+(A539/Zero2)^2)</f>
        <v/>
      </c>
      <c r="L539" s="1057">
        <f>ATAN(A539/Zero2)</f>
        <v/>
      </c>
      <c r="M539" s="1047">
        <f>SQRT(1+(A539/pole4)^2)</f>
        <v/>
      </c>
      <c r="N539" s="1057">
        <f>ATAN(A539/pole4)</f>
        <v/>
      </c>
      <c r="O539" s="1058">
        <f>IF(VOUT_setting=1,1,SQRT(1+(A539*zterm1)^2))</f>
        <v/>
      </c>
      <c r="P539" s="1059">
        <f>IF(VOUT_setting=1,0,ATAN(((A539*zterm1))))</f>
        <v/>
      </c>
      <c r="Q539" s="1056">
        <f>IF(VOUT_setting=1,1,SQRT((1+Afbr-$Q$5*(A539)^2)^2+(A539*$Q$4)^2))</f>
        <v/>
      </c>
      <c r="R539" s="1060">
        <f>IF(VOUT_setting=1,0,ATAN(A539*$Q$4/(1+Afbr-$Q$5*(A539)^2)))</f>
        <v/>
      </c>
      <c r="S539" s="1054">
        <f>SQRT((1-(Z539/pterm2))^2+(A539/pterm1)^2)</f>
        <v/>
      </c>
      <c r="T539" s="1055">
        <f>IF((ATAN((A539/pterm1)/(1-A539^2/pterm2))&gt;0),ATAN((A539/pterm1)/(1-A539^2/pterm2)),PI()+ATAN((A539/pterm1)/(1-A539^2/pterm2)))</f>
        <v/>
      </c>
      <c r="U539" s="331">
        <f>20*LOG10(((E539*K539*G539*O539)/(C539*I539*S539*M539*Q539))*Adc)</f>
        <v/>
      </c>
      <c r="V539" s="332">
        <f>((F539+L539+H539+P539)-(D539+J539+T539+N539+R539))*radconv</f>
        <v/>
      </c>
      <c r="W539" s="334">
        <f>IF(V539&gt;0,V539,V539+180)</f>
        <v/>
      </c>
      <c r="Y539" s="307">
        <f>IF(U539&lt;0,A539,1000000000)</f>
        <v/>
      </c>
      <c r="Z539" s="307">
        <f>A539^2</f>
        <v/>
      </c>
      <c r="AB539" s="333">
        <f>20*LOG10((K539/(I539*M539))*AEA)</f>
        <v/>
      </c>
      <c r="AC539" s="334">
        <f>(L539-(J539+N539))*radconv</f>
        <v/>
      </c>
      <c r="AE539" s="333">
        <f>20*LOG10((E539*G539/(C539*S539))*Acs*Am)</f>
        <v/>
      </c>
      <c r="AF539" s="334">
        <f>(F539+H539-(D539+T539))*radconv</f>
        <v/>
      </c>
      <c r="AH539">
        <f>SUM((U540&lt;0)*(U539&gt;0))*A539</f>
        <v/>
      </c>
      <c r="AI539">
        <f>IF(AH539&gt;0,W539,0)</f>
        <v/>
      </c>
    </row>
    <row r="540">
      <c r="A540" s="335" t="n">
        <v>80820.5</v>
      </c>
      <c r="B540" s="352">
        <f>A540/1000</f>
        <v/>
      </c>
      <c r="C540" s="1047">
        <f>SQRT(1+(A540/pole1)^2)</f>
        <v/>
      </c>
      <c r="D540" s="1048">
        <f>ATAN(A540/pole1)</f>
        <v/>
      </c>
      <c r="E540" s="1048">
        <f>SQRT(1+(A540/Zero1)^2)</f>
        <v/>
      </c>
      <c r="F540" s="1049">
        <f>ATAN(A540/Zero1)</f>
        <v/>
      </c>
      <c r="G540" s="1048">
        <f>IF(VIN_nom&gt;Vout, 1, SQRT(1+(A540/z_RHP)^2))</f>
        <v/>
      </c>
      <c r="H540" s="1049">
        <f>IF(VIN_nom&gt;Vout, 0, -ATAN(A540/z_RHP))</f>
        <v/>
      </c>
      <c r="I540" s="1047">
        <f>SQRT(1+(A540/Pole2)^2)</f>
        <v/>
      </c>
      <c r="J540" s="1050">
        <f>ATAN(A540/Pole2)</f>
        <v/>
      </c>
      <c r="K540" s="1056">
        <f>SQRT(1+(A540/Zero2)^2)</f>
        <v/>
      </c>
      <c r="L540" s="1057">
        <f>ATAN(A540/Zero2)</f>
        <v/>
      </c>
      <c r="M540" s="1047">
        <f>SQRT(1+(A540/pole4)^2)</f>
        <v/>
      </c>
      <c r="N540" s="1057">
        <f>ATAN(A540/pole4)</f>
        <v/>
      </c>
      <c r="O540" s="1058">
        <f>IF(VOUT_setting=1,1,SQRT(1+(A540*zterm1)^2))</f>
        <v/>
      </c>
      <c r="P540" s="1059">
        <f>IF(VOUT_setting=1,0,ATAN(((A540*zterm1))))</f>
        <v/>
      </c>
      <c r="Q540" s="1056">
        <f>IF(VOUT_setting=1,1,SQRT((1+Afbr-$Q$5*(A540)^2)^2+(A540*$Q$4)^2))</f>
        <v/>
      </c>
      <c r="R540" s="1060">
        <f>IF(VOUT_setting=1,0,ATAN(A540*$Q$4/(1+Afbr-$Q$5*(A540)^2)))</f>
        <v/>
      </c>
      <c r="S540" s="1054">
        <f>SQRT((1-(Z540/pterm2))^2+(A540/pterm1)^2)</f>
        <v/>
      </c>
      <c r="T540" s="1055">
        <f>IF((ATAN((A540/pterm1)/(1-A540^2/pterm2))&gt;0),ATAN((A540/pterm1)/(1-A540^2/pterm2)),PI()+ATAN((A540/pterm1)/(1-A540^2/pterm2)))</f>
        <v/>
      </c>
      <c r="U540" s="331">
        <f>20*LOG10(((E540*K540*G540*O540)/(C540*I540*S540*M540*Q540))*Adc)</f>
        <v/>
      </c>
      <c r="V540" s="332">
        <f>((F540+L540+H540+P540)-(D540+J540+T540+N540+R540))*radconv</f>
        <v/>
      </c>
      <c r="W540" s="334">
        <f>IF(V540&gt;0,V540,V540+180)</f>
        <v/>
      </c>
      <c r="Y540" s="307">
        <f>IF(U540&lt;0,A540,1000000000)</f>
        <v/>
      </c>
      <c r="Z540" s="307">
        <f>A540^2</f>
        <v/>
      </c>
      <c r="AB540" s="333">
        <f>20*LOG10((K540/(I540*M540))*AEA)</f>
        <v/>
      </c>
      <c r="AC540" s="334">
        <f>(L540-(J540+N540))*radconv</f>
        <v/>
      </c>
      <c r="AE540" s="333">
        <f>20*LOG10((E540*G540/(C540*S540))*Acs*Am)</f>
        <v/>
      </c>
      <c r="AF540" s="334">
        <f>(F540+H540-(D540+T540))*radconv</f>
        <v/>
      </c>
      <c r="AH540">
        <f>SUM((U541&lt;0)*(U540&gt;0))*A540</f>
        <v/>
      </c>
      <c r="AI540">
        <f>IF(AH540&gt;0,W540,0)</f>
        <v/>
      </c>
    </row>
    <row r="541">
      <c r="A541" s="335" t="n">
        <v>81283</v>
      </c>
      <c r="B541" s="352">
        <f>A541/1000</f>
        <v/>
      </c>
      <c r="C541" s="1047">
        <f>SQRT(1+(A541/pole1)^2)</f>
        <v/>
      </c>
      <c r="D541" s="1048">
        <f>ATAN(A541/pole1)</f>
        <v/>
      </c>
      <c r="E541" s="1048">
        <f>SQRT(1+(A541/Zero1)^2)</f>
        <v/>
      </c>
      <c r="F541" s="1049">
        <f>ATAN(A541/Zero1)</f>
        <v/>
      </c>
      <c r="G541" s="1048">
        <f>IF(VIN_nom&gt;Vout, 1, SQRT(1+(A541/z_RHP)^2))</f>
        <v/>
      </c>
      <c r="H541" s="1049">
        <f>IF(VIN_nom&gt;Vout, 0, -ATAN(A541/z_RHP))</f>
        <v/>
      </c>
      <c r="I541" s="1047">
        <f>SQRT(1+(A541/Pole2)^2)</f>
        <v/>
      </c>
      <c r="J541" s="1050">
        <f>ATAN(A541/Pole2)</f>
        <v/>
      </c>
      <c r="K541" s="1056">
        <f>SQRT(1+(A541/Zero2)^2)</f>
        <v/>
      </c>
      <c r="L541" s="1057">
        <f>ATAN(A541/Zero2)</f>
        <v/>
      </c>
      <c r="M541" s="1047">
        <f>SQRT(1+(A541/pole4)^2)</f>
        <v/>
      </c>
      <c r="N541" s="1057">
        <f>ATAN(A541/pole4)</f>
        <v/>
      </c>
      <c r="O541" s="1058">
        <f>IF(VOUT_setting=1,1,SQRT(1+(A541*zterm1)^2))</f>
        <v/>
      </c>
      <c r="P541" s="1059">
        <f>IF(VOUT_setting=1,0,ATAN(((A541*zterm1))))</f>
        <v/>
      </c>
      <c r="Q541" s="1056">
        <f>IF(VOUT_setting=1,1,SQRT((1+Afbr-$Q$5*(A541)^2)^2+(A541*$Q$4)^2))</f>
        <v/>
      </c>
      <c r="R541" s="1060">
        <f>IF(VOUT_setting=1,0,ATAN(A541*$Q$4/(1+Afbr-$Q$5*(A541)^2)))</f>
        <v/>
      </c>
      <c r="S541" s="1054">
        <f>SQRT((1-(Z541/pterm2))^2+(A541/pterm1)^2)</f>
        <v/>
      </c>
      <c r="T541" s="1055">
        <f>IF((ATAN((A541/pterm1)/(1-A541^2/pterm2))&gt;0),ATAN((A541/pterm1)/(1-A541^2/pterm2)),PI()+ATAN((A541/pterm1)/(1-A541^2/pterm2)))</f>
        <v/>
      </c>
      <c r="U541" s="331">
        <f>20*LOG10(((E541*K541*G541*O541)/(C541*I541*S541*M541*Q541))*Adc)</f>
        <v/>
      </c>
      <c r="V541" s="332">
        <f>((F541+L541+H541+P541)-(D541+J541+T541+N541+R541))*radconv</f>
        <v/>
      </c>
      <c r="W541" s="334">
        <f>IF(V541&gt;0,V541,V541+180)</f>
        <v/>
      </c>
      <c r="Y541" s="307">
        <f>IF(U541&lt;0,A541,1000000000)</f>
        <v/>
      </c>
      <c r="Z541" s="307">
        <f>A541^2</f>
        <v/>
      </c>
      <c r="AB541" s="333">
        <f>20*LOG10((K541/(I541*M541))*AEA)</f>
        <v/>
      </c>
      <c r="AC541" s="334">
        <f>(L541-(J541+N541))*radconv</f>
        <v/>
      </c>
      <c r="AE541" s="333">
        <f>20*LOG10((E541*G541/(C541*S541))*Acs*Am)</f>
        <v/>
      </c>
      <c r="AF541" s="334">
        <f>(F541+H541-(D541+T541))*radconv</f>
        <v/>
      </c>
      <c r="AH541">
        <f>SUM((U542&lt;0)*(U541&gt;0))*A541</f>
        <v/>
      </c>
      <c r="AI541">
        <f>IF(AH541&gt;0,W541,0)</f>
        <v/>
      </c>
    </row>
    <row r="542">
      <c r="A542" s="335" t="n">
        <v>81756.25</v>
      </c>
      <c r="B542" s="352">
        <f>A542/1000</f>
        <v/>
      </c>
      <c r="C542" s="1047">
        <f>SQRT(1+(A542/pole1)^2)</f>
        <v/>
      </c>
      <c r="D542" s="1048">
        <f>ATAN(A542/pole1)</f>
        <v/>
      </c>
      <c r="E542" s="1048">
        <f>SQRT(1+(A542/Zero1)^2)</f>
        <v/>
      </c>
      <c r="F542" s="1049">
        <f>ATAN(A542/Zero1)</f>
        <v/>
      </c>
      <c r="G542" s="1048">
        <f>IF(VIN_nom&gt;Vout, 1, SQRT(1+(A542/z_RHP)^2))</f>
        <v/>
      </c>
      <c r="H542" s="1049">
        <f>IF(VIN_nom&gt;Vout, 0, -ATAN(A542/z_RHP))</f>
        <v/>
      </c>
      <c r="I542" s="1047">
        <f>SQRT(1+(A542/Pole2)^2)</f>
        <v/>
      </c>
      <c r="J542" s="1050">
        <f>ATAN(A542/Pole2)</f>
        <v/>
      </c>
      <c r="K542" s="1056">
        <f>SQRT(1+(A542/Zero2)^2)</f>
        <v/>
      </c>
      <c r="L542" s="1057">
        <f>ATAN(A542/Zero2)</f>
        <v/>
      </c>
      <c r="M542" s="1047">
        <f>SQRT(1+(A542/pole4)^2)</f>
        <v/>
      </c>
      <c r="N542" s="1057">
        <f>ATAN(A542/pole4)</f>
        <v/>
      </c>
      <c r="O542" s="1058">
        <f>IF(VOUT_setting=1,1,SQRT(1+(A542*zterm1)^2))</f>
        <v/>
      </c>
      <c r="P542" s="1059">
        <f>IF(VOUT_setting=1,0,ATAN(((A542*zterm1))))</f>
        <v/>
      </c>
      <c r="Q542" s="1056">
        <f>IF(VOUT_setting=1,1,SQRT((1+Afbr-$Q$5*(A542)^2)^2+(A542*$Q$4)^2))</f>
        <v/>
      </c>
      <c r="R542" s="1060">
        <f>IF(VOUT_setting=1,0,ATAN(A542*$Q$4/(1+Afbr-$Q$5*(A542)^2)))</f>
        <v/>
      </c>
      <c r="S542" s="1054">
        <f>SQRT((1-(Z542/pterm2))^2+(A542/pterm1)^2)</f>
        <v/>
      </c>
      <c r="T542" s="1055">
        <f>IF((ATAN((A542/pterm1)/(1-A542^2/pterm2))&gt;0),ATAN((A542/pterm1)/(1-A542^2/pterm2)),PI()+ATAN((A542/pterm1)/(1-A542^2/pterm2)))</f>
        <v/>
      </c>
      <c r="U542" s="331">
        <f>20*LOG10(((E542*K542*G542*O542)/(C542*I542*S542*M542*Q542))*Adc)</f>
        <v/>
      </c>
      <c r="V542" s="332">
        <f>((F542+L542+H542+P542)-(D542+J542+T542+N542+R542))*radconv</f>
        <v/>
      </c>
      <c r="W542" s="334">
        <f>IF(V542&gt;0,V542,V542+180)</f>
        <v/>
      </c>
      <c r="Y542" s="307">
        <f>IF(U542&lt;0,A542,1000000000)</f>
        <v/>
      </c>
      <c r="Z542" s="307">
        <f>A542^2</f>
        <v/>
      </c>
      <c r="AB542" s="333">
        <f>20*LOG10((K542/(I542*M542))*AEA)</f>
        <v/>
      </c>
      <c r="AC542" s="334">
        <f>(L542-(J542+N542))*radconv</f>
        <v/>
      </c>
      <c r="AE542" s="333">
        <f>20*LOG10((E542*G542/(C542*S542))*Acs*Am)</f>
        <v/>
      </c>
      <c r="AF542" s="334">
        <f>(F542+H542-(D542+T542))*radconv</f>
        <v/>
      </c>
      <c r="AH542">
        <f>SUM((U543&lt;0)*(U542&gt;0))*A542</f>
        <v/>
      </c>
      <c r="AI542">
        <f>IF(AH542&gt;0,W542,0)</f>
        <v/>
      </c>
    </row>
    <row r="543">
      <c r="A543" s="335" t="n">
        <v>82229.5</v>
      </c>
      <c r="B543" s="352">
        <f>A543/1000</f>
        <v/>
      </c>
      <c r="C543" s="1047">
        <f>SQRT(1+(A543/pole1)^2)</f>
        <v/>
      </c>
      <c r="D543" s="1048">
        <f>ATAN(A543/pole1)</f>
        <v/>
      </c>
      <c r="E543" s="1048">
        <f>SQRT(1+(A543/Zero1)^2)</f>
        <v/>
      </c>
      <c r="F543" s="1049">
        <f>ATAN(A543/Zero1)</f>
        <v/>
      </c>
      <c r="G543" s="1048">
        <f>IF(VIN_nom&gt;Vout, 1, SQRT(1+(A543/z_RHP)^2))</f>
        <v/>
      </c>
      <c r="H543" s="1049">
        <f>IF(VIN_nom&gt;Vout, 0, -ATAN(A543/z_RHP))</f>
        <v/>
      </c>
      <c r="I543" s="1047">
        <f>SQRT(1+(A543/Pole2)^2)</f>
        <v/>
      </c>
      <c r="J543" s="1050">
        <f>ATAN(A543/Pole2)</f>
        <v/>
      </c>
      <c r="K543" s="1056">
        <f>SQRT(1+(A543/Zero2)^2)</f>
        <v/>
      </c>
      <c r="L543" s="1057">
        <f>ATAN(A543/Zero2)</f>
        <v/>
      </c>
      <c r="M543" s="1047">
        <f>SQRT(1+(A543/pole4)^2)</f>
        <v/>
      </c>
      <c r="N543" s="1057">
        <f>ATAN(A543/pole4)</f>
        <v/>
      </c>
      <c r="O543" s="1058">
        <f>IF(VOUT_setting=1,1,SQRT(1+(A543*zterm1)^2))</f>
        <v/>
      </c>
      <c r="P543" s="1059">
        <f>IF(VOUT_setting=1,0,ATAN(((A543*zterm1))))</f>
        <v/>
      </c>
      <c r="Q543" s="1056">
        <f>IF(VOUT_setting=1,1,SQRT((1+Afbr-$Q$5*(A543)^2)^2+(A543*$Q$4)^2))</f>
        <v/>
      </c>
      <c r="R543" s="1060">
        <f>IF(VOUT_setting=1,0,ATAN(A543*$Q$4/(1+Afbr-$Q$5*(A543)^2)))</f>
        <v/>
      </c>
      <c r="S543" s="1054">
        <f>SQRT((1-(Z543/pterm2))^2+(A543/pterm1)^2)</f>
        <v/>
      </c>
      <c r="T543" s="1055">
        <f>IF((ATAN((A543/pterm1)/(1-A543^2/pterm2))&gt;0),ATAN((A543/pterm1)/(1-A543^2/pterm2)),PI()+ATAN((A543/pterm1)/(1-A543^2/pterm2)))</f>
        <v/>
      </c>
      <c r="U543" s="331">
        <f>20*LOG10(((E543*K543*G543*O543)/(C543*I543*S543*M543*Q543))*Adc)</f>
        <v/>
      </c>
      <c r="V543" s="332">
        <f>((F543+L543+H543+P543)-(D543+J543+T543+N543+R543))*radconv</f>
        <v/>
      </c>
      <c r="W543" s="334">
        <f>IF(V543&gt;0,V543,V543+180)</f>
        <v/>
      </c>
      <c r="Y543" s="307">
        <f>IF(U543&lt;0,A543,1000000000)</f>
        <v/>
      </c>
      <c r="Z543" s="307">
        <f>A543^2</f>
        <v/>
      </c>
      <c r="AB543" s="333">
        <f>20*LOG10((K543/(I543*M543))*AEA)</f>
        <v/>
      </c>
      <c r="AC543" s="334">
        <f>(L543-(J543+N543))*radconv</f>
        <v/>
      </c>
      <c r="AE543" s="333">
        <f>20*LOG10((E543*G543/(C543*S543))*Acs*Am)</f>
        <v/>
      </c>
      <c r="AF543" s="334">
        <f>(F543+H543-(D543+T543))*radconv</f>
        <v/>
      </c>
      <c r="AH543">
        <f>SUM((U544&lt;0)*(U543&gt;0))*A543</f>
        <v/>
      </c>
      <c r="AI543">
        <f>IF(AH543&gt;0,W543,0)</f>
        <v/>
      </c>
    </row>
    <row r="544">
      <c r="A544" s="335" t="n">
        <v>82702.75</v>
      </c>
      <c r="B544" s="352">
        <f>A544/1000</f>
        <v/>
      </c>
      <c r="C544" s="1047">
        <f>SQRT(1+(A544/pole1)^2)</f>
        <v/>
      </c>
      <c r="D544" s="1048">
        <f>ATAN(A544/pole1)</f>
        <v/>
      </c>
      <c r="E544" s="1048">
        <f>SQRT(1+(A544/Zero1)^2)</f>
        <v/>
      </c>
      <c r="F544" s="1049">
        <f>ATAN(A544/Zero1)</f>
        <v/>
      </c>
      <c r="G544" s="1048">
        <f>IF(VIN_nom&gt;Vout, 1, SQRT(1+(A544/z_RHP)^2))</f>
        <v/>
      </c>
      <c r="H544" s="1049">
        <f>IF(VIN_nom&gt;Vout, 0, -ATAN(A544/z_RHP))</f>
        <v/>
      </c>
      <c r="I544" s="1047">
        <f>SQRT(1+(A544/Pole2)^2)</f>
        <v/>
      </c>
      <c r="J544" s="1050">
        <f>ATAN(A544/Pole2)</f>
        <v/>
      </c>
      <c r="K544" s="1056">
        <f>SQRT(1+(A544/Zero2)^2)</f>
        <v/>
      </c>
      <c r="L544" s="1057">
        <f>ATAN(A544/Zero2)</f>
        <v/>
      </c>
      <c r="M544" s="1047">
        <f>SQRT(1+(A544/pole4)^2)</f>
        <v/>
      </c>
      <c r="N544" s="1057">
        <f>ATAN(A544/pole4)</f>
        <v/>
      </c>
      <c r="O544" s="1058">
        <f>IF(VOUT_setting=1,1,SQRT(1+(A544*zterm1)^2))</f>
        <v/>
      </c>
      <c r="P544" s="1059">
        <f>IF(VOUT_setting=1,0,ATAN(((A544*zterm1))))</f>
        <v/>
      </c>
      <c r="Q544" s="1056">
        <f>IF(VOUT_setting=1,1,SQRT((1+Afbr-$Q$5*(A544)^2)^2+(A544*$Q$4)^2))</f>
        <v/>
      </c>
      <c r="R544" s="1060">
        <f>IF(VOUT_setting=1,0,ATAN(A544*$Q$4/(1+Afbr-$Q$5*(A544)^2)))</f>
        <v/>
      </c>
      <c r="S544" s="1054">
        <f>SQRT((1-(Z544/pterm2))^2+(A544/pterm1)^2)</f>
        <v/>
      </c>
      <c r="T544" s="1055">
        <f>IF((ATAN((A544/pterm1)/(1-A544^2/pterm2))&gt;0),ATAN((A544/pterm1)/(1-A544^2/pterm2)),PI()+ATAN((A544/pterm1)/(1-A544^2/pterm2)))</f>
        <v/>
      </c>
      <c r="U544" s="331">
        <f>20*LOG10(((E544*K544*G544*O544)/(C544*I544*S544*M544*Q544))*Adc)</f>
        <v/>
      </c>
      <c r="V544" s="332">
        <f>((F544+L544+H544+P544)-(D544+J544+T544+N544+R544))*radconv</f>
        <v/>
      </c>
      <c r="W544" s="334">
        <f>IF(V544&gt;0,V544,V544+180)</f>
        <v/>
      </c>
      <c r="Y544" s="307">
        <f>IF(U544&lt;0,A544,1000000000)</f>
        <v/>
      </c>
      <c r="Z544" s="307">
        <f>A544^2</f>
        <v/>
      </c>
      <c r="AB544" s="333">
        <f>20*LOG10((K544/(I544*M544))*AEA)</f>
        <v/>
      </c>
      <c r="AC544" s="334">
        <f>(L544-(J544+N544))*radconv</f>
        <v/>
      </c>
      <c r="AE544" s="333">
        <f>20*LOG10((E544*G544/(C544*S544))*Acs*Am)</f>
        <v/>
      </c>
      <c r="AF544" s="334">
        <f>(F544+H544-(D544+T544))*radconv</f>
        <v/>
      </c>
      <c r="AH544">
        <f>SUM((U545&lt;0)*(U544&gt;0))*A544</f>
        <v/>
      </c>
      <c r="AI544">
        <f>IF(AH544&gt;0,W544,0)</f>
        <v/>
      </c>
    </row>
    <row r="545">
      <c r="A545" s="335" t="n">
        <v>83176</v>
      </c>
      <c r="B545" s="352">
        <f>A545/1000</f>
        <v/>
      </c>
      <c r="C545" s="1047">
        <f>SQRT(1+(A545/pole1)^2)</f>
        <v/>
      </c>
      <c r="D545" s="1048">
        <f>ATAN(A545/pole1)</f>
        <v/>
      </c>
      <c r="E545" s="1048">
        <f>SQRT(1+(A545/Zero1)^2)</f>
        <v/>
      </c>
      <c r="F545" s="1049">
        <f>ATAN(A545/Zero1)</f>
        <v/>
      </c>
      <c r="G545" s="1048">
        <f>IF(VIN_nom&gt;Vout, 1, SQRT(1+(A545/z_RHP)^2))</f>
        <v/>
      </c>
      <c r="H545" s="1049">
        <f>IF(VIN_nom&gt;Vout, 0, -ATAN(A545/z_RHP))</f>
        <v/>
      </c>
      <c r="I545" s="1047">
        <f>SQRT(1+(A545/Pole2)^2)</f>
        <v/>
      </c>
      <c r="J545" s="1050">
        <f>ATAN(A545/Pole2)</f>
        <v/>
      </c>
      <c r="K545" s="1056">
        <f>SQRT(1+(A545/Zero2)^2)</f>
        <v/>
      </c>
      <c r="L545" s="1057">
        <f>ATAN(A545/Zero2)</f>
        <v/>
      </c>
      <c r="M545" s="1047">
        <f>SQRT(1+(A545/pole4)^2)</f>
        <v/>
      </c>
      <c r="N545" s="1057">
        <f>ATAN(A545/pole4)</f>
        <v/>
      </c>
      <c r="O545" s="1058">
        <f>IF(VOUT_setting=1,1,SQRT(1+(A545*zterm1)^2))</f>
        <v/>
      </c>
      <c r="P545" s="1059">
        <f>IF(VOUT_setting=1,0,ATAN(((A545*zterm1))))</f>
        <v/>
      </c>
      <c r="Q545" s="1056">
        <f>IF(VOUT_setting=1,1,SQRT((1+Afbr-$Q$5*(A545)^2)^2+(A545*$Q$4)^2))</f>
        <v/>
      </c>
      <c r="R545" s="1060">
        <f>IF(VOUT_setting=1,0,ATAN(A545*$Q$4/(1+Afbr-$Q$5*(A545)^2)))</f>
        <v/>
      </c>
      <c r="S545" s="1054">
        <f>SQRT((1-(Z545/pterm2))^2+(A545/pterm1)^2)</f>
        <v/>
      </c>
      <c r="T545" s="1055">
        <f>IF((ATAN((A545/pterm1)/(1-A545^2/pterm2))&gt;0),ATAN((A545/pterm1)/(1-A545^2/pterm2)),PI()+ATAN((A545/pterm1)/(1-A545^2/pterm2)))</f>
        <v/>
      </c>
      <c r="U545" s="331">
        <f>20*LOG10(((E545*K545*G545*O545)/(C545*I545*S545*M545*Q545))*Adc)</f>
        <v/>
      </c>
      <c r="V545" s="332">
        <f>((F545+L545+H545+P545)-(D545+J545+T545+N545+R545))*radconv</f>
        <v/>
      </c>
      <c r="W545" s="334">
        <f>IF(V545&gt;0,V545,V545+180)</f>
        <v/>
      </c>
      <c r="Y545" s="307">
        <f>IF(U545&lt;0,A545,1000000000)</f>
        <v/>
      </c>
      <c r="Z545" s="307">
        <f>A545^2</f>
        <v/>
      </c>
      <c r="AB545" s="333">
        <f>20*LOG10((K545/(I545*M545))*AEA)</f>
        <v/>
      </c>
      <c r="AC545" s="334">
        <f>(L545-(J545+N545))*radconv</f>
        <v/>
      </c>
      <c r="AE545" s="333">
        <f>20*LOG10((E545*G545/(C545*S545))*Acs*Am)</f>
        <v/>
      </c>
      <c r="AF545" s="334">
        <f>(F545+H545-(D545+T545))*radconv</f>
        <v/>
      </c>
      <c r="AH545">
        <f>SUM((U546&lt;0)*(U545&gt;0))*A545</f>
        <v/>
      </c>
      <c r="AI545">
        <f>IF(AH545&gt;0,W545,0)</f>
        <v/>
      </c>
    </row>
    <row r="546">
      <c r="A546" s="335" t="n">
        <v>83660.5</v>
      </c>
      <c r="B546" s="352">
        <f>A546/1000</f>
        <v/>
      </c>
      <c r="C546" s="1047">
        <f>SQRT(1+(A546/pole1)^2)</f>
        <v/>
      </c>
      <c r="D546" s="1048">
        <f>ATAN(A546/pole1)</f>
        <v/>
      </c>
      <c r="E546" s="1048">
        <f>SQRT(1+(A546/Zero1)^2)</f>
        <v/>
      </c>
      <c r="F546" s="1049">
        <f>ATAN(A546/Zero1)</f>
        <v/>
      </c>
      <c r="G546" s="1048">
        <f>IF(VIN_nom&gt;Vout, 1, SQRT(1+(A546/z_RHP)^2))</f>
        <v/>
      </c>
      <c r="H546" s="1049">
        <f>IF(VIN_nom&gt;Vout, 0, -ATAN(A546/z_RHP))</f>
        <v/>
      </c>
      <c r="I546" s="1047">
        <f>SQRT(1+(A546/Pole2)^2)</f>
        <v/>
      </c>
      <c r="J546" s="1050">
        <f>ATAN(A546/Pole2)</f>
        <v/>
      </c>
      <c r="K546" s="1056">
        <f>SQRT(1+(A546/Zero2)^2)</f>
        <v/>
      </c>
      <c r="L546" s="1057">
        <f>ATAN(A546/Zero2)</f>
        <v/>
      </c>
      <c r="M546" s="1047">
        <f>SQRT(1+(A546/pole4)^2)</f>
        <v/>
      </c>
      <c r="N546" s="1057">
        <f>ATAN(A546/pole4)</f>
        <v/>
      </c>
      <c r="O546" s="1058">
        <f>IF(VOUT_setting=1,1,SQRT(1+(A546*zterm1)^2))</f>
        <v/>
      </c>
      <c r="P546" s="1059">
        <f>IF(VOUT_setting=1,0,ATAN(((A546*zterm1))))</f>
        <v/>
      </c>
      <c r="Q546" s="1056">
        <f>IF(VOUT_setting=1,1,SQRT((1+Afbr-$Q$5*(A546)^2)^2+(A546*$Q$4)^2))</f>
        <v/>
      </c>
      <c r="R546" s="1060">
        <f>IF(VOUT_setting=1,0,ATAN(A546*$Q$4/(1+Afbr-$Q$5*(A546)^2)))</f>
        <v/>
      </c>
      <c r="S546" s="1054">
        <f>SQRT((1-(Z546/pterm2))^2+(A546/pterm1)^2)</f>
        <v/>
      </c>
      <c r="T546" s="1055">
        <f>IF((ATAN((A546/pterm1)/(1-A546^2/pterm2))&gt;0),ATAN((A546/pterm1)/(1-A546^2/pterm2)),PI()+ATAN((A546/pterm1)/(1-A546^2/pterm2)))</f>
        <v/>
      </c>
      <c r="U546" s="331">
        <f>20*LOG10(((E546*K546*G546*O546)/(C546*I546*S546*M546*Q546))*Adc)</f>
        <v/>
      </c>
      <c r="V546" s="332">
        <f>((F546+L546+H546+P546)-(D546+J546+T546+N546+R546))*radconv</f>
        <v/>
      </c>
      <c r="W546" s="334">
        <f>IF(V546&gt;0,V546,V546+180)</f>
        <v/>
      </c>
      <c r="Y546" s="307">
        <f>IF(U546&lt;0,A546,1000000000)</f>
        <v/>
      </c>
      <c r="Z546" s="307">
        <f>A546^2</f>
        <v/>
      </c>
      <c r="AB546" s="333">
        <f>20*LOG10((K546/(I546*M546))*AEA)</f>
        <v/>
      </c>
      <c r="AC546" s="334">
        <f>(L546-(J546+N546))*radconv</f>
        <v/>
      </c>
      <c r="AE546" s="333">
        <f>20*LOG10((E546*G546/(C546*S546))*Acs*Am)</f>
        <v/>
      </c>
      <c r="AF546" s="334">
        <f>(F546+H546-(D546+T546))*radconv</f>
        <v/>
      </c>
      <c r="AH546">
        <f>SUM((U547&lt;0)*(U546&gt;0))*A546</f>
        <v/>
      </c>
      <c r="AI546">
        <f>IF(AH546&gt;0,W546,0)</f>
        <v/>
      </c>
    </row>
    <row r="547">
      <c r="A547" s="335" t="n">
        <v>84145</v>
      </c>
      <c r="B547" s="352">
        <f>A547/1000</f>
        <v/>
      </c>
      <c r="C547" s="1047">
        <f>SQRT(1+(A547/pole1)^2)</f>
        <v/>
      </c>
      <c r="D547" s="1048">
        <f>ATAN(A547/pole1)</f>
        <v/>
      </c>
      <c r="E547" s="1048">
        <f>SQRT(1+(A547/Zero1)^2)</f>
        <v/>
      </c>
      <c r="F547" s="1049">
        <f>ATAN(A547/Zero1)</f>
        <v/>
      </c>
      <c r="G547" s="1048">
        <f>IF(VIN_nom&gt;Vout, 1, SQRT(1+(A547/z_RHP)^2))</f>
        <v/>
      </c>
      <c r="H547" s="1049">
        <f>IF(VIN_nom&gt;Vout, 0, -ATAN(A547/z_RHP))</f>
        <v/>
      </c>
      <c r="I547" s="1047">
        <f>SQRT(1+(A547/Pole2)^2)</f>
        <v/>
      </c>
      <c r="J547" s="1050">
        <f>ATAN(A547/Pole2)</f>
        <v/>
      </c>
      <c r="K547" s="1056">
        <f>SQRT(1+(A547/Zero2)^2)</f>
        <v/>
      </c>
      <c r="L547" s="1057">
        <f>ATAN(A547/Zero2)</f>
        <v/>
      </c>
      <c r="M547" s="1047">
        <f>SQRT(1+(A547/pole4)^2)</f>
        <v/>
      </c>
      <c r="N547" s="1057">
        <f>ATAN(A547/pole4)</f>
        <v/>
      </c>
      <c r="O547" s="1058">
        <f>IF(VOUT_setting=1,1,SQRT(1+(A547*zterm1)^2))</f>
        <v/>
      </c>
      <c r="P547" s="1059">
        <f>IF(VOUT_setting=1,0,ATAN(((A547*zterm1))))</f>
        <v/>
      </c>
      <c r="Q547" s="1056">
        <f>IF(VOUT_setting=1,1,SQRT((1+Afbr-$Q$5*(A547)^2)^2+(A547*$Q$4)^2))</f>
        <v/>
      </c>
      <c r="R547" s="1060">
        <f>IF(VOUT_setting=1,0,ATAN(A547*$Q$4/(1+Afbr-$Q$5*(A547)^2)))</f>
        <v/>
      </c>
      <c r="S547" s="1054">
        <f>SQRT((1-(Z547/pterm2))^2+(A547/pterm1)^2)</f>
        <v/>
      </c>
      <c r="T547" s="1055">
        <f>IF((ATAN((A547/pterm1)/(1-A547^2/pterm2))&gt;0),ATAN((A547/pterm1)/(1-A547^2/pterm2)),PI()+ATAN((A547/pterm1)/(1-A547^2/pterm2)))</f>
        <v/>
      </c>
      <c r="U547" s="331">
        <f>20*LOG10(((E547*K547*G547*O547)/(C547*I547*S547*M547*Q547))*Adc)</f>
        <v/>
      </c>
      <c r="V547" s="332">
        <f>((F547+L547+H547+P547)-(D547+J547+T547+N547+R547))*radconv</f>
        <v/>
      </c>
      <c r="W547" s="334">
        <f>IF(V547&gt;0,V547,V547+180)</f>
        <v/>
      </c>
      <c r="Y547" s="307">
        <f>IF(U547&lt;0,A547,1000000000)</f>
        <v/>
      </c>
      <c r="Z547" s="307">
        <f>A547^2</f>
        <v/>
      </c>
      <c r="AB547" s="333">
        <f>20*LOG10((K547/(I547*M547))*AEA)</f>
        <v/>
      </c>
      <c r="AC547" s="334">
        <f>(L547-(J547+N547))*radconv</f>
        <v/>
      </c>
      <c r="AE547" s="333">
        <f>20*LOG10((E547*G547/(C547*S547))*Acs*Am)</f>
        <v/>
      </c>
      <c r="AF547" s="334">
        <f>(F547+H547-(D547+T547))*radconv</f>
        <v/>
      </c>
      <c r="AH547">
        <f>SUM((U548&lt;0)*(U547&gt;0))*A547</f>
        <v/>
      </c>
      <c r="AI547">
        <f>IF(AH547&gt;0,W547,0)</f>
        <v/>
      </c>
    </row>
    <row r="548">
      <c r="A548" s="335" t="n">
        <v>84629.5</v>
      </c>
      <c r="B548" s="352">
        <f>A548/1000</f>
        <v/>
      </c>
      <c r="C548" s="1047">
        <f>SQRT(1+(A548/pole1)^2)</f>
        <v/>
      </c>
      <c r="D548" s="1048">
        <f>ATAN(A548/pole1)</f>
        <v/>
      </c>
      <c r="E548" s="1048">
        <f>SQRT(1+(A548/Zero1)^2)</f>
        <v/>
      </c>
      <c r="F548" s="1049">
        <f>ATAN(A548/Zero1)</f>
        <v/>
      </c>
      <c r="G548" s="1048">
        <f>IF(VIN_nom&gt;Vout, 1, SQRT(1+(A548/z_RHP)^2))</f>
        <v/>
      </c>
      <c r="H548" s="1049">
        <f>IF(VIN_nom&gt;Vout, 0, -ATAN(A548/z_RHP))</f>
        <v/>
      </c>
      <c r="I548" s="1047">
        <f>SQRT(1+(A548/Pole2)^2)</f>
        <v/>
      </c>
      <c r="J548" s="1050">
        <f>ATAN(A548/Pole2)</f>
        <v/>
      </c>
      <c r="K548" s="1056">
        <f>SQRT(1+(A548/Zero2)^2)</f>
        <v/>
      </c>
      <c r="L548" s="1057">
        <f>ATAN(A548/Zero2)</f>
        <v/>
      </c>
      <c r="M548" s="1047">
        <f>SQRT(1+(A548/pole4)^2)</f>
        <v/>
      </c>
      <c r="N548" s="1057">
        <f>ATAN(A548/pole4)</f>
        <v/>
      </c>
      <c r="O548" s="1058">
        <f>IF(VOUT_setting=1,1,SQRT(1+(A548*zterm1)^2))</f>
        <v/>
      </c>
      <c r="P548" s="1059">
        <f>IF(VOUT_setting=1,0,ATAN(((A548*zterm1))))</f>
        <v/>
      </c>
      <c r="Q548" s="1056">
        <f>IF(VOUT_setting=1,1,SQRT((1+Afbr-$Q$5*(A548)^2)^2+(A548*$Q$4)^2))</f>
        <v/>
      </c>
      <c r="R548" s="1060">
        <f>IF(VOUT_setting=1,0,ATAN(A548*$Q$4/(1+Afbr-$Q$5*(A548)^2)))</f>
        <v/>
      </c>
      <c r="S548" s="1054">
        <f>SQRT((1-(Z548/pterm2))^2+(A548/pterm1)^2)</f>
        <v/>
      </c>
      <c r="T548" s="1055">
        <f>IF((ATAN((A548/pterm1)/(1-A548^2/pterm2))&gt;0),ATAN((A548/pterm1)/(1-A548^2/pterm2)),PI()+ATAN((A548/pterm1)/(1-A548^2/pterm2)))</f>
        <v/>
      </c>
      <c r="U548" s="331">
        <f>20*LOG10(((E548*K548*G548*O548)/(C548*I548*S548*M548*Q548))*Adc)</f>
        <v/>
      </c>
      <c r="V548" s="332">
        <f>((F548+L548+H548+P548)-(D548+J548+T548+N548+R548))*radconv</f>
        <v/>
      </c>
      <c r="W548" s="334">
        <f>IF(V548&gt;0,V548,V548+180)</f>
        <v/>
      </c>
      <c r="Y548" s="307">
        <f>IF(U548&lt;0,A548,1000000000)</f>
        <v/>
      </c>
      <c r="Z548" s="307">
        <f>A548^2</f>
        <v/>
      </c>
      <c r="AB548" s="333">
        <f>20*LOG10((K548/(I548*M548))*AEA)</f>
        <v/>
      </c>
      <c r="AC548" s="334">
        <f>(L548-(J548+N548))*radconv</f>
        <v/>
      </c>
      <c r="AE548" s="333">
        <f>20*LOG10((E548*G548/(C548*S548))*Acs*Am)</f>
        <v/>
      </c>
      <c r="AF548" s="334">
        <f>(F548+H548-(D548+T548))*radconv</f>
        <v/>
      </c>
      <c r="AH548">
        <f>SUM((U549&lt;0)*(U548&gt;0))*A548</f>
        <v/>
      </c>
      <c r="AI548">
        <f>IF(AH548&gt;0,W548,0)</f>
        <v/>
      </c>
    </row>
    <row r="549">
      <c r="A549" s="335" t="n">
        <v>85114</v>
      </c>
      <c r="B549" s="352">
        <f>A549/1000</f>
        <v/>
      </c>
      <c r="C549" s="1047">
        <f>SQRT(1+(A549/pole1)^2)</f>
        <v/>
      </c>
      <c r="D549" s="1048">
        <f>ATAN(A549/pole1)</f>
        <v/>
      </c>
      <c r="E549" s="1048">
        <f>SQRT(1+(A549/Zero1)^2)</f>
        <v/>
      </c>
      <c r="F549" s="1049">
        <f>ATAN(A549/Zero1)</f>
        <v/>
      </c>
      <c r="G549" s="1048">
        <f>IF(VIN_nom&gt;Vout, 1, SQRT(1+(A549/z_RHP)^2))</f>
        <v/>
      </c>
      <c r="H549" s="1049">
        <f>IF(VIN_nom&gt;Vout, 0, -ATAN(A549/z_RHP))</f>
        <v/>
      </c>
      <c r="I549" s="1047">
        <f>SQRT(1+(A549/Pole2)^2)</f>
        <v/>
      </c>
      <c r="J549" s="1050">
        <f>ATAN(A549/Pole2)</f>
        <v/>
      </c>
      <c r="K549" s="1056">
        <f>SQRT(1+(A549/Zero2)^2)</f>
        <v/>
      </c>
      <c r="L549" s="1057">
        <f>ATAN(A549/Zero2)</f>
        <v/>
      </c>
      <c r="M549" s="1047">
        <f>SQRT(1+(A549/pole4)^2)</f>
        <v/>
      </c>
      <c r="N549" s="1057">
        <f>ATAN(A549/pole4)</f>
        <v/>
      </c>
      <c r="O549" s="1058">
        <f>IF(VOUT_setting=1,1,SQRT(1+(A549*zterm1)^2))</f>
        <v/>
      </c>
      <c r="P549" s="1059">
        <f>IF(VOUT_setting=1,0,ATAN(((A549*zterm1))))</f>
        <v/>
      </c>
      <c r="Q549" s="1056">
        <f>IF(VOUT_setting=1,1,SQRT((1+Afbr-$Q$5*(A549)^2)^2+(A549*$Q$4)^2))</f>
        <v/>
      </c>
      <c r="R549" s="1060">
        <f>IF(VOUT_setting=1,0,ATAN(A549*$Q$4/(1+Afbr-$Q$5*(A549)^2)))</f>
        <v/>
      </c>
      <c r="S549" s="1054">
        <f>SQRT((1-(Z549/pterm2))^2+(A549/pterm1)^2)</f>
        <v/>
      </c>
      <c r="T549" s="1055">
        <f>IF((ATAN((A549/pterm1)/(1-A549^2/pterm2))&gt;0),ATAN((A549/pterm1)/(1-A549^2/pterm2)),PI()+ATAN((A549/pterm1)/(1-A549^2/pterm2)))</f>
        <v/>
      </c>
      <c r="U549" s="331">
        <f>20*LOG10(((E549*K549*G549*O549)/(C549*I549*S549*M549*Q549))*Adc)</f>
        <v/>
      </c>
      <c r="V549" s="332">
        <f>((F549+L549+H549+P549)-(D549+J549+T549+N549+R549))*radconv</f>
        <v/>
      </c>
      <c r="W549" s="334">
        <f>IF(V549&gt;0,V549,V549+180)</f>
        <v/>
      </c>
      <c r="Y549" s="307">
        <f>IF(U549&lt;0,A549,1000000000)</f>
        <v/>
      </c>
      <c r="Z549" s="307">
        <f>A549^2</f>
        <v/>
      </c>
      <c r="AB549" s="333">
        <f>20*LOG10((K549/(I549*M549))*AEA)</f>
        <v/>
      </c>
      <c r="AC549" s="334">
        <f>(L549-(J549+N549))*radconv</f>
        <v/>
      </c>
      <c r="AE549" s="333">
        <f>20*LOG10((E549*G549/(C549*S549))*Acs*Am)</f>
        <v/>
      </c>
      <c r="AF549" s="334">
        <f>(F549+H549-(D549+T549))*radconv</f>
        <v/>
      </c>
      <c r="AH549">
        <f>SUM((U550&lt;0)*(U549&gt;0))*A549</f>
        <v/>
      </c>
      <c r="AI549">
        <f>IF(AH549&gt;0,W549,0)</f>
        <v/>
      </c>
    </row>
    <row r="550">
      <c r="A550" s="335" t="n">
        <v>85609.5</v>
      </c>
      <c r="B550" s="352">
        <f>A550/1000</f>
        <v/>
      </c>
      <c r="C550" s="1047">
        <f>SQRT(1+(A550/pole1)^2)</f>
        <v/>
      </c>
      <c r="D550" s="1048">
        <f>ATAN(A550/pole1)</f>
        <v/>
      </c>
      <c r="E550" s="1048">
        <f>SQRT(1+(A550/Zero1)^2)</f>
        <v/>
      </c>
      <c r="F550" s="1049">
        <f>ATAN(A550/Zero1)</f>
        <v/>
      </c>
      <c r="G550" s="1048">
        <f>IF(VIN_nom&gt;Vout, 1, SQRT(1+(A550/z_RHP)^2))</f>
        <v/>
      </c>
      <c r="H550" s="1049">
        <f>IF(VIN_nom&gt;Vout, 0, -ATAN(A550/z_RHP))</f>
        <v/>
      </c>
      <c r="I550" s="1047">
        <f>SQRT(1+(A550/Pole2)^2)</f>
        <v/>
      </c>
      <c r="J550" s="1050">
        <f>ATAN(A550/Pole2)</f>
        <v/>
      </c>
      <c r="K550" s="1056">
        <f>SQRT(1+(A550/Zero2)^2)</f>
        <v/>
      </c>
      <c r="L550" s="1057">
        <f>ATAN(A550/Zero2)</f>
        <v/>
      </c>
      <c r="M550" s="1047">
        <f>SQRT(1+(A550/pole4)^2)</f>
        <v/>
      </c>
      <c r="N550" s="1057">
        <f>ATAN(A550/pole4)</f>
        <v/>
      </c>
      <c r="O550" s="1058">
        <f>IF(VOUT_setting=1,1,SQRT(1+(A550*zterm1)^2))</f>
        <v/>
      </c>
      <c r="P550" s="1059">
        <f>IF(VOUT_setting=1,0,ATAN(((A550*zterm1))))</f>
        <v/>
      </c>
      <c r="Q550" s="1056">
        <f>IF(VOUT_setting=1,1,SQRT((1+Afbr-$Q$5*(A550)^2)^2+(A550*$Q$4)^2))</f>
        <v/>
      </c>
      <c r="R550" s="1060">
        <f>IF(VOUT_setting=1,0,ATAN(A550*$Q$4/(1+Afbr-$Q$5*(A550)^2)))</f>
        <v/>
      </c>
      <c r="S550" s="1054">
        <f>SQRT((1-(Z550/pterm2))^2+(A550/pterm1)^2)</f>
        <v/>
      </c>
      <c r="T550" s="1055">
        <f>IF((ATAN((A550/pterm1)/(1-A550^2/pterm2))&gt;0),ATAN((A550/pterm1)/(1-A550^2/pterm2)),PI()+ATAN((A550/pterm1)/(1-A550^2/pterm2)))</f>
        <v/>
      </c>
      <c r="U550" s="331">
        <f>20*LOG10(((E550*K550*G550*O550)/(C550*I550*S550*M550*Q550))*Adc)</f>
        <v/>
      </c>
      <c r="V550" s="332">
        <f>((F550+L550+H550+P550)-(D550+J550+T550+N550+R550))*radconv</f>
        <v/>
      </c>
      <c r="W550" s="334">
        <f>IF(V550&gt;0,V550,V550+180)</f>
        <v/>
      </c>
      <c r="Y550" s="307">
        <f>IF(U550&lt;0,A550,1000000000)</f>
        <v/>
      </c>
      <c r="Z550" s="307">
        <f>A550^2</f>
        <v/>
      </c>
      <c r="AB550" s="333">
        <f>20*LOG10((K550/(I550*M550))*AEA)</f>
        <v/>
      </c>
      <c r="AC550" s="334">
        <f>(L550-(J550+N550))*radconv</f>
        <v/>
      </c>
      <c r="AE550" s="333">
        <f>20*LOG10((E550*G550/(C550*S550))*Acs*Am)</f>
        <v/>
      </c>
      <c r="AF550" s="334">
        <f>(F550+H550-(D550+T550))*radconv</f>
        <v/>
      </c>
      <c r="AH550">
        <f>SUM((U551&lt;0)*(U550&gt;0))*A550</f>
        <v/>
      </c>
      <c r="AI550">
        <f>IF(AH550&gt;0,W550,0)</f>
        <v/>
      </c>
    </row>
    <row r="551">
      <c r="A551" s="335" t="n">
        <v>86105</v>
      </c>
      <c r="B551" s="352">
        <f>A551/1000</f>
        <v/>
      </c>
      <c r="C551" s="1047">
        <f>SQRT(1+(A551/pole1)^2)</f>
        <v/>
      </c>
      <c r="D551" s="1048">
        <f>ATAN(A551/pole1)</f>
        <v/>
      </c>
      <c r="E551" s="1048">
        <f>SQRT(1+(A551/Zero1)^2)</f>
        <v/>
      </c>
      <c r="F551" s="1049">
        <f>ATAN(A551/Zero1)</f>
        <v/>
      </c>
      <c r="G551" s="1048">
        <f>IF(VIN_nom&gt;Vout, 1, SQRT(1+(A551/z_RHP)^2))</f>
        <v/>
      </c>
      <c r="H551" s="1049">
        <f>IF(VIN_nom&gt;Vout, 0, -ATAN(A551/z_RHP))</f>
        <v/>
      </c>
      <c r="I551" s="1047">
        <f>SQRT(1+(A551/Pole2)^2)</f>
        <v/>
      </c>
      <c r="J551" s="1050">
        <f>ATAN(A551/Pole2)</f>
        <v/>
      </c>
      <c r="K551" s="1056">
        <f>SQRT(1+(A551/Zero2)^2)</f>
        <v/>
      </c>
      <c r="L551" s="1057">
        <f>ATAN(A551/Zero2)</f>
        <v/>
      </c>
      <c r="M551" s="1047">
        <f>SQRT(1+(A551/pole4)^2)</f>
        <v/>
      </c>
      <c r="N551" s="1057">
        <f>ATAN(A551/pole4)</f>
        <v/>
      </c>
      <c r="O551" s="1058">
        <f>IF(VOUT_setting=1,1,SQRT(1+(A551*zterm1)^2))</f>
        <v/>
      </c>
      <c r="P551" s="1059">
        <f>IF(VOUT_setting=1,0,ATAN(((A551*zterm1))))</f>
        <v/>
      </c>
      <c r="Q551" s="1056">
        <f>IF(VOUT_setting=1,1,SQRT((1+Afbr-$Q$5*(A551)^2)^2+(A551*$Q$4)^2))</f>
        <v/>
      </c>
      <c r="R551" s="1060">
        <f>IF(VOUT_setting=1,0,ATAN(A551*$Q$4/(1+Afbr-$Q$5*(A551)^2)))</f>
        <v/>
      </c>
      <c r="S551" s="1054">
        <f>SQRT((1-(Z551/pterm2))^2+(A551/pterm1)^2)</f>
        <v/>
      </c>
      <c r="T551" s="1055">
        <f>IF((ATAN((A551/pterm1)/(1-A551^2/pterm2))&gt;0),ATAN((A551/pterm1)/(1-A551^2/pterm2)),PI()+ATAN((A551/pterm1)/(1-A551^2/pterm2)))</f>
        <v/>
      </c>
      <c r="U551" s="331">
        <f>20*LOG10(((E551*K551*G551*O551)/(C551*I551*S551*M551*Q551))*Adc)</f>
        <v/>
      </c>
      <c r="V551" s="332">
        <f>((F551+L551+H551+P551)-(D551+J551+T551+N551+R551))*radconv</f>
        <v/>
      </c>
      <c r="W551" s="334">
        <f>IF(V551&gt;0,V551,V551+180)</f>
        <v/>
      </c>
      <c r="Y551" s="307">
        <f>IF(U551&lt;0,A551,1000000000)</f>
        <v/>
      </c>
      <c r="Z551" s="307">
        <f>A551^2</f>
        <v/>
      </c>
      <c r="AB551" s="333">
        <f>20*LOG10((K551/(I551*M551))*AEA)</f>
        <v/>
      </c>
      <c r="AC551" s="334">
        <f>(L551-(J551+N551))*radconv</f>
        <v/>
      </c>
      <c r="AE551" s="333">
        <f>20*LOG10((E551*G551/(C551*S551))*Acs*Am)</f>
        <v/>
      </c>
      <c r="AF551" s="334">
        <f>(F551+H551-(D551+T551))*radconv</f>
        <v/>
      </c>
      <c r="AH551">
        <f>SUM((U552&lt;0)*(U551&gt;0))*A551</f>
        <v/>
      </c>
      <c r="AI551">
        <f>IF(AH551&gt;0,W551,0)</f>
        <v/>
      </c>
    </row>
    <row r="552">
      <c r="A552" s="335" t="n">
        <v>86600.5</v>
      </c>
      <c r="B552" s="352">
        <f>A552/1000</f>
        <v/>
      </c>
      <c r="C552" s="1047">
        <f>SQRT(1+(A552/pole1)^2)</f>
        <v/>
      </c>
      <c r="D552" s="1048">
        <f>ATAN(A552/pole1)</f>
        <v/>
      </c>
      <c r="E552" s="1048">
        <f>SQRT(1+(A552/Zero1)^2)</f>
        <v/>
      </c>
      <c r="F552" s="1049">
        <f>ATAN(A552/Zero1)</f>
        <v/>
      </c>
      <c r="G552" s="1048">
        <f>IF(VIN_nom&gt;Vout, 1, SQRT(1+(A552/z_RHP)^2))</f>
        <v/>
      </c>
      <c r="H552" s="1049">
        <f>IF(VIN_nom&gt;Vout, 0, -ATAN(A552/z_RHP))</f>
        <v/>
      </c>
      <c r="I552" s="1047">
        <f>SQRT(1+(A552/Pole2)^2)</f>
        <v/>
      </c>
      <c r="J552" s="1050">
        <f>ATAN(A552/Pole2)</f>
        <v/>
      </c>
      <c r="K552" s="1056">
        <f>SQRT(1+(A552/Zero2)^2)</f>
        <v/>
      </c>
      <c r="L552" s="1057">
        <f>ATAN(A552/Zero2)</f>
        <v/>
      </c>
      <c r="M552" s="1047">
        <f>SQRT(1+(A552/pole4)^2)</f>
        <v/>
      </c>
      <c r="N552" s="1057">
        <f>ATAN(A552/pole4)</f>
        <v/>
      </c>
      <c r="O552" s="1058">
        <f>IF(VOUT_setting=1,1,SQRT(1+(A552*zterm1)^2))</f>
        <v/>
      </c>
      <c r="P552" s="1059">
        <f>IF(VOUT_setting=1,0,ATAN(((A552*zterm1))))</f>
        <v/>
      </c>
      <c r="Q552" s="1056">
        <f>IF(VOUT_setting=1,1,SQRT((1+Afbr-$Q$5*(A552)^2)^2+(A552*$Q$4)^2))</f>
        <v/>
      </c>
      <c r="R552" s="1060">
        <f>IF(VOUT_setting=1,0,ATAN(A552*$Q$4/(1+Afbr-$Q$5*(A552)^2)))</f>
        <v/>
      </c>
      <c r="S552" s="1054">
        <f>SQRT((1-(Z552/pterm2))^2+(A552/pterm1)^2)</f>
        <v/>
      </c>
      <c r="T552" s="1055">
        <f>IF((ATAN((A552/pterm1)/(1-A552^2/pterm2))&gt;0),ATAN((A552/pterm1)/(1-A552^2/pterm2)),PI()+ATAN((A552/pterm1)/(1-A552^2/pterm2)))</f>
        <v/>
      </c>
      <c r="U552" s="331">
        <f>20*LOG10(((E552*K552*G552*O552)/(C552*I552*S552*M552*Q552))*Adc)</f>
        <v/>
      </c>
      <c r="V552" s="332">
        <f>((F552+L552+H552+P552)-(D552+J552+T552+N552+R552))*radconv</f>
        <v/>
      </c>
      <c r="W552" s="334">
        <f>IF(V552&gt;0,V552,V552+180)</f>
        <v/>
      </c>
      <c r="Y552" s="307">
        <f>IF(U552&lt;0,A552,1000000000)</f>
        <v/>
      </c>
      <c r="Z552" s="307">
        <f>A552^2</f>
        <v/>
      </c>
      <c r="AB552" s="333">
        <f>20*LOG10((K552/(I552*M552))*AEA)</f>
        <v/>
      </c>
      <c r="AC552" s="334">
        <f>(L552-(J552+N552))*radconv</f>
        <v/>
      </c>
      <c r="AE552" s="333">
        <f>20*LOG10((E552*G552/(C552*S552))*Acs*Am)</f>
        <v/>
      </c>
      <c r="AF552" s="334">
        <f>(F552+H552-(D552+T552))*radconv</f>
        <v/>
      </c>
      <c r="AH552">
        <f>SUM((U553&lt;0)*(U552&gt;0))*A552</f>
        <v/>
      </c>
      <c r="AI552">
        <f>IF(AH552&gt;0,W552,0)</f>
        <v/>
      </c>
    </row>
    <row r="553">
      <c r="A553" s="335" t="n">
        <v>87096</v>
      </c>
      <c r="B553" s="352">
        <f>A553/1000</f>
        <v/>
      </c>
      <c r="C553" s="1047">
        <f>SQRT(1+(A553/pole1)^2)</f>
        <v/>
      </c>
      <c r="D553" s="1048">
        <f>ATAN(A553/pole1)</f>
        <v/>
      </c>
      <c r="E553" s="1048">
        <f>SQRT(1+(A553/Zero1)^2)</f>
        <v/>
      </c>
      <c r="F553" s="1049">
        <f>ATAN(A553/Zero1)</f>
        <v/>
      </c>
      <c r="G553" s="1048">
        <f>IF(VIN_nom&gt;Vout, 1, SQRT(1+(A553/z_RHP)^2))</f>
        <v/>
      </c>
      <c r="H553" s="1049">
        <f>IF(VIN_nom&gt;Vout, 0, -ATAN(A553/z_RHP))</f>
        <v/>
      </c>
      <c r="I553" s="1047">
        <f>SQRT(1+(A553/Pole2)^2)</f>
        <v/>
      </c>
      <c r="J553" s="1050">
        <f>ATAN(A553/Pole2)</f>
        <v/>
      </c>
      <c r="K553" s="1056">
        <f>SQRT(1+(A553/Zero2)^2)</f>
        <v/>
      </c>
      <c r="L553" s="1057">
        <f>ATAN(A553/Zero2)</f>
        <v/>
      </c>
      <c r="M553" s="1047">
        <f>SQRT(1+(A553/pole4)^2)</f>
        <v/>
      </c>
      <c r="N553" s="1057">
        <f>ATAN(A553/pole4)</f>
        <v/>
      </c>
      <c r="O553" s="1058">
        <f>IF(VOUT_setting=1,1,SQRT(1+(A553*zterm1)^2))</f>
        <v/>
      </c>
      <c r="P553" s="1059">
        <f>IF(VOUT_setting=1,0,ATAN(((A553*zterm1))))</f>
        <v/>
      </c>
      <c r="Q553" s="1056">
        <f>IF(VOUT_setting=1,1,SQRT((1+Afbr-$Q$5*(A553)^2)^2+(A553*$Q$4)^2))</f>
        <v/>
      </c>
      <c r="R553" s="1060">
        <f>IF(VOUT_setting=1,0,ATAN(A553*$Q$4/(1+Afbr-$Q$5*(A553)^2)))</f>
        <v/>
      </c>
      <c r="S553" s="1054">
        <f>SQRT((1-(Z553/pterm2))^2+(A553/pterm1)^2)</f>
        <v/>
      </c>
      <c r="T553" s="1055">
        <f>IF((ATAN((A553/pterm1)/(1-A553^2/pterm2))&gt;0),ATAN((A553/pterm1)/(1-A553^2/pterm2)),PI()+ATAN((A553/pterm1)/(1-A553^2/pterm2)))</f>
        <v/>
      </c>
      <c r="U553" s="331">
        <f>20*LOG10(((E553*K553*G553*O553)/(C553*I553*S553*M553*Q553))*Adc)</f>
        <v/>
      </c>
      <c r="V553" s="332">
        <f>((F553+L553+H553+P553)-(D553+J553+T553+N553+R553))*radconv</f>
        <v/>
      </c>
      <c r="W553" s="334">
        <f>IF(V553&gt;0,V553,V553+180)</f>
        <v/>
      </c>
      <c r="Y553" s="307">
        <f>IF(U553&lt;0,A553,1000000000)</f>
        <v/>
      </c>
      <c r="Z553" s="307">
        <f>A553^2</f>
        <v/>
      </c>
      <c r="AB553" s="333">
        <f>20*LOG10((K553/(I553*M553))*AEA)</f>
        <v/>
      </c>
      <c r="AC553" s="334">
        <f>(L553-(J553+N553))*radconv</f>
        <v/>
      </c>
      <c r="AE553" s="333">
        <f>20*LOG10((E553*G553/(C553*S553))*Acs*Am)</f>
        <v/>
      </c>
      <c r="AF553" s="334">
        <f>(F553+H553-(D553+T553))*radconv</f>
        <v/>
      </c>
      <c r="AH553">
        <f>SUM((U554&lt;0)*(U553&gt;0))*A553</f>
        <v/>
      </c>
      <c r="AI553">
        <f>IF(AH553&gt;0,W553,0)</f>
        <v/>
      </c>
    </row>
    <row r="554">
      <c r="A554" s="335" t="n">
        <v>87603.25</v>
      </c>
      <c r="B554" s="352">
        <f>A554/1000</f>
        <v/>
      </c>
      <c r="C554" s="1047">
        <f>SQRT(1+(A554/pole1)^2)</f>
        <v/>
      </c>
      <c r="D554" s="1048">
        <f>ATAN(A554/pole1)</f>
        <v/>
      </c>
      <c r="E554" s="1048">
        <f>SQRT(1+(A554/Zero1)^2)</f>
        <v/>
      </c>
      <c r="F554" s="1049">
        <f>ATAN(A554/Zero1)</f>
        <v/>
      </c>
      <c r="G554" s="1048">
        <f>IF(VIN_nom&gt;Vout, 1, SQRT(1+(A554/z_RHP)^2))</f>
        <v/>
      </c>
      <c r="H554" s="1049">
        <f>IF(VIN_nom&gt;Vout, 0, -ATAN(A554/z_RHP))</f>
        <v/>
      </c>
      <c r="I554" s="1047">
        <f>SQRT(1+(A554/Pole2)^2)</f>
        <v/>
      </c>
      <c r="J554" s="1050">
        <f>ATAN(A554/Pole2)</f>
        <v/>
      </c>
      <c r="K554" s="1056">
        <f>SQRT(1+(A554/Zero2)^2)</f>
        <v/>
      </c>
      <c r="L554" s="1057">
        <f>ATAN(A554/Zero2)</f>
        <v/>
      </c>
      <c r="M554" s="1047">
        <f>SQRT(1+(A554/pole4)^2)</f>
        <v/>
      </c>
      <c r="N554" s="1057">
        <f>ATAN(A554/pole4)</f>
        <v/>
      </c>
      <c r="O554" s="1058">
        <f>IF(VOUT_setting=1,1,SQRT(1+(A554*zterm1)^2))</f>
        <v/>
      </c>
      <c r="P554" s="1059">
        <f>IF(VOUT_setting=1,0,ATAN(((A554*zterm1))))</f>
        <v/>
      </c>
      <c r="Q554" s="1056">
        <f>IF(VOUT_setting=1,1,SQRT((1+Afbr-$Q$5*(A554)^2)^2+(A554*$Q$4)^2))</f>
        <v/>
      </c>
      <c r="R554" s="1060">
        <f>IF(VOUT_setting=1,0,ATAN(A554*$Q$4/(1+Afbr-$Q$5*(A554)^2)))</f>
        <v/>
      </c>
      <c r="S554" s="1054">
        <f>SQRT((1-(Z554/pterm2))^2+(A554/pterm1)^2)</f>
        <v/>
      </c>
      <c r="T554" s="1055">
        <f>IF((ATAN((A554/pterm1)/(1-A554^2/pterm2))&gt;0),ATAN((A554/pterm1)/(1-A554^2/pterm2)),PI()+ATAN((A554/pterm1)/(1-A554^2/pterm2)))</f>
        <v/>
      </c>
      <c r="U554" s="331">
        <f>20*LOG10(((E554*K554*G554*O554)/(C554*I554*S554*M554*Q554))*Adc)</f>
        <v/>
      </c>
      <c r="V554" s="332">
        <f>((F554+L554+H554+P554)-(D554+J554+T554+N554+R554))*radconv</f>
        <v/>
      </c>
      <c r="W554" s="334">
        <f>IF(V554&gt;0,V554,V554+180)</f>
        <v/>
      </c>
      <c r="Y554" s="307">
        <f>IF(U554&lt;0,A554,1000000000)</f>
        <v/>
      </c>
      <c r="Z554" s="307">
        <f>A554^2</f>
        <v/>
      </c>
      <c r="AB554" s="333">
        <f>20*LOG10((K554/(I554*M554))*AEA)</f>
        <v/>
      </c>
      <c r="AC554" s="334">
        <f>(L554-(J554+N554))*radconv</f>
        <v/>
      </c>
      <c r="AE554" s="333">
        <f>20*LOG10((E554*G554/(C554*S554))*Acs*Am)</f>
        <v/>
      </c>
      <c r="AF554" s="334">
        <f>(F554+H554-(D554+T554))*radconv</f>
        <v/>
      </c>
      <c r="AH554">
        <f>SUM((U555&lt;0)*(U554&gt;0))*A554</f>
        <v/>
      </c>
      <c r="AI554">
        <f>IF(AH554&gt;0,W554,0)</f>
        <v/>
      </c>
    </row>
    <row r="555">
      <c r="A555" s="335" t="n">
        <v>88110.5</v>
      </c>
      <c r="B555" s="352">
        <f>A555/1000</f>
        <v/>
      </c>
      <c r="C555" s="1047">
        <f>SQRT(1+(A555/pole1)^2)</f>
        <v/>
      </c>
      <c r="D555" s="1048">
        <f>ATAN(A555/pole1)</f>
        <v/>
      </c>
      <c r="E555" s="1048">
        <f>SQRT(1+(A555/Zero1)^2)</f>
        <v/>
      </c>
      <c r="F555" s="1049">
        <f>ATAN(A555/Zero1)</f>
        <v/>
      </c>
      <c r="G555" s="1048">
        <f>IF(VIN_nom&gt;Vout, 1, SQRT(1+(A555/z_RHP)^2))</f>
        <v/>
      </c>
      <c r="H555" s="1049">
        <f>IF(VIN_nom&gt;Vout, 0, -ATAN(A555/z_RHP))</f>
        <v/>
      </c>
      <c r="I555" s="1047">
        <f>SQRT(1+(A555/Pole2)^2)</f>
        <v/>
      </c>
      <c r="J555" s="1050">
        <f>ATAN(A555/Pole2)</f>
        <v/>
      </c>
      <c r="K555" s="1056">
        <f>SQRT(1+(A555/Zero2)^2)</f>
        <v/>
      </c>
      <c r="L555" s="1057">
        <f>ATAN(A555/Zero2)</f>
        <v/>
      </c>
      <c r="M555" s="1047">
        <f>SQRT(1+(A555/pole4)^2)</f>
        <v/>
      </c>
      <c r="N555" s="1057">
        <f>ATAN(A555/pole4)</f>
        <v/>
      </c>
      <c r="O555" s="1058">
        <f>IF(VOUT_setting=1,1,SQRT(1+(A555*zterm1)^2))</f>
        <v/>
      </c>
      <c r="P555" s="1059">
        <f>IF(VOUT_setting=1,0,ATAN(((A555*zterm1))))</f>
        <v/>
      </c>
      <c r="Q555" s="1056">
        <f>IF(VOUT_setting=1,1,SQRT((1+Afbr-$Q$5*(A555)^2)^2+(A555*$Q$4)^2))</f>
        <v/>
      </c>
      <c r="R555" s="1060">
        <f>IF(VOUT_setting=1,0,ATAN(A555*$Q$4/(1+Afbr-$Q$5*(A555)^2)))</f>
        <v/>
      </c>
      <c r="S555" s="1054">
        <f>SQRT((1-(Z555/pterm2))^2+(A555/pterm1)^2)</f>
        <v/>
      </c>
      <c r="T555" s="1055">
        <f>IF((ATAN((A555/pterm1)/(1-A555^2/pterm2))&gt;0),ATAN((A555/pterm1)/(1-A555^2/pterm2)),PI()+ATAN((A555/pterm1)/(1-A555^2/pterm2)))</f>
        <v/>
      </c>
      <c r="U555" s="331">
        <f>20*LOG10(((E555*K555*G555*O555)/(C555*I555*S555*M555*Q555))*Adc)</f>
        <v/>
      </c>
      <c r="V555" s="332">
        <f>((F555+L555+H555+P555)-(D555+J555+T555+N555+R555))*radconv</f>
        <v/>
      </c>
      <c r="W555" s="334">
        <f>IF(V555&gt;0,V555,V555+180)</f>
        <v/>
      </c>
      <c r="Y555" s="307">
        <f>IF(U555&lt;0,A555,1000000000)</f>
        <v/>
      </c>
      <c r="Z555" s="307">
        <f>A555^2</f>
        <v/>
      </c>
      <c r="AB555" s="333">
        <f>20*LOG10((K555/(I555*M555))*AEA)</f>
        <v/>
      </c>
      <c r="AC555" s="334">
        <f>(L555-(J555+N555))*radconv</f>
        <v/>
      </c>
      <c r="AE555" s="333">
        <f>20*LOG10((E555*G555/(C555*S555))*Acs*Am)</f>
        <v/>
      </c>
      <c r="AF555" s="334">
        <f>(F555+H555-(D555+T555))*radconv</f>
        <v/>
      </c>
      <c r="AH555">
        <f>SUM((U556&lt;0)*(U555&gt;0))*A555</f>
        <v/>
      </c>
      <c r="AI555">
        <f>IF(AH555&gt;0,W555,0)</f>
        <v/>
      </c>
    </row>
    <row r="556">
      <c r="A556" s="335" t="n">
        <v>88617.75</v>
      </c>
      <c r="B556" s="352">
        <f>A556/1000</f>
        <v/>
      </c>
      <c r="C556" s="1047">
        <f>SQRT(1+(A556/pole1)^2)</f>
        <v/>
      </c>
      <c r="D556" s="1048">
        <f>ATAN(A556/pole1)</f>
        <v/>
      </c>
      <c r="E556" s="1048">
        <f>SQRT(1+(A556/Zero1)^2)</f>
        <v/>
      </c>
      <c r="F556" s="1049">
        <f>ATAN(A556/Zero1)</f>
        <v/>
      </c>
      <c r="G556" s="1048">
        <f>IF(VIN_nom&gt;Vout, 1, SQRT(1+(A556/z_RHP)^2))</f>
        <v/>
      </c>
      <c r="H556" s="1049">
        <f>IF(VIN_nom&gt;Vout, 0, -ATAN(A556/z_RHP))</f>
        <v/>
      </c>
      <c r="I556" s="1047">
        <f>SQRT(1+(A556/Pole2)^2)</f>
        <v/>
      </c>
      <c r="J556" s="1050">
        <f>ATAN(A556/Pole2)</f>
        <v/>
      </c>
      <c r="K556" s="1056">
        <f>SQRT(1+(A556/Zero2)^2)</f>
        <v/>
      </c>
      <c r="L556" s="1057">
        <f>ATAN(A556/Zero2)</f>
        <v/>
      </c>
      <c r="M556" s="1047">
        <f>SQRT(1+(A556/pole4)^2)</f>
        <v/>
      </c>
      <c r="N556" s="1057">
        <f>ATAN(A556/pole4)</f>
        <v/>
      </c>
      <c r="O556" s="1058">
        <f>IF(VOUT_setting=1,1,SQRT(1+(A556*zterm1)^2))</f>
        <v/>
      </c>
      <c r="P556" s="1059">
        <f>IF(VOUT_setting=1,0,ATAN(((A556*zterm1))))</f>
        <v/>
      </c>
      <c r="Q556" s="1056">
        <f>IF(VOUT_setting=1,1,SQRT((1+Afbr-$Q$5*(A556)^2)^2+(A556*$Q$4)^2))</f>
        <v/>
      </c>
      <c r="R556" s="1060">
        <f>IF(VOUT_setting=1,0,ATAN(A556*$Q$4/(1+Afbr-$Q$5*(A556)^2)))</f>
        <v/>
      </c>
      <c r="S556" s="1054">
        <f>SQRT((1-(Z556/pterm2))^2+(A556/pterm1)^2)</f>
        <v/>
      </c>
      <c r="T556" s="1055">
        <f>IF((ATAN((A556/pterm1)/(1-A556^2/pterm2))&gt;0),ATAN((A556/pterm1)/(1-A556^2/pterm2)),PI()+ATAN((A556/pterm1)/(1-A556^2/pterm2)))</f>
        <v/>
      </c>
      <c r="U556" s="331">
        <f>20*LOG10(((E556*K556*G556*O556)/(C556*I556*S556*M556*Q556))*Adc)</f>
        <v/>
      </c>
      <c r="V556" s="332">
        <f>((F556+L556+H556+P556)-(D556+J556+T556+N556+R556))*radconv</f>
        <v/>
      </c>
      <c r="W556" s="334">
        <f>IF(V556&gt;0,V556,V556+180)</f>
        <v/>
      </c>
      <c r="Y556" s="307">
        <f>IF(U556&lt;0,A556,1000000000)</f>
        <v/>
      </c>
      <c r="Z556" s="307">
        <f>A556^2</f>
        <v/>
      </c>
      <c r="AB556" s="333">
        <f>20*LOG10((K556/(I556*M556))*AEA)</f>
        <v/>
      </c>
      <c r="AC556" s="334">
        <f>(L556-(J556+N556))*radconv</f>
        <v/>
      </c>
      <c r="AE556" s="333">
        <f>20*LOG10((E556*G556/(C556*S556))*Acs*Am)</f>
        <v/>
      </c>
      <c r="AF556" s="334">
        <f>(F556+H556-(D556+T556))*radconv</f>
        <v/>
      </c>
      <c r="AH556">
        <f>SUM((U557&lt;0)*(U556&gt;0))*A556</f>
        <v/>
      </c>
      <c r="AI556">
        <f>IF(AH556&gt;0,W556,0)</f>
        <v/>
      </c>
    </row>
    <row r="557">
      <c r="A557" s="335" t="n">
        <v>89125</v>
      </c>
      <c r="B557" s="352">
        <f>A557/1000</f>
        <v/>
      </c>
      <c r="C557" s="1047">
        <f>SQRT(1+(A557/pole1)^2)</f>
        <v/>
      </c>
      <c r="D557" s="1048">
        <f>ATAN(A557/pole1)</f>
        <v/>
      </c>
      <c r="E557" s="1048">
        <f>SQRT(1+(A557/Zero1)^2)</f>
        <v/>
      </c>
      <c r="F557" s="1049">
        <f>ATAN(A557/Zero1)</f>
        <v/>
      </c>
      <c r="G557" s="1048">
        <f>IF(VIN_nom&gt;Vout, 1, SQRT(1+(A557/z_RHP)^2))</f>
        <v/>
      </c>
      <c r="H557" s="1049">
        <f>IF(VIN_nom&gt;Vout, 0, -ATAN(A557/z_RHP))</f>
        <v/>
      </c>
      <c r="I557" s="1047">
        <f>SQRT(1+(A557/Pole2)^2)</f>
        <v/>
      </c>
      <c r="J557" s="1050">
        <f>ATAN(A557/Pole2)</f>
        <v/>
      </c>
      <c r="K557" s="1056">
        <f>SQRT(1+(A557/Zero2)^2)</f>
        <v/>
      </c>
      <c r="L557" s="1057">
        <f>ATAN(A557/Zero2)</f>
        <v/>
      </c>
      <c r="M557" s="1047">
        <f>SQRT(1+(A557/pole4)^2)</f>
        <v/>
      </c>
      <c r="N557" s="1057">
        <f>ATAN(A557/pole4)</f>
        <v/>
      </c>
      <c r="O557" s="1058">
        <f>IF(VOUT_setting=1,1,SQRT(1+(A557*zterm1)^2))</f>
        <v/>
      </c>
      <c r="P557" s="1059">
        <f>IF(VOUT_setting=1,0,ATAN(((A557*zterm1))))</f>
        <v/>
      </c>
      <c r="Q557" s="1056">
        <f>IF(VOUT_setting=1,1,SQRT((1+Afbr-$Q$5*(A557)^2)^2+(A557*$Q$4)^2))</f>
        <v/>
      </c>
      <c r="R557" s="1060">
        <f>IF(VOUT_setting=1,0,ATAN(A557*$Q$4/(1+Afbr-$Q$5*(A557)^2)))</f>
        <v/>
      </c>
      <c r="S557" s="1054">
        <f>SQRT((1-(Z557/pterm2))^2+(A557/pterm1)^2)</f>
        <v/>
      </c>
      <c r="T557" s="1055">
        <f>IF((ATAN((A557/pterm1)/(1-A557^2/pterm2))&gt;0),ATAN((A557/pterm1)/(1-A557^2/pterm2)),PI()+ATAN((A557/pterm1)/(1-A557^2/pterm2)))</f>
        <v/>
      </c>
      <c r="U557" s="331">
        <f>20*LOG10(((E557*K557*G557*O557)/(C557*I557*S557*M557*Q557))*Adc)</f>
        <v/>
      </c>
      <c r="V557" s="332">
        <f>((F557+L557+H557+P557)-(D557+J557+T557+N557+R557))*radconv</f>
        <v/>
      </c>
      <c r="W557" s="334">
        <f>IF(V557&gt;0,V557,V557+180)</f>
        <v/>
      </c>
      <c r="Y557" s="307">
        <f>IF(U557&lt;0,A557,1000000000)</f>
        <v/>
      </c>
      <c r="Z557" s="307">
        <f>A557^2</f>
        <v/>
      </c>
      <c r="AB557" s="333">
        <f>20*LOG10((K557/(I557*M557))*AEA)</f>
        <v/>
      </c>
      <c r="AC557" s="334">
        <f>(L557-(J557+N557))*radconv</f>
        <v/>
      </c>
      <c r="AE557" s="333">
        <f>20*LOG10((E557*G557/(C557*S557))*Acs*Am)</f>
        <v/>
      </c>
      <c r="AF557" s="334">
        <f>(F557+H557-(D557+T557))*radconv</f>
        <v/>
      </c>
      <c r="AH557">
        <f>SUM((U558&lt;0)*(U557&gt;0))*A557</f>
        <v/>
      </c>
      <c r="AI557">
        <f>IF(AH557&gt;0,W557,0)</f>
        <v/>
      </c>
    </row>
    <row r="558">
      <c r="A558" s="335" t="n">
        <v>89644</v>
      </c>
      <c r="B558" s="352">
        <f>A558/1000</f>
        <v/>
      </c>
      <c r="C558" s="1047">
        <f>SQRT(1+(A558/pole1)^2)</f>
        <v/>
      </c>
      <c r="D558" s="1048">
        <f>ATAN(A558/pole1)</f>
        <v/>
      </c>
      <c r="E558" s="1048">
        <f>SQRT(1+(A558/Zero1)^2)</f>
        <v/>
      </c>
      <c r="F558" s="1049">
        <f>ATAN(A558/Zero1)</f>
        <v/>
      </c>
      <c r="G558" s="1048">
        <f>IF(VIN_nom&gt;Vout, 1, SQRT(1+(A558/z_RHP)^2))</f>
        <v/>
      </c>
      <c r="H558" s="1049">
        <f>IF(VIN_nom&gt;Vout, 0, -ATAN(A558/z_RHP))</f>
        <v/>
      </c>
      <c r="I558" s="1047">
        <f>SQRT(1+(A558/Pole2)^2)</f>
        <v/>
      </c>
      <c r="J558" s="1050">
        <f>ATAN(A558/Pole2)</f>
        <v/>
      </c>
      <c r="K558" s="1056">
        <f>SQRT(1+(A558/Zero2)^2)</f>
        <v/>
      </c>
      <c r="L558" s="1057">
        <f>ATAN(A558/Zero2)</f>
        <v/>
      </c>
      <c r="M558" s="1047">
        <f>SQRT(1+(A558/pole4)^2)</f>
        <v/>
      </c>
      <c r="N558" s="1057">
        <f>ATAN(A558/pole4)</f>
        <v/>
      </c>
      <c r="O558" s="1058">
        <f>IF(VOUT_setting=1,1,SQRT(1+(A558*zterm1)^2))</f>
        <v/>
      </c>
      <c r="P558" s="1059">
        <f>IF(VOUT_setting=1,0,ATAN(((A558*zterm1))))</f>
        <v/>
      </c>
      <c r="Q558" s="1056">
        <f>IF(VOUT_setting=1,1,SQRT((1+Afbr-$Q$5*(A558)^2)^2+(A558*$Q$4)^2))</f>
        <v/>
      </c>
      <c r="R558" s="1060">
        <f>IF(VOUT_setting=1,0,ATAN(A558*$Q$4/(1+Afbr-$Q$5*(A558)^2)))</f>
        <v/>
      </c>
      <c r="S558" s="1054">
        <f>SQRT((1-(Z558/pterm2))^2+(A558/pterm1)^2)</f>
        <v/>
      </c>
      <c r="T558" s="1055">
        <f>IF((ATAN((A558/pterm1)/(1-A558^2/pterm2))&gt;0),ATAN((A558/pterm1)/(1-A558^2/pterm2)),PI()+ATAN((A558/pterm1)/(1-A558^2/pterm2)))</f>
        <v/>
      </c>
      <c r="U558" s="331">
        <f>20*LOG10(((E558*K558*G558*O558)/(C558*I558*S558*M558*Q558))*Adc)</f>
        <v/>
      </c>
      <c r="V558" s="332">
        <f>((F558+L558+H558+P558)-(D558+J558+T558+N558+R558))*radconv</f>
        <v/>
      </c>
      <c r="W558" s="334">
        <f>IF(V558&gt;0,V558,V558+180)</f>
        <v/>
      </c>
      <c r="Y558" s="307">
        <f>IF(U558&lt;0,A558,1000000000)</f>
        <v/>
      </c>
      <c r="Z558" s="307">
        <f>A558^2</f>
        <v/>
      </c>
      <c r="AB558" s="333">
        <f>20*LOG10((K558/(I558*M558))*AEA)</f>
        <v/>
      </c>
      <c r="AC558" s="334">
        <f>(L558-(J558+N558))*radconv</f>
        <v/>
      </c>
      <c r="AE558" s="333">
        <f>20*LOG10((E558*G558/(C558*S558))*Acs*Am)</f>
        <v/>
      </c>
      <c r="AF558" s="334">
        <f>(F558+H558-(D558+T558))*radconv</f>
        <v/>
      </c>
      <c r="AH558">
        <f>SUM((U559&lt;0)*(U558&gt;0))*A558</f>
        <v/>
      </c>
      <c r="AI558">
        <f>IF(AH558&gt;0,W558,0)</f>
        <v/>
      </c>
    </row>
    <row r="559">
      <c r="A559" s="335" t="n">
        <v>90163</v>
      </c>
      <c r="B559" s="352">
        <f>A559/1000</f>
        <v/>
      </c>
      <c r="C559" s="1047">
        <f>SQRT(1+(A559/pole1)^2)</f>
        <v/>
      </c>
      <c r="D559" s="1048">
        <f>ATAN(A559/pole1)</f>
        <v/>
      </c>
      <c r="E559" s="1048">
        <f>SQRT(1+(A559/Zero1)^2)</f>
        <v/>
      </c>
      <c r="F559" s="1049">
        <f>ATAN(A559/Zero1)</f>
        <v/>
      </c>
      <c r="G559" s="1048">
        <f>IF(VIN_nom&gt;Vout, 1, SQRT(1+(A559/z_RHP)^2))</f>
        <v/>
      </c>
      <c r="H559" s="1049">
        <f>IF(VIN_nom&gt;Vout, 0, -ATAN(A559/z_RHP))</f>
        <v/>
      </c>
      <c r="I559" s="1047">
        <f>SQRT(1+(A559/Pole2)^2)</f>
        <v/>
      </c>
      <c r="J559" s="1050">
        <f>ATAN(A559/Pole2)</f>
        <v/>
      </c>
      <c r="K559" s="1056">
        <f>SQRT(1+(A559/Zero2)^2)</f>
        <v/>
      </c>
      <c r="L559" s="1057">
        <f>ATAN(A559/Zero2)</f>
        <v/>
      </c>
      <c r="M559" s="1047">
        <f>SQRT(1+(A559/pole4)^2)</f>
        <v/>
      </c>
      <c r="N559" s="1057">
        <f>ATAN(A559/pole4)</f>
        <v/>
      </c>
      <c r="O559" s="1058">
        <f>IF(VOUT_setting=1,1,SQRT(1+(A559*zterm1)^2))</f>
        <v/>
      </c>
      <c r="P559" s="1059">
        <f>IF(VOUT_setting=1,0,ATAN(((A559*zterm1))))</f>
        <v/>
      </c>
      <c r="Q559" s="1056">
        <f>IF(VOUT_setting=1,1,SQRT((1+Afbr-$Q$5*(A559)^2)^2+(A559*$Q$4)^2))</f>
        <v/>
      </c>
      <c r="R559" s="1060">
        <f>IF(VOUT_setting=1,0,ATAN(A559*$Q$4/(1+Afbr-$Q$5*(A559)^2)))</f>
        <v/>
      </c>
      <c r="S559" s="1054">
        <f>SQRT((1-(Z559/pterm2))^2+(A559/pterm1)^2)</f>
        <v/>
      </c>
      <c r="T559" s="1055">
        <f>IF((ATAN((A559/pterm1)/(1-A559^2/pterm2))&gt;0),ATAN((A559/pterm1)/(1-A559^2/pterm2)),PI()+ATAN((A559/pterm1)/(1-A559^2/pterm2)))</f>
        <v/>
      </c>
      <c r="U559" s="331">
        <f>20*LOG10(((E559*K559*G559*O559)/(C559*I559*S559*M559*Q559))*Adc)</f>
        <v/>
      </c>
      <c r="V559" s="332">
        <f>((F559+L559+H559+P559)-(D559+J559+T559+N559+R559))*radconv</f>
        <v/>
      </c>
      <c r="W559" s="334">
        <f>IF(V559&gt;0,V559,V559+180)</f>
        <v/>
      </c>
      <c r="Y559" s="307">
        <f>IF(U559&lt;0,A559,1000000000)</f>
        <v/>
      </c>
      <c r="Z559" s="307">
        <f>A559^2</f>
        <v/>
      </c>
      <c r="AB559" s="333">
        <f>20*LOG10((K559/(I559*M559))*AEA)</f>
        <v/>
      </c>
      <c r="AC559" s="334">
        <f>(L559-(J559+N559))*radconv</f>
        <v/>
      </c>
      <c r="AE559" s="333">
        <f>20*LOG10((E559*G559/(C559*S559))*Acs*Am)</f>
        <v/>
      </c>
      <c r="AF559" s="334">
        <f>(F559+H559-(D559+T559))*radconv</f>
        <v/>
      </c>
      <c r="AH559">
        <f>SUM((U560&lt;0)*(U559&gt;0))*A559</f>
        <v/>
      </c>
      <c r="AI559">
        <f>IF(AH559&gt;0,W559,0)</f>
        <v/>
      </c>
    </row>
    <row r="560">
      <c r="A560" s="335" t="n">
        <v>90682</v>
      </c>
      <c r="B560" s="352">
        <f>A560/1000</f>
        <v/>
      </c>
      <c r="C560" s="1047">
        <f>SQRT(1+(A560/pole1)^2)</f>
        <v/>
      </c>
      <c r="D560" s="1048">
        <f>ATAN(A560/pole1)</f>
        <v/>
      </c>
      <c r="E560" s="1048">
        <f>SQRT(1+(A560/Zero1)^2)</f>
        <v/>
      </c>
      <c r="F560" s="1049">
        <f>ATAN(A560/Zero1)</f>
        <v/>
      </c>
      <c r="G560" s="1048">
        <f>IF(VIN_nom&gt;Vout, 1, SQRT(1+(A560/z_RHP)^2))</f>
        <v/>
      </c>
      <c r="H560" s="1049">
        <f>IF(VIN_nom&gt;Vout, 0, -ATAN(A560/z_RHP))</f>
        <v/>
      </c>
      <c r="I560" s="1047">
        <f>SQRT(1+(A560/Pole2)^2)</f>
        <v/>
      </c>
      <c r="J560" s="1050">
        <f>ATAN(A560/Pole2)</f>
        <v/>
      </c>
      <c r="K560" s="1056">
        <f>SQRT(1+(A560/Zero2)^2)</f>
        <v/>
      </c>
      <c r="L560" s="1057">
        <f>ATAN(A560/Zero2)</f>
        <v/>
      </c>
      <c r="M560" s="1047">
        <f>SQRT(1+(A560/pole4)^2)</f>
        <v/>
      </c>
      <c r="N560" s="1057">
        <f>ATAN(A560/pole4)</f>
        <v/>
      </c>
      <c r="O560" s="1058">
        <f>IF(VOUT_setting=1,1,SQRT(1+(A560*zterm1)^2))</f>
        <v/>
      </c>
      <c r="P560" s="1059">
        <f>IF(VOUT_setting=1,0,ATAN(((A560*zterm1))))</f>
        <v/>
      </c>
      <c r="Q560" s="1056">
        <f>IF(VOUT_setting=1,1,SQRT((1+Afbr-$Q$5*(A560)^2)^2+(A560*$Q$4)^2))</f>
        <v/>
      </c>
      <c r="R560" s="1060">
        <f>IF(VOUT_setting=1,0,ATAN(A560*$Q$4/(1+Afbr-$Q$5*(A560)^2)))</f>
        <v/>
      </c>
      <c r="S560" s="1054">
        <f>SQRT((1-(Z560/pterm2))^2+(A560/pterm1)^2)</f>
        <v/>
      </c>
      <c r="T560" s="1055">
        <f>IF((ATAN((A560/pterm1)/(1-A560^2/pterm2))&gt;0),ATAN((A560/pterm1)/(1-A560^2/pterm2)),PI()+ATAN((A560/pterm1)/(1-A560^2/pterm2)))</f>
        <v/>
      </c>
      <c r="U560" s="331">
        <f>20*LOG10(((E560*K560*G560*O560)/(C560*I560*S560*M560*Q560))*Adc)</f>
        <v/>
      </c>
      <c r="V560" s="332">
        <f>((F560+L560+H560+P560)-(D560+J560+T560+N560+R560))*radconv</f>
        <v/>
      </c>
      <c r="W560" s="334">
        <f>IF(V560&gt;0,V560,V560+180)</f>
        <v/>
      </c>
      <c r="Y560" s="307">
        <f>IF(U560&lt;0,A560,1000000000)</f>
        <v/>
      </c>
      <c r="Z560" s="307">
        <f>A560^2</f>
        <v/>
      </c>
      <c r="AB560" s="333">
        <f>20*LOG10((K560/(I560*M560))*AEA)</f>
        <v/>
      </c>
      <c r="AC560" s="334">
        <f>(L560-(J560+N560))*radconv</f>
        <v/>
      </c>
      <c r="AE560" s="333">
        <f>20*LOG10((E560*G560/(C560*S560))*Acs*Am)</f>
        <v/>
      </c>
      <c r="AF560" s="334">
        <f>(F560+H560-(D560+T560))*radconv</f>
        <v/>
      </c>
      <c r="AH560">
        <f>SUM((U561&lt;0)*(U560&gt;0))*A560</f>
        <v/>
      </c>
      <c r="AI560">
        <f>IF(AH560&gt;0,W560,0)</f>
        <v/>
      </c>
    </row>
    <row r="561">
      <c r="A561" s="335" t="n">
        <v>91201</v>
      </c>
      <c r="B561" s="352">
        <f>A561/1000</f>
        <v/>
      </c>
      <c r="C561" s="1047">
        <f>SQRT(1+(A561/pole1)^2)</f>
        <v/>
      </c>
      <c r="D561" s="1048">
        <f>ATAN(A561/pole1)</f>
        <v/>
      </c>
      <c r="E561" s="1048">
        <f>SQRT(1+(A561/Zero1)^2)</f>
        <v/>
      </c>
      <c r="F561" s="1049">
        <f>ATAN(A561/Zero1)</f>
        <v/>
      </c>
      <c r="G561" s="1048">
        <f>IF(VIN_nom&gt;Vout, 1, SQRT(1+(A561/z_RHP)^2))</f>
        <v/>
      </c>
      <c r="H561" s="1049">
        <f>IF(VIN_nom&gt;Vout, 0, -ATAN(A561/z_RHP))</f>
        <v/>
      </c>
      <c r="I561" s="1047">
        <f>SQRT(1+(A561/Pole2)^2)</f>
        <v/>
      </c>
      <c r="J561" s="1050">
        <f>ATAN(A561/Pole2)</f>
        <v/>
      </c>
      <c r="K561" s="1056">
        <f>SQRT(1+(A561/Zero2)^2)</f>
        <v/>
      </c>
      <c r="L561" s="1057">
        <f>ATAN(A561/Zero2)</f>
        <v/>
      </c>
      <c r="M561" s="1047">
        <f>SQRT(1+(A561/pole4)^2)</f>
        <v/>
      </c>
      <c r="N561" s="1057">
        <f>ATAN(A561/pole4)</f>
        <v/>
      </c>
      <c r="O561" s="1058">
        <f>IF(VOUT_setting=1,1,SQRT(1+(A561*zterm1)^2))</f>
        <v/>
      </c>
      <c r="P561" s="1059">
        <f>IF(VOUT_setting=1,0,ATAN(((A561*zterm1))))</f>
        <v/>
      </c>
      <c r="Q561" s="1056">
        <f>IF(VOUT_setting=1,1,SQRT((1+Afbr-$Q$5*(A561)^2)^2+(A561*$Q$4)^2))</f>
        <v/>
      </c>
      <c r="R561" s="1060">
        <f>IF(VOUT_setting=1,0,ATAN(A561*$Q$4/(1+Afbr-$Q$5*(A561)^2)))</f>
        <v/>
      </c>
      <c r="S561" s="1054">
        <f>SQRT((1-(Z561/pterm2))^2+(A561/pterm1)^2)</f>
        <v/>
      </c>
      <c r="T561" s="1055">
        <f>IF((ATAN((A561/pterm1)/(1-A561^2/pterm2))&gt;0),ATAN((A561/pterm1)/(1-A561^2/pterm2)),PI()+ATAN((A561/pterm1)/(1-A561^2/pterm2)))</f>
        <v/>
      </c>
      <c r="U561" s="331">
        <f>20*LOG10(((E561*K561*G561*O561)/(C561*I561*S561*M561*Q561))*Adc)</f>
        <v/>
      </c>
      <c r="V561" s="332">
        <f>((F561+L561+H561+P561)-(D561+J561+T561+N561+R561))*radconv</f>
        <v/>
      </c>
      <c r="W561" s="334">
        <f>IF(V561&gt;0,V561,V561+180)</f>
        <v/>
      </c>
      <c r="Y561" s="307">
        <f>IF(U561&lt;0,A561,1000000000)</f>
        <v/>
      </c>
      <c r="Z561" s="307">
        <f>A561^2</f>
        <v/>
      </c>
      <c r="AB561" s="333">
        <f>20*LOG10((K561/(I561*M561))*AEA)</f>
        <v/>
      </c>
      <c r="AC561" s="334">
        <f>(L561-(J561+N561))*radconv</f>
        <v/>
      </c>
      <c r="AE561" s="333">
        <f>20*LOG10((E561*G561/(C561*S561))*Acs*Am)</f>
        <v/>
      </c>
      <c r="AF561" s="334">
        <f>(F561+H561-(D561+T561))*radconv</f>
        <v/>
      </c>
      <c r="AH561">
        <f>SUM((U562&lt;0)*(U561&gt;0))*A561</f>
        <v/>
      </c>
      <c r="AI561">
        <f>IF(AH561&gt;0,W561,0)</f>
        <v/>
      </c>
    </row>
    <row r="562">
      <c r="A562" s="335" t="n">
        <v>91732</v>
      </c>
      <c r="B562" s="352">
        <f>A562/1000</f>
        <v/>
      </c>
      <c r="C562" s="1047">
        <f>SQRT(1+(A562/pole1)^2)</f>
        <v/>
      </c>
      <c r="D562" s="1048">
        <f>ATAN(A562/pole1)</f>
        <v/>
      </c>
      <c r="E562" s="1048">
        <f>SQRT(1+(A562/Zero1)^2)</f>
        <v/>
      </c>
      <c r="F562" s="1049">
        <f>ATAN(A562/Zero1)</f>
        <v/>
      </c>
      <c r="G562" s="1048">
        <f>IF(VIN_nom&gt;Vout, 1, SQRT(1+(A562/z_RHP)^2))</f>
        <v/>
      </c>
      <c r="H562" s="1049">
        <f>IF(VIN_nom&gt;Vout, 0, -ATAN(A562/z_RHP))</f>
        <v/>
      </c>
      <c r="I562" s="1047">
        <f>SQRT(1+(A562/Pole2)^2)</f>
        <v/>
      </c>
      <c r="J562" s="1050">
        <f>ATAN(A562/Pole2)</f>
        <v/>
      </c>
      <c r="K562" s="1056">
        <f>SQRT(1+(A562/Zero2)^2)</f>
        <v/>
      </c>
      <c r="L562" s="1057">
        <f>ATAN(A562/Zero2)</f>
        <v/>
      </c>
      <c r="M562" s="1047">
        <f>SQRT(1+(A562/pole4)^2)</f>
        <v/>
      </c>
      <c r="N562" s="1057">
        <f>ATAN(A562/pole4)</f>
        <v/>
      </c>
      <c r="O562" s="1058">
        <f>IF(VOUT_setting=1,1,SQRT(1+(A562*zterm1)^2))</f>
        <v/>
      </c>
      <c r="P562" s="1059">
        <f>IF(VOUT_setting=1,0,ATAN(((A562*zterm1))))</f>
        <v/>
      </c>
      <c r="Q562" s="1056">
        <f>IF(VOUT_setting=1,1,SQRT((1+Afbr-$Q$5*(A562)^2)^2+(A562*$Q$4)^2))</f>
        <v/>
      </c>
      <c r="R562" s="1060">
        <f>IF(VOUT_setting=1,0,ATAN(A562*$Q$4/(1+Afbr-$Q$5*(A562)^2)))</f>
        <v/>
      </c>
      <c r="S562" s="1054">
        <f>SQRT((1-(Z562/pterm2))^2+(A562/pterm1)^2)</f>
        <v/>
      </c>
      <c r="T562" s="1055">
        <f>IF((ATAN((A562/pterm1)/(1-A562^2/pterm2))&gt;0),ATAN((A562/pterm1)/(1-A562^2/pterm2)),PI()+ATAN((A562/pterm1)/(1-A562^2/pterm2)))</f>
        <v/>
      </c>
      <c r="U562" s="331">
        <f>20*LOG10(((E562*K562*G562*O562)/(C562*I562*S562*M562*Q562))*Adc)</f>
        <v/>
      </c>
      <c r="V562" s="332">
        <f>((F562+L562+H562+P562)-(D562+J562+T562+N562+R562))*radconv</f>
        <v/>
      </c>
      <c r="W562" s="334">
        <f>IF(V562&gt;0,V562,V562+180)</f>
        <v/>
      </c>
      <c r="Y562" s="307">
        <f>IF(U562&lt;0,A562,1000000000)</f>
        <v/>
      </c>
      <c r="Z562" s="307">
        <f>A562^2</f>
        <v/>
      </c>
      <c r="AB562" s="333">
        <f>20*LOG10((K562/(I562*M562))*AEA)</f>
        <v/>
      </c>
      <c r="AC562" s="334">
        <f>(L562-(J562+N562))*radconv</f>
        <v/>
      </c>
      <c r="AE562" s="333">
        <f>20*LOG10((E562*G562/(C562*S562))*Acs*Am)</f>
        <v/>
      </c>
      <c r="AF562" s="334">
        <f>(F562+H562-(D562+T562))*radconv</f>
        <v/>
      </c>
      <c r="AH562">
        <f>SUM((U563&lt;0)*(U562&gt;0))*A562</f>
        <v/>
      </c>
      <c r="AI562">
        <f>IF(AH562&gt;0,W562,0)</f>
        <v/>
      </c>
    </row>
    <row r="563">
      <c r="A563" s="335" t="n">
        <v>92263</v>
      </c>
      <c r="B563" s="352">
        <f>A563/1000</f>
        <v/>
      </c>
      <c r="C563" s="1047">
        <f>SQRT(1+(A563/pole1)^2)</f>
        <v/>
      </c>
      <c r="D563" s="1048">
        <f>ATAN(A563/pole1)</f>
        <v/>
      </c>
      <c r="E563" s="1048">
        <f>SQRT(1+(A563/Zero1)^2)</f>
        <v/>
      </c>
      <c r="F563" s="1049">
        <f>ATAN(A563/Zero1)</f>
        <v/>
      </c>
      <c r="G563" s="1048">
        <f>IF(VIN_nom&gt;Vout, 1, SQRT(1+(A563/z_RHP)^2))</f>
        <v/>
      </c>
      <c r="H563" s="1049">
        <f>IF(VIN_nom&gt;Vout, 0, -ATAN(A563/z_RHP))</f>
        <v/>
      </c>
      <c r="I563" s="1047">
        <f>SQRT(1+(A563/Pole2)^2)</f>
        <v/>
      </c>
      <c r="J563" s="1050">
        <f>ATAN(A563/Pole2)</f>
        <v/>
      </c>
      <c r="K563" s="1056">
        <f>SQRT(1+(A563/Zero2)^2)</f>
        <v/>
      </c>
      <c r="L563" s="1057">
        <f>ATAN(A563/Zero2)</f>
        <v/>
      </c>
      <c r="M563" s="1047">
        <f>SQRT(1+(A563/pole4)^2)</f>
        <v/>
      </c>
      <c r="N563" s="1057">
        <f>ATAN(A563/pole4)</f>
        <v/>
      </c>
      <c r="O563" s="1058">
        <f>IF(VOUT_setting=1,1,SQRT(1+(A563*zterm1)^2))</f>
        <v/>
      </c>
      <c r="P563" s="1059">
        <f>IF(VOUT_setting=1,0,ATAN(((A563*zterm1))))</f>
        <v/>
      </c>
      <c r="Q563" s="1056">
        <f>IF(VOUT_setting=1,1,SQRT((1+Afbr-$Q$5*(A563)^2)^2+(A563*$Q$4)^2))</f>
        <v/>
      </c>
      <c r="R563" s="1060">
        <f>IF(VOUT_setting=1,0,ATAN(A563*$Q$4/(1+Afbr-$Q$5*(A563)^2)))</f>
        <v/>
      </c>
      <c r="S563" s="1054">
        <f>SQRT((1-(Z563/pterm2))^2+(A563/pterm1)^2)</f>
        <v/>
      </c>
      <c r="T563" s="1055">
        <f>IF((ATAN((A563/pterm1)/(1-A563^2/pterm2))&gt;0),ATAN((A563/pterm1)/(1-A563^2/pterm2)),PI()+ATAN((A563/pterm1)/(1-A563^2/pterm2)))</f>
        <v/>
      </c>
      <c r="U563" s="331">
        <f>20*LOG10(((E563*K563*G563*O563)/(C563*I563*S563*M563*Q563))*Adc)</f>
        <v/>
      </c>
      <c r="V563" s="332">
        <f>((F563+L563+H563+P563)-(D563+J563+T563+N563+R563))*radconv</f>
        <v/>
      </c>
      <c r="W563" s="334">
        <f>IF(V563&gt;0,V563,V563+180)</f>
        <v/>
      </c>
      <c r="Y563" s="307">
        <f>IF(U563&lt;0,A563,1000000000)</f>
        <v/>
      </c>
      <c r="Z563" s="307">
        <f>A563^2</f>
        <v/>
      </c>
      <c r="AB563" s="333">
        <f>20*LOG10((K563/(I563*M563))*AEA)</f>
        <v/>
      </c>
      <c r="AC563" s="334">
        <f>(L563-(J563+N563))*radconv</f>
        <v/>
      </c>
      <c r="AE563" s="333">
        <f>20*LOG10((E563*G563/(C563*S563))*Acs*Am)</f>
        <v/>
      </c>
      <c r="AF563" s="334">
        <f>(F563+H563-(D563+T563))*radconv</f>
        <v/>
      </c>
      <c r="AH563">
        <f>SUM((U564&lt;0)*(U563&gt;0))*A563</f>
        <v/>
      </c>
      <c r="AI563">
        <f>IF(AH563&gt;0,W563,0)</f>
        <v/>
      </c>
    </row>
    <row r="564">
      <c r="A564" s="335" t="n">
        <v>92794</v>
      </c>
      <c r="B564" s="352">
        <f>A564/1000</f>
        <v/>
      </c>
      <c r="C564" s="1047">
        <f>SQRT(1+(A564/pole1)^2)</f>
        <v/>
      </c>
      <c r="D564" s="1048">
        <f>ATAN(A564/pole1)</f>
        <v/>
      </c>
      <c r="E564" s="1048">
        <f>SQRT(1+(A564/Zero1)^2)</f>
        <v/>
      </c>
      <c r="F564" s="1049">
        <f>ATAN(A564/Zero1)</f>
        <v/>
      </c>
      <c r="G564" s="1048">
        <f>IF(VIN_nom&gt;Vout, 1, SQRT(1+(A564/z_RHP)^2))</f>
        <v/>
      </c>
      <c r="H564" s="1049">
        <f>IF(VIN_nom&gt;Vout, 0, -ATAN(A564/z_RHP))</f>
        <v/>
      </c>
      <c r="I564" s="1047">
        <f>SQRT(1+(A564/Pole2)^2)</f>
        <v/>
      </c>
      <c r="J564" s="1050">
        <f>ATAN(A564/Pole2)</f>
        <v/>
      </c>
      <c r="K564" s="1056">
        <f>SQRT(1+(A564/Zero2)^2)</f>
        <v/>
      </c>
      <c r="L564" s="1057">
        <f>ATAN(A564/Zero2)</f>
        <v/>
      </c>
      <c r="M564" s="1047">
        <f>SQRT(1+(A564/pole4)^2)</f>
        <v/>
      </c>
      <c r="N564" s="1057">
        <f>ATAN(A564/pole4)</f>
        <v/>
      </c>
      <c r="O564" s="1058">
        <f>IF(VOUT_setting=1,1,SQRT(1+(A564*zterm1)^2))</f>
        <v/>
      </c>
      <c r="P564" s="1059">
        <f>IF(VOUT_setting=1,0,ATAN(((A564*zterm1))))</f>
        <v/>
      </c>
      <c r="Q564" s="1056">
        <f>IF(VOUT_setting=1,1,SQRT((1+Afbr-$Q$5*(A564)^2)^2+(A564*$Q$4)^2))</f>
        <v/>
      </c>
      <c r="R564" s="1060">
        <f>IF(VOUT_setting=1,0,ATAN(A564*$Q$4/(1+Afbr-$Q$5*(A564)^2)))</f>
        <v/>
      </c>
      <c r="S564" s="1054">
        <f>SQRT((1-(Z564/pterm2))^2+(A564/pterm1)^2)</f>
        <v/>
      </c>
      <c r="T564" s="1055">
        <f>IF((ATAN((A564/pterm1)/(1-A564^2/pterm2))&gt;0),ATAN((A564/pterm1)/(1-A564^2/pterm2)),PI()+ATAN((A564/pterm1)/(1-A564^2/pterm2)))</f>
        <v/>
      </c>
      <c r="U564" s="331">
        <f>20*LOG10(((E564*K564*G564*O564)/(C564*I564*S564*M564*Q564))*Adc)</f>
        <v/>
      </c>
      <c r="V564" s="332">
        <f>((F564+L564+H564+P564)-(D564+J564+T564+N564+R564))*radconv</f>
        <v/>
      </c>
      <c r="W564" s="334">
        <f>IF(V564&gt;0,V564,V564+180)</f>
        <v/>
      </c>
      <c r="Y564" s="307">
        <f>IF(U564&lt;0,A564,1000000000)</f>
        <v/>
      </c>
      <c r="Z564" s="307">
        <f>A564^2</f>
        <v/>
      </c>
      <c r="AB564" s="333">
        <f>20*LOG10((K564/(I564*M564))*AEA)</f>
        <v/>
      </c>
      <c r="AC564" s="334">
        <f>(L564-(J564+N564))*radconv</f>
        <v/>
      </c>
      <c r="AE564" s="333">
        <f>20*LOG10((E564*G564/(C564*S564))*Acs*Am)</f>
        <v/>
      </c>
      <c r="AF564" s="334">
        <f>(F564+H564-(D564+T564))*radconv</f>
        <v/>
      </c>
      <c r="AH564">
        <f>SUM((U565&lt;0)*(U564&gt;0))*A564</f>
        <v/>
      </c>
      <c r="AI564">
        <f>IF(AH564&gt;0,W564,0)</f>
        <v/>
      </c>
    </row>
    <row r="565">
      <c r="A565" s="335" t="n">
        <v>93325</v>
      </c>
      <c r="B565" s="352">
        <f>A565/1000</f>
        <v/>
      </c>
      <c r="C565" s="1047">
        <f>SQRT(1+(A565/pole1)^2)</f>
        <v/>
      </c>
      <c r="D565" s="1048">
        <f>ATAN(A565/pole1)</f>
        <v/>
      </c>
      <c r="E565" s="1048">
        <f>SQRT(1+(A565/Zero1)^2)</f>
        <v/>
      </c>
      <c r="F565" s="1049">
        <f>ATAN(A565/Zero1)</f>
        <v/>
      </c>
      <c r="G565" s="1048">
        <f>IF(VIN_nom&gt;Vout, 1, SQRT(1+(A565/z_RHP)^2))</f>
        <v/>
      </c>
      <c r="H565" s="1049">
        <f>IF(VIN_nom&gt;Vout, 0, -ATAN(A565/z_RHP))</f>
        <v/>
      </c>
      <c r="I565" s="1047">
        <f>SQRT(1+(A565/Pole2)^2)</f>
        <v/>
      </c>
      <c r="J565" s="1050">
        <f>ATAN(A565/Pole2)</f>
        <v/>
      </c>
      <c r="K565" s="1056">
        <f>SQRT(1+(A565/Zero2)^2)</f>
        <v/>
      </c>
      <c r="L565" s="1057">
        <f>ATAN(A565/Zero2)</f>
        <v/>
      </c>
      <c r="M565" s="1047">
        <f>SQRT(1+(A565/pole4)^2)</f>
        <v/>
      </c>
      <c r="N565" s="1057">
        <f>ATAN(A565/pole4)</f>
        <v/>
      </c>
      <c r="O565" s="1058">
        <f>IF(VOUT_setting=1,1,SQRT(1+(A565*zterm1)^2))</f>
        <v/>
      </c>
      <c r="P565" s="1059">
        <f>IF(VOUT_setting=1,0,ATAN(((A565*zterm1))))</f>
        <v/>
      </c>
      <c r="Q565" s="1056">
        <f>IF(VOUT_setting=1,1,SQRT((1+Afbr-$Q$5*(A565)^2)^2+(A565*$Q$4)^2))</f>
        <v/>
      </c>
      <c r="R565" s="1060">
        <f>IF(VOUT_setting=1,0,ATAN(A565*$Q$4/(1+Afbr-$Q$5*(A565)^2)))</f>
        <v/>
      </c>
      <c r="S565" s="1054">
        <f>SQRT((1-(Z565/pterm2))^2+(A565/pterm1)^2)</f>
        <v/>
      </c>
      <c r="T565" s="1055">
        <f>IF((ATAN((A565/pterm1)/(1-A565^2/pterm2))&gt;0),ATAN((A565/pterm1)/(1-A565^2/pterm2)),PI()+ATAN((A565/pterm1)/(1-A565^2/pterm2)))</f>
        <v/>
      </c>
      <c r="U565" s="331">
        <f>20*LOG10(((E565*K565*G565*O565)/(C565*I565*S565*M565*Q565))*Adc)</f>
        <v/>
      </c>
      <c r="V565" s="332">
        <f>((F565+L565+H565+P565)-(D565+J565+T565+N565+R565))*radconv</f>
        <v/>
      </c>
      <c r="W565" s="334">
        <f>IF(V565&gt;0,V565,V565+180)</f>
        <v/>
      </c>
      <c r="Y565" s="307">
        <f>IF(U565&lt;0,A565,1000000000)</f>
        <v/>
      </c>
      <c r="Z565" s="307">
        <f>A565^2</f>
        <v/>
      </c>
      <c r="AB565" s="333">
        <f>20*LOG10((K565/(I565*M565))*AEA)</f>
        <v/>
      </c>
      <c r="AC565" s="334">
        <f>(L565-(J565+N565))*radconv</f>
        <v/>
      </c>
      <c r="AE565" s="333">
        <f>20*LOG10((E565*G565/(C565*S565))*Acs*Am)</f>
        <v/>
      </c>
      <c r="AF565" s="334">
        <f>(F565+H565-(D565+T565))*radconv</f>
        <v/>
      </c>
      <c r="AH565">
        <f>SUM((U566&lt;0)*(U565&gt;0))*A565</f>
        <v/>
      </c>
      <c r="AI565">
        <f>IF(AH565&gt;0,W565,0)</f>
        <v/>
      </c>
    </row>
    <row r="566">
      <c r="A566" s="335" t="n">
        <v>93868.5</v>
      </c>
      <c r="B566" s="352">
        <f>A566/1000</f>
        <v/>
      </c>
      <c r="C566" s="1047">
        <f>SQRT(1+(A566/pole1)^2)</f>
        <v/>
      </c>
      <c r="D566" s="1048">
        <f>ATAN(A566/pole1)</f>
        <v/>
      </c>
      <c r="E566" s="1048">
        <f>SQRT(1+(A566/Zero1)^2)</f>
        <v/>
      </c>
      <c r="F566" s="1049">
        <f>ATAN(A566/Zero1)</f>
        <v/>
      </c>
      <c r="G566" s="1048">
        <f>IF(VIN_nom&gt;Vout, 1, SQRT(1+(A566/z_RHP)^2))</f>
        <v/>
      </c>
      <c r="H566" s="1049">
        <f>IF(VIN_nom&gt;Vout, 0, -ATAN(A566/z_RHP))</f>
        <v/>
      </c>
      <c r="I566" s="1047">
        <f>SQRT(1+(A566/Pole2)^2)</f>
        <v/>
      </c>
      <c r="J566" s="1050">
        <f>ATAN(A566/Pole2)</f>
        <v/>
      </c>
      <c r="K566" s="1056">
        <f>SQRT(1+(A566/Zero2)^2)</f>
        <v/>
      </c>
      <c r="L566" s="1057">
        <f>ATAN(A566/Zero2)</f>
        <v/>
      </c>
      <c r="M566" s="1047">
        <f>SQRT(1+(A566/pole4)^2)</f>
        <v/>
      </c>
      <c r="N566" s="1057">
        <f>ATAN(A566/pole4)</f>
        <v/>
      </c>
      <c r="O566" s="1058">
        <f>IF(VOUT_setting=1,1,SQRT(1+(A566*zterm1)^2))</f>
        <v/>
      </c>
      <c r="P566" s="1059">
        <f>IF(VOUT_setting=1,0,ATAN(((A566*zterm1))))</f>
        <v/>
      </c>
      <c r="Q566" s="1056">
        <f>IF(VOUT_setting=1,1,SQRT((1+Afbr-$Q$5*(A566)^2)^2+(A566*$Q$4)^2))</f>
        <v/>
      </c>
      <c r="R566" s="1060">
        <f>IF(VOUT_setting=1,0,ATAN(A566*$Q$4/(1+Afbr-$Q$5*(A566)^2)))</f>
        <v/>
      </c>
      <c r="S566" s="1054">
        <f>SQRT((1-(Z566/pterm2))^2+(A566/pterm1)^2)</f>
        <v/>
      </c>
      <c r="T566" s="1055">
        <f>IF((ATAN((A566/pterm1)/(1-A566^2/pterm2))&gt;0),ATAN((A566/pterm1)/(1-A566^2/pterm2)),PI()+ATAN((A566/pterm1)/(1-A566^2/pterm2)))</f>
        <v/>
      </c>
      <c r="U566" s="331">
        <f>20*LOG10(((E566*K566*G566*O566)/(C566*I566*S566*M566*Q566))*Adc)</f>
        <v/>
      </c>
      <c r="V566" s="332">
        <f>((F566+L566+H566+P566)-(D566+J566+T566+N566+R566))*radconv</f>
        <v/>
      </c>
      <c r="W566" s="334">
        <f>IF(V566&gt;0,V566,V566+180)</f>
        <v/>
      </c>
      <c r="Y566" s="307">
        <f>IF(U566&lt;0,A566,1000000000)</f>
        <v/>
      </c>
      <c r="Z566" s="307">
        <f>A566^2</f>
        <v/>
      </c>
      <c r="AB566" s="333">
        <f>20*LOG10((K566/(I566*M566))*AEA)</f>
        <v/>
      </c>
      <c r="AC566" s="334">
        <f>(L566-(J566+N566))*radconv</f>
        <v/>
      </c>
      <c r="AE566" s="333">
        <f>20*LOG10((E566*G566/(C566*S566))*Acs*Am)</f>
        <v/>
      </c>
      <c r="AF566" s="334">
        <f>(F566+H566-(D566+T566))*radconv</f>
        <v/>
      </c>
      <c r="AH566">
        <f>SUM((U567&lt;0)*(U566&gt;0))*A566</f>
        <v/>
      </c>
      <c r="AI566">
        <f>IF(AH566&gt;0,W566,0)</f>
        <v/>
      </c>
    </row>
    <row r="567">
      <c r="A567" s="335" t="n">
        <v>94412</v>
      </c>
      <c r="B567" s="352">
        <f>A567/1000</f>
        <v/>
      </c>
      <c r="C567" s="1047">
        <f>SQRT(1+(A567/pole1)^2)</f>
        <v/>
      </c>
      <c r="D567" s="1048">
        <f>ATAN(A567/pole1)</f>
        <v/>
      </c>
      <c r="E567" s="1048">
        <f>SQRT(1+(A567/Zero1)^2)</f>
        <v/>
      </c>
      <c r="F567" s="1049">
        <f>ATAN(A567/Zero1)</f>
        <v/>
      </c>
      <c r="G567" s="1048">
        <f>IF(VIN_nom&gt;Vout, 1, SQRT(1+(A567/z_RHP)^2))</f>
        <v/>
      </c>
      <c r="H567" s="1049">
        <f>IF(VIN_nom&gt;Vout, 0, -ATAN(A567/z_RHP))</f>
        <v/>
      </c>
      <c r="I567" s="1047">
        <f>SQRT(1+(A567/Pole2)^2)</f>
        <v/>
      </c>
      <c r="J567" s="1050">
        <f>ATAN(A567/Pole2)</f>
        <v/>
      </c>
      <c r="K567" s="1056">
        <f>SQRT(1+(A567/Zero2)^2)</f>
        <v/>
      </c>
      <c r="L567" s="1057">
        <f>ATAN(A567/Zero2)</f>
        <v/>
      </c>
      <c r="M567" s="1047">
        <f>SQRT(1+(A567/pole4)^2)</f>
        <v/>
      </c>
      <c r="N567" s="1057">
        <f>ATAN(A567/pole4)</f>
        <v/>
      </c>
      <c r="O567" s="1058">
        <f>IF(VOUT_setting=1,1,SQRT(1+(A567*zterm1)^2))</f>
        <v/>
      </c>
      <c r="P567" s="1059">
        <f>IF(VOUT_setting=1,0,ATAN(((A567*zterm1))))</f>
        <v/>
      </c>
      <c r="Q567" s="1056">
        <f>IF(VOUT_setting=1,1,SQRT((1+Afbr-$Q$5*(A567)^2)^2+(A567*$Q$4)^2))</f>
        <v/>
      </c>
      <c r="R567" s="1060">
        <f>IF(VOUT_setting=1,0,ATAN(A567*$Q$4/(1+Afbr-$Q$5*(A567)^2)))</f>
        <v/>
      </c>
      <c r="S567" s="1054">
        <f>SQRT((1-(Z567/pterm2))^2+(A567/pterm1)^2)</f>
        <v/>
      </c>
      <c r="T567" s="1055">
        <f>IF((ATAN((A567/pterm1)/(1-A567^2/pterm2))&gt;0),ATAN((A567/pterm1)/(1-A567^2/pterm2)),PI()+ATAN((A567/pterm1)/(1-A567^2/pterm2)))</f>
        <v/>
      </c>
      <c r="U567" s="331">
        <f>20*LOG10(((E567*K567*G567*O567)/(C567*I567*S567*M567*Q567))*Adc)</f>
        <v/>
      </c>
      <c r="V567" s="332">
        <f>((F567+L567+H567+P567)-(D567+J567+T567+N567+R567))*radconv</f>
        <v/>
      </c>
      <c r="W567" s="334">
        <f>IF(V567&gt;0,V567,V567+180)</f>
        <v/>
      </c>
      <c r="Y567" s="307">
        <f>IF(U567&lt;0,A567,1000000000)</f>
        <v/>
      </c>
      <c r="Z567" s="307">
        <f>A567^2</f>
        <v/>
      </c>
      <c r="AB567" s="333">
        <f>20*LOG10((K567/(I567*M567))*AEA)</f>
        <v/>
      </c>
      <c r="AC567" s="334">
        <f>(L567-(J567+N567))*radconv</f>
        <v/>
      </c>
      <c r="AE567" s="333">
        <f>20*LOG10((E567*G567/(C567*S567))*Acs*Am)</f>
        <v/>
      </c>
      <c r="AF567" s="334">
        <f>(F567+H567-(D567+T567))*radconv</f>
        <v/>
      </c>
      <c r="AH567">
        <f>SUM((U568&lt;0)*(U567&gt;0))*A567</f>
        <v/>
      </c>
      <c r="AI567">
        <f>IF(AH567&gt;0,W567,0)</f>
        <v/>
      </c>
    </row>
    <row r="568">
      <c r="A568" s="335" t="n">
        <v>94955.5</v>
      </c>
      <c r="B568" s="352">
        <f>A568/1000</f>
        <v/>
      </c>
      <c r="C568" s="1047">
        <f>SQRT(1+(A568/pole1)^2)</f>
        <v/>
      </c>
      <c r="D568" s="1048">
        <f>ATAN(A568/pole1)</f>
        <v/>
      </c>
      <c r="E568" s="1048">
        <f>SQRT(1+(A568/Zero1)^2)</f>
        <v/>
      </c>
      <c r="F568" s="1049">
        <f>ATAN(A568/Zero1)</f>
        <v/>
      </c>
      <c r="G568" s="1048">
        <f>IF(VIN_nom&gt;Vout, 1, SQRT(1+(A568/z_RHP)^2))</f>
        <v/>
      </c>
      <c r="H568" s="1049">
        <f>IF(VIN_nom&gt;Vout, 0, -ATAN(A568/z_RHP))</f>
        <v/>
      </c>
      <c r="I568" s="1047">
        <f>SQRT(1+(A568/Pole2)^2)</f>
        <v/>
      </c>
      <c r="J568" s="1050">
        <f>ATAN(A568/Pole2)</f>
        <v/>
      </c>
      <c r="K568" s="1056">
        <f>SQRT(1+(A568/Zero2)^2)</f>
        <v/>
      </c>
      <c r="L568" s="1057">
        <f>ATAN(A568/Zero2)</f>
        <v/>
      </c>
      <c r="M568" s="1047">
        <f>SQRT(1+(A568/pole4)^2)</f>
        <v/>
      </c>
      <c r="N568" s="1057">
        <f>ATAN(A568/pole4)</f>
        <v/>
      </c>
      <c r="O568" s="1058">
        <f>IF(VOUT_setting=1,1,SQRT(1+(A568*zterm1)^2))</f>
        <v/>
      </c>
      <c r="P568" s="1059">
        <f>IF(VOUT_setting=1,0,ATAN(((A568*zterm1))))</f>
        <v/>
      </c>
      <c r="Q568" s="1056">
        <f>IF(VOUT_setting=1,1,SQRT((1+Afbr-$Q$5*(A568)^2)^2+(A568*$Q$4)^2))</f>
        <v/>
      </c>
      <c r="R568" s="1060">
        <f>IF(VOUT_setting=1,0,ATAN(A568*$Q$4/(1+Afbr-$Q$5*(A568)^2)))</f>
        <v/>
      </c>
      <c r="S568" s="1054">
        <f>SQRT((1-(Z568/pterm2))^2+(A568/pterm1)^2)</f>
        <v/>
      </c>
      <c r="T568" s="1055">
        <f>IF((ATAN((A568/pterm1)/(1-A568^2/pterm2))&gt;0),ATAN((A568/pterm1)/(1-A568^2/pterm2)),PI()+ATAN((A568/pterm1)/(1-A568^2/pterm2)))</f>
        <v/>
      </c>
      <c r="U568" s="331">
        <f>20*LOG10(((E568*K568*G568*O568)/(C568*I568*S568*M568*Q568))*Adc)</f>
        <v/>
      </c>
      <c r="V568" s="332">
        <f>((F568+L568+H568+P568)-(D568+J568+T568+N568+R568))*radconv</f>
        <v/>
      </c>
      <c r="W568" s="334">
        <f>IF(V568&gt;0,V568,V568+180)</f>
        <v/>
      </c>
      <c r="Y568" s="307">
        <f>IF(U568&lt;0,A568,1000000000)</f>
        <v/>
      </c>
      <c r="Z568" s="307">
        <f>A568^2</f>
        <v/>
      </c>
      <c r="AB568" s="333">
        <f>20*LOG10((K568/(I568*M568))*AEA)</f>
        <v/>
      </c>
      <c r="AC568" s="334">
        <f>(L568-(J568+N568))*radconv</f>
        <v/>
      </c>
      <c r="AE568" s="333">
        <f>20*LOG10((E568*G568/(C568*S568))*Acs*Am)</f>
        <v/>
      </c>
      <c r="AF568" s="334">
        <f>(F568+H568-(D568+T568))*radconv</f>
        <v/>
      </c>
      <c r="AH568">
        <f>SUM((U569&lt;0)*(U568&gt;0))*A568</f>
        <v/>
      </c>
      <c r="AI568">
        <f>IF(AH568&gt;0,W568,0)</f>
        <v/>
      </c>
    </row>
    <row r="569">
      <c r="A569" s="335" t="n">
        <v>95499</v>
      </c>
      <c r="B569" s="352">
        <f>A569/1000</f>
        <v/>
      </c>
      <c r="C569" s="1047">
        <f>SQRT(1+(A569/pole1)^2)</f>
        <v/>
      </c>
      <c r="D569" s="1048">
        <f>ATAN(A569/pole1)</f>
        <v/>
      </c>
      <c r="E569" s="1048">
        <f>SQRT(1+(A569/Zero1)^2)</f>
        <v/>
      </c>
      <c r="F569" s="1049">
        <f>ATAN(A569/Zero1)</f>
        <v/>
      </c>
      <c r="G569" s="1048">
        <f>IF(VIN_nom&gt;Vout, 1, SQRT(1+(A569/z_RHP)^2))</f>
        <v/>
      </c>
      <c r="H569" s="1049">
        <f>IF(VIN_nom&gt;Vout, 0, -ATAN(A569/z_RHP))</f>
        <v/>
      </c>
      <c r="I569" s="1047">
        <f>SQRT(1+(A569/Pole2)^2)</f>
        <v/>
      </c>
      <c r="J569" s="1050">
        <f>ATAN(A569/Pole2)</f>
        <v/>
      </c>
      <c r="K569" s="1056">
        <f>SQRT(1+(A569/Zero2)^2)</f>
        <v/>
      </c>
      <c r="L569" s="1057">
        <f>ATAN(A569/Zero2)</f>
        <v/>
      </c>
      <c r="M569" s="1047">
        <f>SQRT(1+(A569/pole4)^2)</f>
        <v/>
      </c>
      <c r="N569" s="1057">
        <f>ATAN(A569/pole4)</f>
        <v/>
      </c>
      <c r="O569" s="1058">
        <f>IF(VOUT_setting=1,1,SQRT(1+(A569*zterm1)^2))</f>
        <v/>
      </c>
      <c r="P569" s="1059">
        <f>IF(VOUT_setting=1,0,ATAN(((A569*zterm1))))</f>
        <v/>
      </c>
      <c r="Q569" s="1056">
        <f>IF(VOUT_setting=1,1,SQRT((1+Afbr-$Q$5*(A569)^2)^2+(A569*$Q$4)^2))</f>
        <v/>
      </c>
      <c r="R569" s="1060">
        <f>IF(VOUT_setting=1,0,ATAN(A569*$Q$4/(1+Afbr-$Q$5*(A569)^2)))</f>
        <v/>
      </c>
      <c r="S569" s="1054">
        <f>SQRT((1-(Z569/pterm2))^2+(A569/pterm1)^2)</f>
        <v/>
      </c>
      <c r="T569" s="1055">
        <f>IF((ATAN((A569/pterm1)/(1-A569^2/pterm2))&gt;0),ATAN((A569/pterm1)/(1-A569^2/pterm2)),PI()+ATAN((A569/pterm1)/(1-A569^2/pterm2)))</f>
        <v/>
      </c>
      <c r="U569" s="331">
        <f>20*LOG10(((E569*K569*G569*O569)/(C569*I569*S569*M569*Q569))*Adc)</f>
        <v/>
      </c>
      <c r="V569" s="332">
        <f>((F569+L569+H569+P569)-(D569+J569+T569+N569+R569))*radconv</f>
        <v/>
      </c>
      <c r="W569" s="334">
        <f>IF(V569&gt;0,V569,V569+180)</f>
        <v/>
      </c>
      <c r="Y569" s="307">
        <f>IF(U569&lt;0,A569,1000000000)</f>
        <v/>
      </c>
      <c r="Z569" s="307">
        <f>A569^2</f>
        <v/>
      </c>
      <c r="AB569" s="333">
        <f>20*LOG10((K569/(I569*M569))*AEA)</f>
        <v/>
      </c>
      <c r="AC569" s="334">
        <f>(L569-(J569+N569))*radconv</f>
        <v/>
      </c>
      <c r="AE569" s="333">
        <f>20*LOG10((E569*G569/(C569*S569))*Acs*Am)</f>
        <v/>
      </c>
      <c r="AF569" s="334">
        <f>(F569+H569-(D569+T569))*radconv</f>
        <v/>
      </c>
      <c r="AH569">
        <f>SUM((U570&lt;0)*(U569&gt;0))*A569</f>
        <v/>
      </c>
      <c r="AI569">
        <f>IF(AH569&gt;0,W569,0)</f>
        <v/>
      </c>
    </row>
    <row r="570">
      <c r="A570" s="335" t="n">
        <v>96611.5</v>
      </c>
      <c r="B570" s="352">
        <f>A570/1000</f>
        <v/>
      </c>
      <c r="C570" s="1047">
        <f>SQRT(1+(A570/pole1)^2)</f>
        <v/>
      </c>
      <c r="D570" s="1048">
        <f>ATAN(A570/pole1)</f>
        <v/>
      </c>
      <c r="E570" s="1048">
        <f>SQRT(1+(A570/Zero1)^2)</f>
        <v/>
      </c>
      <c r="F570" s="1049">
        <f>ATAN(A570/Zero1)</f>
        <v/>
      </c>
      <c r="G570" s="1048">
        <f>IF(VIN_nom&gt;Vout, 1, SQRT(1+(A570/z_RHP)^2))</f>
        <v/>
      </c>
      <c r="H570" s="1049">
        <f>IF(VIN_nom&gt;Vout, 0, -ATAN(A570/z_RHP))</f>
        <v/>
      </c>
      <c r="I570" s="1047">
        <f>SQRT(1+(A570/Pole2)^2)</f>
        <v/>
      </c>
      <c r="J570" s="1050">
        <f>ATAN(A570/Pole2)</f>
        <v/>
      </c>
      <c r="K570" s="1056">
        <f>SQRT(1+(A570/Zero2)^2)</f>
        <v/>
      </c>
      <c r="L570" s="1057">
        <f>ATAN(A570/Zero2)</f>
        <v/>
      </c>
      <c r="M570" s="1047">
        <f>SQRT(1+(A570/pole4)^2)</f>
        <v/>
      </c>
      <c r="N570" s="1057">
        <f>ATAN(A570/pole4)</f>
        <v/>
      </c>
      <c r="O570" s="1058">
        <f>IF(VOUT_setting=1,1,SQRT(1+(A570*zterm1)^2))</f>
        <v/>
      </c>
      <c r="P570" s="1059">
        <f>IF(VOUT_setting=1,0,ATAN(((A570*zterm1))))</f>
        <v/>
      </c>
      <c r="Q570" s="1056">
        <f>IF(VOUT_setting=1,1,SQRT((1+Afbr-$Q$5*(A570)^2)^2+(A570*$Q$4)^2))</f>
        <v/>
      </c>
      <c r="R570" s="1060">
        <f>IF(VOUT_setting=1,0,ATAN(A570*$Q$4/(1+Afbr-$Q$5*(A570)^2)))</f>
        <v/>
      </c>
      <c r="S570" s="1054">
        <f>SQRT((1-(Z570/pterm2))^2+(A570/pterm1)^2)</f>
        <v/>
      </c>
      <c r="T570" s="1055">
        <f>IF((ATAN((A570/pterm1)/(1-A570^2/pterm2))&gt;0),ATAN((A570/pterm1)/(1-A570^2/pterm2)),PI()+ATAN((A570/pterm1)/(1-A570^2/pterm2)))</f>
        <v/>
      </c>
      <c r="U570" s="331">
        <f>20*LOG10(((E570*K570*G570*O570)/(C570*I570*S570*M570*Q570))*Adc)</f>
        <v/>
      </c>
      <c r="V570" s="332">
        <f>((F570+L570+H570+P570)-(D570+J570+T570+N570+R570))*radconv</f>
        <v/>
      </c>
      <c r="W570" s="334">
        <f>IF(V570&gt;0,V570,V570+180)</f>
        <v/>
      </c>
      <c r="Y570" s="307">
        <f>IF(U570&lt;0,A570,1000000000)</f>
        <v/>
      </c>
      <c r="Z570" s="307">
        <f>A570^2</f>
        <v/>
      </c>
      <c r="AB570" s="333">
        <f>20*LOG10((K570/(I570*M570))*AEA)</f>
        <v/>
      </c>
      <c r="AC570" s="334">
        <f>(L570-(J570+N570))*radconv</f>
        <v/>
      </c>
      <c r="AE570" s="333">
        <f>20*LOG10((E570*G570/(C570*S570))*Acs*Am)</f>
        <v/>
      </c>
      <c r="AF570" s="334">
        <f>(F570+H570-(D570+T570))*radconv</f>
        <v/>
      </c>
      <c r="AH570">
        <f>SUM((U571&lt;0)*(U570&gt;0))*A570</f>
        <v/>
      </c>
      <c r="AI570">
        <f>IF(AH570&gt;0,W570,0)</f>
        <v/>
      </c>
    </row>
    <row r="571">
      <c r="A571" s="335" t="n">
        <v>97724</v>
      </c>
      <c r="B571" s="352">
        <f>A571/1000</f>
        <v/>
      </c>
      <c r="C571" s="1047">
        <f>SQRT(1+(A571/pole1)^2)</f>
        <v/>
      </c>
      <c r="D571" s="1048">
        <f>ATAN(A571/pole1)</f>
        <v/>
      </c>
      <c r="E571" s="1048">
        <f>SQRT(1+(A571/Zero1)^2)</f>
        <v/>
      </c>
      <c r="F571" s="1049">
        <f>ATAN(A571/Zero1)</f>
        <v/>
      </c>
      <c r="G571" s="1048">
        <f>IF(VIN_nom&gt;Vout, 1, SQRT(1+(A571/z_RHP)^2))</f>
        <v/>
      </c>
      <c r="H571" s="1049">
        <f>IF(VIN_nom&gt;Vout, 0, -ATAN(A571/z_RHP))</f>
        <v/>
      </c>
      <c r="I571" s="1047">
        <f>SQRT(1+(A571/Pole2)^2)</f>
        <v/>
      </c>
      <c r="J571" s="1050">
        <f>ATAN(A571/Pole2)</f>
        <v/>
      </c>
      <c r="K571" s="1056">
        <f>SQRT(1+(A571/Zero2)^2)</f>
        <v/>
      </c>
      <c r="L571" s="1057">
        <f>ATAN(A571/Zero2)</f>
        <v/>
      </c>
      <c r="M571" s="1047">
        <f>SQRT(1+(A571/pole4)^2)</f>
        <v/>
      </c>
      <c r="N571" s="1057">
        <f>ATAN(A571/pole4)</f>
        <v/>
      </c>
      <c r="O571" s="1058">
        <f>IF(VOUT_setting=1,1,SQRT(1+(A571*zterm1)^2))</f>
        <v/>
      </c>
      <c r="P571" s="1059">
        <f>IF(VOUT_setting=1,0,ATAN(((A571*zterm1))))</f>
        <v/>
      </c>
      <c r="Q571" s="1056">
        <f>IF(VOUT_setting=1,1,SQRT((1+Afbr-$Q$5*(A571)^2)^2+(A571*$Q$4)^2))</f>
        <v/>
      </c>
      <c r="R571" s="1060">
        <f>IF(VOUT_setting=1,0,ATAN(A571*$Q$4/(1+Afbr-$Q$5*(A571)^2)))</f>
        <v/>
      </c>
      <c r="S571" s="1054">
        <f>SQRT((1-(Z571/pterm2))^2+(A571/pterm1)^2)</f>
        <v/>
      </c>
      <c r="T571" s="1055">
        <f>IF((ATAN((A571/pterm1)/(1-A571^2/pterm2))&gt;0),ATAN((A571/pterm1)/(1-A571^2/pterm2)),PI()+ATAN((A571/pterm1)/(1-A571^2/pterm2)))</f>
        <v/>
      </c>
      <c r="U571" s="331">
        <f>20*LOG10(((E571*K571*G571*O571)/(C571*I571*S571*M571*Q571))*Adc)</f>
        <v/>
      </c>
      <c r="V571" s="332">
        <f>((F571+L571+H571+P571)-(D571+J571+T571+N571+R571))*radconv</f>
        <v/>
      </c>
      <c r="W571" s="334">
        <f>IF(V571&gt;0,V571,V571+180)</f>
        <v/>
      </c>
      <c r="Y571" s="307">
        <f>IF(U571&lt;0,A571,1000000000)</f>
        <v/>
      </c>
      <c r="Z571" s="307">
        <f>A571^2</f>
        <v/>
      </c>
      <c r="AB571" s="333">
        <f>20*LOG10((K571/(I571*M571))*AEA)</f>
        <v/>
      </c>
      <c r="AC571" s="334">
        <f>(L571-(J571+N571))*radconv</f>
        <v/>
      </c>
      <c r="AE571" s="333">
        <f>20*LOG10((E571*G571/(C571*S571))*Acs*Am)</f>
        <v/>
      </c>
      <c r="AF571" s="334">
        <f>(F571+H571-(D571+T571))*radconv</f>
        <v/>
      </c>
      <c r="AH571">
        <f>SUM((U572&lt;0)*(U571&gt;0))*A571</f>
        <v/>
      </c>
      <c r="AI571">
        <f>IF(AH571&gt;0,W571,0)</f>
        <v/>
      </c>
    </row>
    <row r="572">
      <c r="A572" s="335" t="n">
        <v>98862</v>
      </c>
      <c r="B572" s="352">
        <f>A572/1000</f>
        <v/>
      </c>
      <c r="C572" s="1047">
        <f>SQRT(1+(A572/pole1)^2)</f>
        <v/>
      </c>
      <c r="D572" s="1048">
        <f>ATAN(A572/pole1)</f>
        <v/>
      </c>
      <c r="E572" s="1048">
        <f>SQRT(1+(A572/Zero1)^2)</f>
        <v/>
      </c>
      <c r="F572" s="1049">
        <f>ATAN(A572/Zero1)</f>
        <v/>
      </c>
      <c r="G572" s="1048">
        <f>IF(VIN_nom&gt;Vout, 1, SQRT(1+(A572/z_RHP)^2))</f>
        <v/>
      </c>
      <c r="H572" s="1049">
        <f>IF(VIN_nom&gt;Vout, 0, -ATAN(A572/z_RHP))</f>
        <v/>
      </c>
      <c r="I572" s="1047">
        <f>SQRT(1+(A572/Pole2)^2)</f>
        <v/>
      </c>
      <c r="J572" s="1050">
        <f>ATAN(A572/Pole2)</f>
        <v/>
      </c>
      <c r="K572" s="1056">
        <f>SQRT(1+(A572/Zero2)^2)</f>
        <v/>
      </c>
      <c r="L572" s="1057">
        <f>ATAN(A572/Zero2)</f>
        <v/>
      </c>
      <c r="M572" s="1047">
        <f>SQRT(1+(A572/pole4)^2)</f>
        <v/>
      </c>
      <c r="N572" s="1057">
        <f>ATAN(A572/pole4)</f>
        <v/>
      </c>
      <c r="O572" s="1058">
        <f>IF(VOUT_setting=1,1,SQRT(1+(A572*zterm1)^2))</f>
        <v/>
      </c>
      <c r="P572" s="1059">
        <f>IF(VOUT_setting=1,0,ATAN(((A572*zterm1))))</f>
        <v/>
      </c>
      <c r="Q572" s="1056">
        <f>IF(VOUT_setting=1,1,SQRT((1+Afbr-$Q$5*(A572)^2)^2+(A572*$Q$4)^2))</f>
        <v/>
      </c>
      <c r="R572" s="1060">
        <f>IF(VOUT_setting=1,0,ATAN(A572*$Q$4/(1+Afbr-$Q$5*(A572)^2)))</f>
        <v/>
      </c>
      <c r="S572" s="1054">
        <f>SQRT((1-(Z572/pterm2))^2+(A572/pterm1)^2)</f>
        <v/>
      </c>
      <c r="T572" s="1055">
        <f>IF((ATAN((A572/pterm1)/(1-A572^2/pterm2))&gt;0),ATAN((A572/pterm1)/(1-A572^2/pterm2)),PI()+ATAN((A572/pterm1)/(1-A572^2/pterm2)))</f>
        <v/>
      </c>
      <c r="U572" s="331">
        <f>20*LOG10(((E572*K572*G572*O572)/(C572*I572*S572*M572*Q572))*Adc)</f>
        <v/>
      </c>
      <c r="V572" s="332">
        <f>((F572+L572+H572+P572)-(D572+J572+T572+N572+R572))*radconv</f>
        <v/>
      </c>
      <c r="W572" s="334">
        <f>IF(V572&gt;0,V572,V572+180)</f>
        <v/>
      </c>
      <c r="Y572" s="307">
        <f>IF(U572&lt;0,A572,1000000000)</f>
        <v/>
      </c>
      <c r="Z572" s="307">
        <f>A572^2</f>
        <v/>
      </c>
      <c r="AB572" s="333">
        <f>20*LOG10((K572/(I572*M572))*AEA)</f>
        <v/>
      </c>
      <c r="AC572" s="334">
        <f>(L572-(J572+N572))*radconv</f>
        <v/>
      </c>
      <c r="AE572" s="333">
        <f>20*LOG10((E572*G572/(C572*S572))*Acs*Am)</f>
        <v/>
      </c>
      <c r="AF572" s="334">
        <f>(F572+H572-(D572+T572))*radconv</f>
        <v/>
      </c>
      <c r="AH572">
        <f>SUM((U573&lt;0)*(U572&gt;0))*A572</f>
        <v/>
      </c>
      <c r="AI572">
        <f>IF(AH572&gt;0,W572,0)</f>
        <v/>
      </c>
    </row>
    <row r="573">
      <c r="A573" s="335" t="n">
        <v>100000</v>
      </c>
      <c r="B573" s="352">
        <f>A573/1000</f>
        <v/>
      </c>
      <c r="C573" s="1047">
        <f>SQRT(1+(A573/pole1)^2)</f>
        <v/>
      </c>
      <c r="D573" s="1048">
        <f>ATAN(A573/pole1)</f>
        <v/>
      </c>
      <c r="E573" s="1048">
        <f>SQRT(1+(A573/Zero1)^2)</f>
        <v/>
      </c>
      <c r="F573" s="1049">
        <f>ATAN(A573/Zero1)</f>
        <v/>
      </c>
      <c r="G573" s="1048">
        <f>IF(VIN_nom&gt;Vout, 1, SQRT(1+(A573/z_RHP)^2))</f>
        <v/>
      </c>
      <c r="H573" s="1049">
        <f>IF(VIN_nom&gt;Vout, 0, -ATAN(A573/z_RHP))</f>
        <v/>
      </c>
      <c r="I573" s="1047">
        <f>SQRT(1+(A573/Pole2)^2)</f>
        <v/>
      </c>
      <c r="J573" s="1050">
        <f>ATAN(A573/Pole2)</f>
        <v/>
      </c>
      <c r="K573" s="1056">
        <f>SQRT(1+(A573/Zero2)^2)</f>
        <v/>
      </c>
      <c r="L573" s="1057">
        <f>ATAN(A573/Zero2)</f>
        <v/>
      </c>
      <c r="M573" s="1047">
        <f>SQRT(1+(A573/pole4)^2)</f>
        <v/>
      </c>
      <c r="N573" s="1057">
        <f>ATAN(A573/pole4)</f>
        <v/>
      </c>
      <c r="O573" s="1058">
        <f>IF(VOUT_setting=1,1,SQRT(1+(A573*zterm1)^2))</f>
        <v/>
      </c>
      <c r="P573" s="1059">
        <f>IF(VOUT_setting=1,0,ATAN(((A573*zterm1))))</f>
        <v/>
      </c>
      <c r="Q573" s="1056">
        <f>IF(VOUT_setting=1,1,SQRT((1+Afbr-$Q$5*(A573)^2)^2+(A573*$Q$4)^2))</f>
        <v/>
      </c>
      <c r="R573" s="1060">
        <f>IF(VOUT_setting=1,0,ATAN(A573*$Q$4/(1+Afbr-$Q$5*(A573)^2)))</f>
        <v/>
      </c>
      <c r="S573" s="1054">
        <f>SQRT((1-(Z573/pterm2))^2+(A573/pterm1)^2)</f>
        <v/>
      </c>
      <c r="T573" s="1055">
        <f>IF((ATAN((A573/pterm1)/(1-A573^2/pterm2))&gt;0),ATAN((A573/pterm1)/(1-A573^2/pterm2)),PI()+ATAN((A573/pterm1)/(1-A573^2/pterm2)))</f>
        <v/>
      </c>
      <c r="U573" s="331">
        <f>20*LOG10(((E573*K573*G573*O573)/(C573*I573*S573*M573*Q573))*Adc)</f>
        <v/>
      </c>
      <c r="V573" s="332">
        <f>((F573+L573+H573+P573)-(D573+J573+T573+N573+R573))*radconv</f>
        <v/>
      </c>
      <c r="W573" s="334">
        <f>IF(V573&gt;0,V573,V573+180)</f>
        <v/>
      </c>
      <c r="Y573" s="307">
        <f>IF(U573&lt;0,A573,1000000000)</f>
        <v/>
      </c>
      <c r="Z573" s="307">
        <f>A573^2</f>
        <v/>
      </c>
      <c r="AB573" s="333">
        <f>20*LOG10((K573/(I573*M573))*AEA)</f>
        <v/>
      </c>
      <c r="AC573" s="334">
        <f>(L573-(J573+N573))*radconv</f>
        <v/>
      </c>
      <c r="AE573" s="333">
        <f>20*LOG10((E573*G573/(C573*S573))*Acs*Am)</f>
        <v/>
      </c>
      <c r="AF573" s="334">
        <f>(F573+H573-(D573+T573))*radconv</f>
        <v/>
      </c>
      <c r="AH573">
        <f>SUM((U574&lt;0)*(U573&gt;0))*A573</f>
        <v/>
      </c>
      <c r="AI573">
        <f>IF(AH573&gt;0,W573,0)</f>
        <v/>
      </c>
    </row>
    <row r="574">
      <c r="A574" s="335" t="n">
        <v>101165</v>
      </c>
      <c r="B574" s="352">
        <f>A574/1000</f>
        <v/>
      </c>
      <c r="C574" s="1047">
        <f>SQRT(1+(A574/pole1)^2)</f>
        <v/>
      </c>
      <c r="D574" s="1048">
        <f>ATAN(A574/pole1)</f>
        <v/>
      </c>
      <c r="E574" s="1048">
        <f>SQRT(1+(A574/Zero1)^2)</f>
        <v/>
      </c>
      <c r="F574" s="1049">
        <f>ATAN(A574/Zero1)</f>
        <v/>
      </c>
      <c r="G574" s="1048">
        <f>IF(VIN_nom&gt;Vout, 1, SQRT(1+(A574/z_RHP)^2))</f>
        <v/>
      </c>
      <c r="H574" s="1049">
        <f>IF(VIN_nom&gt;Vout, 0, -ATAN(A574/z_RHP))</f>
        <v/>
      </c>
      <c r="I574" s="1047">
        <f>SQRT(1+(A574/Pole2)^2)</f>
        <v/>
      </c>
      <c r="J574" s="1050">
        <f>ATAN(A574/Pole2)</f>
        <v/>
      </c>
      <c r="K574" s="1056">
        <f>SQRT(1+(A574/Zero2)^2)</f>
        <v/>
      </c>
      <c r="L574" s="1057">
        <f>ATAN(A574/Zero2)</f>
        <v/>
      </c>
      <c r="M574" s="1047">
        <f>SQRT(1+(A574/pole4)^2)</f>
        <v/>
      </c>
      <c r="N574" s="1057">
        <f>ATAN(A574/pole4)</f>
        <v/>
      </c>
      <c r="O574" s="1058">
        <f>IF(VOUT_setting=1,1,SQRT(1+(A574*zterm1)^2))</f>
        <v/>
      </c>
      <c r="P574" s="1059">
        <f>IF(VOUT_setting=1,0,ATAN(((A574*zterm1))))</f>
        <v/>
      </c>
      <c r="Q574" s="1056">
        <f>IF(VOUT_setting=1,1,SQRT((1+Afbr-$Q$5*(A574)^2)^2+(A574*$Q$4)^2))</f>
        <v/>
      </c>
      <c r="R574" s="1060">
        <f>IF(VOUT_setting=1,0,ATAN(A574*$Q$4/(1+Afbr-$Q$5*(A574)^2)))</f>
        <v/>
      </c>
      <c r="S574" s="1054">
        <f>SQRT((1-(Z574/pterm2))^2+(A574/pterm1)^2)</f>
        <v/>
      </c>
      <c r="T574" s="1055">
        <f>IF((ATAN((A574/pterm1)/(1-A574^2/pterm2))&gt;0),ATAN((A574/pterm1)/(1-A574^2/pterm2)),PI()+ATAN((A574/pterm1)/(1-A574^2/pterm2)))</f>
        <v/>
      </c>
      <c r="U574" s="331">
        <f>20*LOG10(((E574*K574*G574*O574)/(C574*I574*S574*M574*Q574))*Adc)</f>
        <v/>
      </c>
      <c r="V574" s="332">
        <f>((F574+L574+H574+P574)-(D574+J574+T574+N574+R574))*radconv</f>
        <v/>
      </c>
      <c r="W574" s="334">
        <f>IF(V574&gt;0,V574,V574+180)</f>
        <v/>
      </c>
      <c r="Y574" s="307">
        <f>IF(U574&lt;0,A574,1000000000)</f>
        <v/>
      </c>
      <c r="Z574" s="307">
        <f>A574^2</f>
        <v/>
      </c>
      <c r="AB574" s="333">
        <f>20*LOG10((K574/(I574*M574))*AEA)</f>
        <v/>
      </c>
      <c r="AC574" s="334">
        <f>(L574-(J574+N574))*radconv</f>
        <v/>
      </c>
      <c r="AE574" s="333">
        <f>20*LOG10((E574*G574/(C574*S574))*Acs*Am)</f>
        <v/>
      </c>
      <c r="AF574" s="334">
        <f>(F574+H574-(D574+T574))*radconv</f>
        <v/>
      </c>
      <c r="AH574">
        <f>SUM((U575&lt;0)*(U574&gt;0))*A574</f>
        <v/>
      </c>
      <c r="AI574">
        <f>IF(AH574&gt;0,W574,0)</f>
        <v/>
      </c>
    </row>
    <row r="575">
      <c r="A575" s="335" t="n">
        <v>102330</v>
      </c>
      <c r="B575" s="352">
        <f>A575/1000</f>
        <v/>
      </c>
      <c r="C575" s="1047">
        <f>SQRT(1+(A575/pole1)^2)</f>
        <v/>
      </c>
      <c r="D575" s="1048">
        <f>ATAN(A575/pole1)</f>
        <v/>
      </c>
      <c r="E575" s="1048">
        <f>SQRT(1+(A575/Zero1)^2)</f>
        <v/>
      </c>
      <c r="F575" s="1049">
        <f>ATAN(A575/Zero1)</f>
        <v/>
      </c>
      <c r="G575" s="1048">
        <f>IF(VIN_nom&gt;Vout, 1, SQRT(1+(A575/z_RHP)^2))</f>
        <v/>
      </c>
      <c r="H575" s="1049">
        <f>IF(VIN_nom&gt;Vout, 0, -ATAN(A575/z_RHP))</f>
        <v/>
      </c>
      <c r="I575" s="1047">
        <f>SQRT(1+(A575/Pole2)^2)</f>
        <v/>
      </c>
      <c r="J575" s="1050">
        <f>ATAN(A575/Pole2)</f>
        <v/>
      </c>
      <c r="K575" s="1056">
        <f>SQRT(1+(A575/Zero2)^2)</f>
        <v/>
      </c>
      <c r="L575" s="1057">
        <f>ATAN(A575/Zero2)</f>
        <v/>
      </c>
      <c r="M575" s="1047">
        <f>SQRT(1+(A575/pole4)^2)</f>
        <v/>
      </c>
      <c r="N575" s="1057">
        <f>ATAN(A575/pole4)</f>
        <v/>
      </c>
      <c r="O575" s="1058">
        <f>IF(VOUT_setting=1,1,SQRT(1+(A575*zterm1)^2))</f>
        <v/>
      </c>
      <c r="P575" s="1059">
        <f>IF(VOUT_setting=1,0,ATAN(((A575*zterm1))))</f>
        <v/>
      </c>
      <c r="Q575" s="1056">
        <f>IF(VOUT_setting=1,1,SQRT((1+Afbr-$Q$5*(A575)^2)^2+(A575*$Q$4)^2))</f>
        <v/>
      </c>
      <c r="R575" s="1060">
        <f>IF(VOUT_setting=1,0,ATAN(A575*$Q$4/(1+Afbr-$Q$5*(A575)^2)))</f>
        <v/>
      </c>
      <c r="S575" s="1054">
        <f>SQRT((1-(Z575/pterm2))^2+(A575/pterm1)^2)</f>
        <v/>
      </c>
      <c r="T575" s="1055">
        <f>IF((ATAN((A575/pterm1)/(1-A575^2/pterm2))&gt;0),ATAN((A575/pterm1)/(1-A575^2/pterm2)),PI()+ATAN((A575/pterm1)/(1-A575^2/pterm2)))</f>
        <v/>
      </c>
      <c r="U575" s="331">
        <f>20*LOG10(((E575*K575*G575*O575)/(C575*I575*S575*M575*Q575))*Adc)</f>
        <v/>
      </c>
      <c r="V575" s="332">
        <f>((F575+L575+H575+P575)-(D575+J575+T575+N575+R575))*radconv</f>
        <v/>
      </c>
      <c r="W575" s="334">
        <f>IF(V575&gt;0,V575,V575+180)</f>
        <v/>
      </c>
      <c r="Y575" s="307">
        <f>IF(U575&lt;0,A575,1000000000)</f>
        <v/>
      </c>
      <c r="Z575" s="307">
        <f>A575^2</f>
        <v/>
      </c>
      <c r="AB575" s="333">
        <f>20*LOG10((K575/(I575*M575))*AEA)</f>
        <v/>
      </c>
      <c r="AC575" s="334">
        <f>(L575-(J575+N575))*radconv</f>
        <v/>
      </c>
      <c r="AE575" s="333">
        <f>20*LOG10((E575*G575/(C575*S575))*Acs*Am)</f>
        <v/>
      </c>
      <c r="AF575" s="334">
        <f>(F575+H575-(D575+T575))*radconv</f>
        <v/>
      </c>
      <c r="AH575">
        <f>SUM((U576&lt;0)*(U575&gt;0))*A575</f>
        <v/>
      </c>
      <c r="AI575">
        <f>IF(AH575&gt;0,W575,0)</f>
        <v/>
      </c>
    </row>
    <row r="576">
      <c r="A576" s="335" t="n">
        <v>103520</v>
      </c>
      <c r="B576" s="352">
        <f>A576/1000</f>
        <v/>
      </c>
      <c r="C576" s="1047">
        <f>SQRT(1+(A576/pole1)^2)</f>
        <v/>
      </c>
      <c r="D576" s="1048">
        <f>ATAN(A576/pole1)</f>
        <v/>
      </c>
      <c r="E576" s="1048">
        <f>SQRT(1+(A576/Zero1)^2)</f>
        <v/>
      </c>
      <c r="F576" s="1049">
        <f>ATAN(A576/Zero1)</f>
        <v/>
      </c>
      <c r="G576" s="1048">
        <f>IF(VIN_nom&gt;Vout, 1, SQRT(1+(A576/z_RHP)^2))</f>
        <v/>
      </c>
      <c r="H576" s="1049">
        <f>IF(VIN_nom&gt;Vout, 0, -ATAN(A576/z_RHP))</f>
        <v/>
      </c>
      <c r="I576" s="1047">
        <f>SQRT(1+(A576/Pole2)^2)</f>
        <v/>
      </c>
      <c r="J576" s="1050">
        <f>ATAN(A576/Pole2)</f>
        <v/>
      </c>
      <c r="K576" s="1056">
        <f>SQRT(1+(A576/Zero2)^2)</f>
        <v/>
      </c>
      <c r="L576" s="1057">
        <f>ATAN(A576/Zero2)</f>
        <v/>
      </c>
      <c r="M576" s="1047">
        <f>SQRT(1+(A576/pole4)^2)</f>
        <v/>
      </c>
      <c r="N576" s="1057">
        <f>ATAN(A576/pole4)</f>
        <v/>
      </c>
      <c r="O576" s="1058">
        <f>IF(VOUT_setting=1,1,SQRT(1+(A576*zterm1)^2))</f>
        <v/>
      </c>
      <c r="P576" s="1059">
        <f>IF(VOUT_setting=1,0,ATAN(((A576*zterm1))))</f>
        <v/>
      </c>
      <c r="Q576" s="1056">
        <f>IF(VOUT_setting=1,1,SQRT((1+Afbr-$Q$5*(A576)^2)^2+(A576*$Q$4)^2))</f>
        <v/>
      </c>
      <c r="R576" s="1060">
        <f>IF(VOUT_setting=1,0,ATAN(A576*$Q$4/(1+Afbr-$Q$5*(A576)^2)))</f>
        <v/>
      </c>
      <c r="S576" s="1054">
        <f>SQRT((1-(Z576/pterm2))^2+(A576/pterm1)^2)</f>
        <v/>
      </c>
      <c r="T576" s="1055">
        <f>IF((ATAN((A576/pterm1)/(1-A576^2/pterm2))&gt;0),ATAN((A576/pterm1)/(1-A576^2/pterm2)),PI()+ATAN((A576/pterm1)/(1-A576^2/pterm2)))</f>
        <v/>
      </c>
      <c r="U576" s="331">
        <f>20*LOG10(((E576*K576*G576*O576)/(C576*I576*S576*M576*Q576))*Adc)</f>
        <v/>
      </c>
      <c r="V576" s="332">
        <f>((F576+L576+H576+P576)-(D576+J576+T576+N576+R576))*radconv</f>
        <v/>
      </c>
      <c r="W576" s="334">
        <f>IF(V576&gt;0,V576,V576+180)</f>
        <v/>
      </c>
      <c r="Y576" s="307">
        <f>IF(U576&lt;0,A576,1000000000)</f>
        <v/>
      </c>
      <c r="Z576" s="307">
        <f>A576^2</f>
        <v/>
      </c>
      <c r="AB576" s="333">
        <f>20*LOG10((K576/(I576*M576))*AEA)</f>
        <v/>
      </c>
      <c r="AC576" s="334">
        <f>(L576-(J576+N576))*radconv</f>
        <v/>
      </c>
      <c r="AE576" s="333">
        <f>20*LOG10((E576*G576/(C576*S576))*Acs*Am)</f>
        <v/>
      </c>
      <c r="AF576" s="334">
        <f>(F576+H576-(D576+T576))*radconv</f>
        <v/>
      </c>
      <c r="AH576">
        <f>SUM((U577&lt;0)*(U576&gt;0))*A576</f>
        <v/>
      </c>
      <c r="AI576">
        <f>IF(AH576&gt;0,W576,0)</f>
        <v/>
      </c>
    </row>
    <row r="577">
      <c r="A577" s="335" t="n">
        <v>104710</v>
      </c>
      <c r="B577" s="352">
        <f>A577/1000</f>
        <v/>
      </c>
      <c r="C577" s="1047">
        <f>SQRT(1+(A577/pole1)^2)</f>
        <v/>
      </c>
      <c r="D577" s="1048">
        <f>ATAN(A577/pole1)</f>
        <v/>
      </c>
      <c r="E577" s="1048">
        <f>SQRT(1+(A577/Zero1)^2)</f>
        <v/>
      </c>
      <c r="F577" s="1049">
        <f>ATAN(A577/Zero1)</f>
        <v/>
      </c>
      <c r="G577" s="1048">
        <f>IF(VIN_nom&gt;Vout, 1, SQRT(1+(A577/z_RHP)^2))</f>
        <v/>
      </c>
      <c r="H577" s="1049">
        <f>IF(VIN_nom&gt;Vout, 0, -ATAN(A577/z_RHP))</f>
        <v/>
      </c>
      <c r="I577" s="1047">
        <f>SQRT(1+(A577/Pole2)^2)</f>
        <v/>
      </c>
      <c r="J577" s="1050">
        <f>ATAN(A577/Pole2)</f>
        <v/>
      </c>
      <c r="K577" s="1056">
        <f>SQRT(1+(A577/Zero2)^2)</f>
        <v/>
      </c>
      <c r="L577" s="1057">
        <f>ATAN(A577/Zero2)</f>
        <v/>
      </c>
      <c r="M577" s="1047">
        <f>SQRT(1+(A577/pole4)^2)</f>
        <v/>
      </c>
      <c r="N577" s="1057">
        <f>ATAN(A577/pole4)</f>
        <v/>
      </c>
      <c r="O577" s="1058">
        <f>IF(VOUT_setting=1,1,SQRT(1+(A577*zterm1)^2))</f>
        <v/>
      </c>
      <c r="P577" s="1059">
        <f>IF(VOUT_setting=1,0,ATAN(((A577*zterm1))))</f>
        <v/>
      </c>
      <c r="Q577" s="1056">
        <f>IF(VOUT_setting=1,1,SQRT((1+Afbr-$Q$5*(A577)^2)^2+(A577*$Q$4)^2))</f>
        <v/>
      </c>
      <c r="R577" s="1060">
        <f>IF(VOUT_setting=1,0,ATAN(A577*$Q$4/(1+Afbr-$Q$5*(A577)^2)))</f>
        <v/>
      </c>
      <c r="S577" s="1054">
        <f>SQRT((1-(Z577/pterm2))^2+(A577/pterm1)^2)</f>
        <v/>
      </c>
      <c r="T577" s="1055">
        <f>IF((ATAN((A577/pterm1)/(1-A577^2/pterm2))&gt;0),ATAN((A577/pterm1)/(1-A577^2/pterm2)),PI()+ATAN((A577/pterm1)/(1-A577^2/pterm2)))</f>
        <v/>
      </c>
      <c r="U577" s="331">
        <f>20*LOG10(((E577*K577*G577*O577)/(C577*I577*S577*M577*Q577))*Adc)</f>
        <v/>
      </c>
      <c r="V577" s="332">
        <f>((F577+L577+H577+P577)-(D577+J577+T577+N577+R577))*radconv</f>
        <v/>
      </c>
      <c r="W577" s="334">
        <f>IF(V577&gt;0,V577,V577+180)</f>
        <v/>
      </c>
      <c r="Y577" s="307">
        <f>IF(U577&lt;0,A577,1000000000)</f>
        <v/>
      </c>
      <c r="Z577" s="307">
        <f>A577^2</f>
        <v/>
      </c>
      <c r="AB577" s="333">
        <f>20*LOG10((K577/(I577*M577))*AEA)</f>
        <v/>
      </c>
      <c r="AC577" s="334">
        <f>(L577-(J577+N577))*radconv</f>
        <v/>
      </c>
      <c r="AE577" s="333">
        <f>20*LOG10((E577*G577/(C577*S577))*Acs*Am)</f>
        <v/>
      </c>
      <c r="AF577" s="334">
        <f>(F577+H577-(D577+T577))*radconv</f>
        <v/>
      </c>
      <c r="AH577">
        <f>SUM((U578&lt;0)*(U577&gt;0))*A577</f>
        <v/>
      </c>
      <c r="AI577">
        <f>IF(AH577&gt;0,W577,0)</f>
        <v/>
      </c>
    </row>
    <row r="578">
      <c r="A578" s="335" t="n">
        <v>105930</v>
      </c>
      <c r="B578" s="352">
        <f>A578/1000</f>
        <v/>
      </c>
      <c r="C578" s="1047">
        <f>SQRT(1+(A578/pole1)^2)</f>
        <v/>
      </c>
      <c r="D578" s="1048">
        <f>ATAN(A578/pole1)</f>
        <v/>
      </c>
      <c r="E578" s="1048">
        <f>SQRT(1+(A578/Zero1)^2)</f>
        <v/>
      </c>
      <c r="F578" s="1049">
        <f>ATAN(A578/Zero1)</f>
        <v/>
      </c>
      <c r="G578" s="1048">
        <f>IF(VIN_nom&gt;Vout, 1, SQRT(1+(A578/z_RHP)^2))</f>
        <v/>
      </c>
      <c r="H578" s="1049">
        <f>IF(VIN_nom&gt;Vout, 0, -ATAN(A578/z_RHP))</f>
        <v/>
      </c>
      <c r="I578" s="1047">
        <f>SQRT(1+(A578/Pole2)^2)</f>
        <v/>
      </c>
      <c r="J578" s="1050">
        <f>ATAN(A578/Pole2)</f>
        <v/>
      </c>
      <c r="K578" s="1056">
        <f>SQRT(1+(A578/Zero2)^2)</f>
        <v/>
      </c>
      <c r="L578" s="1057">
        <f>ATAN(A578/Zero2)</f>
        <v/>
      </c>
      <c r="M578" s="1047">
        <f>SQRT(1+(A578/pole4)^2)</f>
        <v/>
      </c>
      <c r="N578" s="1057">
        <f>ATAN(A578/pole4)</f>
        <v/>
      </c>
      <c r="O578" s="1058">
        <f>IF(VOUT_setting=1,1,SQRT(1+(A578*zterm1)^2))</f>
        <v/>
      </c>
      <c r="P578" s="1059">
        <f>IF(VOUT_setting=1,0,ATAN(((A578*zterm1))))</f>
        <v/>
      </c>
      <c r="Q578" s="1056">
        <f>IF(VOUT_setting=1,1,SQRT((1+Afbr-$Q$5*(A578)^2)^2+(A578*$Q$4)^2))</f>
        <v/>
      </c>
      <c r="R578" s="1060">
        <f>IF(VOUT_setting=1,0,ATAN(A578*$Q$4/(1+Afbr-$Q$5*(A578)^2)))</f>
        <v/>
      </c>
      <c r="S578" s="1054">
        <f>SQRT((1-(Z578/pterm2))^2+(A578/pterm1)^2)</f>
        <v/>
      </c>
      <c r="T578" s="1055">
        <f>IF((ATAN((A578/pterm1)/(1-A578^2/pterm2))&gt;0),ATAN((A578/pterm1)/(1-A578^2/pterm2)),PI()+ATAN((A578/pterm1)/(1-A578^2/pterm2)))</f>
        <v/>
      </c>
      <c r="U578" s="331">
        <f>20*LOG10(((E578*K578*G578*O578)/(C578*I578*S578*M578*Q578))*Adc)</f>
        <v/>
      </c>
      <c r="V578" s="332">
        <f>((F578+L578+H578+P578)-(D578+J578+T578+N578+R578))*radconv</f>
        <v/>
      </c>
      <c r="W578" s="334">
        <f>IF(V578&gt;0,V578,V578+180)</f>
        <v/>
      </c>
      <c r="Y578" s="307">
        <f>IF(U578&lt;0,A578,1000000000)</f>
        <v/>
      </c>
      <c r="Z578" s="307">
        <f>A578^2</f>
        <v/>
      </c>
      <c r="AB578" s="333">
        <f>20*LOG10((K578/(I578*M578))*AEA)</f>
        <v/>
      </c>
      <c r="AC578" s="334">
        <f>(L578-(J578+N578))*radconv</f>
        <v/>
      </c>
      <c r="AE578" s="333">
        <f>20*LOG10((E578*G578/(C578*S578))*Acs*Am)</f>
        <v/>
      </c>
      <c r="AF578" s="334">
        <f>(F578+H578-(D578+T578))*radconv</f>
        <v/>
      </c>
      <c r="AH578">
        <f>SUM((U579&lt;0)*(U578&gt;0))*A578</f>
        <v/>
      </c>
      <c r="AI578">
        <f>IF(AH578&gt;0,W578,0)</f>
        <v/>
      </c>
    </row>
    <row r="579">
      <c r="A579" s="335" t="n">
        <v>107150</v>
      </c>
      <c r="B579" s="352">
        <f>A579/1000</f>
        <v/>
      </c>
      <c r="C579" s="1047">
        <f>SQRT(1+(A579/pole1)^2)</f>
        <v/>
      </c>
      <c r="D579" s="1048">
        <f>ATAN(A579/pole1)</f>
        <v/>
      </c>
      <c r="E579" s="1048">
        <f>SQRT(1+(A579/Zero1)^2)</f>
        <v/>
      </c>
      <c r="F579" s="1049">
        <f>ATAN(A579/Zero1)</f>
        <v/>
      </c>
      <c r="G579" s="1048">
        <f>IF(VIN_nom&gt;Vout, 1, SQRT(1+(A579/z_RHP)^2))</f>
        <v/>
      </c>
      <c r="H579" s="1049">
        <f>IF(VIN_nom&gt;Vout, 0, -ATAN(A579/z_RHP))</f>
        <v/>
      </c>
      <c r="I579" s="1047">
        <f>SQRT(1+(A579/Pole2)^2)</f>
        <v/>
      </c>
      <c r="J579" s="1050">
        <f>ATAN(A579/Pole2)</f>
        <v/>
      </c>
      <c r="K579" s="1056">
        <f>SQRT(1+(A579/Zero2)^2)</f>
        <v/>
      </c>
      <c r="L579" s="1057">
        <f>ATAN(A579/Zero2)</f>
        <v/>
      </c>
      <c r="M579" s="1047">
        <f>SQRT(1+(A579/pole4)^2)</f>
        <v/>
      </c>
      <c r="N579" s="1057">
        <f>ATAN(A579/pole4)</f>
        <v/>
      </c>
      <c r="O579" s="1058">
        <f>IF(VOUT_setting=1,1,SQRT(1+(A579*zterm1)^2))</f>
        <v/>
      </c>
      <c r="P579" s="1059">
        <f>IF(VOUT_setting=1,0,ATAN(((A579*zterm1))))</f>
        <v/>
      </c>
      <c r="Q579" s="1056">
        <f>IF(VOUT_setting=1,1,SQRT((1+Afbr-$Q$5*(A579)^2)^2+(A579*$Q$4)^2))</f>
        <v/>
      </c>
      <c r="R579" s="1060">
        <f>IF(VOUT_setting=1,0,ATAN(A579*$Q$4/(1+Afbr-$Q$5*(A579)^2)))</f>
        <v/>
      </c>
      <c r="S579" s="1054">
        <f>SQRT((1-(Z579/pterm2))^2+(A579/pterm1)^2)</f>
        <v/>
      </c>
      <c r="T579" s="1055">
        <f>IF((ATAN((A579/pterm1)/(1-A579^2/pterm2))&gt;0),ATAN((A579/pterm1)/(1-A579^2/pterm2)),PI()+ATAN((A579/pterm1)/(1-A579^2/pterm2)))</f>
        <v/>
      </c>
      <c r="U579" s="331">
        <f>20*LOG10(((E579*K579*G579*O579)/(C579*I579*S579*M579*Q579))*Adc)</f>
        <v/>
      </c>
      <c r="V579" s="332">
        <f>((F579+L579+H579+P579)-(D579+J579+T579+N579+R579))*radconv</f>
        <v/>
      </c>
      <c r="W579" s="334">
        <f>IF(V579&gt;0,V579,V579+180)</f>
        <v/>
      </c>
      <c r="Y579" s="307">
        <f>IF(U579&lt;0,A579,1000000000)</f>
        <v/>
      </c>
      <c r="Z579" s="307">
        <f>A579^2</f>
        <v/>
      </c>
      <c r="AB579" s="333">
        <f>20*LOG10((K579/(I579*M579))*AEA)</f>
        <v/>
      </c>
      <c r="AC579" s="334">
        <f>(L579-(J579+N579))*radconv</f>
        <v/>
      </c>
      <c r="AE579" s="333">
        <f>20*LOG10((E579*G579/(C579*S579))*Acs*Am)</f>
        <v/>
      </c>
      <c r="AF579" s="334">
        <f>(F579+H579-(D579+T579))*radconv</f>
        <v/>
      </c>
      <c r="AH579">
        <f>SUM((U580&lt;0)*(U579&gt;0))*A579</f>
        <v/>
      </c>
      <c r="AI579">
        <f>IF(AH579&gt;0,W579,0)</f>
        <v/>
      </c>
    </row>
    <row r="580">
      <c r="A580" s="335" t="n">
        <v>108400</v>
      </c>
      <c r="B580" s="352">
        <f>A580/1000</f>
        <v/>
      </c>
      <c r="C580" s="1047">
        <f>SQRT(1+(A580/pole1)^2)</f>
        <v/>
      </c>
      <c r="D580" s="1048">
        <f>ATAN(A580/pole1)</f>
        <v/>
      </c>
      <c r="E580" s="1048">
        <f>SQRT(1+(A580/Zero1)^2)</f>
        <v/>
      </c>
      <c r="F580" s="1049">
        <f>ATAN(A580/Zero1)</f>
        <v/>
      </c>
      <c r="G580" s="1048">
        <f>IF(VIN_nom&gt;Vout, 1, SQRT(1+(A580/z_RHP)^2))</f>
        <v/>
      </c>
      <c r="H580" s="1049">
        <f>IF(VIN_nom&gt;Vout, 0, -ATAN(A580/z_RHP))</f>
        <v/>
      </c>
      <c r="I580" s="1047">
        <f>SQRT(1+(A580/Pole2)^2)</f>
        <v/>
      </c>
      <c r="J580" s="1050">
        <f>ATAN(A580/Pole2)</f>
        <v/>
      </c>
      <c r="K580" s="1056">
        <f>SQRT(1+(A580/Zero2)^2)</f>
        <v/>
      </c>
      <c r="L580" s="1057">
        <f>ATAN(A580/Zero2)</f>
        <v/>
      </c>
      <c r="M580" s="1047">
        <f>SQRT(1+(A580/pole4)^2)</f>
        <v/>
      </c>
      <c r="N580" s="1057">
        <f>ATAN(A580/pole4)</f>
        <v/>
      </c>
      <c r="O580" s="1058">
        <f>IF(VOUT_setting=1,1,SQRT(1+(A580*zterm1)^2))</f>
        <v/>
      </c>
      <c r="P580" s="1059">
        <f>IF(VOUT_setting=1,0,ATAN(((A580*zterm1))))</f>
        <v/>
      </c>
      <c r="Q580" s="1056">
        <f>IF(VOUT_setting=1,1,SQRT((1+Afbr-$Q$5*(A580)^2)^2+(A580*$Q$4)^2))</f>
        <v/>
      </c>
      <c r="R580" s="1060">
        <f>IF(VOUT_setting=1,0,ATAN(A580*$Q$4/(1+Afbr-$Q$5*(A580)^2)))</f>
        <v/>
      </c>
      <c r="S580" s="1054">
        <f>SQRT((1-(Z580/pterm2))^2+(A580/pterm1)^2)</f>
        <v/>
      </c>
      <c r="T580" s="1055">
        <f>IF((ATAN((A580/pterm1)/(1-A580^2/pterm2))&gt;0),ATAN((A580/pterm1)/(1-A580^2/pterm2)),PI()+ATAN((A580/pterm1)/(1-A580^2/pterm2)))</f>
        <v/>
      </c>
      <c r="U580" s="331">
        <f>20*LOG10(((E580*K580*G580*O580)/(C580*I580*S580*M580*Q580))*Adc)</f>
        <v/>
      </c>
      <c r="V580" s="332">
        <f>((F580+L580+H580+P580)-(D580+J580+T580+N580+R580))*radconv</f>
        <v/>
      </c>
      <c r="W580" s="334">
        <f>IF(V580&gt;0,V580,V580+180)</f>
        <v/>
      </c>
      <c r="Y580" s="307">
        <f>IF(U580&lt;0,A580,1000000000)</f>
        <v/>
      </c>
      <c r="Z580" s="307">
        <f>A580^2</f>
        <v/>
      </c>
      <c r="AB580" s="333">
        <f>20*LOG10((K580/(I580*M580))*AEA)</f>
        <v/>
      </c>
      <c r="AC580" s="334">
        <f>(L580-(J580+N580))*radconv</f>
        <v/>
      </c>
      <c r="AE580" s="333">
        <f>20*LOG10((E580*G580/(C580*S580))*Acs*Am)</f>
        <v/>
      </c>
      <c r="AF580" s="334">
        <f>(F580+H580-(D580+T580))*radconv</f>
        <v/>
      </c>
      <c r="AH580">
        <f>SUM((U581&lt;0)*(U580&gt;0))*A580</f>
        <v/>
      </c>
      <c r="AI580">
        <f>IF(AH580&gt;0,W580,0)</f>
        <v/>
      </c>
    </row>
    <row r="581">
      <c r="A581" s="335" t="n">
        <v>109650</v>
      </c>
      <c r="B581" s="352">
        <f>A581/1000</f>
        <v/>
      </c>
      <c r="C581" s="1047">
        <f>SQRT(1+(A581/pole1)^2)</f>
        <v/>
      </c>
      <c r="D581" s="1048">
        <f>ATAN(A581/pole1)</f>
        <v/>
      </c>
      <c r="E581" s="1048">
        <f>SQRT(1+(A581/Zero1)^2)</f>
        <v/>
      </c>
      <c r="F581" s="1049">
        <f>ATAN(A581/Zero1)</f>
        <v/>
      </c>
      <c r="G581" s="1048">
        <f>IF(VIN_nom&gt;Vout, 1, SQRT(1+(A581/z_RHP)^2))</f>
        <v/>
      </c>
      <c r="H581" s="1049">
        <f>IF(VIN_nom&gt;Vout, 0, -ATAN(A581/z_RHP))</f>
        <v/>
      </c>
      <c r="I581" s="1047">
        <f>SQRT(1+(A581/Pole2)^2)</f>
        <v/>
      </c>
      <c r="J581" s="1050">
        <f>ATAN(A581/Pole2)</f>
        <v/>
      </c>
      <c r="K581" s="1056">
        <f>SQRT(1+(A581/Zero2)^2)</f>
        <v/>
      </c>
      <c r="L581" s="1057">
        <f>ATAN(A581/Zero2)</f>
        <v/>
      </c>
      <c r="M581" s="1047">
        <f>SQRT(1+(A581/pole4)^2)</f>
        <v/>
      </c>
      <c r="N581" s="1057">
        <f>ATAN(A581/pole4)</f>
        <v/>
      </c>
      <c r="O581" s="1058">
        <f>IF(VOUT_setting=1,1,SQRT(1+(A581*zterm1)^2))</f>
        <v/>
      </c>
      <c r="P581" s="1059">
        <f>IF(VOUT_setting=1,0,ATAN(((A581*zterm1))))</f>
        <v/>
      </c>
      <c r="Q581" s="1056">
        <f>IF(VOUT_setting=1,1,SQRT((1+Afbr-$Q$5*(A581)^2)^2+(A581*$Q$4)^2))</f>
        <v/>
      </c>
      <c r="R581" s="1060">
        <f>IF(VOUT_setting=1,0,ATAN(A581*$Q$4/(1+Afbr-$Q$5*(A581)^2)))</f>
        <v/>
      </c>
      <c r="S581" s="1054">
        <f>SQRT((1-(Z581/pterm2))^2+(A581/pterm1)^2)</f>
        <v/>
      </c>
      <c r="T581" s="1055">
        <f>IF((ATAN((A581/pterm1)/(1-A581^2/pterm2))&gt;0),ATAN((A581/pterm1)/(1-A581^2/pterm2)),PI()+ATAN((A581/pterm1)/(1-A581^2/pterm2)))</f>
        <v/>
      </c>
      <c r="U581" s="331">
        <f>20*LOG10(((E581*K581*G581*O581)/(C581*I581*S581*M581*Q581))*Adc)</f>
        <v/>
      </c>
      <c r="V581" s="332">
        <f>((F581+L581+H581+P581)-(D581+J581+T581+N581+R581))*radconv</f>
        <v/>
      </c>
      <c r="W581" s="334">
        <f>IF(V581&gt;0,V581,V581+180)</f>
        <v/>
      </c>
      <c r="Y581" s="307">
        <f>IF(U581&lt;0,A581,1000000000)</f>
        <v/>
      </c>
      <c r="Z581" s="307">
        <f>A581^2</f>
        <v/>
      </c>
      <c r="AB581" s="333">
        <f>20*LOG10((K581/(I581*M581))*AEA)</f>
        <v/>
      </c>
      <c r="AC581" s="334">
        <f>(L581-(J581+N581))*radconv</f>
        <v/>
      </c>
      <c r="AE581" s="333">
        <f>20*LOG10((E581*G581/(C581*S581))*Acs*Am)</f>
        <v/>
      </c>
      <c r="AF581" s="334">
        <f>(F581+H581-(D581+T581))*radconv</f>
        <v/>
      </c>
      <c r="AH581">
        <f>SUM((U582&lt;0)*(U581&gt;0))*A581</f>
        <v/>
      </c>
      <c r="AI581">
        <f>IF(AH581&gt;0,W581,0)</f>
        <v/>
      </c>
    </row>
    <row r="582">
      <c r="A582" s="335" t="n">
        <v>110925</v>
      </c>
      <c r="B582" s="352">
        <f>A582/1000</f>
        <v/>
      </c>
      <c r="C582" s="1047">
        <f>SQRT(1+(A582/pole1)^2)</f>
        <v/>
      </c>
      <c r="D582" s="1048">
        <f>ATAN(A582/pole1)</f>
        <v/>
      </c>
      <c r="E582" s="1048">
        <f>SQRT(1+(A582/Zero1)^2)</f>
        <v/>
      </c>
      <c r="F582" s="1049">
        <f>ATAN(A582/Zero1)</f>
        <v/>
      </c>
      <c r="G582" s="1048">
        <f>IF(VIN_nom&gt;Vout, 1, SQRT(1+(A582/z_RHP)^2))</f>
        <v/>
      </c>
      <c r="H582" s="1049">
        <f>IF(VIN_nom&gt;Vout, 0, -ATAN(A582/z_RHP))</f>
        <v/>
      </c>
      <c r="I582" s="1047">
        <f>SQRT(1+(A582/Pole2)^2)</f>
        <v/>
      </c>
      <c r="J582" s="1050">
        <f>ATAN(A582/Pole2)</f>
        <v/>
      </c>
      <c r="K582" s="1056">
        <f>SQRT(1+(A582/Zero2)^2)</f>
        <v/>
      </c>
      <c r="L582" s="1057">
        <f>ATAN(A582/Zero2)</f>
        <v/>
      </c>
      <c r="M582" s="1047">
        <f>SQRT(1+(A582/pole4)^2)</f>
        <v/>
      </c>
      <c r="N582" s="1057">
        <f>ATAN(A582/pole4)</f>
        <v/>
      </c>
      <c r="O582" s="1058">
        <f>IF(VOUT_setting=1,1,SQRT(1+(A582*zterm1)^2))</f>
        <v/>
      </c>
      <c r="P582" s="1059">
        <f>IF(VOUT_setting=1,0,ATAN(((A582*zterm1))))</f>
        <v/>
      </c>
      <c r="Q582" s="1056">
        <f>IF(VOUT_setting=1,1,SQRT((1+Afbr-$Q$5*(A582)^2)^2+(A582*$Q$4)^2))</f>
        <v/>
      </c>
      <c r="R582" s="1060">
        <f>IF(VOUT_setting=1,0,ATAN(A582*$Q$4/(1+Afbr-$Q$5*(A582)^2)))</f>
        <v/>
      </c>
      <c r="S582" s="1054">
        <f>SQRT((1-(Z582/pterm2))^2+(A582/pterm1)^2)</f>
        <v/>
      </c>
      <c r="T582" s="1055">
        <f>IF((ATAN((A582/pterm1)/(1-A582^2/pterm2))&gt;0),ATAN((A582/pterm1)/(1-A582^2/pterm2)),PI()+ATAN((A582/pterm1)/(1-A582^2/pterm2)))</f>
        <v/>
      </c>
      <c r="U582" s="331">
        <f>20*LOG10(((E582*K582*G582*O582)/(C582*I582*S582*M582*Q582))*Adc)</f>
        <v/>
      </c>
      <c r="V582" s="332">
        <f>((F582+L582+H582+P582)-(D582+J582+T582+N582+R582))*radconv</f>
        <v/>
      </c>
      <c r="W582" s="334">
        <f>IF(V582&gt;0,V582,V582+180)</f>
        <v/>
      </c>
      <c r="Y582" s="307">
        <f>IF(U582&lt;0,A582,1000000000)</f>
        <v/>
      </c>
      <c r="Z582" s="307">
        <f>A582^2</f>
        <v/>
      </c>
      <c r="AB582" s="333">
        <f>20*LOG10((K582/(I582*M582))*AEA)</f>
        <v/>
      </c>
      <c r="AC582" s="334">
        <f>(L582-(J582+N582))*radconv</f>
        <v/>
      </c>
      <c r="AE582" s="333">
        <f>20*LOG10((E582*G582/(C582*S582))*Acs*Am)</f>
        <v/>
      </c>
      <c r="AF582" s="334">
        <f>(F582+H582-(D582+T582))*radconv</f>
        <v/>
      </c>
      <c r="AH582">
        <f>SUM((U583&lt;0)*(U582&gt;0))*A582</f>
        <v/>
      </c>
      <c r="AI582">
        <f>IF(AH582&gt;0,W582,0)</f>
        <v/>
      </c>
    </row>
    <row r="583">
      <c r="A583" s="335" t="n">
        <v>112200</v>
      </c>
      <c r="B583" s="352">
        <f>A583/1000</f>
        <v/>
      </c>
      <c r="C583" s="1047">
        <f>SQRT(1+(A583/pole1)^2)</f>
        <v/>
      </c>
      <c r="D583" s="1048">
        <f>ATAN(A583/pole1)</f>
        <v/>
      </c>
      <c r="E583" s="1048">
        <f>SQRT(1+(A583/Zero1)^2)</f>
        <v/>
      </c>
      <c r="F583" s="1049">
        <f>ATAN(A583/Zero1)</f>
        <v/>
      </c>
      <c r="G583" s="1048">
        <f>IF(VIN_nom&gt;Vout, 1, SQRT(1+(A583/z_RHP)^2))</f>
        <v/>
      </c>
      <c r="H583" s="1049">
        <f>IF(VIN_nom&gt;Vout, 0, -ATAN(A583/z_RHP))</f>
        <v/>
      </c>
      <c r="I583" s="1047">
        <f>SQRT(1+(A583/Pole2)^2)</f>
        <v/>
      </c>
      <c r="J583" s="1050">
        <f>ATAN(A583/Pole2)</f>
        <v/>
      </c>
      <c r="K583" s="1056">
        <f>SQRT(1+(A583/Zero2)^2)</f>
        <v/>
      </c>
      <c r="L583" s="1057">
        <f>ATAN(A583/Zero2)</f>
        <v/>
      </c>
      <c r="M583" s="1047">
        <f>SQRT(1+(A583/pole4)^2)</f>
        <v/>
      </c>
      <c r="N583" s="1057">
        <f>ATAN(A583/pole4)</f>
        <v/>
      </c>
      <c r="O583" s="1058">
        <f>IF(VOUT_setting=1,1,SQRT(1+(A583*zterm1)^2))</f>
        <v/>
      </c>
      <c r="P583" s="1059">
        <f>IF(VOUT_setting=1,0,ATAN(((A583*zterm1))))</f>
        <v/>
      </c>
      <c r="Q583" s="1056">
        <f>IF(VOUT_setting=1,1,SQRT((1+Afbr-$Q$5*(A583)^2)^2+(A583*$Q$4)^2))</f>
        <v/>
      </c>
      <c r="R583" s="1060">
        <f>IF(VOUT_setting=1,0,ATAN(A583*$Q$4/(1+Afbr-$Q$5*(A583)^2)))</f>
        <v/>
      </c>
      <c r="S583" s="1054">
        <f>SQRT((1-(Z583/pterm2))^2+(A583/pterm1)^2)</f>
        <v/>
      </c>
      <c r="T583" s="1055">
        <f>IF((ATAN((A583/pterm1)/(1-A583^2/pterm2))&gt;0),ATAN((A583/pterm1)/(1-A583^2/pterm2)),PI()+ATAN((A583/pterm1)/(1-A583^2/pterm2)))</f>
        <v/>
      </c>
      <c r="U583" s="331">
        <f>20*LOG10(((E583*K583*G583*O583)/(C583*I583*S583*M583*Q583))*Adc)</f>
        <v/>
      </c>
      <c r="V583" s="332">
        <f>((F583+L583+H583+P583)-(D583+J583+T583+N583+R583))*radconv</f>
        <v/>
      </c>
      <c r="W583" s="334">
        <f>IF(V583&gt;0,V583,V583+180)</f>
        <v/>
      </c>
      <c r="Y583" s="307">
        <f>IF(U583&lt;0,A583,1000000000)</f>
        <v/>
      </c>
      <c r="Z583" s="307">
        <f>A583^2</f>
        <v/>
      </c>
      <c r="AB583" s="333">
        <f>20*LOG10((K583/(I583*M583))*AEA)</f>
        <v/>
      </c>
      <c r="AC583" s="334">
        <f>(L583-(J583+N583))*radconv</f>
        <v/>
      </c>
      <c r="AE583" s="333">
        <f>20*LOG10((E583*G583/(C583*S583))*Acs*Am)</f>
        <v/>
      </c>
      <c r="AF583" s="334">
        <f>(F583+H583-(D583+T583))*radconv</f>
        <v/>
      </c>
      <c r="AH583">
        <f>SUM((U584&lt;0)*(U583&gt;0))*A583</f>
        <v/>
      </c>
      <c r="AI583">
        <f>IF(AH583&gt;0,W583,0)</f>
        <v/>
      </c>
    </row>
    <row r="584">
      <c r="A584" s="335" t="n">
        <v>113510</v>
      </c>
      <c r="B584" s="352">
        <f>A584/1000</f>
        <v/>
      </c>
      <c r="C584" s="1047">
        <f>SQRT(1+(A584/pole1)^2)</f>
        <v/>
      </c>
      <c r="D584" s="1048">
        <f>ATAN(A584/pole1)</f>
        <v/>
      </c>
      <c r="E584" s="1048">
        <f>SQRT(1+(A584/Zero1)^2)</f>
        <v/>
      </c>
      <c r="F584" s="1049">
        <f>ATAN(A584/Zero1)</f>
        <v/>
      </c>
      <c r="G584" s="1048">
        <f>IF(VIN_nom&gt;Vout, 1, SQRT(1+(A584/z_RHP)^2))</f>
        <v/>
      </c>
      <c r="H584" s="1049">
        <f>IF(VIN_nom&gt;Vout, 0, -ATAN(A584/z_RHP))</f>
        <v/>
      </c>
      <c r="I584" s="1047">
        <f>SQRT(1+(A584/Pole2)^2)</f>
        <v/>
      </c>
      <c r="J584" s="1050">
        <f>ATAN(A584/Pole2)</f>
        <v/>
      </c>
      <c r="K584" s="1056">
        <f>SQRT(1+(A584/Zero2)^2)</f>
        <v/>
      </c>
      <c r="L584" s="1057">
        <f>ATAN(A584/Zero2)</f>
        <v/>
      </c>
      <c r="M584" s="1047">
        <f>SQRT(1+(A584/pole4)^2)</f>
        <v/>
      </c>
      <c r="N584" s="1057">
        <f>ATAN(A584/pole4)</f>
        <v/>
      </c>
      <c r="O584" s="1058">
        <f>IF(VOUT_setting=1,1,SQRT(1+(A584*zterm1)^2))</f>
        <v/>
      </c>
      <c r="P584" s="1059">
        <f>IF(VOUT_setting=1,0,ATAN(((A584*zterm1))))</f>
        <v/>
      </c>
      <c r="Q584" s="1056">
        <f>IF(VOUT_setting=1,1,SQRT((1+Afbr-$Q$5*(A584)^2)^2+(A584*$Q$4)^2))</f>
        <v/>
      </c>
      <c r="R584" s="1060">
        <f>IF(VOUT_setting=1,0,ATAN(A584*$Q$4/(1+Afbr-$Q$5*(A584)^2)))</f>
        <v/>
      </c>
      <c r="S584" s="1054">
        <f>SQRT((1-(Z584/pterm2))^2+(A584/pterm1)^2)</f>
        <v/>
      </c>
      <c r="T584" s="1055">
        <f>IF((ATAN((A584/pterm1)/(1-A584^2/pterm2))&gt;0),ATAN((A584/pterm1)/(1-A584^2/pterm2)),PI()+ATAN((A584/pterm1)/(1-A584^2/pterm2)))</f>
        <v/>
      </c>
      <c r="U584" s="331">
        <f>20*LOG10(((E584*K584*G584*O584)/(C584*I584*S584*M584*Q584))*Adc)</f>
        <v/>
      </c>
      <c r="V584" s="332">
        <f>((F584+L584+H584+P584)-(D584+J584+T584+N584+R584))*radconv</f>
        <v/>
      </c>
      <c r="W584" s="334">
        <f>IF(V584&gt;0,V584,V584+180)</f>
        <v/>
      </c>
      <c r="Y584" s="307">
        <f>IF(U584&lt;0,A584,1000000000)</f>
        <v/>
      </c>
      <c r="Z584" s="307">
        <f>A584^2</f>
        <v/>
      </c>
      <c r="AB584" s="333">
        <f>20*LOG10((K584/(I584*M584))*AEA)</f>
        <v/>
      </c>
      <c r="AC584" s="334">
        <f>(L584-(J584+N584))*radconv</f>
        <v/>
      </c>
      <c r="AE584" s="333">
        <f>20*LOG10((E584*G584/(C584*S584))*Acs*Am)</f>
        <v/>
      </c>
      <c r="AF584" s="334">
        <f>(F584+H584-(D584+T584))*radconv</f>
        <v/>
      </c>
      <c r="AH584">
        <f>SUM((U585&lt;0)*(U584&gt;0))*A584</f>
        <v/>
      </c>
      <c r="AI584">
        <f>IF(AH584&gt;0,W584,0)</f>
        <v/>
      </c>
    </row>
    <row r="585">
      <c r="A585" s="335" t="n">
        <v>114820</v>
      </c>
      <c r="B585" s="352">
        <f>A585/1000</f>
        <v/>
      </c>
      <c r="C585" s="1047">
        <f>SQRT(1+(A585/pole1)^2)</f>
        <v/>
      </c>
      <c r="D585" s="1048">
        <f>ATAN(A585/pole1)</f>
        <v/>
      </c>
      <c r="E585" s="1048">
        <f>SQRT(1+(A585/Zero1)^2)</f>
        <v/>
      </c>
      <c r="F585" s="1049">
        <f>ATAN(A585/Zero1)</f>
        <v/>
      </c>
      <c r="G585" s="1048">
        <f>IF(VIN_nom&gt;Vout, 1, SQRT(1+(A585/z_RHP)^2))</f>
        <v/>
      </c>
      <c r="H585" s="1049">
        <f>IF(VIN_nom&gt;Vout, 0, -ATAN(A585/z_RHP))</f>
        <v/>
      </c>
      <c r="I585" s="1047">
        <f>SQRT(1+(A585/Pole2)^2)</f>
        <v/>
      </c>
      <c r="J585" s="1050">
        <f>ATAN(A585/Pole2)</f>
        <v/>
      </c>
      <c r="K585" s="1056">
        <f>SQRT(1+(A585/Zero2)^2)</f>
        <v/>
      </c>
      <c r="L585" s="1057">
        <f>ATAN(A585/Zero2)</f>
        <v/>
      </c>
      <c r="M585" s="1047">
        <f>SQRT(1+(A585/pole4)^2)</f>
        <v/>
      </c>
      <c r="N585" s="1057">
        <f>ATAN(A585/pole4)</f>
        <v/>
      </c>
      <c r="O585" s="1058">
        <f>IF(VOUT_setting=1,1,SQRT(1+(A585*zterm1)^2))</f>
        <v/>
      </c>
      <c r="P585" s="1059">
        <f>IF(VOUT_setting=1,0,ATAN(((A585*zterm1))))</f>
        <v/>
      </c>
      <c r="Q585" s="1056">
        <f>IF(VOUT_setting=1,1,SQRT((1+Afbr-$Q$5*(A585)^2)^2+(A585*$Q$4)^2))</f>
        <v/>
      </c>
      <c r="R585" s="1060">
        <f>IF(VOUT_setting=1,0,ATAN(A585*$Q$4/(1+Afbr-$Q$5*(A585)^2)))</f>
        <v/>
      </c>
      <c r="S585" s="1054">
        <f>SQRT((1-(Z585/pterm2))^2+(A585/pterm1)^2)</f>
        <v/>
      </c>
      <c r="T585" s="1055">
        <f>IF((ATAN((A585/pterm1)/(1-A585^2/pterm2))&gt;0),ATAN((A585/pterm1)/(1-A585^2/pterm2)),PI()+ATAN((A585/pterm1)/(1-A585^2/pterm2)))</f>
        <v/>
      </c>
      <c r="U585" s="331">
        <f>20*LOG10(((E585*K585*G585*O585)/(C585*I585*S585*M585*Q585))*Adc)</f>
        <v/>
      </c>
      <c r="V585" s="332">
        <f>((F585+L585+H585+P585)-(D585+J585+T585+N585+R585))*radconv</f>
        <v/>
      </c>
      <c r="W585" s="334">
        <f>IF(V585&gt;0,V585,V585+180)</f>
        <v/>
      </c>
      <c r="Y585" s="307">
        <f>IF(U585&lt;0,A585,1000000000)</f>
        <v/>
      </c>
      <c r="Z585" s="307">
        <f>A585^2</f>
        <v/>
      </c>
      <c r="AB585" s="333">
        <f>20*LOG10((K585/(I585*M585))*AEA)</f>
        <v/>
      </c>
      <c r="AC585" s="334">
        <f>(L585-(J585+N585))*radconv</f>
        <v/>
      </c>
      <c r="AE585" s="333">
        <f>20*LOG10((E585*G585/(C585*S585))*Acs*Am)</f>
        <v/>
      </c>
      <c r="AF585" s="334">
        <f>(F585+H585-(D585+T585))*radconv</f>
        <v/>
      </c>
      <c r="AH585">
        <f>SUM((U586&lt;0)*(U585&gt;0))*A585</f>
        <v/>
      </c>
      <c r="AI585">
        <f>IF(AH585&gt;0,W585,0)</f>
        <v/>
      </c>
    </row>
    <row r="586">
      <c r="A586" s="335" t="n">
        <v>116155</v>
      </c>
      <c r="B586" s="352">
        <f>A586/1000</f>
        <v/>
      </c>
      <c r="C586" s="1047">
        <f>SQRT(1+(A586/pole1)^2)</f>
        <v/>
      </c>
      <c r="D586" s="1048">
        <f>ATAN(A586/pole1)</f>
        <v/>
      </c>
      <c r="E586" s="1048">
        <f>SQRT(1+(A586/Zero1)^2)</f>
        <v/>
      </c>
      <c r="F586" s="1049">
        <f>ATAN(A586/Zero1)</f>
        <v/>
      </c>
      <c r="G586" s="1048">
        <f>IF(VIN_nom&gt;Vout, 1, SQRT(1+(A586/z_RHP)^2))</f>
        <v/>
      </c>
      <c r="H586" s="1049">
        <f>IF(VIN_nom&gt;Vout, 0, -ATAN(A586/z_RHP))</f>
        <v/>
      </c>
      <c r="I586" s="1047">
        <f>SQRT(1+(A586/Pole2)^2)</f>
        <v/>
      </c>
      <c r="J586" s="1050">
        <f>ATAN(A586/Pole2)</f>
        <v/>
      </c>
      <c r="K586" s="1056">
        <f>SQRT(1+(A586/Zero2)^2)</f>
        <v/>
      </c>
      <c r="L586" s="1057">
        <f>ATAN(A586/Zero2)</f>
        <v/>
      </c>
      <c r="M586" s="1047">
        <f>SQRT(1+(A586/pole4)^2)</f>
        <v/>
      </c>
      <c r="N586" s="1057">
        <f>ATAN(A586/pole4)</f>
        <v/>
      </c>
      <c r="O586" s="1058">
        <f>IF(VOUT_setting=1,1,SQRT(1+(A586*zterm1)^2))</f>
        <v/>
      </c>
      <c r="P586" s="1059">
        <f>IF(VOUT_setting=1,0,ATAN(((A586*zterm1))))</f>
        <v/>
      </c>
      <c r="Q586" s="1056">
        <f>IF(VOUT_setting=1,1,SQRT((1+Afbr-$Q$5*(A586)^2)^2+(A586*$Q$4)^2))</f>
        <v/>
      </c>
      <c r="R586" s="1060">
        <f>IF(VOUT_setting=1,0,ATAN(A586*$Q$4/(1+Afbr-$Q$5*(A586)^2)))</f>
        <v/>
      </c>
      <c r="S586" s="1054">
        <f>SQRT((1-(Z586/pterm2))^2+(A586/pterm1)^2)</f>
        <v/>
      </c>
      <c r="T586" s="1055">
        <f>IF((ATAN((A586/pterm1)/(1-A586^2/pterm2))&gt;0),ATAN((A586/pterm1)/(1-A586^2/pterm2)),PI()+ATAN((A586/pterm1)/(1-A586^2/pterm2)))</f>
        <v/>
      </c>
      <c r="U586" s="331">
        <f>20*LOG10(((E586*K586*G586*O586)/(C586*I586*S586*M586*Q586))*Adc)</f>
        <v/>
      </c>
      <c r="V586" s="332">
        <f>((F586+L586+H586+P586)-(D586+J586+T586+N586+R586))*radconv</f>
        <v/>
      </c>
      <c r="W586" s="334">
        <f>IF(V586&gt;0,V586,V586+180)</f>
        <v/>
      </c>
      <c r="Y586" s="307">
        <f>IF(U586&lt;0,A586,1000000000)</f>
        <v/>
      </c>
      <c r="Z586" s="307">
        <f>A586^2</f>
        <v/>
      </c>
      <c r="AB586" s="333">
        <f>20*LOG10((K586/(I586*M586))*AEA)</f>
        <v/>
      </c>
      <c r="AC586" s="334">
        <f>(L586-(J586+N586))*radconv</f>
        <v/>
      </c>
      <c r="AE586" s="333">
        <f>20*LOG10((E586*G586/(C586*S586))*Acs*Am)</f>
        <v/>
      </c>
      <c r="AF586" s="334">
        <f>(F586+H586-(D586+T586))*radconv</f>
        <v/>
      </c>
      <c r="AH586">
        <f>SUM((U587&lt;0)*(U586&gt;0))*A586</f>
        <v/>
      </c>
      <c r="AI586">
        <f>IF(AH586&gt;0,W586,0)</f>
        <v/>
      </c>
    </row>
    <row r="587">
      <c r="A587" s="335" t="n">
        <v>117490</v>
      </c>
      <c r="B587" s="352">
        <f>A587/1000</f>
        <v/>
      </c>
      <c r="C587" s="1047">
        <f>SQRT(1+(A587/pole1)^2)</f>
        <v/>
      </c>
      <c r="D587" s="1048">
        <f>ATAN(A587/pole1)</f>
        <v/>
      </c>
      <c r="E587" s="1048">
        <f>SQRT(1+(A587/Zero1)^2)</f>
        <v/>
      </c>
      <c r="F587" s="1049">
        <f>ATAN(A587/Zero1)</f>
        <v/>
      </c>
      <c r="G587" s="1048">
        <f>IF(VIN_nom&gt;Vout, 1, SQRT(1+(A587/z_RHP)^2))</f>
        <v/>
      </c>
      <c r="H587" s="1049">
        <f>IF(VIN_nom&gt;Vout, 0, -ATAN(A587/z_RHP))</f>
        <v/>
      </c>
      <c r="I587" s="1047">
        <f>SQRT(1+(A587/Pole2)^2)</f>
        <v/>
      </c>
      <c r="J587" s="1050">
        <f>ATAN(A587/Pole2)</f>
        <v/>
      </c>
      <c r="K587" s="1056">
        <f>SQRT(1+(A587/Zero2)^2)</f>
        <v/>
      </c>
      <c r="L587" s="1057">
        <f>ATAN(A587/Zero2)</f>
        <v/>
      </c>
      <c r="M587" s="1047">
        <f>SQRT(1+(A587/pole4)^2)</f>
        <v/>
      </c>
      <c r="N587" s="1057">
        <f>ATAN(A587/pole4)</f>
        <v/>
      </c>
      <c r="O587" s="1058">
        <f>IF(VOUT_setting=1,1,SQRT(1+(A587*zterm1)^2))</f>
        <v/>
      </c>
      <c r="P587" s="1059">
        <f>IF(VOUT_setting=1,0,ATAN(((A587*zterm1))))</f>
        <v/>
      </c>
      <c r="Q587" s="1056">
        <f>IF(VOUT_setting=1,1,SQRT((1+Afbr-$Q$5*(A587)^2)^2+(A587*$Q$4)^2))</f>
        <v/>
      </c>
      <c r="R587" s="1060">
        <f>IF(VOUT_setting=1,0,ATAN(A587*$Q$4/(1+Afbr-$Q$5*(A587)^2)))</f>
        <v/>
      </c>
      <c r="S587" s="1054">
        <f>SQRT((1-(Z587/pterm2))^2+(A587/pterm1)^2)</f>
        <v/>
      </c>
      <c r="T587" s="1055">
        <f>IF((ATAN((A587/pterm1)/(1-A587^2/pterm2))&gt;0),ATAN((A587/pterm1)/(1-A587^2/pterm2)),PI()+ATAN((A587/pterm1)/(1-A587^2/pterm2)))</f>
        <v/>
      </c>
      <c r="U587" s="331">
        <f>20*LOG10(((E587*K587*G587*O587)/(C587*I587*S587*M587*Q587))*Adc)</f>
        <v/>
      </c>
      <c r="V587" s="332">
        <f>((F587+L587+H587+P587)-(D587+J587+T587+N587+R587))*radconv</f>
        <v/>
      </c>
      <c r="W587" s="334">
        <f>IF(V587&gt;0,V587,V587+180)</f>
        <v/>
      </c>
      <c r="Y587" s="307">
        <f>IF(U587&lt;0,A587,1000000000)</f>
        <v/>
      </c>
      <c r="Z587" s="307">
        <f>A587^2</f>
        <v/>
      </c>
      <c r="AB587" s="333">
        <f>20*LOG10((K587/(I587*M587))*AEA)</f>
        <v/>
      </c>
      <c r="AC587" s="334">
        <f>(L587-(J587+N587))*radconv</f>
        <v/>
      </c>
      <c r="AE587" s="333">
        <f>20*LOG10((E587*G587/(C587*S587))*Acs*Am)</f>
        <v/>
      </c>
      <c r="AF587" s="334">
        <f>(F587+H587-(D587+T587))*radconv</f>
        <v/>
      </c>
      <c r="AH587">
        <f>SUM((U588&lt;0)*(U587&gt;0))*A587</f>
        <v/>
      </c>
      <c r="AI587">
        <f>IF(AH587&gt;0,W587,0)</f>
        <v/>
      </c>
    </row>
    <row r="588">
      <c r="A588" s="335" t="n">
        <v>118860</v>
      </c>
      <c r="B588" s="352">
        <f>A588/1000</f>
        <v/>
      </c>
      <c r="C588" s="1047">
        <f>SQRT(1+(A588/pole1)^2)</f>
        <v/>
      </c>
      <c r="D588" s="1048">
        <f>ATAN(A588/pole1)</f>
        <v/>
      </c>
      <c r="E588" s="1048">
        <f>SQRT(1+(A588/Zero1)^2)</f>
        <v/>
      </c>
      <c r="F588" s="1049">
        <f>ATAN(A588/Zero1)</f>
        <v/>
      </c>
      <c r="G588" s="1048">
        <f>IF(VIN_nom&gt;Vout, 1, SQRT(1+(A588/z_RHP)^2))</f>
        <v/>
      </c>
      <c r="H588" s="1049">
        <f>IF(VIN_nom&gt;Vout, 0, -ATAN(A588/z_RHP))</f>
        <v/>
      </c>
      <c r="I588" s="1047">
        <f>SQRT(1+(A588/Pole2)^2)</f>
        <v/>
      </c>
      <c r="J588" s="1050">
        <f>ATAN(A588/Pole2)</f>
        <v/>
      </c>
      <c r="K588" s="1056">
        <f>SQRT(1+(A588/Zero2)^2)</f>
        <v/>
      </c>
      <c r="L588" s="1057">
        <f>ATAN(A588/Zero2)</f>
        <v/>
      </c>
      <c r="M588" s="1047">
        <f>SQRT(1+(A588/pole4)^2)</f>
        <v/>
      </c>
      <c r="N588" s="1057">
        <f>ATAN(A588/pole4)</f>
        <v/>
      </c>
      <c r="O588" s="1058">
        <f>IF(VOUT_setting=1,1,SQRT(1+(A588*zterm1)^2))</f>
        <v/>
      </c>
      <c r="P588" s="1059">
        <f>IF(VOUT_setting=1,0,ATAN(((A588*zterm1))))</f>
        <v/>
      </c>
      <c r="Q588" s="1056">
        <f>IF(VOUT_setting=1,1,SQRT((1+Afbr-$Q$5*(A588)^2)^2+(A588*$Q$4)^2))</f>
        <v/>
      </c>
      <c r="R588" s="1060">
        <f>IF(VOUT_setting=1,0,ATAN(A588*$Q$4/(1+Afbr-$Q$5*(A588)^2)))</f>
        <v/>
      </c>
      <c r="S588" s="1054">
        <f>SQRT((1-(Z588/pterm2))^2+(A588/pterm1)^2)</f>
        <v/>
      </c>
      <c r="T588" s="1055">
        <f>IF((ATAN((A588/pterm1)/(1-A588^2/pterm2))&gt;0),ATAN((A588/pterm1)/(1-A588^2/pterm2)),PI()+ATAN((A588/pterm1)/(1-A588^2/pterm2)))</f>
        <v/>
      </c>
      <c r="U588" s="331">
        <f>20*LOG10(((E588*K588*G588*O588)/(C588*I588*S588*M588*Q588))*Adc)</f>
        <v/>
      </c>
      <c r="V588" s="332">
        <f>((F588+L588+H588+P588)-(D588+J588+T588+N588+R588))*radconv</f>
        <v/>
      </c>
      <c r="W588" s="334">
        <f>IF(V588&gt;0,V588,V588+180)</f>
        <v/>
      </c>
      <c r="Y588" s="307">
        <f>IF(U588&lt;0,A588,1000000000)</f>
        <v/>
      </c>
      <c r="Z588" s="307">
        <f>A588^2</f>
        <v/>
      </c>
      <c r="AB588" s="333">
        <f>20*LOG10((K588/(I588*M588))*AEA)</f>
        <v/>
      </c>
      <c r="AC588" s="334">
        <f>(L588-(J588+N588))*radconv</f>
        <v/>
      </c>
      <c r="AE588" s="333">
        <f>20*LOG10((E588*G588/(C588*S588))*Acs*Am)</f>
        <v/>
      </c>
      <c r="AF588" s="334">
        <f>(F588+H588-(D588+T588))*radconv</f>
        <v/>
      </c>
      <c r="AH588">
        <f>SUM((U589&lt;0)*(U588&gt;0))*A588</f>
        <v/>
      </c>
      <c r="AI588">
        <f>IF(AH588&gt;0,W588,0)</f>
        <v/>
      </c>
    </row>
    <row r="589">
      <c r="A589" s="335" t="n">
        <v>120230</v>
      </c>
      <c r="B589" s="352">
        <f>A589/1000</f>
        <v/>
      </c>
      <c r="C589" s="1047">
        <f>SQRT(1+(A589/pole1)^2)</f>
        <v/>
      </c>
      <c r="D589" s="1048">
        <f>ATAN(A589/pole1)</f>
        <v/>
      </c>
      <c r="E589" s="1048">
        <f>SQRT(1+(A589/Zero1)^2)</f>
        <v/>
      </c>
      <c r="F589" s="1049">
        <f>ATAN(A589/Zero1)</f>
        <v/>
      </c>
      <c r="G589" s="1048">
        <f>IF(VIN_nom&gt;Vout, 1, SQRT(1+(A589/z_RHP)^2))</f>
        <v/>
      </c>
      <c r="H589" s="1049">
        <f>IF(VIN_nom&gt;Vout, 0, -ATAN(A589/z_RHP))</f>
        <v/>
      </c>
      <c r="I589" s="1047">
        <f>SQRT(1+(A589/Pole2)^2)</f>
        <v/>
      </c>
      <c r="J589" s="1050">
        <f>ATAN(A589/Pole2)</f>
        <v/>
      </c>
      <c r="K589" s="1056">
        <f>SQRT(1+(A589/Zero2)^2)</f>
        <v/>
      </c>
      <c r="L589" s="1057">
        <f>ATAN(A589/Zero2)</f>
        <v/>
      </c>
      <c r="M589" s="1047">
        <f>SQRT(1+(A589/pole4)^2)</f>
        <v/>
      </c>
      <c r="N589" s="1057">
        <f>ATAN(A589/pole4)</f>
        <v/>
      </c>
      <c r="O589" s="1058">
        <f>IF(VOUT_setting=1,1,SQRT(1+(A589*zterm1)^2))</f>
        <v/>
      </c>
      <c r="P589" s="1059">
        <f>IF(VOUT_setting=1,0,ATAN(((A589*zterm1))))</f>
        <v/>
      </c>
      <c r="Q589" s="1056">
        <f>IF(VOUT_setting=1,1,SQRT((1+Afbr-$Q$5*(A589)^2)^2+(A589*$Q$4)^2))</f>
        <v/>
      </c>
      <c r="R589" s="1060">
        <f>IF(VOUT_setting=1,0,ATAN(A589*$Q$4/(1+Afbr-$Q$5*(A589)^2)))</f>
        <v/>
      </c>
      <c r="S589" s="1054">
        <f>SQRT((1-(Z589/pterm2))^2+(A589/pterm1)^2)</f>
        <v/>
      </c>
      <c r="T589" s="1055">
        <f>IF((ATAN((A589/pterm1)/(1-A589^2/pterm2))&gt;0),ATAN((A589/pterm1)/(1-A589^2/pterm2)),PI()+ATAN((A589/pterm1)/(1-A589^2/pterm2)))</f>
        <v/>
      </c>
      <c r="U589" s="331">
        <f>20*LOG10(((E589*K589*G589*O589)/(C589*I589*S589*M589*Q589))*Adc)</f>
        <v/>
      </c>
      <c r="V589" s="332">
        <f>((F589+L589+H589+P589)-(D589+J589+T589+N589+R589))*radconv</f>
        <v/>
      </c>
      <c r="W589" s="334">
        <f>IF(V589&gt;0,V589,V589+180)</f>
        <v/>
      </c>
      <c r="Y589" s="307">
        <f>IF(U589&lt;0,A589,1000000000)</f>
        <v/>
      </c>
      <c r="Z589" s="307">
        <f>A589^2</f>
        <v/>
      </c>
      <c r="AB589" s="333">
        <f>20*LOG10((K589/(I589*M589))*AEA)</f>
        <v/>
      </c>
      <c r="AC589" s="334">
        <f>(L589-(J589+N589))*radconv</f>
        <v/>
      </c>
      <c r="AE589" s="333">
        <f>20*LOG10((E589*G589/(C589*S589))*Acs*Am)</f>
        <v/>
      </c>
      <c r="AF589" s="334">
        <f>(F589+H589-(D589+T589))*radconv</f>
        <v/>
      </c>
      <c r="AH589">
        <f>SUM((U590&lt;0)*(U589&gt;0))*A589</f>
        <v/>
      </c>
      <c r="AI589">
        <f>IF(AH589&gt;0,W589,0)</f>
        <v/>
      </c>
    </row>
    <row r="590">
      <c r="A590" s="335" t="n">
        <v>126030</v>
      </c>
      <c r="B590" s="352">
        <f>A590/1000</f>
        <v/>
      </c>
      <c r="C590" s="1047">
        <f>SQRT(1+(A590/pole1)^2)</f>
        <v/>
      </c>
      <c r="D590" s="1048">
        <f>ATAN(A590/pole1)</f>
        <v/>
      </c>
      <c r="E590" s="1048">
        <f>SQRT(1+(A590/Zero1)^2)</f>
        <v/>
      </c>
      <c r="F590" s="1049">
        <f>ATAN(A590/Zero1)</f>
        <v/>
      </c>
      <c r="G590" s="1048">
        <f>IF(VIN_nom&gt;Vout, 1, SQRT(1+(A590/z_RHP)^2))</f>
        <v/>
      </c>
      <c r="H590" s="1049">
        <f>IF(VIN_nom&gt;Vout, 0, -ATAN(A590/z_RHP))</f>
        <v/>
      </c>
      <c r="I590" s="1047">
        <f>SQRT(1+(A590/Pole2)^2)</f>
        <v/>
      </c>
      <c r="J590" s="1050">
        <f>ATAN(A590/Pole2)</f>
        <v/>
      </c>
      <c r="K590" s="1056">
        <f>SQRT(1+(A590/Zero2)^2)</f>
        <v/>
      </c>
      <c r="L590" s="1057">
        <f>ATAN(A590/Zero2)</f>
        <v/>
      </c>
      <c r="M590" s="1047">
        <f>SQRT(1+(A590/pole4)^2)</f>
        <v/>
      </c>
      <c r="N590" s="1057">
        <f>ATAN(A590/pole4)</f>
        <v/>
      </c>
      <c r="O590" s="1058">
        <f>IF(VOUT_setting=1,1,SQRT(1+(A590*zterm1)^2))</f>
        <v/>
      </c>
      <c r="P590" s="1059">
        <f>IF(VOUT_setting=1,0,ATAN(((A590*zterm1))))</f>
        <v/>
      </c>
      <c r="Q590" s="1056">
        <f>IF(VOUT_setting=1,1,SQRT((1+Afbr-$Q$5*(A590)^2)^2+(A590*$Q$4)^2))</f>
        <v/>
      </c>
      <c r="R590" s="1060">
        <f>IF(VOUT_setting=1,0,ATAN(A590*$Q$4/(1+Afbr-$Q$5*(A590)^2)))</f>
        <v/>
      </c>
      <c r="S590" s="1054">
        <f>SQRT((1-(Z590/pterm2))^2+(A590/pterm1)^2)</f>
        <v/>
      </c>
      <c r="T590" s="1055">
        <f>IF((ATAN((A590/pterm1)/(1-A590^2/pterm2))&gt;0),ATAN((A590/pterm1)/(1-A590^2/pterm2)),PI()+ATAN((A590/pterm1)/(1-A590^2/pterm2)))</f>
        <v/>
      </c>
      <c r="U590" s="331">
        <f>20*LOG10(((E590*K590*G590*O590)/(C590*I590*S590*M590*Q590))*Adc)</f>
        <v/>
      </c>
      <c r="V590" s="332">
        <f>((F590+L590+H590+P590)-(D590+J590+T590+N590+R590))*radconv</f>
        <v/>
      </c>
      <c r="W590" s="334">
        <f>IF(V590&gt;0,V590,V590+180)</f>
        <v/>
      </c>
      <c r="Y590" s="307">
        <f>IF(U590&lt;0,A590,1000000000)</f>
        <v/>
      </c>
      <c r="Z590" s="307">
        <f>A590^2</f>
        <v/>
      </c>
      <c r="AB590" s="333">
        <f>20*LOG10((K590/(I590*M590))*AEA)</f>
        <v/>
      </c>
      <c r="AC590" s="334">
        <f>(L590-(J590+N590))*radconv</f>
        <v/>
      </c>
      <c r="AE590" s="333">
        <f>20*LOG10((E590*G590/(C590*S590))*Acs*Am)</f>
        <v/>
      </c>
      <c r="AF590" s="334">
        <f>(F590+H590-(D590+T590))*radconv</f>
        <v/>
      </c>
      <c r="AH590">
        <f>SUM((U591&lt;0)*(U590&gt;0))*A590</f>
        <v/>
      </c>
      <c r="AI590">
        <f>IF(AH590&gt;0,W590,0)</f>
        <v/>
      </c>
    </row>
    <row r="591">
      <c r="A591" s="335" t="n">
        <v>131830</v>
      </c>
      <c r="B591" s="352">
        <f>A591/1000</f>
        <v/>
      </c>
      <c r="C591" s="1047">
        <f>SQRT(1+(A591/pole1)^2)</f>
        <v/>
      </c>
      <c r="D591" s="1048">
        <f>ATAN(A591/pole1)</f>
        <v/>
      </c>
      <c r="E591" s="1048">
        <f>SQRT(1+(A591/Zero1)^2)</f>
        <v/>
      </c>
      <c r="F591" s="1049">
        <f>ATAN(A591/Zero1)</f>
        <v/>
      </c>
      <c r="G591" s="1048">
        <f>IF(VIN_nom&gt;Vout, 1, SQRT(1+(A591/z_RHP)^2))</f>
        <v/>
      </c>
      <c r="H591" s="1049">
        <f>IF(VIN_nom&gt;Vout, 0, -ATAN(A591/z_RHP))</f>
        <v/>
      </c>
      <c r="I591" s="1047">
        <f>SQRT(1+(A591/Pole2)^2)</f>
        <v/>
      </c>
      <c r="J591" s="1050">
        <f>ATAN(A591/Pole2)</f>
        <v/>
      </c>
      <c r="K591" s="1056">
        <f>SQRT(1+(A591/Zero2)^2)</f>
        <v/>
      </c>
      <c r="L591" s="1057">
        <f>ATAN(A591/Zero2)</f>
        <v/>
      </c>
      <c r="M591" s="1047">
        <f>SQRT(1+(A591/pole4)^2)</f>
        <v/>
      </c>
      <c r="N591" s="1057">
        <f>ATAN(A591/pole4)</f>
        <v/>
      </c>
      <c r="O591" s="1058">
        <f>IF(VOUT_setting=1,1,SQRT(1+(A591*zterm1)^2))</f>
        <v/>
      </c>
      <c r="P591" s="1059">
        <f>IF(VOUT_setting=1,0,ATAN(((A591*zterm1))))</f>
        <v/>
      </c>
      <c r="Q591" s="1056">
        <f>IF(VOUT_setting=1,1,SQRT((1+Afbr-$Q$5*(A591)^2)^2+(A591*$Q$4)^2))</f>
        <v/>
      </c>
      <c r="R591" s="1060">
        <f>IF(VOUT_setting=1,0,ATAN(A591*$Q$4/(1+Afbr-$Q$5*(A591)^2)))</f>
        <v/>
      </c>
      <c r="S591" s="1054">
        <f>SQRT((1-(Z591/pterm2))^2+(A591/pterm1)^2)</f>
        <v/>
      </c>
      <c r="T591" s="1055">
        <f>IF((ATAN((A591/pterm1)/(1-A591^2/pterm2))&gt;0),ATAN((A591/pterm1)/(1-A591^2/pterm2)),PI()+ATAN((A591/pterm1)/(1-A591^2/pterm2)))</f>
        <v/>
      </c>
      <c r="U591" s="331">
        <f>20*LOG10(((E591*K591*G591*O591)/(C591*I591*S591*M591*Q591))*Adc)</f>
        <v/>
      </c>
      <c r="V591" s="332">
        <f>((F591+L591+H591+P591)-(D591+J591+T591+N591+R591))*radconv</f>
        <v/>
      </c>
      <c r="W591" s="334">
        <f>IF(V591&gt;0,V591,V591+180)</f>
        <v/>
      </c>
      <c r="Y591" s="307">
        <f>IF(U591&lt;0,A591,1000000000)</f>
        <v/>
      </c>
      <c r="Z591" s="307">
        <f>A591^2</f>
        <v/>
      </c>
      <c r="AB591" s="333">
        <f>20*LOG10((K591/(I591*M591))*AEA)</f>
        <v/>
      </c>
      <c r="AC591" s="334">
        <f>(L591-(J591+N591))*radconv</f>
        <v/>
      </c>
      <c r="AE591" s="333">
        <f>20*LOG10((E591*G591/(C591*S591))*Acs*Am)</f>
        <v/>
      </c>
      <c r="AF591" s="334">
        <f>(F591+H591-(D591+T591))*radconv</f>
        <v/>
      </c>
      <c r="AH591">
        <f>SUM((U592&lt;0)*(U591&gt;0))*A591</f>
        <v/>
      </c>
      <c r="AI591">
        <f>IF(AH591&gt;0,W591,0)</f>
        <v/>
      </c>
    </row>
    <row r="592">
      <c r="A592" s="335" t="n">
        <v>144540</v>
      </c>
      <c r="B592" s="352">
        <f>A592/1000</f>
        <v/>
      </c>
      <c r="C592" s="1047">
        <f>SQRT(1+(A592/pole1)^2)</f>
        <v/>
      </c>
      <c r="D592" s="1048">
        <f>ATAN(A592/pole1)</f>
        <v/>
      </c>
      <c r="E592" s="1048">
        <f>SQRT(1+(A592/Zero1)^2)</f>
        <v/>
      </c>
      <c r="F592" s="1049">
        <f>ATAN(A592/Zero1)</f>
        <v/>
      </c>
      <c r="G592" s="1048">
        <f>IF(VIN_nom&gt;Vout, 1, SQRT(1+(A592/z_RHP)^2))</f>
        <v/>
      </c>
      <c r="H592" s="1049">
        <f>IF(VIN_nom&gt;Vout, 0, -ATAN(A592/z_RHP))</f>
        <v/>
      </c>
      <c r="I592" s="1047">
        <f>SQRT(1+(A592/Pole2)^2)</f>
        <v/>
      </c>
      <c r="J592" s="1050">
        <f>ATAN(A592/Pole2)</f>
        <v/>
      </c>
      <c r="K592" s="1056">
        <f>SQRT(1+(A592/Zero2)^2)</f>
        <v/>
      </c>
      <c r="L592" s="1057">
        <f>ATAN(A592/Zero2)</f>
        <v/>
      </c>
      <c r="M592" s="1047">
        <f>SQRT(1+(A592/pole4)^2)</f>
        <v/>
      </c>
      <c r="N592" s="1057">
        <f>ATAN(A592/pole4)</f>
        <v/>
      </c>
      <c r="O592" s="1058">
        <f>IF(VOUT_setting=1,1,SQRT(1+(A592*zterm1)^2))</f>
        <v/>
      </c>
      <c r="P592" s="1059">
        <f>IF(VOUT_setting=1,0,ATAN(((A592*zterm1))))</f>
        <v/>
      </c>
      <c r="Q592" s="1056">
        <f>IF(VOUT_setting=1,1,SQRT((1+Afbr-$Q$5*(A592)^2)^2+(A592*$Q$4)^2))</f>
        <v/>
      </c>
      <c r="R592" s="1060">
        <f>IF(VOUT_setting=1,0,ATAN(A592*$Q$4/(1+Afbr-$Q$5*(A592)^2)))</f>
        <v/>
      </c>
      <c r="S592" s="1054">
        <f>SQRT((1-(Z592/pterm2))^2+(A592/pterm1)^2)</f>
        <v/>
      </c>
      <c r="T592" s="1055">
        <f>IF((ATAN((A592/pterm1)/(1-A592^2/pterm2))&gt;0),ATAN((A592/pterm1)/(1-A592^2/pterm2)),PI()+ATAN((A592/pterm1)/(1-A592^2/pterm2)))</f>
        <v/>
      </c>
      <c r="U592" s="331">
        <f>20*LOG10(((E592*K592*G592*O592)/(C592*I592*S592*M592*Q592))*Adc)</f>
        <v/>
      </c>
      <c r="V592" s="332">
        <f>((F592+L592+H592+P592)-(D592+J592+T592+N592+R592))*radconv</f>
        <v/>
      </c>
      <c r="W592" s="334">
        <f>IF(V592&gt;0,V592,V592+180)</f>
        <v/>
      </c>
      <c r="Y592" s="307">
        <f>IF(U592&lt;0,A592,1000000000)</f>
        <v/>
      </c>
      <c r="Z592" s="307">
        <f>A592^2</f>
        <v/>
      </c>
      <c r="AB592" s="333">
        <f>20*LOG10((K592/(I592*M592))*AEA)</f>
        <v/>
      </c>
      <c r="AC592" s="334">
        <f>(L592-(J592+N592))*radconv</f>
        <v/>
      </c>
      <c r="AE592" s="333">
        <f>20*LOG10((E592*G592/(C592*S592))*Acs*Am)</f>
        <v/>
      </c>
      <c r="AF592" s="334">
        <f>(F592+H592-(D592+T592))*radconv</f>
        <v/>
      </c>
      <c r="AH592">
        <f>SUM((U593&lt;0)*(U592&gt;0))*A592</f>
        <v/>
      </c>
      <c r="AI592">
        <f>IF(AH592&gt;0,W592,0)</f>
        <v/>
      </c>
    </row>
    <row r="593">
      <c r="A593" s="335" t="n">
        <v>158490</v>
      </c>
      <c r="B593" s="352">
        <f>A593/1000</f>
        <v/>
      </c>
      <c r="C593" s="1047">
        <f>SQRT(1+(A593/pole1)^2)</f>
        <v/>
      </c>
      <c r="D593" s="1048">
        <f>ATAN(A593/pole1)</f>
        <v/>
      </c>
      <c r="E593" s="1048">
        <f>SQRT(1+(A593/Zero1)^2)</f>
        <v/>
      </c>
      <c r="F593" s="1049">
        <f>ATAN(A593/Zero1)</f>
        <v/>
      </c>
      <c r="G593" s="1048">
        <f>IF(VIN_nom&gt;Vout, 1, SQRT(1+(A593/z_RHP)^2))</f>
        <v/>
      </c>
      <c r="H593" s="1049">
        <f>IF(VIN_nom&gt;Vout, 0, -ATAN(A593/z_RHP))</f>
        <v/>
      </c>
      <c r="I593" s="1047">
        <f>SQRT(1+(A593/Pole2)^2)</f>
        <v/>
      </c>
      <c r="J593" s="1050">
        <f>ATAN(A593/Pole2)</f>
        <v/>
      </c>
      <c r="K593" s="1056">
        <f>SQRT(1+(A593/Zero2)^2)</f>
        <v/>
      </c>
      <c r="L593" s="1057">
        <f>ATAN(A593/Zero2)</f>
        <v/>
      </c>
      <c r="M593" s="1047">
        <f>SQRT(1+(A593/pole4)^2)</f>
        <v/>
      </c>
      <c r="N593" s="1057">
        <f>ATAN(A593/pole4)</f>
        <v/>
      </c>
      <c r="O593" s="1058">
        <f>IF(VOUT_setting=1,1,SQRT(1+(A593*zterm1)^2))</f>
        <v/>
      </c>
      <c r="P593" s="1059">
        <f>IF(VOUT_setting=1,0,ATAN(((A593*zterm1))))</f>
        <v/>
      </c>
      <c r="Q593" s="1056">
        <f>IF(VOUT_setting=1,1,SQRT((1+Afbr-$Q$5*(A593)^2)^2+(A593*$Q$4)^2))</f>
        <v/>
      </c>
      <c r="R593" s="1060">
        <f>IF(VOUT_setting=1,0,ATAN(A593*$Q$4/(1+Afbr-$Q$5*(A593)^2)))</f>
        <v/>
      </c>
      <c r="S593" s="1054">
        <f>SQRT((1-(Z593/pterm2))^2+(A593/pterm1)^2)</f>
        <v/>
      </c>
      <c r="T593" s="1055">
        <f>IF((ATAN((A593/pterm1)/(1-A593^2/pterm2))&gt;0),ATAN((A593/pterm1)/(1-A593^2/pterm2)),PI()+ATAN((A593/pterm1)/(1-A593^2/pterm2)))</f>
        <v/>
      </c>
      <c r="U593" s="331">
        <f>20*LOG10(((E593*K593*G593*O593)/(C593*I593*S593*M593*Q593))*Adc)</f>
        <v/>
      </c>
      <c r="V593" s="332">
        <f>((F593+L593+H593+P593)-(D593+J593+T593+N593+R593))*radconv</f>
        <v/>
      </c>
      <c r="W593" s="334">
        <f>IF(V593&gt;0,V593,V593+180)</f>
        <v/>
      </c>
      <c r="Y593" s="307">
        <f>IF(U593&lt;0,A593,1000000000)</f>
        <v/>
      </c>
      <c r="Z593" s="307">
        <f>A593^2</f>
        <v/>
      </c>
      <c r="AB593" s="333">
        <f>20*LOG10((K593/(I593*M593))*AEA)</f>
        <v/>
      </c>
      <c r="AC593" s="334">
        <f>(L593-(J593+N593))*radconv</f>
        <v/>
      </c>
      <c r="AE593" s="333">
        <f>20*LOG10((E593*G593/(C593*S593))*Acs*Am)</f>
        <v/>
      </c>
      <c r="AF593" s="334">
        <f>(F593+H593-(D593+T593))*radconv</f>
        <v/>
      </c>
      <c r="AH593">
        <f>SUM((U594&lt;0)*(U593&gt;0))*A593</f>
        <v/>
      </c>
      <c r="AI593">
        <f>IF(AH593&gt;0,W593,0)</f>
        <v/>
      </c>
    </row>
    <row r="594">
      <c r="A594" s="335" t="n">
        <v>173780</v>
      </c>
      <c r="B594" s="352">
        <f>A594/1000</f>
        <v/>
      </c>
      <c r="C594" s="1047">
        <f>SQRT(1+(A594/pole1)^2)</f>
        <v/>
      </c>
      <c r="D594" s="1048">
        <f>ATAN(A594/pole1)</f>
        <v/>
      </c>
      <c r="E594" s="1048">
        <f>SQRT(1+(A594/Zero1)^2)</f>
        <v/>
      </c>
      <c r="F594" s="1049">
        <f>ATAN(A594/Zero1)</f>
        <v/>
      </c>
      <c r="G594" s="1048">
        <f>IF(VIN_nom&gt;Vout, 1, SQRT(1+(A594/z_RHP)^2))</f>
        <v/>
      </c>
      <c r="H594" s="1049">
        <f>IF(VIN_nom&gt;Vout, 0, -ATAN(A594/z_RHP))</f>
        <v/>
      </c>
      <c r="I594" s="1047">
        <f>SQRT(1+(A594/Pole2)^2)</f>
        <v/>
      </c>
      <c r="J594" s="1050">
        <f>ATAN(A594/Pole2)</f>
        <v/>
      </c>
      <c r="K594" s="1056">
        <f>SQRT(1+(A594/Zero2)^2)</f>
        <v/>
      </c>
      <c r="L594" s="1057">
        <f>ATAN(A594/Zero2)</f>
        <v/>
      </c>
      <c r="M594" s="1047">
        <f>SQRT(1+(A594/pole4)^2)</f>
        <v/>
      </c>
      <c r="N594" s="1057">
        <f>ATAN(A594/pole4)</f>
        <v/>
      </c>
      <c r="O594" s="1058">
        <f>IF(VOUT_setting=1,1,SQRT(1+(A594*zterm1)^2))</f>
        <v/>
      </c>
      <c r="P594" s="1059">
        <f>IF(VOUT_setting=1,0,ATAN(((A594*zterm1))))</f>
        <v/>
      </c>
      <c r="Q594" s="1056">
        <f>IF(VOUT_setting=1,1,SQRT((1+Afbr-$Q$5*(A594)^2)^2+(A594*$Q$4)^2))</f>
        <v/>
      </c>
      <c r="R594" s="1060">
        <f>IF(VOUT_setting=1,0,ATAN(A594*$Q$4/(1+Afbr-$Q$5*(A594)^2)))</f>
        <v/>
      </c>
      <c r="S594" s="1054">
        <f>SQRT((1-(Z594/pterm2))^2+(A594/pterm1)^2)</f>
        <v/>
      </c>
      <c r="T594" s="1055">
        <f>IF((ATAN((A594/pterm1)/(1-A594^2/pterm2))&gt;0),ATAN((A594/pterm1)/(1-A594^2/pterm2)),PI()+ATAN((A594/pterm1)/(1-A594^2/pterm2)))</f>
        <v/>
      </c>
      <c r="U594" s="331">
        <f>20*LOG10(((E594*K594*G594*O594)/(C594*I594*S594*M594*Q594))*Adc)</f>
        <v/>
      </c>
      <c r="V594" s="332">
        <f>((F594+L594+H594+P594)-(D594+J594+T594+N594+R594))*radconv</f>
        <v/>
      </c>
      <c r="W594" s="334">
        <f>IF(V594&gt;0,V594,V594+180)</f>
        <v/>
      </c>
      <c r="Y594" s="307">
        <f>IF(U594&lt;0,A594,1000000000)</f>
        <v/>
      </c>
      <c r="Z594" s="307">
        <f>A594^2</f>
        <v/>
      </c>
      <c r="AB594" s="333">
        <f>20*LOG10((K594/(I594*M594))*AEA)</f>
        <v/>
      </c>
      <c r="AC594" s="334">
        <f>(L594-(J594+N594))*radconv</f>
        <v/>
      </c>
      <c r="AE594" s="333">
        <f>20*LOG10((E594*G594/(C594*S594))*Acs*Am)</f>
        <v/>
      </c>
      <c r="AF594" s="334">
        <f>(F594+H594-(D594+T594))*radconv</f>
        <v/>
      </c>
      <c r="AH594">
        <f>SUM((U595&lt;0)*(U594&gt;0))*A594</f>
        <v/>
      </c>
      <c r="AI594">
        <f>IF(AH594&gt;0,W594,0)</f>
        <v/>
      </c>
    </row>
    <row r="595">
      <c r="A595" s="335" t="n">
        <v>190550</v>
      </c>
      <c r="B595" s="352">
        <f>A595/1000</f>
        <v/>
      </c>
      <c r="C595" s="1047">
        <f>SQRT(1+(A595/pole1)^2)</f>
        <v/>
      </c>
      <c r="D595" s="1048">
        <f>ATAN(A595/pole1)</f>
        <v/>
      </c>
      <c r="E595" s="1048">
        <f>SQRT(1+(A595/Zero1)^2)</f>
        <v/>
      </c>
      <c r="F595" s="1049">
        <f>ATAN(A595/Zero1)</f>
        <v/>
      </c>
      <c r="G595" s="1048">
        <f>IF(VIN_nom&gt;Vout, 1, SQRT(1+(A595/z_RHP)^2))</f>
        <v/>
      </c>
      <c r="H595" s="1049">
        <f>IF(VIN_nom&gt;Vout, 0, -ATAN(A595/z_RHP))</f>
        <v/>
      </c>
      <c r="I595" s="1047">
        <f>SQRT(1+(A595/Pole2)^2)</f>
        <v/>
      </c>
      <c r="J595" s="1050">
        <f>ATAN(A595/Pole2)</f>
        <v/>
      </c>
      <c r="K595" s="1056">
        <f>SQRT(1+(A595/Zero2)^2)</f>
        <v/>
      </c>
      <c r="L595" s="1057">
        <f>ATAN(A595/Zero2)</f>
        <v/>
      </c>
      <c r="M595" s="1047">
        <f>SQRT(1+(A595/pole4)^2)</f>
        <v/>
      </c>
      <c r="N595" s="1057">
        <f>ATAN(A595/pole4)</f>
        <v/>
      </c>
      <c r="O595" s="1058">
        <f>IF(VOUT_setting=1,1,SQRT(1+(A595*zterm1)^2))</f>
        <v/>
      </c>
      <c r="P595" s="1059">
        <f>IF(VOUT_setting=1,0,ATAN(((A595*zterm1))))</f>
        <v/>
      </c>
      <c r="Q595" s="1056">
        <f>IF(VOUT_setting=1,1,SQRT((1+Afbr-$Q$5*(A595)^2)^2+(A595*$Q$4)^2))</f>
        <v/>
      </c>
      <c r="R595" s="1060">
        <f>IF(VOUT_setting=1,0,ATAN(A595*$Q$4/(1+Afbr-$Q$5*(A595)^2)))</f>
        <v/>
      </c>
      <c r="S595" s="1054">
        <f>SQRT((1-(Z595/pterm2))^2+(A595/pterm1)^2)</f>
        <v/>
      </c>
      <c r="T595" s="1055">
        <f>IF((ATAN((A595/pterm1)/(1-A595^2/pterm2))&gt;0),ATAN((A595/pterm1)/(1-A595^2/pterm2)),PI()+ATAN((A595/pterm1)/(1-A595^2/pterm2)))</f>
        <v/>
      </c>
      <c r="U595" s="331">
        <f>20*LOG10(((E595*K595*G595*O595)/(C595*I595*S595*M595*Q595))*Adc)</f>
        <v/>
      </c>
      <c r="V595" s="332">
        <f>((F595+L595+H595+P595)-(D595+J595+T595+N595+R595))*radconv</f>
        <v/>
      </c>
      <c r="W595" s="334">
        <f>IF(V595&gt;0,V595,V595+180)</f>
        <v/>
      </c>
      <c r="Y595" s="307">
        <f>IF(U595&lt;0,A595,1000000000)</f>
        <v/>
      </c>
      <c r="Z595" s="307">
        <f>A595^2</f>
        <v/>
      </c>
      <c r="AB595" s="333">
        <f>20*LOG10((K595/(I595*M595))*AEA)</f>
        <v/>
      </c>
      <c r="AC595" s="334">
        <f>(L595-(J595+N595))*radconv</f>
        <v/>
      </c>
      <c r="AE595" s="333">
        <f>20*LOG10((E595*G595/(C595*S595))*Acs*Am)</f>
        <v/>
      </c>
      <c r="AF595" s="334">
        <f>(F595+H595-(D595+T595))*radconv</f>
        <v/>
      </c>
      <c r="AH595">
        <f>SUM((U596&lt;0)*(U595&gt;0))*A595</f>
        <v/>
      </c>
      <c r="AI595">
        <f>IF(AH595&gt;0,W595,0)</f>
        <v/>
      </c>
    </row>
    <row r="596">
      <c r="A596" s="335" t="n">
        <v>208930</v>
      </c>
      <c r="B596" s="352">
        <f>A596/1000</f>
        <v/>
      </c>
      <c r="C596" s="1047">
        <f>SQRT(1+(A596/pole1)^2)</f>
        <v/>
      </c>
      <c r="D596" s="1048">
        <f>ATAN(A596/pole1)</f>
        <v/>
      </c>
      <c r="E596" s="1048">
        <f>SQRT(1+(A596/Zero1)^2)</f>
        <v/>
      </c>
      <c r="F596" s="1049">
        <f>ATAN(A596/Zero1)</f>
        <v/>
      </c>
      <c r="G596" s="1048">
        <f>IF(VIN_nom&gt;Vout, 1, SQRT(1+(A596/z_RHP)^2))</f>
        <v/>
      </c>
      <c r="H596" s="1049">
        <f>IF(VIN_nom&gt;Vout, 0, -ATAN(A596/z_RHP))</f>
        <v/>
      </c>
      <c r="I596" s="1047">
        <f>SQRT(1+(A596/Pole2)^2)</f>
        <v/>
      </c>
      <c r="J596" s="1050">
        <f>ATAN(A596/Pole2)</f>
        <v/>
      </c>
      <c r="K596" s="1056">
        <f>SQRT(1+(A596/Zero2)^2)</f>
        <v/>
      </c>
      <c r="L596" s="1057">
        <f>ATAN(A596/Zero2)</f>
        <v/>
      </c>
      <c r="M596" s="1047">
        <f>SQRT(1+(A596/pole4)^2)</f>
        <v/>
      </c>
      <c r="N596" s="1057">
        <f>ATAN(A596/pole4)</f>
        <v/>
      </c>
      <c r="O596" s="1058">
        <f>IF(VOUT_setting=1,1,SQRT(1+(A596*zterm1)^2))</f>
        <v/>
      </c>
      <c r="P596" s="1059">
        <f>IF(VOUT_setting=1,0,ATAN(((A596*zterm1))))</f>
        <v/>
      </c>
      <c r="Q596" s="1056">
        <f>IF(VOUT_setting=1,1,SQRT((1+Afbr-$Q$5*(A596)^2)^2+(A596*$Q$4)^2))</f>
        <v/>
      </c>
      <c r="R596" s="1060">
        <f>IF(VOUT_setting=1,0,ATAN(A596*$Q$4/(1+Afbr-$Q$5*(A596)^2)))</f>
        <v/>
      </c>
      <c r="S596" s="1054">
        <f>SQRT((1-(Z596/pterm2))^2+(A596/pterm1)^2)</f>
        <v/>
      </c>
      <c r="T596" s="1055">
        <f>IF((ATAN((A596/pterm1)/(1-A596^2/pterm2))&gt;0),ATAN((A596/pterm1)/(1-A596^2/pterm2)),PI()+ATAN((A596/pterm1)/(1-A596^2/pterm2)))</f>
        <v/>
      </c>
      <c r="U596" s="331">
        <f>20*LOG10(((E596*K596*G596*O596)/(C596*I596*S596*M596*Q596))*Adc)</f>
        <v/>
      </c>
      <c r="V596" s="332">
        <f>((F596+L596+H596+P596)-(D596+J596+T596+N596+R596))*radconv</f>
        <v/>
      </c>
      <c r="W596" s="334">
        <f>IF(V596&gt;0,V596,V596+180)</f>
        <v/>
      </c>
      <c r="Y596" s="307">
        <f>IF(U596&lt;0,A596,1000000000)</f>
        <v/>
      </c>
      <c r="Z596" s="307">
        <f>A596^2</f>
        <v/>
      </c>
      <c r="AB596" s="333">
        <f>20*LOG10((K596/(I596*M596))*AEA)</f>
        <v/>
      </c>
      <c r="AC596" s="334">
        <f>(L596-(J596+N596))*radconv</f>
        <v/>
      </c>
      <c r="AE596" s="333">
        <f>20*LOG10((E596*G596/(C596*S596))*Acs*Am)</f>
        <v/>
      </c>
      <c r="AF596" s="334">
        <f>(F596+H596-(D596+T596))*radconv</f>
        <v/>
      </c>
      <c r="AH596">
        <f>SUM((U597&lt;0)*(U596&gt;0))*A596</f>
        <v/>
      </c>
      <c r="AI596">
        <f>IF(AH596&gt;0,W596,0)</f>
        <v/>
      </c>
    </row>
    <row r="597">
      <c r="A597" s="335" t="n">
        <v>229090</v>
      </c>
      <c r="B597" s="352">
        <f>A597/1000</f>
        <v/>
      </c>
      <c r="C597" s="1047">
        <f>SQRT(1+(A597/pole1)^2)</f>
        <v/>
      </c>
      <c r="D597" s="1048">
        <f>ATAN(A597/pole1)</f>
        <v/>
      </c>
      <c r="E597" s="1048">
        <f>SQRT(1+(A597/Zero1)^2)</f>
        <v/>
      </c>
      <c r="F597" s="1049">
        <f>ATAN(A597/Zero1)</f>
        <v/>
      </c>
      <c r="G597" s="1048">
        <f>IF(VIN_nom&gt;Vout, 1, SQRT(1+(A597/z_RHP)^2))</f>
        <v/>
      </c>
      <c r="H597" s="1049">
        <f>IF(VIN_nom&gt;Vout, 0, -ATAN(A597/z_RHP))</f>
        <v/>
      </c>
      <c r="I597" s="1047">
        <f>SQRT(1+(A597/Pole2)^2)</f>
        <v/>
      </c>
      <c r="J597" s="1050">
        <f>ATAN(A597/Pole2)</f>
        <v/>
      </c>
      <c r="K597" s="1056">
        <f>SQRT(1+(A597/Zero2)^2)</f>
        <v/>
      </c>
      <c r="L597" s="1057">
        <f>ATAN(A597/Zero2)</f>
        <v/>
      </c>
      <c r="M597" s="1047">
        <f>SQRT(1+(A597/pole4)^2)</f>
        <v/>
      </c>
      <c r="N597" s="1057">
        <f>ATAN(A597/pole4)</f>
        <v/>
      </c>
      <c r="O597" s="1058">
        <f>IF(VOUT_setting=1,1,SQRT(1+(A597*zterm1)^2))</f>
        <v/>
      </c>
      <c r="P597" s="1059">
        <f>IF(VOUT_setting=1,0,ATAN(((A597*zterm1))))</f>
        <v/>
      </c>
      <c r="Q597" s="1056">
        <f>IF(VOUT_setting=1,1,SQRT((1+Afbr-$Q$5*(A597)^2)^2+(A597*$Q$4)^2))</f>
        <v/>
      </c>
      <c r="R597" s="1060">
        <f>IF(VOUT_setting=1,0,ATAN(A597*$Q$4/(1+Afbr-$Q$5*(A597)^2)))</f>
        <v/>
      </c>
      <c r="S597" s="1054">
        <f>SQRT((1-(Z597/pterm2))^2+(A597/pterm1)^2)</f>
        <v/>
      </c>
      <c r="T597" s="1055">
        <f>IF((ATAN((A597/pterm1)/(1-A597^2/pterm2))&gt;0),ATAN((A597/pterm1)/(1-A597^2/pterm2)),PI()+ATAN((A597/pterm1)/(1-A597^2/pterm2)))</f>
        <v/>
      </c>
      <c r="U597" s="331">
        <f>20*LOG10(((E597*K597*G597*O597)/(C597*I597*S597*M597*Q597))*Adc)</f>
        <v/>
      </c>
      <c r="V597" s="332">
        <f>((F597+L597+H597+P597)-(D597+J597+T597+N597+R597))*radconv</f>
        <v/>
      </c>
      <c r="W597" s="334">
        <f>IF(V597&gt;0,V597,V597+180)</f>
        <v/>
      </c>
      <c r="Y597" s="307">
        <f>IF(U597&lt;0,A597,1000000000)</f>
        <v/>
      </c>
      <c r="Z597" s="307">
        <f>A597^2</f>
        <v/>
      </c>
      <c r="AB597" s="333">
        <f>20*LOG10((K597/(I597*M597))*AEA)</f>
        <v/>
      </c>
      <c r="AC597" s="334">
        <f>(L597-(J597+N597))*radconv</f>
        <v/>
      </c>
      <c r="AE597" s="333">
        <f>20*LOG10((E597*G597/(C597*S597))*Acs*Am)</f>
        <v/>
      </c>
      <c r="AF597" s="334">
        <f>(F597+H597-(D597+T597))*radconv</f>
        <v/>
      </c>
      <c r="AH597">
        <f>SUM((U598&lt;0)*(U597&gt;0))*A597</f>
        <v/>
      </c>
      <c r="AI597">
        <f>IF(AH597&gt;0,W597,0)</f>
        <v/>
      </c>
    </row>
    <row r="598">
      <c r="A598" s="335" t="n">
        <v>251190</v>
      </c>
      <c r="B598" s="352">
        <f>A598/1000</f>
        <v/>
      </c>
      <c r="C598" s="1047">
        <f>SQRT(1+(A598/pole1)^2)</f>
        <v/>
      </c>
      <c r="D598" s="1048">
        <f>ATAN(A598/pole1)</f>
        <v/>
      </c>
      <c r="E598" s="1048">
        <f>SQRT(1+(A598/Zero1)^2)</f>
        <v/>
      </c>
      <c r="F598" s="1049">
        <f>ATAN(A598/Zero1)</f>
        <v/>
      </c>
      <c r="G598" s="1048">
        <f>IF(VIN_nom&gt;Vout, 1, SQRT(1+(A598/z_RHP)^2))</f>
        <v/>
      </c>
      <c r="H598" s="1049">
        <f>IF(VIN_nom&gt;Vout, 0, -ATAN(A598/z_RHP))</f>
        <v/>
      </c>
      <c r="I598" s="1047">
        <f>SQRT(1+(A598/Pole2)^2)</f>
        <v/>
      </c>
      <c r="J598" s="1050">
        <f>ATAN(A598/Pole2)</f>
        <v/>
      </c>
      <c r="K598" s="1056">
        <f>SQRT(1+(A598/Zero2)^2)</f>
        <v/>
      </c>
      <c r="L598" s="1057">
        <f>ATAN(A598/Zero2)</f>
        <v/>
      </c>
      <c r="M598" s="1047">
        <f>SQRT(1+(A598/pole4)^2)</f>
        <v/>
      </c>
      <c r="N598" s="1057">
        <f>ATAN(A598/pole4)</f>
        <v/>
      </c>
      <c r="O598" s="1058">
        <f>IF(VOUT_setting=1,1,SQRT(1+(A598*zterm1)^2))</f>
        <v/>
      </c>
      <c r="P598" s="1059">
        <f>IF(VOUT_setting=1,0,ATAN(((A598*zterm1))))</f>
        <v/>
      </c>
      <c r="Q598" s="1056">
        <f>IF(VOUT_setting=1,1,SQRT((1+Afbr-$Q$5*(A598)^2)^2+(A598*$Q$4)^2))</f>
        <v/>
      </c>
      <c r="R598" s="1060">
        <f>IF(VOUT_setting=1,0,ATAN(A598*$Q$4/(1+Afbr-$Q$5*(A598)^2)))</f>
        <v/>
      </c>
      <c r="S598" s="1054">
        <f>SQRT((1-(Z598/pterm2))^2+(A598/pterm1)^2)</f>
        <v/>
      </c>
      <c r="T598" s="1055">
        <f>IF((ATAN((A598/pterm1)/(1-A598^2/pterm2))&gt;0),ATAN((A598/pterm1)/(1-A598^2/pterm2)),PI()+ATAN((A598/pterm1)/(1-A598^2/pterm2)))</f>
        <v/>
      </c>
      <c r="U598" s="331">
        <f>20*LOG10(((E598*K598*G598*O598)/(C598*I598*S598*M598*Q598))*Adc)</f>
        <v/>
      </c>
      <c r="V598" s="332">
        <f>((F598+L598+H598+P598)-(D598+J598+T598+N598+R598))*radconv</f>
        <v/>
      </c>
      <c r="W598" s="334">
        <f>IF(V598&gt;0,V598,V598+180)</f>
        <v/>
      </c>
      <c r="Y598" s="307">
        <f>IF(U598&lt;0,A598,1000000000)</f>
        <v/>
      </c>
      <c r="Z598" s="307">
        <f>A598^2</f>
        <v/>
      </c>
      <c r="AB598" s="333">
        <f>20*LOG10((K598/(I598*M598))*AEA)</f>
        <v/>
      </c>
      <c r="AC598" s="334">
        <f>(L598-(J598+N598))*radconv</f>
        <v/>
      </c>
      <c r="AE598" s="333">
        <f>20*LOG10((E598*G598/(C598*S598))*Acs*Am)</f>
        <v/>
      </c>
      <c r="AF598" s="334">
        <f>(F598+H598-(D598+T598))*radconv</f>
        <v/>
      </c>
      <c r="AH598">
        <f>SUM((U599&lt;0)*(U598&gt;0))*A598</f>
        <v/>
      </c>
      <c r="AI598">
        <f>IF(AH598&gt;0,W598,0)</f>
        <v/>
      </c>
    </row>
    <row r="599">
      <c r="A599" s="335" t="n">
        <v>275420</v>
      </c>
      <c r="B599" s="352">
        <f>A599/1000</f>
        <v/>
      </c>
      <c r="C599" s="1047">
        <f>SQRT(1+(A599/pole1)^2)</f>
        <v/>
      </c>
      <c r="D599" s="1048">
        <f>ATAN(A599/pole1)</f>
        <v/>
      </c>
      <c r="E599" s="1048">
        <f>SQRT(1+(A599/Zero1)^2)</f>
        <v/>
      </c>
      <c r="F599" s="1049">
        <f>ATAN(A599/Zero1)</f>
        <v/>
      </c>
      <c r="G599" s="1048">
        <f>IF(VIN_nom&gt;Vout, 1, SQRT(1+(A599/z_RHP)^2))</f>
        <v/>
      </c>
      <c r="H599" s="1049">
        <f>IF(VIN_nom&gt;Vout, 0, -ATAN(A599/z_RHP))</f>
        <v/>
      </c>
      <c r="I599" s="1047">
        <f>SQRT(1+(A599/Pole2)^2)</f>
        <v/>
      </c>
      <c r="J599" s="1050">
        <f>ATAN(A599/Pole2)</f>
        <v/>
      </c>
      <c r="K599" s="1056">
        <f>SQRT(1+(A599/Zero2)^2)</f>
        <v/>
      </c>
      <c r="L599" s="1057">
        <f>ATAN(A599/Zero2)</f>
        <v/>
      </c>
      <c r="M599" s="1047">
        <f>SQRT(1+(A599/pole4)^2)</f>
        <v/>
      </c>
      <c r="N599" s="1057">
        <f>ATAN(A599/pole4)</f>
        <v/>
      </c>
      <c r="O599" s="1058">
        <f>IF(VOUT_setting=1,1,SQRT(1+(A599*zterm1)^2))</f>
        <v/>
      </c>
      <c r="P599" s="1059">
        <f>IF(VOUT_setting=1,0,ATAN(((A599*zterm1))))</f>
        <v/>
      </c>
      <c r="Q599" s="1056">
        <f>IF(VOUT_setting=1,1,SQRT((1+Afbr-$Q$5*(A599)^2)^2+(A599*$Q$4)^2))</f>
        <v/>
      </c>
      <c r="R599" s="1060">
        <f>IF(VOUT_setting=1,0,ATAN(A599*$Q$4/(1+Afbr-$Q$5*(A599)^2)))</f>
        <v/>
      </c>
      <c r="S599" s="1054">
        <f>SQRT((1-(Z599/pterm2))^2+(A599/pterm1)^2)</f>
        <v/>
      </c>
      <c r="T599" s="1055">
        <f>IF((ATAN((A599/pterm1)/(1-A599^2/pterm2))&gt;0),ATAN((A599/pterm1)/(1-A599^2/pterm2)),PI()+ATAN((A599/pterm1)/(1-A599^2/pterm2)))</f>
        <v/>
      </c>
      <c r="U599" s="331">
        <f>20*LOG10(((E599*K599*G599*O599)/(C599*I599*S599*M599*Q599))*Adc)</f>
        <v/>
      </c>
      <c r="V599" s="332">
        <f>((F599+L599+H599+P599)-(D599+J599+T599+N599+R599))*radconv</f>
        <v/>
      </c>
      <c r="W599" s="334">
        <f>IF(V599&gt;0,V599,V599+180)</f>
        <v/>
      </c>
      <c r="Y599" s="307">
        <f>IF(U599&lt;0,A599,1000000000)</f>
        <v/>
      </c>
      <c r="Z599" s="307">
        <f>A599^2</f>
        <v/>
      </c>
      <c r="AB599" s="333">
        <f>20*LOG10((K599/(I599*M599))*AEA)</f>
        <v/>
      </c>
      <c r="AC599" s="334">
        <f>(L599-(J599+N599))*radconv</f>
        <v/>
      </c>
      <c r="AE599" s="333">
        <f>20*LOG10((E599*G599/(C599*S599))*Acs*Am)</f>
        <v/>
      </c>
      <c r="AF599" s="334">
        <f>(F599+H599-(D599+T599))*radconv</f>
        <v/>
      </c>
      <c r="AH599">
        <f>SUM((U600&lt;0)*(U599&gt;0))*A599</f>
        <v/>
      </c>
      <c r="AI599">
        <f>IF(AH599&gt;0,W599,0)</f>
        <v/>
      </c>
    </row>
    <row r="600">
      <c r="A600" s="335" t="n">
        <v>302000</v>
      </c>
      <c r="B600" s="352">
        <f>A600/1000</f>
        <v/>
      </c>
      <c r="C600" s="1047">
        <f>SQRT(1+(A600/pole1)^2)</f>
        <v/>
      </c>
      <c r="D600" s="1048">
        <f>ATAN(A600/pole1)</f>
        <v/>
      </c>
      <c r="E600" s="1048">
        <f>SQRT(1+(A600/Zero1)^2)</f>
        <v/>
      </c>
      <c r="F600" s="1049">
        <f>ATAN(A600/Zero1)</f>
        <v/>
      </c>
      <c r="G600" s="1048">
        <f>IF(VIN_nom&gt;Vout, 1, SQRT(1+(A600/z_RHP)^2))</f>
        <v/>
      </c>
      <c r="H600" s="1049">
        <f>IF(VIN_nom&gt;Vout, 0, -ATAN(A600/z_RHP))</f>
        <v/>
      </c>
      <c r="I600" s="1047">
        <f>SQRT(1+(A600/Pole2)^2)</f>
        <v/>
      </c>
      <c r="J600" s="1050">
        <f>ATAN(A600/Pole2)</f>
        <v/>
      </c>
      <c r="K600" s="1056">
        <f>SQRT(1+(A600/Zero2)^2)</f>
        <v/>
      </c>
      <c r="L600" s="1057">
        <f>ATAN(A600/Zero2)</f>
        <v/>
      </c>
      <c r="M600" s="1047">
        <f>SQRT(1+(A600/pole4)^2)</f>
        <v/>
      </c>
      <c r="N600" s="1057">
        <f>ATAN(A600/pole4)</f>
        <v/>
      </c>
      <c r="O600" s="1058">
        <f>IF(VOUT_setting=1,1,SQRT(1+(A600*zterm1)^2))</f>
        <v/>
      </c>
      <c r="P600" s="1059">
        <f>IF(VOUT_setting=1,0,ATAN(((A600*zterm1))))</f>
        <v/>
      </c>
      <c r="Q600" s="1056">
        <f>IF(VOUT_setting=1,1,SQRT((1+Afbr-$Q$5*(A600)^2)^2+(A600*$Q$4)^2))</f>
        <v/>
      </c>
      <c r="R600" s="1060">
        <f>IF(VOUT_setting=1,0,ATAN(A600*$Q$4/(1+Afbr-$Q$5*(A600)^2)))</f>
        <v/>
      </c>
      <c r="S600" s="1054">
        <f>SQRT((1-(Z600/pterm2))^2+(A600/pterm1)^2)</f>
        <v/>
      </c>
      <c r="T600" s="1055">
        <f>IF((ATAN((A600/pterm1)/(1-A600^2/pterm2))&gt;0),ATAN((A600/pterm1)/(1-A600^2/pterm2)),PI()+ATAN((A600/pterm1)/(1-A600^2/pterm2)))</f>
        <v/>
      </c>
      <c r="U600" s="331">
        <f>20*LOG10(((E600*K600*G600*O600)/(C600*I600*S600*M600*Q600))*Adc)</f>
        <v/>
      </c>
      <c r="V600" s="332">
        <f>((F600+L600+H600+P600)-(D600+J600+T600+N600+R600))*radconv</f>
        <v/>
      </c>
      <c r="W600" s="334">
        <f>IF(V600&gt;0,V600,V600+180)</f>
        <v/>
      </c>
      <c r="Y600" s="307">
        <f>IF(U600&lt;0,A600,1000000000)</f>
        <v/>
      </c>
      <c r="Z600" s="307">
        <f>A600^2</f>
        <v/>
      </c>
      <c r="AB600" s="333">
        <f>20*LOG10((K600/(I600*M600))*AEA)</f>
        <v/>
      </c>
      <c r="AC600" s="334">
        <f>(L600-(J600+N600))*radconv</f>
        <v/>
      </c>
      <c r="AE600" s="333">
        <f>20*LOG10((E600*G600/(C600*S600))*Acs*Am)</f>
        <v/>
      </c>
      <c r="AF600" s="334">
        <f>(F600+H600-(D600+T600))*radconv</f>
        <v/>
      </c>
      <c r="AH600">
        <f>SUM((U601&lt;0)*(U600&gt;0))*A600</f>
        <v/>
      </c>
      <c r="AI600">
        <f>IF(AH600&gt;0,W600,0)</f>
        <v/>
      </c>
    </row>
    <row r="601">
      <c r="A601" s="335" t="n">
        <v>331130</v>
      </c>
      <c r="B601" s="352">
        <f>A601/1000</f>
        <v/>
      </c>
      <c r="C601" s="1047">
        <f>SQRT(1+(A601/pole1)^2)</f>
        <v/>
      </c>
      <c r="D601" s="1048">
        <f>ATAN(A601/pole1)</f>
        <v/>
      </c>
      <c r="E601" s="1048">
        <f>SQRT(1+(A601/Zero1)^2)</f>
        <v/>
      </c>
      <c r="F601" s="1049">
        <f>ATAN(A601/Zero1)</f>
        <v/>
      </c>
      <c r="G601" s="1048">
        <f>IF(VIN_nom&gt;Vout, 1, SQRT(1+(A601/z_RHP)^2))</f>
        <v/>
      </c>
      <c r="H601" s="1049">
        <f>IF(VIN_nom&gt;Vout, 0, -ATAN(A601/z_RHP))</f>
        <v/>
      </c>
      <c r="I601" s="1047">
        <f>SQRT(1+(A601/Pole2)^2)</f>
        <v/>
      </c>
      <c r="J601" s="1050">
        <f>ATAN(A601/Pole2)</f>
        <v/>
      </c>
      <c r="K601" s="1056">
        <f>SQRT(1+(A601/Zero2)^2)</f>
        <v/>
      </c>
      <c r="L601" s="1057">
        <f>ATAN(A601/Zero2)</f>
        <v/>
      </c>
      <c r="M601" s="1047">
        <f>SQRT(1+(A601/pole4)^2)</f>
        <v/>
      </c>
      <c r="N601" s="1057">
        <f>ATAN(A601/pole4)</f>
        <v/>
      </c>
      <c r="O601" s="1058">
        <f>IF(VOUT_setting=1,1,SQRT(1+(A601*zterm1)^2))</f>
        <v/>
      </c>
      <c r="P601" s="1059">
        <f>IF(VOUT_setting=1,0,ATAN(((A601*zterm1))))</f>
        <v/>
      </c>
      <c r="Q601" s="1056">
        <f>IF(VOUT_setting=1,1,SQRT((1+Afbr-$Q$5*(A601)^2)^2+(A601*$Q$4)^2))</f>
        <v/>
      </c>
      <c r="R601" s="1060">
        <f>IF(VOUT_setting=1,0,ATAN(A601*$Q$4/(1+Afbr-$Q$5*(A601)^2)))</f>
        <v/>
      </c>
      <c r="S601" s="1054">
        <f>SQRT((1-(Z601/pterm2))^2+(A601/pterm1)^2)</f>
        <v/>
      </c>
      <c r="T601" s="1055">
        <f>IF((ATAN((A601/pterm1)/(1-A601^2/pterm2))&gt;0),ATAN((A601/pterm1)/(1-A601^2/pterm2)),PI()+ATAN((A601/pterm1)/(1-A601^2/pterm2)))</f>
        <v/>
      </c>
      <c r="U601" s="331">
        <f>20*LOG10(((E601*K601*G601*O601)/(C601*I601*S601*M601*Q601))*Adc)</f>
        <v/>
      </c>
      <c r="V601" s="332">
        <f>((F601+L601+H601+P601)-(D601+J601+T601+N601+R601))*radconv</f>
        <v/>
      </c>
      <c r="W601" s="334">
        <f>IF(V601&gt;0,V601,V601+180)</f>
        <v/>
      </c>
      <c r="Y601" s="307">
        <f>IF(U601&lt;0,A601,1000000000)</f>
        <v/>
      </c>
      <c r="Z601" s="307">
        <f>A601^2</f>
        <v/>
      </c>
      <c r="AB601" s="333">
        <f>20*LOG10((K601/(I601*M601))*AEA)</f>
        <v/>
      </c>
      <c r="AC601" s="334">
        <f>(L601-(J601+N601))*radconv</f>
        <v/>
      </c>
      <c r="AE601" s="333">
        <f>20*LOG10((E601*G601/(C601*S601))*Acs*Am)</f>
        <v/>
      </c>
      <c r="AF601" s="334">
        <f>(F601+H601-(D601+T601))*radconv</f>
        <v/>
      </c>
      <c r="AH601">
        <f>SUM((U602&lt;0)*(U601&gt;0))*A601</f>
        <v/>
      </c>
      <c r="AI601">
        <f>IF(AH601&gt;0,W601,0)</f>
        <v/>
      </c>
    </row>
    <row r="602">
      <c r="A602" s="335" t="n">
        <v>363080</v>
      </c>
      <c r="B602" s="352">
        <f>A602/1000</f>
        <v/>
      </c>
      <c r="C602" s="1047">
        <f>SQRT(1+(A602/pole1)^2)</f>
        <v/>
      </c>
      <c r="D602" s="1048">
        <f>ATAN(A602/pole1)</f>
        <v/>
      </c>
      <c r="E602" s="1048">
        <f>SQRT(1+(A602/Zero1)^2)</f>
        <v/>
      </c>
      <c r="F602" s="1049">
        <f>ATAN(A602/Zero1)</f>
        <v/>
      </c>
      <c r="G602" s="1048">
        <f>IF(VIN_nom&gt;Vout, 1, SQRT(1+(A602/z_RHP)^2))</f>
        <v/>
      </c>
      <c r="H602" s="1049">
        <f>IF(VIN_nom&gt;Vout, 0, -ATAN(A602/z_RHP))</f>
        <v/>
      </c>
      <c r="I602" s="1047">
        <f>SQRT(1+(A602/Pole2)^2)</f>
        <v/>
      </c>
      <c r="J602" s="1050">
        <f>ATAN(A602/Pole2)</f>
        <v/>
      </c>
      <c r="K602" s="1056">
        <f>SQRT(1+(A602/Zero2)^2)</f>
        <v/>
      </c>
      <c r="L602" s="1057">
        <f>ATAN(A602/Zero2)</f>
        <v/>
      </c>
      <c r="M602" s="1047">
        <f>SQRT(1+(A602/pole4)^2)</f>
        <v/>
      </c>
      <c r="N602" s="1057">
        <f>ATAN(A602/pole4)</f>
        <v/>
      </c>
      <c r="O602" s="1058">
        <f>IF(VOUT_setting=1,1,SQRT(1+(A602*zterm1)^2))</f>
        <v/>
      </c>
      <c r="P602" s="1059">
        <f>IF(VOUT_setting=1,0,ATAN(((A602*zterm1))))</f>
        <v/>
      </c>
      <c r="Q602" s="1056">
        <f>IF(VOUT_setting=1,1,SQRT((1+Afbr-$Q$5*(A602)^2)^2+(A602*$Q$4)^2))</f>
        <v/>
      </c>
      <c r="R602" s="1060">
        <f>IF(VOUT_setting=1,0,ATAN(A602*$Q$4/(1+Afbr-$Q$5*(A602)^2)))</f>
        <v/>
      </c>
      <c r="S602" s="1054">
        <f>SQRT((1-(Z602/pterm2))^2+(A602/pterm1)^2)</f>
        <v/>
      </c>
      <c r="T602" s="1055">
        <f>IF((ATAN((A602/pterm1)/(1-A602^2/pterm2))&gt;0),ATAN((A602/pterm1)/(1-A602^2/pterm2)),PI()+ATAN((A602/pterm1)/(1-A602^2/pterm2)))</f>
        <v/>
      </c>
      <c r="U602" s="331">
        <f>20*LOG10(((E602*K602*G602*O602)/(C602*I602*S602*M602*Q602))*Adc)</f>
        <v/>
      </c>
      <c r="V602" s="332">
        <f>((F602+L602+H602+P602)-(D602+J602+T602+N602+R602))*radconv</f>
        <v/>
      </c>
      <c r="W602" s="334">
        <f>IF(V602&gt;0,V602,V602+180)</f>
        <v/>
      </c>
      <c r="Y602" s="307">
        <f>IF(U602&lt;0,A602,1000000000)</f>
        <v/>
      </c>
      <c r="Z602" s="307">
        <f>A602^2</f>
        <v/>
      </c>
      <c r="AB602" s="333">
        <f>20*LOG10((K602/(I602*M602))*AEA)</f>
        <v/>
      </c>
      <c r="AC602" s="334">
        <f>(L602-(J602+N602))*radconv</f>
        <v/>
      </c>
      <c r="AE602" s="333">
        <f>20*LOG10((E602*G602/(C602*S602))*Acs*Am)</f>
        <v/>
      </c>
      <c r="AF602" s="334">
        <f>(F602+H602-(D602+T602))*radconv</f>
        <v/>
      </c>
      <c r="AH602">
        <f>SUM((U603&lt;0)*(U602&gt;0))*A602</f>
        <v/>
      </c>
      <c r="AI602">
        <f>IF(AH602&gt;0,W602,0)</f>
        <v/>
      </c>
    </row>
    <row r="603">
      <c r="A603" s="335" t="n">
        <v>398110</v>
      </c>
      <c r="B603" s="352">
        <f>A603/1000</f>
        <v/>
      </c>
      <c r="C603" s="1047">
        <f>SQRT(1+(A603/pole1)^2)</f>
        <v/>
      </c>
      <c r="D603" s="1048">
        <f>ATAN(A603/pole1)</f>
        <v/>
      </c>
      <c r="E603" s="1048">
        <f>SQRT(1+(A603/Zero1)^2)</f>
        <v/>
      </c>
      <c r="F603" s="1049">
        <f>ATAN(A603/Zero1)</f>
        <v/>
      </c>
      <c r="G603" s="1048">
        <f>IF(VIN_nom&gt;Vout, 1, SQRT(1+(A603/z_RHP)^2))</f>
        <v/>
      </c>
      <c r="H603" s="1049">
        <f>IF(VIN_nom&gt;Vout, 0, -ATAN(A603/z_RHP))</f>
        <v/>
      </c>
      <c r="I603" s="1047">
        <f>SQRT(1+(A603/Pole2)^2)</f>
        <v/>
      </c>
      <c r="J603" s="1050">
        <f>ATAN(A603/Pole2)</f>
        <v/>
      </c>
      <c r="K603" s="1056">
        <f>SQRT(1+(A603/Zero2)^2)</f>
        <v/>
      </c>
      <c r="L603" s="1057">
        <f>ATAN(A603/Zero2)</f>
        <v/>
      </c>
      <c r="M603" s="1047">
        <f>SQRT(1+(A603/pole4)^2)</f>
        <v/>
      </c>
      <c r="N603" s="1057">
        <f>ATAN(A603/pole4)</f>
        <v/>
      </c>
      <c r="O603" s="1058">
        <f>IF(VOUT_setting=1,1,SQRT(1+(A603*zterm1)^2))</f>
        <v/>
      </c>
      <c r="P603" s="1059">
        <f>IF(VOUT_setting=1,0,ATAN(((A603*zterm1))))</f>
        <v/>
      </c>
      <c r="Q603" s="1056">
        <f>IF(VOUT_setting=1,1,SQRT((1+Afbr-$Q$5*(A603)^2)^2+(A603*$Q$4)^2))</f>
        <v/>
      </c>
      <c r="R603" s="1060">
        <f>IF(VOUT_setting=1,0,ATAN(A603*$Q$4/(1+Afbr-$Q$5*(A603)^2)))</f>
        <v/>
      </c>
      <c r="S603" s="1054">
        <f>SQRT((1-(Z603/pterm2))^2+(A603/pterm1)^2)</f>
        <v/>
      </c>
      <c r="T603" s="1055">
        <f>IF((ATAN((A603/pterm1)/(1-A603^2/pterm2))&gt;0),ATAN((A603/pterm1)/(1-A603^2/pterm2)),PI()+ATAN((A603/pterm1)/(1-A603^2/pterm2)))</f>
        <v/>
      </c>
      <c r="U603" s="331">
        <f>20*LOG10(((E603*K603*G603*O603)/(C603*I603*S603*M603*Q603))*Adc)</f>
        <v/>
      </c>
      <c r="V603" s="332">
        <f>((F603+L603+H603+P603)-(D603+J603+T603+N603+R603))*radconv</f>
        <v/>
      </c>
      <c r="W603" s="334">
        <f>IF(V603&gt;0,V603,V603+180)</f>
        <v/>
      </c>
      <c r="Y603" s="307">
        <f>IF(U603&lt;0,A603,1000000000)</f>
        <v/>
      </c>
      <c r="Z603" s="307">
        <f>A603^2</f>
        <v/>
      </c>
      <c r="AB603" s="333">
        <f>20*LOG10((K603/(I603*M603))*AEA)</f>
        <v/>
      </c>
      <c r="AC603" s="334">
        <f>(L603-(J603+N603))*radconv</f>
        <v/>
      </c>
      <c r="AE603" s="333">
        <f>20*LOG10((E603*G603/(C603*S603))*Acs*Am)</f>
        <v/>
      </c>
      <c r="AF603" s="334">
        <f>(F603+H603-(D603+T603))*radconv</f>
        <v/>
      </c>
      <c r="AH603">
        <f>SUM((U604&lt;0)*(U603&gt;0))*A603</f>
        <v/>
      </c>
      <c r="AI603">
        <f>IF(AH603&gt;0,W603,0)</f>
        <v/>
      </c>
    </row>
    <row r="604">
      <c r="A604" s="335" t="n">
        <v>436520</v>
      </c>
      <c r="B604" s="352">
        <f>A604/1000</f>
        <v/>
      </c>
      <c r="C604" s="1047">
        <f>SQRT(1+(A604/pole1)^2)</f>
        <v/>
      </c>
      <c r="D604" s="1048">
        <f>ATAN(A604/pole1)</f>
        <v/>
      </c>
      <c r="E604" s="1048">
        <f>SQRT(1+(A604/Zero1)^2)</f>
        <v/>
      </c>
      <c r="F604" s="1049">
        <f>ATAN(A604/Zero1)</f>
        <v/>
      </c>
      <c r="G604" s="1048">
        <f>IF(VIN_nom&gt;Vout, 1, SQRT(1+(A604/z_RHP)^2))</f>
        <v/>
      </c>
      <c r="H604" s="1049">
        <f>IF(VIN_nom&gt;Vout, 0, -ATAN(A604/z_RHP))</f>
        <v/>
      </c>
      <c r="I604" s="1047">
        <f>SQRT(1+(A604/Pole2)^2)</f>
        <v/>
      </c>
      <c r="J604" s="1050">
        <f>ATAN(A604/Pole2)</f>
        <v/>
      </c>
      <c r="K604" s="1056">
        <f>SQRT(1+(A604/Zero2)^2)</f>
        <v/>
      </c>
      <c r="L604" s="1057">
        <f>ATAN(A604/Zero2)</f>
        <v/>
      </c>
      <c r="M604" s="1047">
        <f>SQRT(1+(A604/pole4)^2)</f>
        <v/>
      </c>
      <c r="N604" s="1057">
        <f>ATAN(A604/pole4)</f>
        <v/>
      </c>
      <c r="O604" s="1058">
        <f>IF(VOUT_setting=1,1,SQRT(1+(A604*zterm1)^2))</f>
        <v/>
      </c>
      <c r="P604" s="1059">
        <f>IF(VOUT_setting=1,0,ATAN(((A604*zterm1))))</f>
        <v/>
      </c>
      <c r="Q604" s="1056">
        <f>IF(VOUT_setting=1,1,SQRT((1+Afbr-$Q$5*(A604)^2)^2+(A604*$Q$4)^2))</f>
        <v/>
      </c>
      <c r="R604" s="1060">
        <f>IF(VOUT_setting=1,0,ATAN(A604*$Q$4/(1+Afbr-$Q$5*(A604)^2)))</f>
        <v/>
      </c>
      <c r="S604" s="1054">
        <f>SQRT((1-(Z604/pterm2))^2+(A604/pterm1)^2)</f>
        <v/>
      </c>
      <c r="T604" s="1055">
        <f>IF((ATAN((A604/pterm1)/(1-A604^2/pterm2))&gt;0),ATAN((A604/pterm1)/(1-A604^2/pterm2)),PI()+ATAN((A604/pterm1)/(1-A604^2/pterm2)))</f>
        <v/>
      </c>
      <c r="U604" s="331">
        <f>20*LOG10(((E604*K604*G604*O604)/(C604*I604*S604*M604*Q604))*Adc)</f>
        <v/>
      </c>
      <c r="V604" s="332">
        <f>((F604+L604+H604+P604)-(D604+J604+T604+N604+R604))*radconv</f>
        <v/>
      </c>
      <c r="W604" s="334">
        <f>IF(V604&gt;0,V604,V604+180)</f>
        <v/>
      </c>
      <c r="Y604" s="307">
        <f>IF(U604&lt;0,A604,1000000000)</f>
        <v/>
      </c>
      <c r="Z604" s="307">
        <f>A604^2</f>
        <v/>
      </c>
      <c r="AB604" s="333">
        <f>20*LOG10((K604/(I604*M604))*AEA)</f>
        <v/>
      </c>
      <c r="AC604" s="334">
        <f>(L604-(J604+N604))*radconv</f>
        <v/>
      </c>
      <c r="AE604" s="333">
        <f>20*LOG10((E604*G604/(C604*S604))*Acs*Am)</f>
        <v/>
      </c>
      <c r="AF604" s="334">
        <f>(F604+H604-(D604+T604))*radconv</f>
        <v/>
      </c>
      <c r="AH604">
        <f>SUM((U605&lt;0)*(U604&gt;0))*A604</f>
        <v/>
      </c>
      <c r="AI604">
        <f>IF(AH604&gt;0,W604,0)</f>
        <v/>
      </c>
    </row>
    <row r="605">
      <c r="A605" s="335" t="n">
        <v>478630</v>
      </c>
      <c r="B605" s="352">
        <f>A605/1000</f>
        <v/>
      </c>
      <c r="C605" s="1047">
        <f>SQRT(1+(A605/pole1)^2)</f>
        <v/>
      </c>
      <c r="D605" s="1048">
        <f>ATAN(A605/pole1)</f>
        <v/>
      </c>
      <c r="E605" s="1048">
        <f>SQRT(1+(A605/Zero1)^2)</f>
        <v/>
      </c>
      <c r="F605" s="1049">
        <f>ATAN(A605/Zero1)</f>
        <v/>
      </c>
      <c r="G605" s="1048">
        <f>IF(VIN_nom&gt;Vout, 1, SQRT(1+(A605/z_RHP)^2))</f>
        <v/>
      </c>
      <c r="H605" s="1049">
        <f>IF(VIN_nom&gt;Vout, 0, -ATAN(A605/z_RHP))</f>
        <v/>
      </c>
      <c r="I605" s="1047">
        <f>SQRT(1+(A605/Pole2)^2)</f>
        <v/>
      </c>
      <c r="J605" s="1050">
        <f>ATAN(A605/Pole2)</f>
        <v/>
      </c>
      <c r="K605" s="1056">
        <f>SQRT(1+(A605/Zero2)^2)</f>
        <v/>
      </c>
      <c r="L605" s="1057">
        <f>ATAN(A605/Zero2)</f>
        <v/>
      </c>
      <c r="M605" s="1047">
        <f>SQRT(1+(A605/pole4)^2)</f>
        <v/>
      </c>
      <c r="N605" s="1057">
        <f>ATAN(A605/pole4)</f>
        <v/>
      </c>
      <c r="O605" s="1058">
        <f>IF(VOUT_setting=1,1,SQRT(1+(A605*zterm1)^2))</f>
        <v/>
      </c>
      <c r="P605" s="1059">
        <f>IF(VOUT_setting=1,0,ATAN(((A605*zterm1))))</f>
        <v/>
      </c>
      <c r="Q605" s="1056">
        <f>IF(VOUT_setting=1,1,SQRT((1+Afbr-$Q$5*(A605)^2)^2+(A605*$Q$4)^2))</f>
        <v/>
      </c>
      <c r="R605" s="1060">
        <f>IF(VOUT_setting=1,0,ATAN(A605*$Q$4/(1+Afbr-$Q$5*(A605)^2)))</f>
        <v/>
      </c>
      <c r="S605" s="1054">
        <f>SQRT((1-(Z605/pterm2))^2+(A605/pterm1)^2)</f>
        <v/>
      </c>
      <c r="T605" s="1055">
        <f>IF((ATAN((A605/pterm1)/(1-A605^2/pterm2))&gt;0),ATAN((A605/pterm1)/(1-A605^2/pterm2)),PI()+ATAN((A605/pterm1)/(1-A605^2/pterm2)))</f>
        <v/>
      </c>
      <c r="U605" s="331">
        <f>20*LOG10(((E605*K605*G605*O605)/(C605*I605*S605*M605*Q605))*Adc)</f>
        <v/>
      </c>
      <c r="V605" s="332">
        <f>((F605+L605+H605+P605)-(D605+J605+T605+N605+R605))*radconv</f>
        <v/>
      </c>
      <c r="W605" s="334">
        <f>IF(V605&gt;0,V605,V605+180)</f>
        <v/>
      </c>
      <c r="Y605" s="307">
        <f>IF(U605&lt;0,A605,1000000000)</f>
        <v/>
      </c>
      <c r="Z605" s="307">
        <f>A605^2</f>
        <v/>
      </c>
      <c r="AB605" s="333">
        <f>20*LOG10((K605/(I605*M605))*AEA)</f>
        <v/>
      </c>
      <c r="AC605" s="334">
        <f>(L605-(J605+N605))*radconv</f>
        <v/>
      </c>
      <c r="AE605" s="333">
        <f>20*LOG10((E605*G605/(C605*S605))*Acs*Am)</f>
        <v/>
      </c>
      <c r="AF605" s="334">
        <f>(F605+H605-(D605+T605))*radconv</f>
        <v/>
      </c>
      <c r="AH605">
        <f>SUM((U606&lt;0)*(U605&gt;0))*A605</f>
        <v/>
      </c>
      <c r="AI605">
        <f>IF(AH605&gt;0,W605,0)</f>
        <v/>
      </c>
    </row>
    <row r="606">
      <c r="A606" s="335" t="n">
        <v>524810</v>
      </c>
      <c r="B606" s="352">
        <f>A606/1000</f>
        <v/>
      </c>
      <c r="C606" s="1047">
        <f>SQRT(1+(A606/pole1)^2)</f>
        <v/>
      </c>
      <c r="D606" s="1048">
        <f>ATAN(A606/pole1)</f>
        <v/>
      </c>
      <c r="E606" s="1048">
        <f>SQRT(1+(A606/Zero1)^2)</f>
        <v/>
      </c>
      <c r="F606" s="1049">
        <f>ATAN(A606/Zero1)</f>
        <v/>
      </c>
      <c r="G606" s="1048">
        <f>IF(VIN_nom&gt;Vout, 1, SQRT(1+(A606/z_RHP)^2))</f>
        <v/>
      </c>
      <c r="H606" s="1049">
        <f>IF(VIN_nom&gt;Vout, 0, -ATAN(A606/z_RHP))</f>
        <v/>
      </c>
      <c r="I606" s="1047">
        <f>SQRT(1+(A606/Pole2)^2)</f>
        <v/>
      </c>
      <c r="J606" s="1050">
        <f>ATAN(A606/Pole2)</f>
        <v/>
      </c>
      <c r="K606" s="1056">
        <f>SQRT(1+(A606/Zero2)^2)</f>
        <v/>
      </c>
      <c r="L606" s="1057">
        <f>ATAN(A606/Zero2)</f>
        <v/>
      </c>
      <c r="M606" s="1047">
        <f>SQRT(1+(A606/pole4)^2)</f>
        <v/>
      </c>
      <c r="N606" s="1057">
        <f>ATAN(A606/pole4)</f>
        <v/>
      </c>
      <c r="O606" s="1058">
        <f>IF(VOUT_setting=1,1,SQRT(1+(A606*zterm1)^2))</f>
        <v/>
      </c>
      <c r="P606" s="1059">
        <f>IF(VOUT_setting=1,0,ATAN(((A606*zterm1))))</f>
        <v/>
      </c>
      <c r="Q606" s="1056">
        <f>IF(VOUT_setting=1,1,SQRT((1+Afbr-$Q$5*(A606)^2)^2+(A606*$Q$4)^2))</f>
        <v/>
      </c>
      <c r="R606" s="1060">
        <f>IF(VOUT_setting=1,0,ATAN(A606*$Q$4/(1+Afbr-$Q$5*(A606)^2)))</f>
        <v/>
      </c>
      <c r="S606" s="1054">
        <f>SQRT((1-(Z606/pterm2))^2+(A606/pterm1)^2)</f>
        <v/>
      </c>
      <c r="T606" s="1055">
        <f>IF((ATAN((A606/pterm1)/(1-A606^2/pterm2))&gt;0),ATAN((A606/pterm1)/(1-A606^2/pterm2)),PI()+ATAN((A606/pterm1)/(1-A606^2/pterm2)))</f>
        <v/>
      </c>
      <c r="U606" s="331">
        <f>20*LOG10(((E606*K606*G606*O606)/(C606*I606*S606*M606*Q606))*Adc)</f>
        <v/>
      </c>
      <c r="V606" s="332">
        <f>((F606+L606+H606+P606)-(D606+J606+T606+N606+R606))*radconv</f>
        <v/>
      </c>
      <c r="W606" s="334">
        <f>IF(V606&gt;0,V606,V606+180)</f>
        <v/>
      </c>
      <c r="Y606" s="307">
        <f>IF(U606&lt;0,A606,1000000000)</f>
        <v/>
      </c>
      <c r="Z606" s="307">
        <f>A606^2</f>
        <v/>
      </c>
      <c r="AB606" s="333">
        <f>20*LOG10((K606/(I606*M606))*AEA)</f>
        <v/>
      </c>
      <c r="AC606" s="334">
        <f>(L606-(J606+N606))*radconv</f>
        <v/>
      </c>
      <c r="AE606" s="333">
        <f>20*LOG10((E606*G606/(C606*S606))*Acs*Am)</f>
        <v/>
      </c>
      <c r="AF606" s="334">
        <f>(F606+H606-(D606+T606))*radconv</f>
        <v/>
      </c>
      <c r="AH606">
        <f>SUM((U607&lt;0)*(U606&gt;0))*A606</f>
        <v/>
      </c>
      <c r="AI606">
        <f>IF(AH606&gt;0,W606,0)</f>
        <v/>
      </c>
    </row>
    <row r="607">
      <c r="A607" s="335" t="n">
        <v>575440</v>
      </c>
      <c r="B607" s="352">
        <f>A607/1000</f>
        <v/>
      </c>
      <c r="C607" s="1047">
        <f>SQRT(1+(A607/pole1)^2)</f>
        <v/>
      </c>
      <c r="D607" s="1048">
        <f>ATAN(A607/pole1)</f>
        <v/>
      </c>
      <c r="E607" s="1048">
        <f>SQRT(1+(A607/Zero1)^2)</f>
        <v/>
      </c>
      <c r="F607" s="1049">
        <f>ATAN(A607/Zero1)</f>
        <v/>
      </c>
      <c r="G607" s="1048">
        <f>IF(VIN_nom&gt;Vout, 1, SQRT(1+(A607/z_RHP)^2))</f>
        <v/>
      </c>
      <c r="H607" s="1049">
        <f>IF(VIN_nom&gt;Vout, 0, -ATAN(A607/z_RHP))</f>
        <v/>
      </c>
      <c r="I607" s="1047">
        <f>SQRT(1+(A607/Pole2)^2)</f>
        <v/>
      </c>
      <c r="J607" s="1050">
        <f>ATAN(A607/Pole2)</f>
        <v/>
      </c>
      <c r="K607" s="1056">
        <f>SQRT(1+(A607/Zero2)^2)</f>
        <v/>
      </c>
      <c r="L607" s="1057">
        <f>ATAN(A607/Zero2)</f>
        <v/>
      </c>
      <c r="M607" s="1047">
        <f>SQRT(1+(A607/pole4)^2)</f>
        <v/>
      </c>
      <c r="N607" s="1057">
        <f>ATAN(A607/pole4)</f>
        <v/>
      </c>
      <c r="O607" s="1058">
        <f>IF(VOUT_setting=1,1,SQRT(1+(A607*zterm1)^2))</f>
        <v/>
      </c>
      <c r="P607" s="1059">
        <f>IF(VOUT_setting=1,0,ATAN(((A607*zterm1))))</f>
        <v/>
      </c>
      <c r="Q607" s="1056">
        <f>IF(VOUT_setting=1,1,SQRT((1+Afbr-$Q$5*(A607)^2)^2+(A607*$Q$4)^2))</f>
        <v/>
      </c>
      <c r="R607" s="1060">
        <f>IF(VOUT_setting=1,0,ATAN(A607*$Q$4/(1+Afbr-$Q$5*(A607)^2)))</f>
        <v/>
      </c>
      <c r="S607" s="1054">
        <f>SQRT((1-(Z607/pterm2))^2+(A607/pterm1)^2)</f>
        <v/>
      </c>
      <c r="T607" s="1055">
        <f>IF((ATAN((A607/pterm1)/(1-A607^2/pterm2))&gt;0),ATAN((A607/pterm1)/(1-A607^2/pterm2)),PI()+ATAN((A607/pterm1)/(1-A607^2/pterm2)))</f>
        <v/>
      </c>
      <c r="U607" s="331">
        <f>20*LOG10(((E607*K607*G607*O607)/(C607*I607*S607*M607*Q607))*Adc)</f>
        <v/>
      </c>
      <c r="V607" s="332">
        <f>((F607+L607+H607+P607)-(D607+J607+T607+N607+R607))*radconv</f>
        <v/>
      </c>
      <c r="W607" s="334">
        <f>IF(V607&gt;0,V607,V607+180)</f>
        <v/>
      </c>
      <c r="Y607" s="307">
        <f>IF(U607&lt;0,A607,1000000000)</f>
        <v/>
      </c>
      <c r="Z607" s="307">
        <f>A607^2</f>
        <v/>
      </c>
      <c r="AB607" s="333">
        <f>20*LOG10((K607/(I607*M607))*AEA)</f>
        <v/>
      </c>
      <c r="AC607" s="334">
        <f>(L607-(J607+N607))*radconv</f>
        <v/>
      </c>
      <c r="AE607" s="333">
        <f>20*LOG10((E607*G607/(C607*S607))*Acs*Am)</f>
        <v/>
      </c>
      <c r="AF607" s="334">
        <f>(F607+H607-(D607+T607))*radconv</f>
        <v/>
      </c>
      <c r="AH607">
        <f>SUM((U608&lt;0)*(U607&gt;0))*A607</f>
        <v/>
      </c>
      <c r="AI607">
        <f>IF(AH607&gt;0,W607,0)</f>
        <v/>
      </c>
    </row>
    <row r="608">
      <c r="A608" s="335" t="n">
        <v>630960</v>
      </c>
      <c r="B608" s="352">
        <f>A608/1000</f>
        <v/>
      </c>
      <c r="C608" s="1047">
        <f>SQRT(1+(A608/pole1)^2)</f>
        <v/>
      </c>
      <c r="D608" s="1048">
        <f>ATAN(A608/pole1)</f>
        <v/>
      </c>
      <c r="E608" s="1048">
        <f>SQRT(1+(A608/Zero1)^2)</f>
        <v/>
      </c>
      <c r="F608" s="1049">
        <f>ATAN(A608/Zero1)</f>
        <v/>
      </c>
      <c r="G608" s="1048">
        <f>IF(VIN_nom&gt;Vout, 1, SQRT(1+(A608/z_RHP)^2))</f>
        <v/>
      </c>
      <c r="H608" s="1049">
        <f>IF(VIN_nom&gt;Vout, 0, -ATAN(A608/z_RHP))</f>
        <v/>
      </c>
      <c r="I608" s="1047">
        <f>SQRT(1+(A608/Pole2)^2)</f>
        <v/>
      </c>
      <c r="J608" s="1050">
        <f>ATAN(A608/Pole2)</f>
        <v/>
      </c>
      <c r="K608" s="1056">
        <f>SQRT(1+(A608/Zero2)^2)</f>
        <v/>
      </c>
      <c r="L608" s="1057">
        <f>ATAN(A608/Zero2)</f>
        <v/>
      </c>
      <c r="M608" s="1047">
        <f>SQRT(1+(A608/pole4)^2)</f>
        <v/>
      </c>
      <c r="N608" s="1057">
        <f>ATAN(A608/pole4)</f>
        <v/>
      </c>
      <c r="O608" s="1058">
        <f>IF(VOUT_setting=1,1,SQRT(1+(A608*zterm1)^2))</f>
        <v/>
      </c>
      <c r="P608" s="1059">
        <f>IF(VOUT_setting=1,0,ATAN(((A608*zterm1))))</f>
        <v/>
      </c>
      <c r="Q608" s="1056">
        <f>IF(VOUT_setting=1,1,SQRT((1+Afbr-$Q$5*(A608)^2)^2+(A608*$Q$4)^2))</f>
        <v/>
      </c>
      <c r="R608" s="1060">
        <f>IF(VOUT_setting=1,0,ATAN(A608*$Q$4/(1+Afbr-$Q$5*(A608)^2)))</f>
        <v/>
      </c>
      <c r="S608" s="1054">
        <f>SQRT((1-(Z608/pterm2))^2+(A608/pterm1)^2)</f>
        <v/>
      </c>
      <c r="T608" s="1055">
        <f>IF((ATAN((A608/pterm1)/(1-A608^2/pterm2))&gt;0),ATAN((A608/pterm1)/(1-A608^2/pterm2)),PI()+ATAN((A608/pterm1)/(1-A608^2/pterm2)))</f>
        <v/>
      </c>
      <c r="U608" s="331">
        <f>20*LOG10(((E608*K608*G608*O608)/(C608*I608*S608*M608*Q608))*Adc)</f>
        <v/>
      </c>
      <c r="V608" s="332">
        <f>((F608+L608+H608+P608)-(D608+J608+T608+N608+R608))*radconv</f>
        <v/>
      </c>
      <c r="W608" s="334">
        <f>IF(V608&gt;0,V608,V608+180)</f>
        <v/>
      </c>
      <c r="Y608" s="307">
        <f>IF(U608&lt;0,A608,1000000000)</f>
        <v/>
      </c>
      <c r="Z608" s="307">
        <f>A608^2</f>
        <v/>
      </c>
      <c r="AB608" s="333">
        <f>20*LOG10((K608/(I608*M608))*AEA)</f>
        <v/>
      </c>
      <c r="AC608" s="334">
        <f>(L608-(J608+N608))*radconv</f>
        <v/>
      </c>
      <c r="AE608" s="333">
        <f>20*LOG10((E608*G608/(C608*S608))*Acs*Am)</f>
        <v/>
      </c>
      <c r="AF608" s="334">
        <f>(F608+H608-(D608+T608))*radconv</f>
        <v/>
      </c>
      <c r="AH608">
        <f>SUM((U609&lt;0)*(U608&gt;0))*A608</f>
        <v/>
      </c>
      <c r="AI608">
        <f>IF(AH608&gt;0,W608,0)</f>
        <v/>
      </c>
    </row>
    <row r="609">
      <c r="A609" s="335" t="n">
        <v>691830</v>
      </c>
      <c r="B609" s="352">
        <f>A609/1000</f>
        <v/>
      </c>
      <c r="C609" s="1047">
        <f>SQRT(1+(A609/pole1)^2)</f>
        <v/>
      </c>
      <c r="D609" s="1048">
        <f>ATAN(A609/pole1)</f>
        <v/>
      </c>
      <c r="E609" s="1048">
        <f>SQRT(1+(A609/Zero1)^2)</f>
        <v/>
      </c>
      <c r="F609" s="1049">
        <f>ATAN(A609/Zero1)</f>
        <v/>
      </c>
      <c r="G609" s="1048">
        <f>IF(VIN_nom&gt;Vout, 1, SQRT(1+(A609/z_RHP)^2))</f>
        <v/>
      </c>
      <c r="H609" s="1049">
        <f>IF(VIN_nom&gt;Vout, 0, -ATAN(A609/z_RHP))</f>
        <v/>
      </c>
      <c r="I609" s="1047">
        <f>SQRT(1+(A609/Pole2)^2)</f>
        <v/>
      </c>
      <c r="J609" s="1050">
        <f>ATAN(A609/Pole2)</f>
        <v/>
      </c>
      <c r="K609" s="1056">
        <f>SQRT(1+(A609/Zero2)^2)</f>
        <v/>
      </c>
      <c r="L609" s="1057">
        <f>ATAN(A609/Zero2)</f>
        <v/>
      </c>
      <c r="M609" s="1047">
        <f>SQRT(1+(A609/pole4)^2)</f>
        <v/>
      </c>
      <c r="N609" s="1057">
        <f>ATAN(A609/pole4)</f>
        <v/>
      </c>
      <c r="O609" s="1058">
        <f>IF(VOUT_setting=1,1,SQRT(1+(A609*zterm1)^2))</f>
        <v/>
      </c>
      <c r="P609" s="1059">
        <f>IF(VOUT_setting=1,0,ATAN(((A609*zterm1))))</f>
        <v/>
      </c>
      <c r="Q609" s="1056">
        <f>IF(VOUT_setting=1,1,SQRT((1+Afbr-$Q$5*(A609)^2)^2+(A609*$Q$4)^2))</f>
        <v/>
      </c>
      <c r="R609" s="1060">
        <f>IF(VOUT_setting=1,0,ATAN(A609*$Q$4/(1+Afbr-$Q$5*(A609)^2)))</f>
        <v/>
      </c>
      <c r="S609" s="1054">
        <f>SQRT((1-(Z609/pterm2))^2+(A609/pterm1)^2)</f>
        <v/>
      </c>
      <c r="T609" s="1055">
        <f>IF((ATAN((A609/pterm1)/(1-A609^2/pterm2))&gt;0),ATAN((A609/pterm1)/(1-A609^2/pterm2)),PI()+ATAN((A609/pterm1)/(1-A609^2/pterm2)))</f>
        <v/>
      </c>
      <c r="U609" s="331">
        <f>20*LOG10(((E609*K609*G609*O609)/(C609*I609*S609*M609*Q609))*Adc)</f>
        <v/>
      </c>
      <c r="V609" s="332">
        <f>((F609+L609+H609+P609)-(D609+J609+T609+N609+R609))*radconv</f>
        <v/>
      </c>
      <c r="W609" s="334">
        <f>IF(V609&gt;0,V609,V609+180)</f>
        <v/>
      </c>
      <c r="Y609" s="307">
        <f>IF(U609&lt;0,A609,1000000000)</f>
        <v/>
      </c>
      <c r="Z609" s="307">
        <f>A609^2</f>
        <v/>
      </c>
      <c r="AB609" s="333">
        <f>20*LOG10((K609/(I609*M609))*AEA)</f>
        <v/>
      </c>
      <c r="AC609" s="334">
        <f>(L609-(J609+N609))*radconv</f>
        <v/>
      </c>
      <c r="AE609" s="333">
        <f>20*LOG10((E609*G609/(C609*S609))*Acs*Am)</f>
        <v/>
      </c>
      <c r="AF609" s="334">
        <f>(F609+H609-(D609+T609))*radconv</f>
        <v/>
      </c>
      <c r="AH609">
        <f>SUM((U610&lt;0)*(U609&gt;0))*A609</f>
        <v/>
      </c>
      <c r="AI609">
        <f>IF(AH609&gt;0,W609,0)</f>
        <v/>
      </c>
    </row>
    <row r="610">
      <c r="A610" s="335" t="n">
        <v>758580</v>
      </c>
      <c r="B610" s="352">
        <f>A610/1000</f>
        <v/>
      </c>
      <c r="C610" s="1047">
        <f>SQRT(1+(A610/pole1)^2)</f>
        <v/>
      </c>
      <c r="D610" s="1048">
        <f>ATAN(A610/pole1)</f>
        <v/>
      </c>
      <c r="E610" s="1048">
        <f>SQRT(1+(A610/Zero1)^2)</f>
        <v/>
      </c>
      <c r="F610" s="1049">
        <f>ATAN(A610/Zero1)</f>
        <v/>
      </c>
      <c r="G610" s="1048">
        <f>IF(VIN_nom&gt;Vout, 1, SQRT(1+(A610/z_RHP)^2))</f>
        <v/>
      </c>
      <c r="H610" s="1049">
        <f>IF(VIN_nom&gt;Vout, 0, -ATAN(A610/z_RHP))</f>
        <v/>
      </c>
      <c r="I610" s="1047">
        <f>SQRT(1+(A610/Pole2)^2)</f>
        <v/>
      </c>
      <c r="J610" s="1050">
        <f>ATAN(A610/Pole2)</f>
        <v/>
      </c>
      <c r="K610" s="1056">
        <f>SQRT(1+(A610/Zero2)^2)</f>
        <v/>
      </c>
      <c r="L610" s="1057">
        <f>ATAN(A610/Zero2)</f>
        <v/>
      </c>
      <c r="M610" s="1047">
        <f>SQRT(1+(A610/pole4)^2)</f>
        <v/>
      </c>
      <c r="N610" s="1057">
        <f>ATAN(A610/pole4)</f>
        <v/>
      </c>
      <c r="O610" s="1058">
        <f>IF(VOUT_setting=1,1,SQRT(1+(A610*zterm1)^2))</f>
        <v/>
      </c>
      <c r="P610" s="1059">
        <f>IF(VOUT_setting=1,0,ATAN(((A610*zterm1))))</f>
        <v/>
      </c>
      <c r="Q610" s="1056">
        <f>IF(VOUT_setting=1,1,SQRT((1+Afbr-$Q$5*(A610)^2)^2+(A610*$Q$4)^2))</f>
        <v/>
      </c>
      <c r="R610" s="1060">
        <f>IF(VOUT_setting=1,0,ATAN(A610*$Q$4/(1+Afbr-$Q$5*(A610)^2)))</f>
        <v/>
      </c>
      <c r="S610" s="1054">
        <f>SQRT((1-(Z610/pterm2))^2+(A610/pterm1)^2)</f>
        <v/>
      </c>
      <c r="T610" s="1055">
        <f>IF((ATAN((A610/pterm1)/(1-A610^2/pterm2))&gt;0),ATAN((A610/pterm1)/(1-A610^2/pterm2)),PI()+ATAN((A610/pterm1)/(1-A610^2/pterm2)))</f>
        <v/>
      </c>
      <c r="U610" s="331">
        <f>20*LOG10(((E610*K610*G610*O610)/(C610*I610*S610*M610*Q610))*Adc)</f>
        <v/>
      </c>
      <c r="V610" s="332">
        <f>((F610+L610+H610+P610)-(D610+J610+T610+N610+R610))*radconv</f>
        <v/>
      </c>
      <c r="W610" s="334">
        <f>IF(V610&gt;0,V610,V610+180)</f>
        <v/>
      </c>
      <c r="Y610" s="307">
        <f>IF(U610&lt;0,A610,1000000000)</f>
        <v/>
      </c>
      <c r="Z610" s="307">
        <f>A610^2</f>
        <v/>
      </c>
      <c r="AB610" s="333">
        <f>20*LOG10((K610/(I610*M610))*AEA)</f>
        <v/>
      </c>
      <c r="AC610" s="334">
        <f>(L610-(J610+N610))*radconv</f>
        <v/>
      </c>
      <c r="AE610" s="333">
        <f>20*LOG10((E610*G610/(C610*S610))*Acs*Am)</f>
        <v/>
      </c>
      <c r="AF610" s="334">
        <f>(F610+H610-(D610+T610))*radconv</f>
        <v/>
      </c>
      <c r="AH610">
        <f>SUM((U611&lt;0)*(U610&gt;0))*A610</f>
        <v/>
      </c>
      <c r="AI610">
        <f>IF(AH610&gt;0,W610,0)</f>
        <v/>
      </c>
    </row>
    <row r="611">
      <c r="A611" s="335" t="n">
        <v>831760</v>
      </c>
      <c r="B611" s="352">
        <f>A611/1000</f>
        <v/>
      </c>
      <c r="C611" s="1047">
        <f>SQRT(1+(A611/pole1)^2)</f>
        <v/>
      </c>
      <c r="D611" s="1048">
        <f>ATAN(A611/pole1)</f>
        <v/>
      </c>
      <c r="E611" s="1048">
        <f>SQRT(1+(A611/Zero1)^2)</f>
        <v/>
      </c>
      <c r="F611" s="1049">
        <f>ATAN(A611/Zero1)</f>
        <v/>
      </c>
      <c r="G611" s="1048">
        <f>IF(VIN_nom&gt;Vout, 1, SQRT(1+(A611/z_RHP)^2))</f>
        <v/>
      </c>
      <c r="H611" s="1049">
        <f>IF(VIN_nom&gt;Vout, 0, -ATAN(A611/z_RHP))</f>
        <v/>
      </c>
      <c r="I611" s="1047">
        <f>SQRT(1+(A611/Pole2)^2)</f>
        <v/>
      </c>
      <c r="J611" s="1050">
        <f>ATAN(A611/Pole2)</f>
        <v/>
      </c>
      <c r="K611" s="1056">
        <f>SQRT(1+(A611/Zero2)^2)</f>
        <v/>
      </c>
      <c r="L611" s="1057">
        <f>ATAN(A611/Zero2)</f>
        <v/>
      </c>
      <c r="M611" s="1047">
        <f>SQRT(1+(A611/pole4)^2)</f>
        <v/>
      </c>
      <c r="N611" s="1057">
        <f>ATAN(A611/pole4)</f>
        <v/>
      </c>
      <c r="O611" s="1058">
        <f>IF(VOUT_setting=1,1,SQRT(1+(A611*zterm1)^2))</f>
        <v/>
      </c>
      <c r="P611" s="1059">
        <f>IF(VOUT_setting=1,0,ATAN(((A611*zterm1))))</f>
        <v/>
      </c>
      <c r="Q611" s="1056">
        <f>IF(VOUT_setting=1,1,SQRT((1+Afbr-$Q$5*(A611)^2)^2+(A611*$Q$4)^2))</f>
        <v/>
      </c>
      <c r="R611" s="1060">
        <f>IF(VOUT_setting=1,0,ATAN(A611*$Q$4/(1+Afbr-$Q$5*(A611)^2)))</f>
        <v/>
      </c>
      <c r="S611" s="1054">
        <f>SQRT((1-(Z611/pterm2))^2+(A611/pterm1)^2)</f>
        <v/>
      </c>
      <c r="T611" s="1055">
        <f>IF((ATAN((A611/pterm1)/(1-A611^2/pterm2))&gt;0),ATAN((A611/pterm1)/(1-A611^2/pterm2)),PI()+ATAN((A611/pterm1)/(1-A611^2/pterm2)))</f>
        <v/>
      </c>
      <c r="U611" s="331">
        <f>20*LOG10(((E611*K611*G611*O611)/(C611*I611*S611*M611*Q611))*Adc)</f>
        <v/>
      </c>
      <c r="V611" s="332">
        <f>((F611+L611+H611+P611)-(D611+J611+T611+N611+R611))*radconv</f>
        <v/>
      </c>
      <c r="W611" s="334">
        <f>IF(V611&gt;0,V611,V611+180)</f>
        <v/>
      </c>
      <c r="Y611" s="307">
        <f>IF(U611&lt;0,A611,1000000000)</f>
        <v/>
      </c>
      <c r="Z611" s="307">
        <f>A611^2</f>
        <v/>
      </c>
      <c r="AB611" s="333">
        <f>20*LOG10((K611/(I611*M611))*AEA)</f>
        <v/>
      </c>
      <c r="AC611" s="334">
        <f>(L611-(J611+N611))*radconv</f>
        <v/>
      </c>
      <c r="AE611" s="333">
        <f>20*LOG10((E611*G611/(C611*S611))*Acs*Am)</f>
        <v/>
      </c>
      <c r="AF611" s="334">
        <f>(F611+H611-(D611+T611))*radconv</f>
        <v/>
      </c>
      <c r="AH611">
        <f>SUM((U612&lt;0)*(U611&gt;0))*A611</f>
        <v/>
      </c>
      <c r="AI611">
        <f>IF(AH611&gt;0,W611,0)</f>
        <v/>
      </c>
    </row>
    <row r="612">
      <c r="A612" s="335" t="n">
        <v>912010</v>
      </c>
      <c r="B612" s="352">
        <f>A612/1000</f>
        <v/>
      </c>
      <c r="C612" s="1047">
        <f>SQRT(1+(A612/pole1)^2)</f>
        <v/>
      </c>
      <c r="D612" s="1048">
        <f>ATAN(A612/pole1)</f>
        <v/>
      </c>
      <c r="E612" s="1048">
        <f>SQRT(1+(A612/Zero1)^2)</f>
        <v/>
      </c>
      <c r="F612" s="1049">
        <f>ATAN(A612/Zero1)</f>
        <v/>
      </c>
      <c r="G612" s="1048">
        <f>IF(VIN_nom&gt;Vout, 1, SQRT(1+(A612/z_RHP)^2))</f>
        <v/>
      </c>
      <c r="H612" s="1049">
        <f>IF(VIN_nom&gt;Vout, 0, -ATAN(A612/z_RHP))</f>
        <v/>
      </c>
      <c r="I612" s="1047">
        <f>SQRT(1+(A612/Pole2)^2)</f>
        <v/>
      </c>
      <c r="J612" s="1050">
        <f>ATAN(A612/Pole2)</f>
        <v/>
      </c>
      <c r="K612" s="1056">
        <f>SQRT(1+(A612/Zero2)^2)</f>
        <v/>
      </c>
      <c r="L612" s="1057">
        <f>ATAN(A612/Zero2)</f>
        <v/>
      </c>
      <c r="M612" s="1047">
        <f>SQRT(1+(A612/pole4)^2)</f>
        <v/>
      </c>
      <c r="N612" s="1057">
        <f>ATAN(A612/pole4)</f>
        <v/>
      </c>
      <c r="O612" s="1058">
        <f>IF(VOUT_setting=1,1,SQRT(1+(A612*zterm1)^2))</f>
        <v/>
      </c>
      <c r="P612" s="1059">
        <f>IF(VOUT_setting=1,0,ATAN(((A612*zterm1))))</f>
        <v/>
      </c>
      <c r="Q612" s="1056">
        <f>IF(VOUT_setting=1,1,SQRT((1+Afbr-$Q$5*(A612)^2)^2+(A612*$Q$4)^2))</f>
        <v/>
      </c>
      <c r="R612" s="1060">
        <f>IF(VOUT_setting=1,0,ATAN(A612*$Q$4/(1+Afbr-$Q$5*(A612)^2)))</f>
        <v/>
      </c>
      <c r="S612" s="1054">
        <f>SQRT((1-(Z612/pterm2))^2+(A612/pterm1)^2)</f>
        <v/>
      </c>
      <c r="T612" s="1055">
        <f>IF((ATAN((A612/pterm1)/(1-A612^2/pterm2))&gt;0),ATAN((A612/pterm1)/(1-A612^2/pterm2)),PI()+ATAN((A612/pterm1)/(1-A612^2/pterm2)))</f>
        <v/>
      </c>
      <c r="U612" s="331">
        <f>20*LOG10(((E612*K612*G612*O612)/(C612*I612*S612*M612*Q612))*Adc)</f>
        <v/>
      </c>
      <c r="V612" s="332">
        <f>((F612+L612+H612+P612)-(D612+J612+T612+N612+R612))*radconv</f>
        <v/>
      </c>
      <c r="W612" s="334">
        <f>IF(V612&gt;0,V612,V612+180)</f>
        <v/>
      </c>
      <c r="Y612" s="307">
        <f>IF(U612&lt;0,A612,1000000000)</f>
        <v/>
      </c>
      <c r="Z612" s="307">
        <f>A612^2</f>
        <v/>
      </c>
      <c r="AB612" s="333">
        <f>20*LOG10((K612/(I612*M612))*AEA)</f>
        <v/>
      </c>
      <c r="AC612" s="334">
        <f>(L612-(J612+N612))*radconv</f>
        <v/>
      </c>
      <c r="AE612" s="333">
        <f>20*LOG10((E612*G612/(C612*S612))*Acs*Am)</f>
        <v/>
      </c>
      <c r="AF612" s="334">
        <f>(F612+H612-(D612+T612))*radconv</f>
        <v/>
      </c>
      <c r="AH612">
        <f>SUM((U613&lt;0)*(U612&gt;0))*A612</f>
        <v/>
      </c>
      <c r="AI612">
        <f>IF(AH612&gt;0,W612,0)</f>
        <v/>
      </c>
    </row>
    <row r="613">
      <c r="A613" s="335" t="n">
        <v>1000000</v>
      </c>
      <c r="B613" s="352">
        <f>A613/1000</f>
        <v/>
      </c>
      <c r="C613" s="1047">
        <f>SQRT(1+(A613/pole1)^2)</f>
        <v/>
      </c>
      <c r="D613" s="1048">
        <f>ATAN(A613/pole1)</f>
        <v/>
      </c>
      <c r="E613" s="1048">
        <f>SQRT(1+(A613/Zero1)^2)</f>
        <v/>
      </c>
      <c r="F613" s="1049">
        <f>ATAN(A613/Zero1)</f>
        <v/>
      </c>
      <c r="G613" s="1048">
        <f>IF(VIN_nom&gt;Vout, 1, SQRT(1+(A613/z_RHP)^2))</f>
        <v/>
      </c>
      <c r="H613" s="1049">
        <f>IF(VIN_nom&gt;Vout, 0, -ATAN(A613/z_RHP))</f>
        <v/>
      </c>
      <c r="I613" s="1047">
        <f>SQRT(1+(A613/Pole2)^2)</f>
        <v/>
      </c>
      <c r="J613" s="1050">
        <f>ATAN(A613/Pole2)</f>
        <v/>
      </c>
      <c r="K613" s="1056">
        <f>SQRT(1+(A613/Zero2)^2)</f>
        <v/>
      </c>
      <c r="L613" s="1057">
        <f>ATAN(A613/Zero2)</f>
        <v/>
      </c>
      <c r="M613" s="1047">
        <f>SQRT(1+(A613/pole4)^2)</f>
        <v/>
      </c>
      <c r="N613" s="1057">
        <f>ATAN(A613/pole4)</f>
        <v/>
      </c>
      <c r="O613" s="1058">
        <f>IF(VOUT_setting=1,1,SQRT(1+(A613*zterm1)^2))</f>
        <v/>
      </c>
      <c r="P613" s="1059">
        <f>IF(VOUT_setting=1,0,ATAN(((A613*zterm1))))</f>
        <v/>
      </c>
      <c r="Q613" s="1056">
        <f>IF(VOUT_setting=1,1,SQRT((1+Afbr-$Q$5*(A613)^2)^2+(A613*$Q$4)^2))</f>
        <v/>
      </c>
      <c r="R613" s="1060">
        <f>IF(VOUT_setting=1,0,ATAN(A613*$Q$4/(1+Afbr-$Q$5*(A613)^2)))</f>
        <v/>
      </c>
      <c r="S613" s="1054">
        <f>SQRT((1-(Z613/pterm2))^2+(A613/pterm1)^2)</f>
        <v/>
      </c>
      <c r="T613" s="1055">
        <f>IF((ATAN((A613/pterm1)/(1-A613^2/pterm2))&gt;0),ATAN((A613/pterm1)/(1-A613^2/pterm2)),PI()+ATAN((A613/pterm1)/(1-A613^2/pterm2)))</f>
        <v/>
      </c>
      <c r="U613" s="331">
        <f>20*LOG10(((E613*K613*G613*O613)/(C613*I613*S613*M613*Q613))*Adc)</f>
        <v/>
      </c>
      <c r="V613" s="332">
        <f>((F613+L613+H613+P613)-(D613+J613+T613+N613+R613))*radconv</f>
        <v/>
      </c>
      <c r="W613" s="334">
        <f>IF(V613&gt;0,V613,V613+180)</f>
        <v/>
      </c>
      <c r="Y613" s="307">
        <f>IF(U613&lt;0,A613,1000000000)</f>
        <v/>
      </c>
      <c r="Z613" s="307">
        <f>A613^2</f>
        <v/>
      </c>
      <c r="AB613" s="333">
        <f>20*LOG10((K613/(I613*M613))*AEA)</f>
        <v/>
      </c>
      <c r="AC613" s="334">
        <f>(L613-(J613+N613))*radconv</f>
        <v/>
      </c>
      <c r="AE613" s="333">
        <f>20*LOG10((E613*G613/(C613*S613))*Acs*Am)</f>
        <v/>
      </c>
      <c r="AF613" s="334">
        <f>(F613+H613-(D613+T613))*radconv</f>
        <v/>
      </c>
      <c r="AH613">
        <f>SUM((U614&lt;0)*(U613&gt;0))*A613</f>
        <v/>
      </c>
      <c r="AI613">
        <f>IF(AH613&gt;0,W613,0)</f>
        <v/>
      </c>
    </row>
    <row r="614">
      <c r="A614" s="338" t="n"/>
      <c r="B614" s="338" t="n"/>
      <c r="C614" s="1061" t="n"/>
      <c r="D614" s="1061" t="n"/>
      <c r="E614" s="1061" t="n"/>
      <c r="F614" s="1061" t="n"/>
      <c r="G614" s="1048" t="n"/>
      <c r="H614" s="1049" t="n"/>
      <c r="I614" s="1061" t="n"/>
      <c r="J614" s="1061" t="n"/>
      <c r="K614" s="1061" t="n"/>
      <c r="L614" s="1061" t="n"/>
      <c r="M614" s="1061" t="n"/>
      <c r="N614" s="1061" t="n"/>
      <c r="O614" s="1061" t="n"/>
      <c r="P614" s="1061" t="n"/>
      <c r="Q614" s="1061" t="n"/>
      <c r="R614" s="1061" t="n"/>
      <c r="S614" s="1061" t="n"/>
      <c r="T614" s="1062" t="n"/>
      <c r="U614" s="415" t="n"/>
      <c r="V614" s="332" t="n"/>
      <c r="W614" s="341" t="n"/>
      <c r="AE614" s="333" t="n"/>
      <c r="AF614" s="334" t="n"/>
    </row>
    <row r="615">
      <c r="A615" s="338" t="n"/>
      <c r="B615" s="338" t="n"/>
      <c r="C615" s="1061" t="n"/>
      <c r="D615" s="1061" t="n"/>
      <c r="E615" s="1061" t="n"/>
      <c r="F615" s="1061" t="n"/>
      <c r="G615" s="1048" t="n"/>
      <c r="H615" s="1049" t="n"/>
      <c r="I615" s="1061" t="n"/>
      <c r="J615" s="1061" t="n"/>
      <c r="K615" s="1061" t="n"/>
      <c r="L615" s="1061" t="n"/>
      <c r="M615" s="1061" t="n"/>
      <c r="N615" s="1061" t="n"/>
      <c r="O615" s="1061" t="n"/>
      <c r="P615" s="1061" t="n"/>
      <c r="Q615" s="1061" t="n"/>
      <c r="R615" s="1061" t="n"/>
      <c r="S615" s="1061" t="n"/>
      <c r="T615" s="1062" t="n"/>
      <c r="U615" s="341" t="n"/>
      <c r="V615" s="332" t="n"/>
      <c r="W615" s="341" t="n"/>
      <c r="AE615" s="333" t="n"/>
      <c r="AF615" s="334" t="n"/>
    </row>
    <row r="616">
      <c r="A616" s="307" t="inlineStr">
        <is>
          <t>Pole/Zero Locations for Chart</t>
        </is>
      </c>
      <c r="G616" s="1048" t="n"/>
      <c r="H616" s="1049" t="n"/>
      <c r="U616" s="331" t="n"/>
      <c r="V616" s="332" t="n"/>
      <c r="W616" s="341" t="n"/>
      <c r="AE616" s="333" t="n"/>
      <c r="AF616" s="334" t="n"/>
    </row>
    <row r="617">
      <c r="A617" s="342">
        <f>U4*1000</f>
        <v/>
      </c>
      <c r="B617" s="342" t="n"/>
      <c r="C617" s="1058">
        <f>SQRT(1+(A617/pole1)^2)</f>
        <v/>
      </c>
      <c r="D617" s="1056">
        <f>ATAN(A617/pole1)</f>
        <v/>
      </c>
      <c r="E617" s="1056">
        <f>SQRT(1+(A617/Zero1)^2)</f>
        <v/>
      </c>
      <c r="F617" s="1057">
        <f>ATAN(A617/Zero1)</f>
        <v/>
      </c>
      <c r="G617" s="1048">
        <f>IF(VIN_nom&gt;Vout, 1, SQRT(1+(A617/z_RHP)^2))</f>
        <v/>
      </c>
      <c r="H617" s="1049">
        <f>IF(VIN_nom&gt;Vout, 0, -ATAN(A617/z_RHP))</f>
        <v/>
      </c>
      <c r="I617" s="1058">
        <f>SQRT(1+(A617/Pole2)^2)</f>
        <v/>
      </c>
      <c r="J617" s="1063">
        <f>ATAN(A617/Pole2)</f>
        <v/>
      </c>
      <c r="K617" s="1056">
        <f>SQRT(1+(A617/Zero2)^2)</f>
        <v/>
      </c>
      <c r="L617" s="1057">
        <f>ATAN(A617/Zero2)</f>
        <v/>
      </c>
      <c r="M617" s="1058">
        <f>SQRT(1+(A617/pole4)^2)</f>
        <v/>
      </c>
      <c r="N617" s="1063">
        <f>ATAN(A617/pole4)</f>
        <v/>
      </c>
      <c r="O617" s="1058">
        <f>IF(VOUT_setting=1,1,SQRT(1+(A617*zterm1)^2))</f>
        <v/>
      </c>
      <c r="P617" s="1059">
        <f>IF(VOUT_setting=1,0,ATAN(((A617*zterm1))))</f>
        <v/>
      </c>
      <c r="Q617" s="1056">
        <f>IF(VOUT_setting=1,1,SQRT((1+Afbr-$Q$5*(A617)^2)^2+(A617*$Q$4)^2))</f>
        <v/>
      </c>
      <c r="R617" s="1060">
        <f>IF(VOUT_setting=1,0,ATAN(A617*$Q$4/(1+Afbr-$Q$5*(A617)^2)))</f>
        <v/>
      </c>
      <c r="S617" s="1058">
        <f>SQRT((1-(A617^2/(pole3^2)))^2+(A617/(Q*pole3))^2)</f>
        <v/>
      </c>
      <c r="T617" s="1064">
        <f>ATAN((A617/(Q*pole3))/(1-A617^2/pole3^2))</f>
        <v/>
      </c>
      <c r="U617" s="331">
        <f>20*LOG10(((E617*K617*G617*O617)/(C617*I617*S617*M617*Q617))*Adc)</f>
        <v/>
      </c>
      <c r="V617" s="332">
        <f>((F617+L617+H617+P617)-(D617+J617+T617+N617+R617))*radconv</f>
        <v/>
      </c>
      <c r="W617" s="334">
        <f>IF(V617&gt;0,V617,V617+180)</f>
        <v/>
      </c>
      <c r="X617" s="307" t="inlineStr">
        <is>
          <t>crossover</t>
        </is>
      </c>
      <c r="AB617" s="333">
        <f>20*LOG10((K617/(I617*M617))*AEA)</f>
        <v/>
      </c>
      <c r="AC617" s="334">
        <f>(L617-(J617+N617))*radconv</f>
        <v/>
      </c>
      <c r="AE617" s="333">
        <f>20*LOG10((E617*G617/(C617*S617))*Acs*Am)</f>
        <v/>
      </c>
      <c r="AF617" s="334">
        <f>(F617+H617-(D617+T617))*radconv</f>
        <v/>
      </c>
    </row>
    <row r="618">
      <c r="A618" s="342">
        <f>A617</f>
        <v/>
      </c>
      <c r="B618" s="342" t="n"/>
      <c r="C618" s="1058" t="n"/>
      <c r="D618" s="1056" t="n"/>
      <c r="E618" s="1056" t="n"/>
      <c r="F618" s="1057" t="n"/>
      <c r="G618" s="1048" t="n"/>
      <c r="H618" s="1049" t="n"/>
      <c r="I618" s="1058" t="n"/>
      <c r="J618" s="1063" t="n"/>
      <c r="K618" s="1056" t="n"/>
      <c r="L618" s="1057" t="n"/>
      <c r="M618" s="1047" t="n"/>
      <c r="N618" s="1050" t="n"/>
      <c r="O618" s="1052" t="n"/>
      <c r="P618" s="1052" t="n"/>
      <c r="Q618" s="1052" t="n"/>
      <c r="R618" s="1052" t="n"/>
      <c r="S618" s="1058" t="n"/>
      <c r="T618" s="1055" t="n"/>
      <c r="U618" s="331" t="n"/>
      <c r="V618" s="332" t="n">
        <v>-135</v>
      </c>
      <c r="W618" s="334" t="n"/>
      <c r="AB618" s="333" t="n"/>
      <c r="AC618" s="334" t="n"/>
      <c r="AE618" s="333" t="n"/>
      <c r="AF618" s="334" t="n"/>
    </row>
    <row r="619">
      <c r="A619" s="307">
        <f>A618</f>
        <v/>
      </c>
      <c r="B619" s="342" t="n"/>
      <c r="C619" s="1058" t="n"/>
      <c r="D619" s="1056" t="n"/>
      <c r="E619" s="1056" t="n"/>
      <c r="F619" s="1057" t="n"/>
      <c r="G619" s="1048" t="n"/>
      <c r="H619" s="1049" t="n"/>
      <c r="I619" s="1058" t="n"/>
      <c r="J619" s="1063" t="n"/>
      <c r="K619" s="1056" t="n"/>
      <c r="L619" s="1057" t="n"/>
      <c r="M619" s="1047" t="n"/>
      <c r="N619" s="1050" t="n"/>
      <c r="O619" s="1052" t="n"/>
      <c r="P619" s="1052" t="n"/>
      <c r="Q619" s="1052" t="n"/>
      <c r="R619" s="1052" t="n"/>
      <c r="S619" s="1058" t="n"/>
      <c r="T619" s="1055" t="n"/>
      <c r="U619" s="331" t="n"/>
      <c r="V619" s="332" t="n"/>
      <c r="W619" s="334" t="n"/>
      <c r="AB619" s="333" t="n"/>
      <c r="AC619" s="334" t="n"/>
      <c r="AE619" s="333" t="n"/>
      <c r="AF619" s="334" t="n"/>
    </row>
    <row r="620">
      <c r="A620" s="342" t="n">
        <v>1000000</v>
      </c>
      <c r="B620" s="342" t="n"/>
      <c r="C620" s="1058" t="n"/>
      <c r="D620" s="1056" t="n"/>
      <c r="E620" s="1056" t="n"/>
      <c r="F620" s="1057" t="n"/>
      <c r="G620" s="1048" t="n"/>
      <c r="H620" s="1049" t="n"/>
      <c r="I620" s="1058" t="n"/>
      <c r="J620" s="1063" t="n"/>
      <c r="K620" s="1056" t="n"/>
      <c r="L620" s="1057" t="n"/>
      <c r="M620" s="1047" t="n"/>
      <c r="N620" s="1050" t="n"/>
      <c r="O620" s="1052" t="n"/>
      <c r="P620" s="1052" t="n"/>
      <c r="Q620" s="1052" t="n"/>
      <c r="R620" s="1052" t="n"/>
      <c r="S620" s="1058" t="n"/>
      <c r="T620" s="1055" t="n"/>
      <c r="U620" s="331" t="n"/>
      <c r="V620" s="332">
        <f>V617</f>
        <v/>
      </c>
      <c r="W620" s="334" t="n"/>
      <c r="AB620" s="333" t="n"/>
      <c r="AC620" s="334" t="n"/>
      <c r="AE620" s="333" t="n"/>
      <c r="AF620" s="334" t="n"/>
    </row>
    <row r="621">
      <c r="A621" s="342" t="n"/>
      <c r="B621" s="342" t="n"/>
      <c r="C621" s="1058" t="n"/>
      <c r="D621" s="1056" t="n"/>
      <c r="E621" s="1056" t="n"/>
      <c r="F621" s="1057" t="n"/>
      <c r="G621" s="1048" t="n"/>
      <c r="H621" s="1049" t="n"/>
      <c r="I621" s="1058" t="n"/>
      <c r="J621" s="1063" t="n"/>
      <c r="K621" s="1056" t="n"/>
      <c r="L621" s="1057" t="n"/>
      <c r="M621" s="1047" t="n"/>
      <c r="N621" s="1050" t="n"/>
      <c r="O621" s="1052" t="n"/>
      <c r="P621" s="1052" t="n"/>
      <c r="Q621" s="1052" t="n"/>
      <c r="R621" s="1052" t="n"/>
      <c r="S621" s="1058" t="n"/>
      <c r="T621" s="1055" t="n"/>
      <c r="U621" s="331" t="n"/>
      <c r="V621" s="332" t="n"/>
      <c r="W621" s="334" t="n"/>
      <c r="AB621" s="333" t="n"/>
      <c r="AC621" s="334" t="n"/>
      <c r="AE621" s="333" t="n"/>
      <c r="AF621" s="334" t="n"/>
    </row>
    <row r="622">
      <c r="A622" s="416">
        <f>pole1</f>
        <v/>
      </c>
      <c r="B622" s="342" t="n"/>
      <c r="C622" s="1058">
        <f>SQRT(1+(A622/pole1)^2)</f>
        <v/>
      </c>
      <c r="D622" s="1056">
        <f>ATAN(A622/pole1)</f>
        <v/>
      </c>
      <c r="E622" s="1056">
        <f>SQRT(1+(A622/Zero1)^2)</f>
        <v/>
      </c>
      <c r="F622" s="1057">
        <f>ATAN(A622/Zero1)</f>
        <v/>
      </c>
      <c r="G622" s="1048">
        <f>IF(VIN_nom&gt;Vout, 1, SQRT(1+(A622/z_RHP)^2))</f>
        <v/>
      </c>
      <c r="H622" s="1049">
        <f>IF(VIN_nom&gt;Vout, 0, -ATAN(A622/z_RHP))</f>
        <v/>
      </c>
      <c r="I622" s="1058">
        <f>SQRT(1+(A622/Pole2)^2)</f>
        <v/>
      </c>
      <c r="J622" s="1063">
        <f>ATAN(A622/Pole2)</f>
        <v/>
      </c>
      <c r="K622" s="1056">
        <f>SQRT(1+(A622/Zero2)^2)</f>
        <v/>
      </c>
      <c r="L622" s="1057">
        <f>ATAN(A622/Zero2)</f>
        <v/>
      </c>
      <c r="M622" s="1047">
        <f>SQRT(1+(A622/pole4)^2)</f>
        <v/>
      </c>
      <c r="N622" s="1050">
        <f>ATAN(A622/pole4)</f>
        <v/>
      </c>
      <c r="O622" s="1058">
        <f>IF(VOUT_setting=1,1,SQRT(1+(A622*zterm1)^2))</f>
        <v/>
      </c>
      <c r="P622" s="1059">
        <f>IF(VOUT_setting=1,0,ATAN(((A622*zterm1))))</f>
        <v/>
      </c>
      <c r="Q622" s="1056">
        <f>IF(VOUT_setting=1,1,SQRT((1+Afbr-$Q$5*(A622)^2)^2+(A622*$Q$4)^2))</f>
        <v/>
      </c>
      <c r="R622" s="1060">
        <f>IF(VOUT_setting=1,0,ATAN(A622*$Q$4/(1+Afbr-$Q$5*(A622)^2)))</f>
        <v/>
      </c>
      <c r="S622" s="1058">
        <f>SQRT((1-(A622^2/(pole3^2)))^2+(A622/(Q*pole3))^2)</f>
        <v/>
      </c>
      <c r="T622" s="1055">
        <f>ATAN((A622/(Q*pole3))/(1-A622^2/pole3^2))</f>
        <v/>
      </c>
      <c r="U622" s="331">
        <f>20*LOG10(((E622*K622*G622*O622)/(C622*I622*S622*M622*Q622))*Adc)</f>
        <v/>
      </c>
      <c r="V622" s="332">
        <f>((F622+L622+H622+P622)-(D622+J622+T622+N622+R622))*radconv</f>
        <v/>
      </c>
      <c r="W622" s="334">
        <f>IF(V622&gt;0,V622,V622+180)</f>
        <v/>
      </c>
      <c r="X622" s="307" t="inlineStr">
        <is>
          <t>p1</t>
        </is>
      </c>
      <c r="AB622" s="333">
        <f>20*LOG10((K622/(I622*M622))*AEA)</f>
        <v/>
      </c>
      <c r="AC622" s="334">
        <f>(L622-(J622+N622))*radconv</f>
        <v/>
      </c>
      <c r="AE622" s="333">
        <f>20*LOG10((E622*G622/(C622*S622))*Acs*Am)</f>
        <v/>
      </c>
      <c r="AF622" s="334">
        <f>(F622+H622-(D622+T622))*radconv</f>
        <v/>
      </c>
    </row>
    <row r="623">
      <c r="A623" s="416">
        <f>Zero1</f>
        <v/>
      </c>
      <c r="B623" s="342" t="n"/>
      <c r="C623" s="1058">
        <f>SQRT(1+(A623/pole1)^2)</f>
        <v/>
      </c>
      <c r="D623" s="1056">
        <f>ATAN(A623/pole1)</f>
        <v/>
      </c>
      <c r="E623" s="1056">
        <f>SQRT(1+(A623/Zero1)^2)</f>
        <v/>
      </c>
      <c r="F623" s="1057">
        <f>ATAN(A623/Zero1)</f>
        <v/>
      </c>
      <c r="G623" s="1048">
        <f>IF(VIN_nom&gt;Vout, 1, SQRT(1+(A623/z_RHP)^2))</f>
        <v/>
      </c>
      <c r="H623" s="1049">
        <f>IF(VIN_nom&gt;Vout, 0, -ATAN(A623/z_RHP))</f>
        <v/>
      </c>
      <c r="I623" s="1058">
        <f>SQRT(1+(A623/Pole2)^2)</f>
        <v/>
      </c>
      <c r="J623" s="1063">
        <f>ATAN(A623/Pole2)</f>
        <v/>
      </c>
      <c r="K623" s="1056">
        <f>SQRT(1+(A623/Zero2)^2)</f>
        <v/>
      </c>
      <c r="L623" s="1057">
        <f>ATAN(A623/Zero2)</f>
        <v/>
      </c>
      <c r="M623" s="1047">
        <f>SQRT(1+(A623/pole4)^2)</f>
        <v/>
      </c>
      <c r="N623" s="1050">
        <f>ATAN(A623/pole4)</f>
        <v/>
      </c>
      <c r="O623" s="1058">
        <f>IF(VOUT_setting=1,1,SQRT(1+(A623*zterm1)^2))</f>
        <v/>
      </c>
      <c r="P623" s="1059">
        <f>IF(VOUT_setting=1,0,ATAN(((A623*zterm1))))</f>
        <v/>
      </c>
      <c r="Q623" s="1056">
        <f>IF(VOUT_setting=1,1,SQRT((1+Afbr-$Q$5*(A623)^2)^2+(A623*$Q$4)^2))</f>
        <v/>
      </c>
      <c r="R623" s="1060">
        <f>IF(VOUT_setting=1,0,ATAN(A623*$Q$4/(1+Afbr-$Q$5*(A623)^2)))</f>
        <v/>
      </c>
      <c r="S623" s="1058">
        <f>SQRT((1-(A623^2/(pole3^2)))^2+(A623/(Q*pole3))^2)</f>
        <v/>
      </c>
      <c r="T623" s="1055">
        <f>ATAN((A623/(Q*pole3))/(1-A623^2/pole3^2))</f>
        <v/>
      </c>
      <c r="U623" s="331">
        <f>20*LOG10(((E623*K623*G623*O623)/(C623*I623*S623*M623*Q623))*Adc)</f>
        <v/>
      </c>
      <c r="V623" s="332">
        <f>((F623+L623+H623+P623)-(D623+J623+T623+N623+R623))*radconv</f>
        <v/>
      </c>
      <c r="W623" s="334">
        <f>IF(V623&gt;0,V623,V623+180)</f>
        <v/>
      </c>
      <c r="X623" s="307" t="inlineStr">
        <is>
          <t>z1</t>
        </is>
      </c>
      <c r="AB623" s="333">
        <f>20*LOG10((K623/(I623*M623))*AEA)</f>
        <v/>
      </c>
      <c r="AC623" s="334">
        <f>(L623-(J623+N623))*radconv</f>
        <v/>
      </c>
      <c r="AE623" s="333">
        <f>20*LOG10((E623*G623/(C623*S623))*Acs*Am)</f>
        <v/>
      </c>
      <c r="AF623" s="334">
        <f>(F623+H623-(D623+T623))*radconv</f>
        <v/>
      </c>
    </row>
    <row r="624">
      <c r="A624" s="416">
        <f>Pole2</f>
        <v/>
      </c>
      <c r="B624" s="342" t="n"/>
      <c r="C624" s="1058">
        <f>SQRT(1+(A624/pole1)^2)</f>
        <v/>
      </c>
      <c r="D624" s="1056">
        <f>ATAN(A624/pole1)</f>
        <v/>
      </c>
      <c r="E624" s="1056">
        <f>SQRT(1+(A624/Zero1)^2)</f>
        <v/>
      </c>
      <c r="F624" s="1057">
        <f>ATAN(A624/Zero1)</f>
        <v/>
      </c>
      <c r="G624" s="1048">
        <f>IF(VIN_nom&gt;Vout, 1, SQRT(1+(A624/z_RHP)^2))</f>
        <v/>
      </c>
      <c r="H624" s="1049">
        <f>IF(VIN_nom&gt;Vout, 0, -ATAN(A624/z_RHP))</f>
        <v/>
      </c>
      <c r="I624" s="1058">
        <f>SQRT(1+(A624/Pole2)^2)</f>
        <v/>
      </c>
      <c r="J624" s="1063">
        <f>ATAN(A624/Pole2)</f>
        <v/>
      </c>
      <c r="K624" s="1056">
        <f>SQRT(1+(A624/Zero2)^2)</f>
        <v/>
      </c>
      <c r="L624" s="1057">
        <f>ATAN(A624/Zero2)</f>
        <v/>
      </c>
      <c r="M624" s="1047">
        <f>SQRT(1+(A624/pole4)^2)</f>
        <v/>
      </c>
      <c r="N624" s="1050">
        <f>ATAN(A624/pole4)</f>
        <v/>
      </c>
      <c r="O624" s="1058">
        <f>IF(VOUT_setting=1,1,SQRT(1+(A624*zterm1)^2))</f>
        <v/>
      </c>
      <c r="P624" s="1059">
        <f>IF(VOUT_setting=1,0,ATAN(((A624*zterm1))))</f>
        <v/>
      </c>
      <c r="Q624" s="1056">
        <f>IF(VOUT_setting=1,1,SQRT((1+Afbr-$Q$5*(A624)^2)^2+(A624*$Q$4)^2))</f>
        <v/>
      </c>
      <c r="R624" s="1060">
        <f>IF(VOUT_setting=1,0,ATAN(A624*$Q$4/(1+Afbr-$Q$5*(A624)^2)))</f>
        <v/>
      </c>
      <c r="S624" s="1058">
        <f>SQRT((1-(A624^2/(pole3^2)))^2+(A624/(Q*pole3))^2)</f>
        <v/>
      </c>
      <c r="T624" s="1055">
        <f>ATAN((A624/(Q*pole3))/(1-A624^2/pole3^2))</f>
        <v/>
      </c>
      <c r="U624" s="331">
        <f>20*LOG10(((E624*K624*G624*O624)/(C624*I624*S624*M624*Q624))*Adc)</f>
        <v/>
      </c>
      <c r="V624" s="332">
        <f>((F624+L624+H624+P624)-(D624+J624+T624+N624+R624))*radconv</f>
        <v/>
      </c>
      <c r="W624" s="334">
        <f>IF(V624&gt;0,V624,V624+180)</f>
        <v/>
      </c>
      <c r="X624" s="307" t="inlineStr">
        <is>
          <t>p2</t>
        </is>
      </c>
      <c r="AA624" s="307">
        <f>Pole2</f>
        <v/>
      </c>
      <c r="AB624" s="333">
        <f>20*LOG10((K624/(I624*M624))*AEA)</f>
        <v/>
      </c>
      <c r="AC624" s="334">
        <f>(L624-(J624+N624))*radconv</f>
        <v/>
      </c>
      <c r="AE624" s="333">
        <f>20*LOG10((E624*G624/(C624*S624))*Acs*Am)</f>
        <v/>
      </c>
      <c r="AF624" s="334">
        <f>(F624+H624-(D624+T624))*radconv</f>
        <v/>
      </c>
    </row>
    <row r="625">
      <c r="A625" s="416">
        <f>Zero2</f>
        <v/>
      </c>
      <c r="B625" s="342" t="n"/>
      <c r="C625" s="1058">
        <f>SQRT(1+(A625/pole1)^2)</f>
        <v/>
      </c>
      <c r="D625" s="1056">
        <f>ATAN(A625/pole1)</f>
        <v/>
      </c>
      <c r="E625" s="1056">
        <f>SQRT(1+(A625/Zero1)^2)</f>
        <v/>
      </c>
      <c r="F625" s="1057">
        <f>ATAN(A625/Zero1)</f>
        <v/>
      </c>
      <c r="G625" s="1048">
        <f>IF(VIN_nom&gt;Vout, 1, SQRT(1+(A625/z_RHP)^2))</f>
        <v/>
      </c>
      <c r="H625" s="1049">
        <f>IF(VIN_nom&gt;Vout, 0, -ATAN(A625/z_RHP))</f>
        <v/>
      </c>
      <c r="I625" s="1058">
        <f>SQRT(1+(A625/Pole2)^2)</f>
        <v/>
      </c>
      <c r="J625" s="1063">
        <f>ATAN(A625/Pole2)</f>
        <v/>
      </c>
      <c r="K625" s="1056">
        <f>SQRT(1+(A625/Zero2)^2)</f>
        <v/>
      </c>
      <c r="L625" s="1057">
        <f>ATAN(A625/Zero2)</f>
        <v/>
      </c>
      <c r="M625" s="1047">
        <f>SQRT(1+(A625/pole4)^2)</f>
        <v/>
      </c>
      <c r="N625" s="1050">
        <f>ATAN(A625/pole4)</f>
        <v/>
      </c>
      <c r="O625" s="1058">
        <f>IF(VOUT_setting=1,1,SQRT(1+(A625*zterm1)^2))</f>
        <v/>
      </c>
      <c r="P625" s="1059">
        <f>IF(VOUT_setting=1,0,ATAN(((A625*zterm1))))</f>
        <v/>
      </c>
      <c r="Q625" s="1056">
        <f>IF(VOUT_setting=1,1,SQRT((1+Afbr-$Q$5*(A625)^2)^2+(A625*$Q$4)^2))</f>
        <v/>
      </c>
      <c r="R625" s="1060">
        <f>IF(VOUT_setting=1,0,ATAN(A625*$Q$4/(1+Afbr-$Q$5*(A625)^2)))</f>
        <v/>
      </c>
      <c r="S625" s="1058">
        <f>SQRT((1-(A625^2/(pole3^2)))^2+(A625/(Q*pole3))^2)</f>
        <v/>
      </c>
      <c r="T625" s="1055">
        <f>ATAN((A625/(Q*pole3))/(1-A625^2/pole3^2))</f>
        <v/>
      </c>
      <c r="U625" s="331">
        <f>20*LOG10(((E625*K625*G625*O625)/(C625*I625*S625*M625*Q625))*Adc)</f>
        <v/>
      </c>
      <c r="V625" s="332">
        <f>((F625+L625+H625+P625)-(D625+J625+T625+N625+R625))*radconv</f>
        <v/>
      </c>
      <c r="W625" s="334">
        <f>IF(V625&gt;0,V625,V625+180)</f>
        <v/>
      </c>
      <c r="X625" s="307" t="inlineStr">
        <is>
          <t>z2</t>
        </is>
      </c>
      <c r="AA625" s="307">
        <f>Zero2</f>
        <v/>
      </c>
      <c r="AB625" s="333">
        <f>20*LOG10((K625/(I625*M625))*AEA)</f>
        <v/>
      </c>
      <c r="AC625" s="334">
        <f>(L625-(J625+N625))*radconv</f>
        <v/>
      </c>
      <c r="AE625" s="333">
        <f>20*LOG10((E625*G625/(C625*S625))*Acs*Am)</f>
        <v/>
      </c>
      <c r="AF625" s="334">
        <f>(F625+H625-(D625+T625))*radconv</f>
        <v/>
      </c>
    </row>
    <row r="626">
      <c r="A626" s="416">
        <f>pole3</f>
        <v/>
      </c>
      <c r="B626" s="342" t="n"/>
      <c r="C626" s="1058">
        <f>SQRT(1+(A626/pole1)^2)</f>
        <v/>
      </c>
      <c r="D626" s="1056">
        <f>ATAN(A626/pole1)</f>
        <v/>
      </c>
      <c r="E626" s="1056">
        <f>SQRT(1+(A626/Zero1)^2)</f>
        <v/>
      </c>
      <c r="F626" s="1057">
        <f>ATAN(A626/Zero1)</f>
        <v/>
      </c>
      <c r="G626" s="1048">
        <f>IF(VIN_nom&gt;Vout, 1, SQRT(1+(A626/z_RHP)^2))</f>
        <v/>
      </c>
      <c r="H626" s="1049">
        <f>IF(VIN_nom&gt;Vout, 0, -ATAN(A626/z_RHP))</f>
        <v/>
      </c>
      <c r="I626" s="1058">
        <f>SQRT(1+(A626/Pole2)^2)</f>
        <v/>
      </c>
      <c r="J626" s="1063">
        <f>ATAN(A626/Pole2)</f>
        <v/>
      </c>
      <c r="K626" s="1056">
        <f>SQRT(1+(A626/Zero2)^2)</f>
        <v/>
      </c>
      <c r="L626" s="1057">
        <f>ATAN(A626/Zero2)</f>
        <v/>
      </c>
      <c r="M626" s="1047">
        <f>SQRT(1+(A626/pole4)^2)</f>
        <v/>
      </c>
      <c r="N626" s="1050">
        <f>ATAN(A626/pole4)</f>
        <v/>
      </c>
      <c r="O626" s="1058">
        <f>IF(VOUT_setting=1,1,SQRT(1+(A626*zterm1)^2))</f>
        <v/>
      </c>
      <c r="P626" s="1059">
        <f>IF(VOUT_setting=1,0,ATAN(((A626*zterm1))))</f>
        <v/>
      </c>
      <c r="Q626" s="1056">
        <f>IF(VOUT_setting=1,1,SQRT((1+Afbr-$Q$5*(A626)^2)^2+(A626*$Q$4)^2))</f>
        <v/>
      </c>
      <c r="R626" s="1060">
        <f>IF(VOUT_setting=1,0,ATAN(A626*$Q$4/(1+Afbr-$Q$5*(A626)^2)))</f>
        <v/>
      </c>
      <c r="S626" s="1058">
        <f>SQRT((1-(A626^2/(pole3^2)))^2+(A626/(Q*pole3))^2)</f>
        <v/>
      </c>
      <c r="T626" s="1055">
        <f>ATAN((A626/(Q*pole3))/(1-A626^2/pole3^2))</f>
        <v/>
      </c>
      <c r="U626" s="331">
        <f>20*LOG10(((E626*K626*G626*O626)/(C626*I626*S626*M626*Q626))*Adc)</f>
        <v/>
      </c>
      <c r="V626" s="332">
        <f>((F626+L626+H626+P626)-(D626+J626+T626+N626+R626))*radconv</f>
        <v/>
      </c>
      <c r="W626" s="334">
        <f>IF(V626&gt;0,V626,V626+180)</f>
        <v/>
      </c>
      <c r="X626" s="307" t="inlineStr">
        <is>
          <t>p3</t>
        </is>
      </c>
      <c r="AB626" s="333">
        <f>20*LOG10((K626/(I626*M626))*AEA)</f>
        <v/>
      </c>
      <c r="AC626" s="334">
        <f>(L626-(J626+N626))*radconv</f>
        <v/>
      </c>
      <c r="AE626" s="333">
        <f>20*LOG10((E626*G626/(C626*S626))*Acs*Am)</f>
        <v/>
      </c>
      <c r="AF626" s="334">
        <f>(F626+H626-(D626+T626))*radconv</f>
        <v/>
      </c>
    </row>
    <row r="627" ht="13.5" customHeight="1" thickBot="1">
      <c r="A627" s="393">
        <f>Fp2_u</f>
        <v/>
      </c>
      <c r="C627" s="1058">
        <f>SQRT(1+(A627/pole1)^2)</f>
        <v/>
      </c>
      <c r="D627" s="1056">
        <f>ATAN(A627/pole1)</f>
        <v/>
      </c>
      <c r="E627" s="1056">
        <f>SQRT(1+(A627/Zero1)^2)</f>
        <v/>
      </c>
      <c r="F627" s="1057">
        <f>ATAN(A627/Zero1)</f>
        <v/>
      </c>
      <c r="G627" s="1048">
        <f>IF(VIN_nom&gt;Vout, 1, SQRT(1+(A627/z_RHP)^2))</f>
        <v/>
      </c>
      <c r="H627" s="1049">
        <f>IF(VIN_nom&gt;Vout, 0, -ATAN(A627/z_RHP))</f>
        <v/>
      </c>
      <c r="I627" s="1058">
        <f>SQRT(1+(A627/Pole2)^2)</f>
        <v/>
      </c>
      <c r="J627" s="1063">
        <f>ATAN(A627/Pole2)</f>
        <v/>
      </c>
      <c r="K627" s="1056">
        <f>SQRT(1+(A627/Zero2)^2)</f>
        <v/>
      </c>
      <c r="L627" s="1057">
        <f>ATAN(A627/Zero2)</f>
        <v/>
      </c>
      <c r="M627" s="1047">
        <f>SQRT(1+(A627/pole4)^2)</f>
        <v/>
      </c>
      <c r="N627" s="1050">
        <f>ATAN(A627/pole4)</f>
        <v/>
      </c>
      <c r="O627" s="1058">
        <f>IF(VOUT_setting=1,1,SQRT(1+(A627*zterm1)^2))</f>
        <v/>
      </c>
      <c r="P627" s="1059">
        <f>IF(VOUT_setting=1,0,ATAN(((A627*zterm1))))</f>
        <v/>
      </c>
      <c r="Q627" s="1056">
        <f>IF(VOUT_setting=1,1,SQRT((1+Afbr-$Q$5*(A627)^2)^2+(A627*$Q$4)^2))</f>
        <v/>
      </c>
      <c r="R627" s="1060">
        <f>IF(VOUT_setting=1,0,ATAN(A627*$Q$4/(1+Afbr-$Q$5*(A627)^2)))</f>
        <v/>
      </c>
      <c r="S627" s="1058">
        <f>SQRT((1-(A627^2/(pole3^2)))^2+(A627/(Q*pole3))^2)</f>
        <v/>
      </c>
      <c r="T627" s="1055">
        <f>ATAN((A627/(Q*pole3))/(1-A627^2/pole3^2))</f>
        <v/>
      </c>
      <c r="U627" s="331">
        <f>20*LOG10(((E627*K627*G627*O627)/(C627*I627*S627*M627*Q627))*Adc)</f>
        <v/>
      </c>
      <c r="V627" s="332">
        <f>((F627+L627+H627+P627)-(D627+J627+T627+N627+R627))*radconv</f>
        <v/>
      </c>
      <c r="W627" s="334">
        <f>IF(V627&gt;0,V627,V627+180)</f>
        <v/>
      </c>
      <c r="X627" s="307" t="inlineStr">
        <is>
          <t>p4</t>
        </is>
      </c>
      <c r="AB627" s="345" t="n"/>
      <c r="AC627" s="346" t="n"/>
      <c r="AE627" s="333">
        <f>20*LOG10((E627*G627/(C627*S627))*Acs*Am)</f>
        <v/>
      </c>
      <c r="AF627" s="334">
        <f>(F627+H627-(D627+T627))*radconv</f>
        <v/>
      </c>
    </row>
    <row r="628">
      <c r="A628" s="393">
        <f>z_RHP</f>
        <v/>
      </c>
      <c r="C628" s="1058">
        <f>SQRT(1+(A628/pole1)^2)</f>
        <v/>
      </c>
      <c r="D628" s="1056">
        <f>ATAN(A628/pole1)</f>
        <v/>
      </c>
      <c r="E628" s="1056">
        <f>SQRT(1+(A628/Zero1)^2)</f>
        <v/>
      </c>
      <c r="F628" s="1057">
        <f>ATAN(A628/Zero1)</f>
        <v/>
      </c>
      <c r="G628" s="1048">
        <f>IF(VIN_nom&gt;Vout, 1, SQRT(1+(A628/z_RHP)^2))</f>
        <v/>
      </c>
      <c r="H628" s="1049">
        <f>IF(VIN_nom&gt;Vout, 0, -ATAN(A628/z_RHP))</f>
        <v/>
      </c>
      <c r="I628" s="1058">
        <f>SQRT(1+(A628/Pole2)^2)</f>
        <v/>
      </c>
      <c r="J628" s="1063">
        <f>ATAN(A628/Pole2)</f>
        <v/>
      </c>
      <c r="K628" s="1056">
        <f>SQRT(1+(A628/Zero2)^2)</f>
        <v/>
      </c>
      <c r="L628" s="1057">
        <f>ATAN(A628/Zero2)</f>
        <v/>
      </c>
      <c r="M628" s="1047">
        <f>SQRT(1+(A628/pole4)^2)</f>
        <v/>
      </c>
      <c r="N628" s="1050">
        <f>ATAN(A628/pole4)</f>
        <v/>
      </c>
      <c r="O628" s="1058">
        <f>IF(VOUT_setting=1,1,SQRT(1+(A628*zterm1)^2))</f>
        <v/>
      </c>
      <c r="P628" s="1059">
        <f>IF(VOUT_setting=1,0,ATAN(((A628*zterm1))))</f>
        <v/>
      </c>
      <c r="Q628" s="1056">
        <f>IF(VOUT_setting=1,1,SQRT((1+Afbr-$Q$5*(A628)^2)^2+(A628*$Q$4)^2))</f>
        <v/>
      </c>
      <c r="R628" s="1060">
        <f>IF(VOUT_setting=1,0,ATAN(A628*$Q$4/(1+Afbr-$Q$5*(A628)^2)))</f>
        <v/>
      </c>
      <c r="S628" s="1058">
        <f>SQRT((1-(A628^2/(pole3^2)))^2+(A628/(Q*pole3))^2)</f>
        <v/>
      </c>
      <c r="T628" s="1055">
        <f>ATAN((A628/(Q*pole3))/(1-A628^2/pole3^2))</f>
        <v/>
      </c>
      <c r="U628" s="331">
        <f>20*LOG10(((E628*K628*G628*O628)/(C628*I628*S628*M628*Q628))*Adc)</f>
        <v/>
      </c>
      <c r="V628" s="332">
        <f>((F628+L628+H628+P628)-(D628+J628+T628+N628+R628))*radconv</f>
        <v/>
      </c>
      <c r="W628" s="334">
        <f>IF(V628&gt;0,V628,V628+180)</f>
        <v/>
      </c>
      <c r="X628" s="307" t="inlineStr">
        <is>
          <t>z_RHP</t>
        </is>
      </c>
      <c r="AB628" s="341" t="n"/>
      <c r="AC628" s="341" t="n"/>
      <c r="AE628" s="333">
        <f>20*LOG10((E628*G628/(C628*S628))*Acs*Am)</f>
        <v/>
      </c>
      <c r="AF628" s="334">
        <f>(F628+H628-(D628+T628))*radconv</f>
        <v/>
      </c>
    </row>
    <row r="629">
      <c r="A629" s="393">
        <f>Fp2_u</f>
        <v/>
      </c>
      <c r="U629" s="331" t="n">
        <v>-25</v>
      </c>
    </row>
    <row r="631">
      <c r="D631" s="307" t="inlineStr">
        <is>
          <t>System</t>
        </is>
      </c>
      <c r="E631" s="307" t="inlineStr">
        <is>
          <t>Plant</t>
        </is>
      </c>
    </row>
    <row r="632">
      <c r="A632" s="307" t="inlineStr">
        <is>
          <t>p1</t>
        </is>
      </c>
      <c r="B632" s="307" t="inlineStr">
        <is>
          <t>p-dom</t>
        </is>
      </c>
      <c r="C632" s="347">
        <f>pole1</f>
        <v/>
      </c>
      <c r="D632" s="347">
        <f>U622</f>
        <v/>
      </c>
      <c r="E632" s="347">
        <f>AE622</f>
        <v/>
      </c>
    </row>
    <row r="633">
      <c r="A633" s="307" t="inlineStr">
        <is>
          <t>z1</t>
        </is>
      </c>
      <c r="B633" s="307" t="inlineStr">
        <is>
          <t>ESR zero</t>
        </is>
      </c>
      <c r="C633" s="347">
        <f>Zero1</f>
        <v/>
      </c>
      <c r="D633" s="347">
        <f>U623</f>
        <v/>
      </c>
      <c r="E633" s="347">
        <f>AE623</f>
        <v/>
      </c>
    </row>
    <row r="634">
      <c r="A634" s="307" t="inlineStr">
        <is>
          <t>p2</t>
        </is>
      </c>
      <c r="B634" s="307" t="inlineStr">
        <is>
          <t>EA pole</t>
        </is>
      </c>
      <c r="C634" s="347">
        <f>Pole2</f>
        <v/>
      </c>
      <c r="D634" s="347">
        <f>U624</f>
        <v/>
      </c>
      <c r="E634" s="347">
        <f>AE624</f>
        <v/>
      </c>
    </row>
    <row r="635">
      <c r="A635" s="307" t="inlineStr">
        <is>
          <t>z2</t>
        </is>
      </c>
      <c r="B635" s="307" t="inlineStr">
        <is>
          <t>EA zero</t>
        </is>
      </c>
      <c r="C635" s="347">
        <f>Zero2</f>
        <v/>
      </c>
      <c r="D635" s="347">
        <f>U625</f>
        <v/>
      </c>
      <c r="E635" s="347">
        <f>AE625</f>
        <v/>
      </c>
    </row>
    <row r="636">
      <c r="A636" s="307" t="inlineStr">
        <is>
          <t>p3</t>
        </is>
      </c>
      <c r="B636" s="307" t="inlineStr">
        <is>
          <t>p_sampling</t>
        </is>
      </c>
      <c r="C636" s="307">
        <f>pole3</f>
        <v/>
      </c>
      <c r="D636" s="347">
        <f>U626</f>
        <v/>
      </c>
      <c r="E636" s="347">
        <f>AE626</f>
        <v/>
      </c>
    </row>
    <row r="637">
      <c r="C637" s="393" t="n"/>
      <c r="D637" s="347" t="n"/>
      <c r="E637" s="347" t="n"/>
    </row>
    <row r="639">
      <c r="A639" s="347">
        <f>U4*1000</f>
        <v/>
      </c>
    </row>
    <row r="640">
      <c r="A640" s="347">
        <f>U4*1000</f>
        <v/>
      </c>
    </row>
    <row r="687">
      <c r="AH687" t="inlineStr">
        <is>
          <t>phase margin</t>
        </is>
      </c>
      <c r="AI687" s="4">
        <f>SUM(AI689:AI1306)</f>
        <v/>
      </c>
    </row>
  </sheetData>
  <mergeCells count="24">
    <mergeCell ref="C10:H10"/>
    <mergeCell ref="G11:H11"/>
    <mergeCell ref="I11:J11"/>
    <mergeCell ref="T2:V2"/>
    <mergeCell ref="E2:G2"/>
    <mergeCell ref="K11:L11"/>
    <mergeCell ref="M11:N11"/>
    <mergeCell ref="S11:T11"/>
    <mergeCell ref="A10:A12"/>
    <mergeCell ref="O10:R10"/>
    <mergeCell ref="B10:B11"/>
    <mergeCell ref="J2:L2"/>
    <mergeCell ref="S10:T10"/>
    <mergeCell ref="I10:N10"/>
    <mergeCell ref="C11:D11"/>
    <mergeCell ref="U10:W10"/>
    <mergeCell ref="E11:F11"/>
    <mergeCell ref="AE10:AF10"/>
    <mergeCell ref="P2:S2"/>
    <mergeCell ref="O11:P11"/>
    <mergeCell ref="Q11:R11"/>
    <mergeCell ref="AB10:AC10"/>
    <mergeCell ref="A2:D2"/>
    <mergeCell ref="M2:O2"/>
  </mergeCells>
  <pageMargins left="0.75" right="0.75" top="1" bottom="1" header="0.5" footer="0.5"/>
  <pageSetup orientation="portrait" scale="48" horizontalDpi="300" verticalDpi="300"/>
  <colBreaks count="1" manualBreakCount="1">
    <brk id="23" min="0" max="1048575" man="1"/>
  </colBreaks>
  <drawing xmlns:r="http://schemas.openxmlformats.org/officeDocument/2006/relationships" r:id="rId1"/>
</worksheet>
</file>

<file path=xl/worksheets/sheet9.xml><?xml version="1.0" encoding="utf-8"?>
<worksheet xmlns="http://schemas.openxmlformats.org/spreadsheetml/2006/main">
  <sheetPr codeName="Sheet11">
    <outlinePr summaryBelow="1" summaryRight="1"/>
    <pageSetUpPr/>
  </sheetPr>
  <dimension ref="A1:N9"/>
  <sheetViews>
    <sheetView topLeftCell="A7" zoomScaleNormal="100" workbookViewId="0">
      <selection activeCell="B19" sqref="B19"/>
    </sheetView>
  </sheetViews>
  <sheetFormatPr baseColWidth="8" defaultRowHeight="12.75"/>
  <cols>
    <col width="10.5703125" customWidth="1" min="1" max="1"/>
    <col width="129.28515625" customWidth="1" min="2" max="2"/>
  </cols>
  <sheetData>
    <row r="1">
      <c r="J1" s="113" t="inlineStr">
        <is>
          <t>Single or dual output (MODE)</t>
        </is>
      </c>
      <c r="N1" s="113" t="inlineStr">
        <is>
          <t>3.3V or 5V fixed (FB1/2)</t>
        </is>
      </c>
    </row>
    <row r="2">
      <c r="A2">
        <f>CHOOSE(BODE_PLOT_TYPE, "BODE_PLOT_Ch1", "BODE_PLOT_Ch2")</f>
        <v/>
      </c>
      <c r="J2" s="113" t="inlineStr">
        <is>
          <t>With/without dither (DITH)</t>
        </is>
      </c>
      <c r="N2" s="113" t="inlineStr">
        <is>
          <t>With/without VOUT connected to VCCX</t>
        </is>
      </c>
    </row>
    <row r="3">
      <c r="J3" s="113" t="inlineStr">
        <is>
          <t>FPWM or DEM (DEMB)</t>
        </is>
      </c>
    </row>
    <row r="4">
      <c r="J4" s="113" t="inlineStr">
        <is>
          <t>Shunt or inductor DCR current sensing</t>
        </is>
      </c>
    </row>
    <row r="5" ht="409.5" customHeight="1">
      <c r="B5" s="521" t="n"/>
    </row>
    <row r="6" ht="12" customHeight="1">
      <c r="B6" s="521" t="n"/>
      <c r="F6">
        <f>INDIRECT(A2)</f>
        <v/>
      </c>
    </row>
    <row r="7" ht="34.5" customHeight="1"/>
    <row r="8" ht="409.5" customHeight="1">
      <c r="B8" s="521" t="n"/>
    </row>
    <row r="9">
      <c r="B9" s="521" t="n"/>
    </row>
  </sheetData>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codeName="Sheet13">
    <tabColor rgb="FF92D050"/>
    <outlinePr summaryBelow="1" summaryRight="1"/>
    <pageSetUpPr/>
  </sheetPr>
  <dimension ref="A1:BM209"/>
  <sheetViews>
    <sheetView zoomScaleNormal="100" workbookViewId="0">
      <pane ySplit="8" topLeftCell="A33" activePane="bottomLeft" state="frozen"/>
      <selection activeCell="F1" sqref="F1"/>
      <selection pane="bottomLeft" activeCell="B67" sqref="B67"/>
    </sheetView>
  </sheetViews>
  <sheetFormatPr baseColWidth="8" defaultRowHeight="12.75"/>
  <cols>
    <col width="19.7109375" customWidth="1" min="1" max="1"/>
    <col width="13.140625" bestFit="1" customWidth="1" min="2" max="2"/>
    <col width="74.5703125" customWidth="1" min="4" max="4"/>
    <col width="9.140625" customWidth="1" min="6" max="6"/>
    <col width="6.7109375" customWidth="1" min="7" max="7"/>
    <col width="9.140625" customWidth="1" style="530" min="8" max="8"/>
    <col width="9.7109375" customWidth="1" min="9" max="10"/>
    <col width="8.140625" customWidth="1" min="11" max="11"/>
    <col width="7.42578125" customWidth="1" min="12" max="12"/>
    <col width="10.7109375" customWidth="1" style="982" min="13" max="13"/>
    <col width="8.7109375" customWidth="1" style="4" min="14" max="16"/>
    <col width="12.140625" customWidth="1" style="4" min="17" max="17"/>
    <col width="8" customWidth="1" style="4" min="18" max="18"/>
    <col width="9.42578125" customWidth="1" style="989" min="19" max="19"/>
    <col width="8" customWidth="1" min="20" max="20"/>
    <col width="9.28515625" customWidth="1" min="21" max="21"/>
    <col width="8.7109375" customWidth="1" style="4" min="22" max="22"/>
    <col width="9.7109375" customWidth="1" min="23" max="23"/>
    <col width="10.7109375" customWidth="1" min="24" max="24"/>
    <col width="9.7109375" customWidth="1" style="989" min="25" max="25"/>
    <col width="10.5703125" customWidth="1" min="26" max="26"/>
    <col width="8.5703125" customWidth="1" min="28" max="29"/>
    <col width="11.7109375" customWidth="1" min="30" max="30"/>
    <col width="12.7109375" customWidth="1" min="31" max="31"/>
    <col width="8" customWidth="1" min="32" max="32"/>
    <col width="9.7109375" customWidth="1" min="33" max="33"/>
    <col width="8.7109375" customWidth="1" min="34" max="35"/>
    <col width="10.5703125" customWidth="1" min="36" max="36"/>
    <col width="10.28515625" customWidth="1" min="37" max="37"/>
    <col width="13.7109375" customWidth="1" min="38" max="38"/>
    <col width="12" customWidth="1" style="989" min="39" max="39"/>
    <col width="11.5703125" customWidth="1" min="40" max="40"/>
    <col width="9.28515625" customWidth="1" min="41" max="41"/>
    <col width="10.42578125" customWidth="1" min="42" max="43"/>
    <col width="14.7109375" customWidth="1" min="44" max="44"/>
    <col width="8.42578125" customWidth="1" style="4" min="46" max="46"/>
    <col width="7.28515625" customWidth="1" min="47" max="47"/>
    <col width="10.140625" customWidth="1" style="9" min="48" max="48"/>
    <col width="12.42578125" customWidth="1" style="366" min="49" max="49"/>
    <col width="11.42578125" customWidth="1" style="366" min="50" max="50"/>
    <col width="3.28515625" customWidth="1" min="51" max="51"/>
    <col width="7.7109375" customWidth="1" style="982" min="52" max="52"/>
    <col width="9.140625" customWidth="1" style="989" min="53" max="53"/>
    <col width="10.28515625" customWidth="1" style="989" min="54" max="54"/>
    <col width="12.140625" customWidth="1" style="989" min="55" max="55"/>
    <col width="8.7109375" customWidth="1" style="989" min="56" max="56"/>
    <col width="7.7109375" customWidth="1" min="57" max="57"/>
    <col width="28.42578125" customWidth="1" min="61" max="61"/>
    <col width="12.42578125" bestFit="1" customWidth="1" min="64" max="64"/>
  </cols>
  <sheetData>
    <row r="1" ht="12.75" customHeight="1">
      <c r="A1" s="884" t="inlineStr">
        <is>
          <t>BUCK CONTROLLER POWER DESIGN TOOL</t>
        </is>
      </c>
    </row>
    <row r="2" ht="12.75" customHeight="1">
      <c r="H2" s="535">
        <f>AV19</f>
        <v/>
      </c>
      <c r="I2" s="113" t="inlineStr">
        <is>
          <t>10% load</t>
        </is>
      </c>
      <c r="J2" s="113" t="n"/>
      <c r="AK2" s="113" t="n"/>
    </row>
    <row r="3" ht="12.75" customHeight="1">
      <c r="H3" s="535">
        <f>AV59</f>
        <v/>
      </c>
      <c r="I3" s="113" t="inlineStr">
        <is>
          <t>50% load</t>
        </is>
      </c>
      <c r="J3" s="113" t="n"/>
      <c r="AK3" s="113" t="n"/>
      <c r="AP3">
        <f>IF(MODE=1, (Qg_Q1+Qg_Q2)*Fsw*Vin, (Qg_Q1+Qg_Q2+Qg_Q3+Qg_Q4)*Fsw*Vin)</f>
        <v/>
      </c>
    </row>
    <row r="4" ht="12.75" customHeight="1">
      <c r="H4" s="535">
        <f>AV109</f>
        <v/>
      </c>
      <c r="I4" s="113" t="inlineStr">
        <is>
          <t>100% load</t>
        </is>
      </c>
      <c r="J4" s="113" t="n"/>
      <c r="AK4" s="113" t="n"/>
      <c r="AO4" s="113" t="inlineStr">
        <is>
          <t>I_VCC</t>
        </is>
      </c>
      <c r="AP4">
        <f>(Qg_Q1+Qg_Q2)*Fsw*1000</f>
        <v/>
      </c>
      <c r="AQ4" s="113" t="inlineStr">
        <is>
          <t>mA</t>
        </is>
      </c>
      <c r="AR4">
        <f>AP4*5/1000</f>
        <v/>
      </c>
    </row>
    <row r="5">
      <c r="A5" s="10" t="n"/>
      <c r="B5" s="11" t="n"/>
      <c r="C5" s="6" t="n"/>
      <c r="D5" s="6" t="n"/>
    </row>
    <row r="6" ht="13.5" customHeight="1" thickBot="1">
      <c r="A6" s="885" t="inlineStr">
        <is>
          <t>Enter the values of your design and MOSFET datasheet specifications below. Note that thermal resistance (θJA) will change when components are placed on the PCB</t>
        </is>
      </c>
    </row>
    <row r="7" ht="13.5" customHeight="1" thickBot="1">
      <c r="G7" s="1065" t="inlineStr">
        <is>
          <t>Operating Point Condtions</t>
        </is>
      </c>
      <c r="H7" s="936" t="n"/>
      <c r="I7" s="936" t="n"/>
      <c r="J7" s="936" t="n"/>
      <c r="K7" s="936" t="n"/>
      <c r="L7" s="936" t="n"/>
      <c r="M7" s="936" t="n"/>
      <c r="N7" s="1028" t="n"/>
      <c r="O7" s="878" t="n"/>
      <c r="P7" s="878" t="n"/>
      <c r="Q7" s="878" t="n"/>
      <c r="R7" s="1065" t="inlineStr">
        <is>
          <t>Filter Inductor</t>
        </is>
      </c>
      <c r="S7" s="936" t="n"/>
      <c r="T7" s="936" t="n"/>
      <c r="U7" s="1028" t="n"/>
      <c r="V7" s="1066" t="inlineStr">
        <is>
          <t>Cout</t>
        </is>
      </c>
      <c r="W7" s="936" t="n"/>
      <c r="X7" s="1028" t="n"/>
      <c r="Y7" s="1065" t="inlineStr">
        <is>
          <t>Cin</t>
        </is>
      </c>
      <c r="Z7" s="936" t="n"/>
      <c r="AA7" s="1028" t="n"/>
      <c r="AB7" s="1065" t="inlineStr">
        <is>
          <t xml:space="preserve">High-side BUCK "Control" MOSFET Losses </t>
        </is>
      </c>
      <c r="AC7" s="936" t="n"/>
      <c r="AD7" s="936" t="n"/>
      <c r="AE7" s="936" t="n"/>
      <c r="AF7" s="936" t="n"/>
      <c r="AG7" s="1028" t="n"/>
      <c r="AH7" s="1065" t="inlineStr">
        <is>
          <t xml:space="preserve">Low-side BUCK "Sync" MOSFET Losses </t>
        </is>
      </c>
      <c r="AI7" s="936" t="n"/>
      <c r="AJ7" s="936" t="n"/>
      <c r="AK7" s="1028" t="n"/>
      <c r="AL7" s="453" t="inlineStr">
        <is>
          <t>External Diode</t>
        </is>
      </c>
      <c r="AM7" s="1067" t="inlineStr">
        <is>
          <t>Diode/FET</t>
        </is>
      </c>
      <c r="AN7" s="454" t="inlineStr">
        <is>
          <t>Sense Rs</t>
        </is>
      </c>
      <c r="AO7" s="1068" t="inlineStr">
        <is>
          <t>Controller IC Losses</t>
        </is>
      </c>
      <c r="AP7" s="1069" t="n"/>
      <c r="AQ7" s="1069" t="n"/>
      <c r="AR7" s="1069" t="n"/>
      <c r="AS7" s="1070" t="n"/>
      <c r="AT7" s="877" t="inlineStr">
        <is>
          <t>RESULTS</t>
        </is>
      </c>
      <c r="AU7" s="936" t="n"/>
      <c r="AV7" s="936" t="n"/>
      <c r="AW7" s="936" t="n"/>
      <c r="AX7" s="936" t="n"/>
      <c r="AY7" s="527" t="n"/>
      <c r="AZ7" s="876" t="inlineStr">
        <is>
          <t>Consolidated Buck/Boost Efficiency &amp; Losses</t>
        </is>
      </c>
    </row>
    <row r="8" ht="64.5" customHeight="1" thickBot="1">
      <c r="A8" s="569" t="inlineStr">
        <is>
          <t>Input Parameters</t>
        </is>
      </c>
      <c r="B8" s="13" t="n"/>
      <c r="C8" s="13" t="n"/>
      <c r="D8" s="6" t="n"/>
      <c r="G8" s="438" t="inlineStr">
        <is>
          <t>Step</t>
        </is>
      </c>
      <c r="H8" s="522" t="inlineStr">
        <is>
          <t>Vin</t>
        </is>
      </c>
      <c r="I8" s="522" t="inlineStr">
        <is>
          <t>Mode</t>
        </is>
      </c>
      <c r="J8" s="522" t="inlineStr">
        <is>
          <t>Iout</t>
        </is>
      </c>
      <c r="K8" s="439" t="inlineStr">
        <is>
          <t>Iout/ phase</t>
        </is>
      </c>
      <c r="L8" s="439" t="inlineStr">
        <is>
          <t>Iin</t>
        </is>
      </c>
      <c r="M8" s="1071" t="inlineStr">
        <is>
          <t>Duty Cycle BUCK Leg</t>
        </is>
      </c>
      <c r="N8" s="524" t="inlineStr">
        <is>
          <t>Ripple Current pk-pk</t>
        </is>
      </c>
      <c r="O8" s="592" t="inlineStr">
        <is>
          <t>Peak Inductor Current</t>
        </is>
      </c>
      <c r="P8" s="592" t="inlineStr">
        <is>
          <t>Valley Inductor Current</t>
        </is>
      </c>
      <c r="Q8" s="592" t="inlineStr">
        <is>
          <t>SW node voltage at Q1 turn-on</t>
        </is>
      </c>
      <c r="R8" s="523" t="inlineStr">
        <is>
          <t>Irms Lf</t>
        </is>
      </c>
      <c r="S8" s="1072" t="inlineStr">
        <is>
          <t>DCR    Loss</t>
        </is>
      </c>
      <c r="T8" s="439" t="inlineStr">
        <is>
          <t>Core Loss</t>
        </is>
      </c>
      <c r="U8" s="440" t="inlineStr">
        <is>
          <t>Total Inductor Loss</t>
        </is>
      </c>
      <c r="V8" s="523" t="inlineStr">
        <is>
          <t>Irms Cout</t>
        </is>
      </c>
      <c r="W8" s="1073" t="inlineStr">
        <is>
          <t>Cout ESR Loss</t>
        </is>
      </c>
      <c r="X8" s="440" t="inlineStr">
        <is>
          <t>Total Cout Loss</t>
        </is>
      </c>
      <c r="Y8" s="1074" t="inlineStr">
        <is>
          <t>Irms Cin</t>
        </is>
      </c>
      <c r="Z8" s="439" t="inlineStr">
        <is>
          <t>Cin ESR Loss</t>
        </is>
      </c>
      <c r="AA8" s="440" t="inlineStr">
        <is>
          <t>Total Cin Loss</t>
        </is>
      </c>
      <c r="AB8" s="438" t="inlineStr">
        <is>
          <t>Irms</t>
        </is>
      </c>
      <c r="AC8" s="439" t="inlineStr">
        <is>
          <t>RDS(on) Loss</t>
        </is>
      </c>
      <c r="AD8" s="439" t="inlineStr">
        <is>
          <t>Transition Loss (not including capacitive loss)</t>
        </is>
      </c>
      <c r="AE8" s="593" t="inlineStr">
        <is>
          <t>MOSFET Output Capacitance Loss</t>
        </is>
      </c>
      <c r="AF8" s="442" t="inlineStr">
        <is>
          <t xml:space="preserve">Dead Time Loss </t>
        </is>
      </c>
      <c r="AG8" s="440" t="inlineStr">
        <is>
          <t>Total Control MOSFET Loss</t>
        </is>
      </c>
      <c r="AH8" s="438" t="inlineStr">
        <is>
          <t>Irms</t>
        </is>
      </c>
      <c r="AI8" s="439" t="inlineStr">
        <is>
          <t>RDS(on) Loss</t>
        </is>
      </c>
      <c r="AJ8" s="439" t="inlineStr">
        <is>
          <t>Deadtime Loss</t>
        </is>
      </c>
      <c r="AK8" s="443" t="inlineStr">
        <is>
          <t>Total Sync MOSFET Loss</t>
        </is>
      </c>
      <c r="AL8" s="440" t="inlineStr">
        <is>
          <t>Deadtime Loss</t>
        </is>
      </c>
      <c r="AM8" s="1075" t="inlineStr">
        <is>
          <t>Reverse Recovery Loss</t>
        </is>
      </c>
      <c r="AN8" s="457" t="inlineStr">
        <is>
          <t>Isense Shunt Loss</t>
        </is>
      </c>
      <c r="AO8" s="444" t="inlineStr">
        <is>
          <t>IQ Loss</t>
        </is>
      </c>
      <c r="AP8" s="445" t="inlineStr">
        <is>
          <t>Switching Current Loss</t>
        </is>
      </c>
      <c r="AQ8" s="446" t="inlineStr">
        <is>
          <t>Switching Current Diss</t>
        </is>
      </c>
      <c r="AR8" s="445" t="inlineStr">
        <is>
          <t>LDO Loss Saved from Gate Drive Current (ext VCC)</t>
        </is>
      </c>
      <c r="AS8" s="447" t="inlineStr">
        <is>
          <t>Total IC Loss</t>
        </is>
      </c>
      <c r="AT8" s="448" t="inlineStr">
        <is>
          <t>Total Loss</t>
        </is>
      </c>
      <c r="AU8" s="439" t="inlineStr">
        <is>
          <t>Pout</t>
        </is>
      </c>
      <c r="AV8" s="449" t="inlineStr">
        <is>
          <t>EFF, h</t>
        </is>
      </c>
      <c r="AW8" s="533">
        <f>IF(Vin&gt;Vout, "Buck ''CONTROL'' MOSFET Temp Rise", "Boost ''CONTROL'' MOSFET Temp Rise")</f>
        <v/>
      </c>
      <c r="AX8" s="533">
        <f>IF(Vin&gt;Vout, "Buck ''SYNC'' MOSFET Temp Rise", "Boost ''SYNC'' MOSFET Temp Rise")</f>
        <v/>
      </c>
      <c r="AZ8" s="1076" t="inlineStr">
        <is>
          <t>h</t>
        </is>
      </c>
      <c r="BA8" s="1077" t="inlineStr">
        <is>
          <t>Inductor Cu &amp; Core Loss</t>
        </is>
      </c>
      <c r="BB8" s="1077" t="inlineStr">
        <is>
          <t>Total MOSFET Loss</t>
        </is>
      </c>
      <c r="BC8" s="1077" t="inlineStr">
        <is>
          <t>Control MOSFET Loss</t>
        </is>
      </c>
      <c r="BD8" s="1077" t="inlineStr">
        <is>
          <t>SYNC MOSFET Loss</t>
        </is>
      </c>
      <c r="BE8" s="1077" t="inlineStr">
        <is>
          <t>Shunt Loss</t>
        </is>
      </c>
      <c r="BF8" s="1077" t="n"/>
    </row>
    <row r="9">
      <c r="A9" s="14" t="inlineStr">
        <is>
          <t>Design</t>
        </is>
      </c>
      <c r="B9" s="15" t="inlineStr">
        <is>
          <t>Input Value</t>
        </is>
      </c>
      <c r="C9" s="16" t="inlineStr">
        <is>
          <t>Units</t>
        </is>
      </c>
      <c r="D9" s="17" t="inlineStr">
        <is>
          <t>Description</t>
        </is>
      </c>
      <c r="G9" t="n">
        <v>0</v>
      </c>
      <c r="H9" s="531">
        <f>Vin</f>
        <v/>
      </c>
      <c r="I9" s="4">
        <f>MODE</f>
        <v/>
      </c>
      <c r="J9" t="n">
        <v>0</v>
      </c>
      <c r="K9" s="982">
        <f>Iout*G9/100/Number_of_Phases</f>
        <v/>
      </c>
      <c r="L9" s="4">
        <f>Vout*K9/(Vin*Efficiency)</f>
        <v/>
      </c>
      <c r="M9" s="982">
        <f>(Vout+(Rdson2+Rs+Rdcr)*K9)/(Vin+(Rs+Rdson2-Rdson1)*K9)</f>
        <v/>
      </c>
      <c r="N9" s="4">
        <f>(Vin-(Rdson1+Rdcr)*K9-Vout)*M9/(Fsw*Lf)</f>
        <v/>
      </c>
      <c r="O9" s="4">
        <f>K9+N9/2</f>
        <v/>
      </c>
      <c r="P9" s="4">
        <f>K9-N9/2</f>
        <v/>
      </c>
      <c r="Q9" s="4">
        <f>IF(MIN(Vin, -P9/(Coss_Q1+Coss_Q2)*0.00000002)&lt;0, 0, MIN(Vin, -P9/(Coss_Q1+Coss_Q2)*0.00000002))</f>
        <v/>
      </c>
      <c r="R9" s="4">
        <f>SQRT(K9^2+(N9^2)/12)</f>
        <v/>
      </c>
      <c r="S9" s="982">
        <f>R9^2*Rdcr</f>
        <v/>
      </c>
      <c r="T9" s="982">
        <f>Core_Loss_Ch1</f>
        <v/>
      </c>
      <c r="U9" s="982">
        <f>(T9+S9*(1+Ltc*(Ta-25)))/(1-S9*Ltc*ThetaCa)</f>
        <v/>
      </c>
      <c r="V9" s="4">
        <f>N9/SQRT(12)</f>
        <v/>
      </c>
      <c r="W9" s="982">
        <f>RCoutEsr*V9^2</f>
        <v/>
      </c>
      <c r="X9" s="982">
        <f>W9</f>
        <v/>
      </c>
      <c r="Y9" s="4">
        <f>SQRT(M9*(1-M9))*SQRT(K9^2+(N9^2)/12)</f>
        <v/>
      </c>
      <c r="Z9" s="982">
        <f>RCinEsr*Y9^2</f>
        <v/>
      </c>
      <c r="AA9" s="1078">
        <f>Z9</f>
        <v/>
      </c>
      <c r="AB9" s="982">
        <f>SQRT(M9)*SQRT(K9^2+(N9^2)/12)</f>
        <v/>
      </c>
      <c r="AC9" s="982">
        <f>Rdson1*AB9^2</f>
        <v/>
      </c>
      <c r="AD9" s="982">
        <f>(Vin*K9/2)*Fsw*(Tr_buck+Tf_buck)</f>
        <v/>
      </c>
      <c r="AE9" s="982">
        <f>(0.5*Coss_Q1*(Vin-Q9)^2-0.5*Coss_Q2*(Vin-Q9)^2+(Qoss_Q2*(Vin-Q9)/Vin)*Vin)*Fsw</f>
        <v/>
      </c>
      <c r="AF9" s="982">
        <f>IF(K9&gt;N9/2,0,ABS(K9-N9/2)*Vsd_Q1*Deadtime*Fsw)</f>
        <v/>
      </c>
      <c r="AG9" s="982">
        <f>(AF9+AE9+AD9+AC9*(1+RdsonTopTc*Ta-RdsonTopTc*25))/(1-AC9*RdsonTopTc*ThetaJA_Q1)</f>
        <v/>
      </c>
      <c r="AH9" s="982">
        <f>SQRT((1-M9))*SQRT(K9^2+(N9^2)/12)</f>
        <v/>
      </c>
      <c r="AI9" s="982">
        <f>Rdson2*AH9^2</f>
        <v/>
      </c>
      <c r="AJ9" s="982">
        <f>IF(K9&lt;N9/2,Deadtime*Fsw*IF(VfdSky_Q2&gt;0,0,Vsd_Q2)*(K9+N9/2),2*Deadtime*Fsw*IF(VfdSky_Q2&gt;0,0,Vsd_Q2)*K9)</f>
        <v/>
      </c>
      <c r="AK9" s="982">
        <f>(AJ9+AI9*(1+RdsonBotTc*Ta-RdsonBotTc*25))/(1-AI9*RdsonBotTc*ThetaJA_Q2)</f>
        <v/>
      </c>
      <c r="AL9" s="982">
        <f>2*Deadtime*Fsw*IF(VfdSky_Q2&gt;0,VfdSky_Q2,Vsd_Q2)*K9</f>
        <v/>
      </c>
      <c r="AM9" s="982">
        <f>IF(QrrSky_Q2&gt;0,QrrSky_Q2,Qrr_Q2*K9/(Iout/Number_of_Phases))*Fsw*Vin</f>
        <v/>
      </c>
      <c r="AN9" s="982">
        <f>Rs*R9^2</f>
        <v/>
      </c>
      <c r="AO9" s="982">
        <f>Iq*Vin</f>
        <v/>
      </c>
      <c r="AP9" s="982">
        <f>IF(Ext_VCC=1,  (Qg_Q1+Qg_Q2)*Fsw*VCC, (Qg_Q1+Qg_Q2)*Fsw*Vin)</f>
        <v/>
      </c>
      <c r="AQ9" s="982">
        <f>(Vin-VCC)*Fsw*(Qg_Q1+Qg_Q2)+(RdsonDRT+RdsonDRT2)*Fsw*Qg_Q1*VCC/(RdsonDRT+2*Rgate1+RdsonDRT2)+(RdsonDRB+RdsonDRB2)*Fsw*Qg_Q2*VCC/(RdsonDRB+2*Rgate2+RdsonDRB2)</f>
        <v/>
      </c>
      <c r="AR9" s="982">
        <f>(Qg_Q1+Qg_Q2)*Fsw*(Vin-VCC)</f>
        <v/>
      </c>
      <c r="AS9" s="982">
        <f>SUM(AO9:AP9)</f>
        <v/>
      </c>
      <c r="AT9" s="982">
        <f> SUM(U9,X9,AA9,AG9,AK9,AL9,AM9,AS9,AN9)</f>
        <v/>
      </c>
      <c r="AU9">
        <f>Vout*K9</f>
        <v/>
      </c>
      <c r="AV9" s="1079">
        <f>AU9/(AU9+AT9)</f>
        <v/>
      </c>
      <c r="AW9" s="1080">
        <f>ThetaJA_Q1*BC9</f>
        <v/>
      </c>
      <c r="AX9" s="1080">
        <f>ThetaJA_Q2*BD9</f>
        <v/>
      </c>
      <c r="AZ9" s="4">
        <f>AV9*100</f>
        <v/>
      </c>
      <c r="BA9" s="982">
        <f>U9</f>
        <v/>
      </c>
      <c r="BB9" s="982">
        <f>AG9+AK9+AM9</f>
        <v/>
      </c>
      <c r="BC9" s="982">
        <f>AG9+AM9*0.66</f>
        <v/>
      </c>
      <c r="BD9" s="982">
        <f>AK9+AM9*0.33</f>
        <v/>
      </c>
      <c r="BE9" s="982">
        <f>AN9</f>
        <v/>
      </c>
      <c r="BJ9" s="18" t="n"/>
      <c r="BK9" s="18" t="n"/>
      <c r="BL9" s="18" t="n"/>
      <c r="BM9" s="19" t="n"/>
    </row>
    <row r="10">
      <c r="A10" s="479" t="n"/>
      <c r="B10" s="24" t="n"/>
      <c r="C10" s="16" t="n"/>
      <c r="D10" s="17" t="n"/>
      <c r="G10" t="n">
        <v>1</v>
      </c>
      <c r="H10" s="531">
        <f>Vin</f>
        <v/>
      </c>
      <c r="I10" s="4">
        <f>MODE</f>
        <v/>
      </c>
      <c r="J10" s="982">
        <f>Iout*G10/100</f>
        <v/>
      </c>
      <c r="K10" s="982">
        <f>Iout*G10/100/Number_of_Phases</f>
        <v/>
      </c>
      <c r="L10" s="4">
        <f>Vout*K10/(Vin*Efficiency)</f>
        <v/>
      </c>
      <c r="M10" s="982">
        <f>(Vout+(Rdson2+Rs+Rdcr)*K10)/(Vin+(Rs+Rdson2-Rdson1)*K10)</f>
        <v/>
      </c>
      <c r="N10" s="4">
        <f>(Vin-(Rdson1+Rdcr)*K10-Vout)*M10/(Fsw*Lf)</f>
        <v/>
      </c>
      <c r="O10" s="4">
        <f>K10+N10/2</f>
        <v/>
      </c>
      <c r="P10" s="4">
        <f>K10-N10/2</f>
        <v/>
      </c>
      <c r="Q10" s="4">
        <f>IF(MIN(Vin, -P10/(Coss_Q1+Coss_Q2)*0.00000002)&lt;0, 0, MIN(Vin, -P10/(Coss_Q1+Coss_Q2)*0.00000002))</f>
        <v/>
      </c>
      <c r="R10" s="4">
        <f>SQRT(K10^2+(N10^2)/12)</f>
        <v/>
      </c>
      <c r="S10" s="982">
        <f>R10^2*Rdcr</f>
        <v/>
      </c>
      <c r="T10" s="982">
        <f>Core_Loss_Ch1</f>
        <v/>
      </c>
      <c r="U10" s="982">
        <f>(T10+S10*(1+Ltc*(Ta-25)))/(1-S10*Ltc*ThetaCa)</f>
        <v/>
      </c>
      <c r="V10" s="4">
        <f>N10/SQRT(12)</f>
        <v/>
      </c>
      <c r="W10" s="982">
        <f>RCoutEsr*V10^2</f>
        <v/>
      </c>
      <c r="X10" s="982">
        <f>W10</f>
        <v/>
      </c>
      <c r="Y10" s="4">
        <f>SQRT(M10*(1-M10))*SQRT(K10^2+(N10^2)/12)</f>
        <v/>
      </c>
      <c r="Z10" s="982">
        <f>RCinEsr*Y10^2</f>
        <v/>
      </c>
      <c r="AA10" s="1078">
        <f>Z10</f>
        <v/>
      </c>
      <c r="AB10" s="982">
        <f>SQRT(M10)*SQRT(K10^2+(N10^2)/12)</f>
        <v/>
      </c>
      <c r="AC10" s="982">
        <f>Rdson1*AB10^2</f>
        <v/>
      </c>
      <c r="AD10" s="982">
        <f>(Vin*K10/2)*Fsw*(Tr_buck+Tf_buck)</f>
        <v/>
      </c>
      <c r="AE10" s="982">
        <f>(0.5*Coss_Q1*(Vin-Q10)^2-0.5*Coss_Q2*(Vin-Q10)^2+(Qoss_Q2*(Vin-Q10)/Vin)*Vin)*Fsw</f>
        <v/>
      </c>
      <c r="AF10" s="982">
        <f>IF(K10&gt;N10/2,0,ABS(K10-N10/2)*Vsd_Q1*Deadtime*Fsw)</f>
        <v/>
      </c>
      <c r="AG10" s="982">
        <f>(AF10+AE10+AD10+AC10*(1+RdsonTopTc*Ta-RdsonTopTc*25))/(1-AC10*RdsonTopTc*ThetaJA_Q1)</f>
        <v/>
      </c>
      <c r="AH10" s="982">
        <f>SQRT((1-M10))*SQRT(K10^2+(N10^2)/12)</f>
        <v/>
      </c>
      <c r="AI10" s="982">
        <f>Rdson2*AH10^2</f>
        <v/>
      </c>
      <c r="AJ10" s="982">
        <f>IF(K10&lt;N10/2,Deadtime*Fsw*IF(VfdSky_Q2&gt;0,0,Vsd_Q2)*(K10+N10/2),2*Deadtime*Fsw*IF(VfdSky_Q2&gt;0,0,Vsd_Q2)*K10)</f>
        <v/>
      </c>
      <c r="AK10" s="982">
        <f>(AJ10+AI10*(1+RdsonBotTc*Ta-RdsonBotTc*25))/(1-AI10*RdsonBotTc*ThetaJA_Q2)</f>
        <v/>
      </c>
      <c r="AL10" s="982">
        <f>2*Deadtime*Fsw*IF(VfdSky_Q2&gt;0,VfdSky_Q2,Vsd_Q2)*K10</f>
        <v/>
      </c>
      <c r="AM10" s="982">
        <f>IF(QrrSky_Q2&gt;0,QrrSky_Q2,Qrr_Q2*K10/(Iout/Number_of_Phases))*Fsw*Vin</f>
        <v/>
      </c>
      <c r="AN10" s="982">
        <f>Rs*R10^2</f>
        <v/>
      </c>
      <c r="AO10" s="982">
        <f>Iq*Vin</f>
        <v/>
      </c>
      <c r="AP10" s="982">
        <f>IF(Ext_VCC=1, (Qg_Q1+Qg_Q2)*Fsw*VCC, (Qg_Q1+Qg_Q2)*Fsw*Vin)</f>
        <v/>
      </c>
      <c r="AQ10" s="982">
        <f>(Vin-VCC)*Fsw*(Qg_Q1+Qg_Q2)+(RdsonDRT+RdsonDRT2)*Fsw*Qg_Q1*VCC/(RdsonDRT+2*Rgate1+RdsonDRT2)+(RdsonDRB+RdsonDRB2)*Fsw*Qg_Q2*VCC/(RdsonDRB+2*Rgate2+RdsonDRB2)</f>
        <v/>
      </c>
      <c r="AR10" s="982">
        <f>(Qg_Q1+Qg_Q2)*Fsw*(Vin-VCC)</f>
        <v/>
      </c>
      <c r="AS10" s="982">
        <f>SUM(AO10:AP10)</f>
        <v/>
      </c>
      <c r="AT10" s="982">
        <f> SUM(U10,X10,AA10,AG10,AK10,AL10,AM10,AS10,AN10)</f>
        <v/>
      </c>
      <c r="AU10">
        <f>Vout*K10</f>
        <v/>
      </c>
      <c r="AV10" s="1079">
        <f>AU10/(AU10+AT10)</f>
        <v/>
      </c>
      <c r="AW10" s="1080">
        <f>ThetaJA_Q1*BC10</f>
        <v/>
      </c>
      <c r="AX10" s="1080">
        <f>ThetaJA_Q2*BD10</f>
        <v/>
      </c>
      <c r="AY10" s="9" t="n"/>
      <c r="AZ10" s="4">
        <f>AV10*100</f>
        <v/>
      </c>
      <c r="BA10" s="982">
        <f>U10</f>
        <v/>
      </c>
      <c r="BB10" s="982">
        <f>AG10+AK10+AM10</f>
        <v/>
      </c>
      <c r="BC10" s="982">
        <f>AG10+AM10*0.66</f>
        <v/>
      </c>
      <c r="BD10" s="982">
        <f>AK10+AM10*0.33</f>
        <v/>
      </c>
      <c r="BE10" s="982">
        <f>AN10</f>
        <v/>
      </c>
      <c r="BJ10" s="18" t="n"/>
      <c r="BK10" s="18" t="n"/>
      <c r="BL10" s="18" t="n"/>
      <c r="BM10" s="19" t="n"/>
    </row>
    <row r="11">
      <c r="A11" s="20" t="inlineStr">
        <is>
          <t>Vin</t>
        </is>
      </c>
      <c r="B11" s="5">
        <f>Vin</f>
        <v/>
      </c>
      <c r="C11" s="427" t="inlineStr">
        <is>
          <t>V</t>
        </is>
      </c>
      <c r="D11" s="21" t="inlineStr">
        <is>
          <t>Vin</t>
        </is>
      </c>
      <c r="G11" t="n">
        <v>2</v>
      </c>
      <c r="H11" s="531">
        <f>Vin</f>
        <v/>
      </c>
      <c r="I11" s="4">
        <f>MODE</f>
        <v/>
      </c>
      <c r="J11" s="982">
        <f>Iout*G11/100</f>
        <v/>
      </c>
      <c r="K11" s="982">
        <f>Iout*G11/100/Number_of_Phases</f>
        <v/>
      </c>
      <c r="L11" s="4">
        <f>Vout*K11/(Vin*Efficiency)</f>
        <v/>
      </c>
      <c r="M11" s="982">
        <f>(Vout+(Rdson2+Rs+Rdcr)*K11)/(Vin+(Rs+Rdson2-Rdson1)*K11)</f>
        <v/>
      </c>
      <c r="N11" s="4">
        <f>(Vin-(Rdson1+Rdcr)*K11-Vout)*M11/(Fsw*Lf)</f>
        <v/>
      </c>
      <c r="O11" s="4">
        <f>K11+N11/2</f>
        <v/>
      </c>
      <c r="P11" s="4">
        <f>K11-N11/2</f>
        <v/>
      </c>
      <c r="Q11" s="4">
        <f>IF(MIN(Vin, -P11/(Coss_Q1+Coss_Q2)*0.00000002)&lt;0, 0, MIN(Vin, -P11/(Coss_Q1+Coss_Q2)*0.00000002))</f>
        <v/>
      </c>
      <c r="R11" s="4">
        <f>SQRT(K11^2+(N11^2)/12)</f>
        <v/>
      </c>
      <c r="S11" s="982">
        <f>R11^2*Rdcr</f>
        <v/>
      </c>
      <c r="T11" s="982">
        <f>Core_Loss_Ch1</f>
        <v/>
      </c>
      <c r="U11" s="982">
        <f>(T11+S11*(1+Ltc*(Ta-25)))/(1-S11*Ltc*ThetaCa)</f>
        <v/>
      </c>
      <c r="V11" s="4">
        <f>N11/SQRT(12)</f>
        <v/>
      </c>
      <c r="W11" s="982">
        <f>RCoutEsr*V11^2</f>
        <v/>
      </c>
      <c r="X11" s="982">
        <f>W11</f>
        <v/>
      </c>
      <c r="Y11" s="4">
        <f>SQRT(M11*(1-M11))*SQRT(K11^2+(N11^2)/12)</f>
        <v/>
      </c>
      <c r="Z11" s="982">
        <f>RCinEsr*Y11^2</f>
        <v/>
      </c>
      <c r="AA11" s="1078">
        <f>Z11</f>
        <v/>
      </c>
      <c r="AB11" s="982">
        <f>SQRT(M11)*SQRT(K11^2+(N11^2)/12)</f>
        <v/>
      </c>
      <c r="AC11" s="982">
        <f>Rdson1*AB11^2</f>
        <v/>
      </c>
      <c r="AD11" s="982">
        <f>(Vin*K11/2)*Fsw*(Tr_buck+Tf_buck)</f>
        <v/>
      </c>
      <c r="AE11" s="982">
        <f>(0.5*Coss_Q1*(Vin-Q11)^2-0.5*Coss_Q2*(Vin-Q11)^2+(Qoss_Q2*(Vin-Q11)/Vin)*Vin)*Fsw</f>
        <v/>
      </c>
      <c r="AF11" s="982">
        <f>IF(K11&gt;N11/2,0,ABS(K11-N11/2)*Vsd_Q1*Deadtime*Fsw)</f>
        <v/>
      </c>
      <c r="AG11" s="982">
        <f>(AF11+AE11+AD11+AC11*(1+RdsonTopTc*Ta-RdsonTopTc*25))/(1-AC11*RdsonTopTc*ThetaJA_Q1)</f>
        <v/>
      </c>
      <c r="AH11" s="982">
        <f>SQRT((1-M11))*SQRT(K11^2+(N11^2)/12)</f>
        <v/>
      </c>
      <c r="AI11" s="982">
        <f>Rdson2*AH11^2</f>
        <v/>
      </c>
      <c r="AJ11" s="982">
        <f>IF(K11&lt;N11/2,Deadtime*Fsw*IF(VfdSky_Q2&gt;0,0,Vsd_Q2)*(K11+N11/2),2*Deadtime*Fsw*IF(VfdSky_Q2&gt;0,0,Vsd_Q2)*K11)</f>
        <v/>
      </c>
      <c r="AK11" s="982">
        <f>(AJ11+AI11*(1+RdsonBotTc*Ta-RdsonBotTc*25))/(1-AI11*RdsonBotTc*ThetaJA_Q2)</f>
        <v/>
      </c>
      <c r="AL11" s="982">
        <f>2*Deadtime*Fsw*IF(VfdSky_Q2&gt;0,VfdSky_Q2,Vsd_Q2)*K11</f>
        <v/>
      </c>
      <c r="AM11" s="982">
        <f>IF(QrrSky_Q2&gt;0,QrrSky_Q2,Qrr_Q2*K11/(Iout/Number_of_Phases))*Fsw*Vin</f>
        <v/>
      </c>
      <c r="AN11" s="982">
        <f>Rs*R11^2</f>
        <v/>
      </c>
      <c r="AO11" s="982">
        <f>Iq*Vin</f>
        <v/>
      </c>
      <c r="AP11" s="982">
        <f>IF(Ext_VCC=1, (Qg_Q1+Qg_Q2)*Fsw*VCC, (Qg_Q1+Qg_Q2)*Fsw*Vin)</f>
        <v/>
      </c>
      <c r="AQ11" s="982">
        <f>(Vin-VCC)*Fsw*(Qg_Q1+Qg_Q2)+(RdsonDRT+RdsonDRT2)*Fsw*Qg_Q1*VCC/(RdsonDRT+2*Rgate1+RdsonDRT2)+(RdsonDRB+RdsonDRB2)*Fsw*Qg_Q2*VCC/(RdsonDRB+2*Rgate2+RdsonDRB2)</f>
        <v/>
      </c>
      <c r="AR11" s="982">
        <f>(Qg_Q1+Qg_Q2)*Fsw*(Vin-VCC)</f>
        <v/>
      </c>
      <c r="AS11" s="982">
        <f>SUM(AO11:AP11)</f>
        <v/>
      </c>
      <c r="AT11" s="982">
        <f> SUM(U11,X11,AA11,AG11,AK11,AL11,AM11,AS11,AN11)</f>
        <v/>
      </c>
      <c r="AU11">
        <f>Vout*K11</f>
        <v/>
      </c>
      <c r="AV11" s="1079">
        <f>AU11/(AU11+AT11)</f>
        <v/>
      </c>
      <c r="AW11" s="1080">
        <f>ThetaJA_Q1*BC11</f>
        <v/>
      </c>
      <c r="AX11" s="1080">
        <f>ThetaJA_Q2*BD11</f>
        <v/>
      </c>
      <c r="AY11" s="9" t="n"/>
      <c r="AZ11" s="4">
        <f>AV11*100</f>
        <v/>
      </c>
      <c r="BA11" s="982">
        <f>U11</f>
        <v/>
      </c>
      <c r="BB11" s="982">
        <f>AG11+AK11+AM11</f>
        <v/>
      </c>
      <c r="BC11" s="982">
        <f>AG11+AM11*0.66</f>
        <v/>
      </c>
      <c r="BD11" s="982">
        <f>AK11+AM11*0.33</f>
        <v/>
      </c>
      <c r="BE11" s="982">
        <f>AN11</f>
        <v/>
      </c>
      <c r="BJ11" s="18" t="n"/>
      <c r="BK11" s="18" t="n"/>
      <c r="BL11" s="18" t="n"/>
      <c r="BM11" s="19" t="n"/>
    </row>
    <row r="12">
      <c r="A12" s="22" t="inlineStr">
        <is>
          <t>Vout</t>
        </is>
      </c>
      <c r="B12" s="5">
        <f>Vout</f>
        <v/>
      </c>
      <c r="C12" s="427" t="inlineStr">
        <is>
          <t>V</t>
        </is>
      </c>
      <c r="D12" s="21" t="inlineStr">
        <is>
          <t>Vout</t>
        </is>
      </c>
      <c r="G12" t="n">
        <v>3</v>
      </c>
      <c r="H12" s="531">
        <f>Vin</f>
        <v/>
      </c>
      <c r="I12" s="4">
        <f>MODE</f>
        <v/>
      </c>
      <c r="J12" s="982">
        <f>Iout*G12/100</f>
        <v/>
      </c>
      <c r="K12" s="982">
        <f>Iout*G12/100/Number_of_Phases</f>
        <v/>
      </c>
      <c r="L12" s="4">
        <f>Vout*K12/(Vin*Efficiency)</f>
        <v/>
      </c>
      <c r="M12" s="982">
        <f>(Vout+(Rdson2+Rs+Rdcr)*K12)/(Vin+(Rs+Rdson2-Rdson1)*K12)</f>
        <v/>
      </c>
      <c r="N12" s="4">
        <f>(Vin-(Rdson1+Rdcr)*K12-Vout)*M12/(Fsw*Lf)</f>
        <v/>
      </c>
      <c r="O12" s="4">
        <f>K12+N12/2</f>
        <v/>
      </c>
      <c r="P12" s="4">
        <f>K12-N12/2</f>
        <v/>
      </c>
      <c r="Q12" s="4">
        <f>IF(MIN(Vin, -P12/(Coss_Q1+Coss_Q2)*0.00000002)&lt;0, 0, MIN(Vin, -P12/(Coss_Q1+Coss_Q2)*0.00000002))</f>
        <v/>
      </c>
      <c r="R12" s="4">
        <f>SQRT(K12^2+(N12^2)/12)</f>
        <v/>
      </c>
      <c r="S12" s="982">
        <f>R12^2*Rdcr</f>
        <v/>
      </c>
      <c r="T12" s="982">
        <f>Core_Loss_Ch1</f>
        <v/>
      </c>
      <c r="U12" s="982">
        <f>(T12+S12*(1+Ltc*(Ta-25)))/(1-S12*Ltc*ThetaCa)</f>
        <v/>
      </c>
      <c r="V12" s="4">
        <f>N12/SQRT(12)</f>
        <v/>
      </c>
      <c r="W12" s="982">
        <f>RCoutEsr*V12^2</f>
        <v/>
      </c>
      <c r="X12" s="982">
        <f>W12</f>
        <v/>
      </c>
      <c r="Y12" s="4">
        <f>SQRT(M12*(1-M12))*SQRT(K12^2+(N12^2)/12)</f>
        <v/>
      </c>
      <c r="Z12" s="982">
        <f>RCinEsr*Y12^2</f>
        <v/>
      </c>
      <c r="AA12" s="1078">
        <f>Z12</f>
        <v/>
      </c>
      <c r="AB12" s="982">
        <f>SQRT(M12)*SQRT(K12^2+(N12^2)/12)</f>
        <v/>
      </c>
      <c r="AC12" s="982">
        <f>Rdson1*AB12^2</f>
        <v/>
      </c>
      <c r="AD12" s="982">
        <f>(Vin*K12/2)*Fsw*(Tr_buck+Tf_buck)</f>
        <v/>
      </c>
      <c r="AE12" s="982">
        <f>(0.5*Coss_Q1*(Vin-Q12)^2-0.5*Coss_Q2*(Vin-Q12)^2+(Qoss_Q2*(Vin-Q12)/Vin)*Vin)*Fsw</f>
        <v/>
      </c>
      <c r="AF12" s="982">
        <f>IF(K12&gt;N12/2,0,ABS(K12-N12/2)*Vsd_Q1*Deadtime*Fsw)</f>
        <v/>
      </c>
      <c r="AG12" s="982">
        <f>(AF12+AE12+AD12+AC12*(1+RdsonTopTc*Ta-RdsonTopTc*25))/(1-AC12*RdsonTopTc*ThetaJA_Q1)</f>
        <v/>
      </c>
      <c r="AH12" s="982">
        <f>SQRT((1-M12))*SQRT(K12^2+(N12^2)/12)</f>
        <v/>
      </c>
      <c r="AI12" s="982">
        <f>Rdson2*AH12^2</f>
        <v/>
      </c>
      <c r="AJ12" s="982">
        <f>IF(K12&lt;N12/2,Deadtime*Fsw*IF(VfdSky_Q2&gt;0,0,Vsd_Q2)*(K12+N12/2),2*Deadtime*Fsw*IF(VfdSky_Q2&gt;0,0,Vsd_Q2)*K12)</f>
        <v/>
      </c>
      <c r="AK12" s="982">
        <f>(AJ12+AI12*(1+RdsonBotTc*Ta-RdsonBotTc*25))/(1-AI12*RdsonBotTc*ThetaJA_Q2)</f>
        <v/>
      </c>
      <c r="AL12" s="982">
        <f>2*Deadtime*Fsw*IF(VfdSky_Q2&gt;0,VfdSky_Q2,Vsd_Q2)*K12</f>
        <v/>
      </c>
      <c r="AM12" s="982">
        <f>IF(QrrSky_Q2&gt;0,QrrSky_Q2,Qrr_Q2*K12/(Iout/Number_of_Phases))*Fsw*Vin</f>
        <v/>
      </c>
      <c r="AN12" s="982">
        <f>Rs*R12^2</f>
        <v/>
      </c>
      <c r="AO12" s="982">
        <f>Iq*Vin</f>
        <v/>
      </c>
      <c r="AP12" s="982">
        <f>IF(Ext_VCC=1, (Qg_Q1+Qg_Q2)*Fsw*VCC, (Qg_Q1+Qg_Q2)*Fsw*Vin)</f>
        <v/>
      </c>
      <c r="AQ12" s="982">
        <f>(Vin-VCC)*Fsw*(Qg_Q1+Qg_Q2)+(RdsonDRT+RdsonDRT2)*Fsw*Qg_Q1*VCC/(RdsonDRT+2*Rgate1+RdsonDRT2)+(RdsonDRB+RdsonDRB2)*Fsw*Qg_Q2*VCC/(RdsonDRB+2*Rgate2+RdsonDRB2)</f>
        <v/>
      </c>
      <c r="AR12" s="982">
        <f>(Qg_Q1+Qg_Q2)*Fsw*(Vin-VCC)</f>
        <v/>
      </c>
      <c r="AS12" s="982">
        <f>SUM(AO12:AP12)</f>
        <v/>
      </c>
      <c r="AT12" s="982">
        <f> SUM(U12,X12,AA12,AG12,AK12,AL12,AM12,AS12,AN12)</f>
        <v/>
      </c>
      <c r="AU12">
        <f>Vout*K12</f>
        <v/>
      </c>
      <c r="AV12" s="1079">
        <f>AU12/(AU12+AT12)</f>
        <v/>
      </c>
      <c r="AW12" s="1080">
        <f>ThetaJA_Q1*BC12</f>
        <v/>
      </c>
      <c r="AX12" s="1080">
        <f>ThetaJA_Q2*BD12</f>
        <v/>
      </c>
      <c r="AY12" s="9" t="n"/>
      <c r="AZ12" s="4">
        <f>AV12*100</f>
        <v/>
      </c>
      <c r="BA12" s="982">
        <f>U12</f>
        <v/>
      </c>
      <c r="BB12" s="982">
        <f>AG12+AK12+AM12</f>
        <v/>
      </c>
      <c r="BC12" s="982">
        <f>AG12+AM12*0.66</f>
        <v/>
      </c>
      <c r="BD12" s="982">
        <f>AK12+AM12*0.33</f>
        <v/>
      </c>
      <c r="BE12" s="982">
        <f>AN12</f>
        <v/>
      </c>
      <c r="BJ12" s="18" t="n"/>
      <c r="BK12" s="18" t="n"/>
      <c r="BL12" s="18" t="n"/>
      <c r="BM12" s="19" t="n"/>
    </row>
    <row r="13">
      <c r="A13" s="22" t="inlineStr">
        <is>
          <t>Fsw</t>
        </is>
      </c>
      <c r="B13" s="5">
        <f>Fsw/1000</f>
        <v/>
      </c>
      <c r="C13" s="427" t="inlineStr">
        <is>
          <t>kHz</t>
        </is>
      </c>
      <c r="D13" s="21" t="inlineStr">
        <is>
          <t>Switching Frequency</t>
        </is>
      </c>
      <c r="G13" t="n">
        <v>4</v>
      </c>
      <c r="H13" s="531">
        <f>Vin</f>
        <v/>
      </c>
      <c r="I13" s="4">
        <f>MODE</f>
        <v/>
      </c>
      <c r="J13" s="982">
        <f>Iout*G13/100</f>
        <v/>
      </c>
      <c r="K13" s="982">
        <f>Iout*G13/100/Number_of_Phases</f>
        <v/>
      </c>
      <c r="L13" s="4">
        <f>Vout*K13/(Vin*Efficiency)</f>
        <v/>
      </c>
      <c r="M13" s="982">
        <f>(Vout+(Rdson2+Rs+Rdcr)*K13)/(Vin+(Rs+Rdson2-Rdson1)*K13)</f>
        <v/>
      </c>
      <c r="N13" s="4">
        <f>(Vin-(Rdson1+Rdcr)*K13-Vout)*M13/(Fsw*Lf)</f>
        <v/>
      </c>
      <c r="O13" s="4">
        <f>K13+N13/2</f>
        <v/>
      </c>
      <c r="P13" s="4">
        <f>K13-N13/2</f>
        <v/>
      </c>
      <c r="Q13" s="4">
        <f>IF(MIN(Vin, -P13/(Coss_Q1+Coss_Q2)*0.00000002)&lt;0, 0, MIN(Vin, -P13/(Coss_Q1+Coss_Q2)*0.00000002))</f>
        <v/>
      </c>
      <c r="R13" s="4">
        <f>SQRT(K13^2+(N13^2)/12)</f>
        <v/>
      </c>
      <c r="S13" s="982">
        <f>R13^2*Rdcr</f>
        <v/>
      </c>
      <c r="T13" s="982">
        <f>Core_Loss_Ch1</f>
        <v/>
      </c>
      <c r="U13" s="982">
        <f>(T13+S13*(1+Ltc*(Ta-25)))/(1-S13*Ltc*ThetaCa)</f>
        <v/>
      </c>
      <c r="V13" s="4">
        <f>N13/SQRT(12)</f>
        <v/>
      </c>
      <c r="W13" s="982">
        <f>RCoutEsr*V13^2</f>
        <v/>
      </c>
      <c r="X13" s="982">
        <f>W13</f>
        <v/>
      </c>
      <c r="Y13" s="4">
        <f>SQRT(M13*(1-M13))*SQRT(K13^2+(N13^2)/12)</f>
        <v/>
      </c>
      <c r="Z13" s="982">
        <f>RCinEsr*Y13^2</f>
        <v/>
      </c>
      <c r="AA13" s="1078">
        <f>Z13</f>
        <v/>
      </c>
      <c r="AB13" s="982">
        <f>SQRT(M13)*SQRT(K13^2+(N13^2)/12)</f>
        <v/>
      </c>
      <c r="AC13" s="982">
        <f>Rdson1*AB13^2</f>
        <v/>
      </c>
      <c r="AD13" s="982">
        <f>(Vin*K13/2)*Fsw*(Tr_buck+Tf_buck)</f>
        <v/>
      </c>
      <c r="AE13" s="982">
        <f>(0.5*Coss_Q1*(Vin-Q13)^2-0.5*Coss_Q2*(Vin-Q13)^2+(Qoss_Q2*(Vin-Q13)/Vin)*Vin)*Fsw</f>
        <v/>
      </c>
      <c r="AF13" s="982">
        <f>IF(K13&gt;N13/2,0,ABS(K13-N13/2)*Vsd_Q1*Deadtime*Fsw)</f>
        <v/>
      </c>
      <c r="AG13" s="982">
        <f>(AF13+AE13+AD13+AC13*(1+RdsonTopTc*Ta-RdsonTopTc*25))/(1-AC13*RdsonTopTc*ThetaJA_Q1)</f>
        <v/>
      </c>
      <c r="AH13" s="982">
        <f>SQRT((1-M13))*SQRT(K13^2+(N13^2)/12)</f>
        <v/>
      </c>
      <c r="AI13" s="982">
        <f>Rdson2*AH13^2</f>
        <v/>
      </c>
      <c r="AJ13" s="982">
        <f>IF(K13&lt;N13/2,Deadtime*Fsw*IF(VfdSky_Q2&gt;0,0,Vsd_Q2)*(K13+N13/2),2*Deadtime*Fsw*IF(VfdSky_Q2&gt;0,0,Vsd_Q2)*K13)</f>
        <v/>
      </c>
      <c r="AK13" s="982">
        <f>(AJ13+AI13*(1+RdsonBotTc*Ta-RdsonBotTc*25))/(1-AI13*RdsonBotTc*ThetaJA_Q2)</f>
        <v/>
      </c>
      <c r="AL13" s="982">
        <f>2*Deadtime*Fsw*IF(VfdSky_Q2&gt;0,VfdSky_Q2,Vsd_Q2)*K13</f>
        <v/>
      </c>
      <c r="AM13" s="982">
        <f>IF(QrrSky_Q2&gt;0,QrrSky_Q2,Qrr_Q2*K13/(Iout/Number_of_Phases))*Fsw*Vin</f>
        <v/>
      </c>
      <c r="AN13" s="982">
        <f>Rs*R13^2</f>
        <v/>
      </c>
      <c r="AO13" s="982">
        <f>Iq*Vin</f>
        <v/>
      </c>
      <c r="AP13" s="982">
        <f>IF(Ext_VCC=1, (Qg_Q1+Qg_Q2)*Fsw*VCC, (Qg_Q1+Qg_Q2)*Fsw*Vin)</f>
        <v/>
      </c>
      <c r="AQ13" s="982">
        <f>(Vin-VCC)*Fsw*(Qg_Q1+Qg_Q2)+(RdsonDRT+RdsonDRT2)*Fsw*Qg_Q1*VCC/(RdsonDRT+2*Rgate1+RdsonDRT2)+(RdsonDRB+RdsonDRB2)*Fsw*Qg_Q2*VCC/(RdsonDRB+2*Rgate2+RdsonDRB2)</f>
        <v/>
      </c>
      <c r="AR13" s="982">
        <f>(Qg_Q1+Qg_Q2)*Fsw*(Vin-VCC)</f>
        <v/>
      </c>
      <c r="AS13" s="982">
        <f>SUM(AO13:AP13)</f>
        <v/>
      </c>
      <c r="AT13" s="982">
        <f> SUM(U13,X13,AA13,AG13,AK13,AL13,AM13,AS13,AN13)</f>
        <v/>
      </c>
      <c r="AU13">
        <f>Vout*K13</f>
        <v/>
      </c>
      <c r="AV13" s="1079">
        <f>AU13/(AU13+AT13)</f>
        <v/>
      </c>
      <c r="AW13" s="1080">
        <f>ThetaJA_Q1*BC13</f>
        <v/>
      </c>
      <c r="AX13" s="1080">
        <f>ThetaJA_Q2*BD13</f>
        <v/>
      </c>
      <c r="AY13" s="9" t="n"/>
      <c r="AZ13" s="4">
        <f>AV13*100</f>
        <v/>
      </c>
      <c r="BA13" s="982">
        <f>U13</f>
        <v/>
      </c>
      <c r="BB13" s="982">
        <f>AG13+AK13+AM13</f>
        <v/>
      </c>
      <c r="BC13" s="982">
        <f>AG13+AM13*0.66</f>
        <v/>
      </c>
      <c r="BD13" s="982">
        <f>AK13+AM13*0.33</f>
        <v/>
      </c>
      <c r="BE13" s="982">
        <f>AN13</f>
        <v/>
      </c>
      <c r="BJ13" s="18" t="n"/>
      <c r="BK13" s="18" t="n"/>
      <c r="BL13" s="18" t="n"/>
      <c r="BM13" s="19" t="n"/>
    </row>
    <row r="14">
      <c r="A14" s="22" t="inlineStr">
        <is>
          <t>Iout</t>
        </is>
      </c>
      <c r="B14" s="5">
        <f>Iout</f>
        <v/>
      </c>
      <c r="C14" s="427" t="inlineStr">
        <is>
          <t>A</t>
        </is>
      </c>
      <c r="D14" s="21" t="inlineStr">
        <is>
          <t>Max Output Current</t>
        </is>
      </c>
      <c r="G14" t="n">
        <v>5</v>
      </c>
      <c r="H14" s="531">
        <f>Vin</f>
        <v/>
      </c>
      <c r="I14" s="4">
        <f>MODE</f>
        <v/>
      </c>
      <c r="J14" s="982">
        <f>Iout*G14/100</f>
        <v/>
      </c>
      <c r="K14" s="982">
        <f>Iout*G14/100/Number_of_Phases</f>
        <v/>
      </c>
      <c r="L14" s="4">
        <f>Vout*K14/(Vin*Efficiency)</f>
        <v/>
      </c>
      <c r="M14" s="982">
        <f>(Vout+(Rdson2+Rs+Rdcr)*K14)/(Vin+(Rs+Rdson2-Rdson1)*K14)</f>
        <v/>
      </c>
      <c r="N14" s="4">
        <f>(Vin-(Rdson1+Rdcr)*K14-Vout)*M14/(Fsw*Lf)</f>
        <v/>
      </c>
      <c r="O14" s="4">
        <f>K14+N14/2</f>
        <v/>
      </c>
      <c r="P14" s="4">
        <f>K14-N14/2</f>
        <v/>
      </c>
      <c r="Q14" s="4">
        <f>IF(MIN(Vin, -P14/(Coss_Q1+Coss_Q2)*0.00000002)&lt;0, 0, MIN(Vin, -P14/(Coss_Q1+Coss_Q2)*0.00000002))</f>
        <v/>
      </c>
      <c r="R14" s="4">
        <f>SQRT(K14^2+(N14^2)/12)</f>
        <v/>
      </c>
      <c r="S14" s="982">
        <f>R14^2*Rdcr</f>
        <v/>
      </c>
      <c r="T14" s="982">
        <f>Core_Loss_Ch1</f>
        <v/>
      </c>
      <c r="U14" s="982">
        <f>(T14+S14*(1+Ltc*(Ta-25)))/(1-S14*Ltc*ThetaCa)</f>
        <v/>
      </c>
      <c r="V14" s="4">
        <f>N14/SQRT(12)</f>
        <v/>
      </c>
      <c r="W14" s="982">
        <f>RCoutEsr*V14^2</f>
        <v/>
      </c>
      <c r="X14" s="982">
        <f>W14</f>
        <v/>
      </c>
      <c r="Y14" s="4">
        <f>SQRT(M14*(1-M14))*SQRT(K14^2+(N14^2)/12)</f>
        <v/>
      </c>
      <c r="Z14" s="982">
        <f>RCinEsr*Y14^2</f>
        <v/>
      </c>
      <c r="AA14" s="1078">
        <f>Z14</f>
        <v/>
      </c>
      <c r="AB14" s="982">
        <f>SQRT(M14)*SQRT(K14^2+(N14^2)/12)</f>
        <v/>
      </c>
      <c r="AC14" s="982">
        <f>Rdson1*AB14^2</f>
        <v/>
      </c>
      <c r="AD14" s="982">
        <f>(Vin*K14/2)*Fsw*(Tr_buck+Tf_buck)</f>
        <v/>
      </c>
      <c r="AE14" s="982">
        <f>(0.5*Coss_Q1*(Vin-Q14)^2-0.5*Coss_Q2*(Vin-Q14)^2+(Qoss_Q2*(Vin-Q14)/Vin)*Vin)*Fsw</f>
        <v/>
      </c>
      <c r="AF14" s="982">
        <f>IF(K14&gt;N14/2,0,ABS(K14-N14/2)*Vsd_Q1*Deadtime*Fsw)</f>
        <v/>
      </c>
      <c r="AG14" s="982">
        <f>(AF14+AE14+AD14+AC14*(1+RdsonTopTc*Ta-RdsonTopTc*25))/(1-AC14*RdsonTopTc*ThetaJA_Q1)</f>
        <v/>
      </c>
      <c r="AH14" s="982">
        <f>SQRT((1-M14))*SQRT(K14^2+(N14^2)/12)</f>
        <v/>
      </c>
      <c r="AI14" s="982">
        <f>Rdson2*AH14^2</f>
        <v/>
      </c>
      <c r="AJ14" s="982">
        <f>IF(K14&lt;N14/2,Deadtime*Fsw*IF(VfdSky_Q2&gt;0,0,Vsd_Q2)*(K14+N14/2),2*Deadtime*Fsw*IF(VfdSky_Q2&gt;0,0,Vsd_Q2)*K14)</f>
        <v/>
      </c>
      <c r="AK14" s="982">
        <f>(AJ14+AI14*(1+RdsonBotTc*Ta-RdsonBotTc*25))/(1-AI14*RdsonBotTc*ThetaJA_Q2)</f>
        <v/>
      </c>
      <c r="AL14" s="982">
        <f>2*Deadtime*Fsw*IF(VfdSky_Q2&gt;0,VfdSky_Q2,Vsd_Q2)*K14</f>
        <v/>
      </c>
      <c r="AM14" s="982">
        <f>IF(QrrSky_Q2&gt;0,QrrSky_Q2,Qrr_Q2*K14/(Iout/Number_of_Phases))*Fsw*Vin</f>
        <v/>
      </c>
      <c r="AN14" s="982">
        <f>Rs*R14^2</f>
        <v/>
      </c>
      <c r="AO14" s="982">
        <f>Iq*Vin</f>
        <v/>
      </c>
      <c r="AP14" s="982">
        <f>IF(Ext_VCC=1, (Qg_Q1+Qg_Q2)*Fsw*VCC, (Qg_Q1+Qg_Q2)*Fsw*Vin)</f>
        <v/>
      </c>
      <c r="AQ14" s="982">
        <f>(Vin-VCC)*Fsw*(Qg_Q1+Qg_Q2)+(RdsonDRT+RdsonDRT2)*Fsw*Qg_Q1*VCC/(RdsonDRT+2*Rgate1+RdsonDRT2)+(RdsonDRB+RdsonDRB2)*Fsw*Qg_Q2*VCC/(RdsonDRB+2*Rgate2+RdsonDRB2)</f>
        <v/>
      </c>
      <c r="AR14" s="982">
        <f>(Qg_Q1+Qg_Q2)*Fsw*(Vin-VCC)</f>
        <v/>
      </c>
      <c r="AS14" s="982">
        <f>SUM(AO14:AP14)</f>
        <v/>
      </c>
      <c r="AT14" s="982">
        <f> SUM(U14,X14,AA14,AG14,AK14,AL14,AM14,AS14,AN14)</f>
        <v/>
      </c>
      <c r="AU14">
        <f>Vout*K14</f>
        <v/>
      </c>
      <c r="AV14" s="1079">
        <f>AU14/(AU14+AT14)</f>
        <v/>
      </c>
      <c r="AW14" s="1080">
        <f>ThetaJA_Q1*BC14</f>
        <v/>
      </c>
      <c r="AX14" s="1080">
        <f>ThetaJA_Q2*BD14</f>
        <v/>
      </c>
      <c r="AY14" s="9" t="n"/>
      <c r="AZ14" s="4">
        <f>AV14*100</f>
        <v/>
      </c>
      <c r="BA14" s="982">
        <f>U14</f>
        <v/>
      </c>
      <c r="BB14" s="982">
        <f>AG14+AK14+AM14</f>
        <v/>
      </c>
      <c r="BC14" s="982">
        <f>AG14+AM14*0.66</f>
        <v/>
      </c>
      <c r="BD14" s="982">
        <f>AK14+AM14*0.33</f>
        <v/>
      </c>
      <c r="BE14" s="982">
        <f>AN14</f>
        <v/>
      </c>
      <c r="BJ14" s="18" t="n"/>
      <c r="BK14" s="18" t="n"/>
      <c r="BL14" s="18" t="n"/>
      <c r="BM14" s="19" t="n"/>
    </row>
    <row r="15">
      <c r="A15" s="23" t="inlineStr">
        <is>
          <t>Ta</t>
        </is>
      </c>
      <c r="B15" s="5">
        <f>Ta</f>
        <v/>
      </c>
      <c r="C15" s="427" t="inlineStr">
        <is>
          <t>°C</t>
        </is>
      </c>
      <c r="D15" s="21" t="inlineStr">
        <is>
          <t>Ambient Temperature</t>
        </is>
      </c>
      <c r="G15" t="n">
        <v>6</v>
      </c>
      <c r="H15" s="531">
        <f>Vin</f>
        <v/>
      </c>
      <c r="I15" s="4">
        <f>MODE</f>
        <v/>
      </c>
      <c r="J15" s="982">
        <f>Iout*G15/100</f>
        <v/>
      </c>
      <c r="K15" s="982">
        <f>Iout*G15/100/Number_of_Phases</f>
        <v/>
      </c>
      <c r="L15" s="4">
        <f>Vout*K15/(Vin*Efficiency)</f>
        <v/>
      </c>
      <c r="M15" s="982">
        <f>(Vout+(Rdson2+Rs+Rdcr)*K15)/(Vin+(Rs+Rdson2-Rdson1)*K15)</f>
        <v/>
      </c>
      <c r="N15" s="4">
        <f>(Vin-(Rdson1+Rdcr)*K15-Vout)*M15/(Fsw*Lf)</f>
        <v/>
      </c>
      <c r="O15" s="4">
        <f>K15+N15/2</f>
        <v/>
      </c>
      <c r="P15" s="4">
        <f>K15-N15/2</f>
        <v/>
      </c>
      <c r="Q15" s="4">
        <f>IF(MIN(Vin, -P15/(Coss_Q1+Coss_Q2)*0.00000002)&lt;0, 0, MIN(Vin, -P15/(Coss_Q1+Coss_Q2)*0.00000002))</f>
        <v/>
      </c>
      <c r="R15" s="4">
        <f>SQRT(K15^2+(N15^2)/12)</f>
        <v/>
      </c>
      <c r="S15" s="982">
        <f>R15^2*Rdcr</f>
        <v/>
      </c>
      <c r="T15" s="982">
        <f>Core_Loss_Ch1</f>
        <v/>
      </c>
      <c r="U15" s="982">
        <f>(T15+S15*(1+Ltc*(Ta-25)))/(1-S15*Ltc*ThetaCa)</f>
        <v/>
      </c>
      <c r="V15" s="4">
        <f>N15/SQRT(12)</f>
        <v/>
      </c>
      <c r="W15" s="982">
        <f>RCoutEsr*V15^2</f>
        <v/>
      </c>
      <c r="X15" s="982">
        <f>W15</f>
        <v/>
      </c>
      <c r="Y15" s="4">
        <f>SQRT(M15*(1-M15))*SQRT(K15^2+(N15^2)/12)</f>
        <v/>
      </c>
      <c r="Z15" s="982">
        <f>RCinEsr*Y15^2</f>
        <v/>
      </c>
      <c r="AA15" s="1078">
        <f>Z15</f>
        <v/>
      </c>
      <c r="AB15" s="982">
        <f>SQRT(M15)*SQRT(K15^2+(N15^2)/12)</f>
        <v/>
      </c>
      <c r="AC15" s="982">
        <f>Rdson1*AB15^2</f>
        <v/>
      </c>
      <c r="AD15" s="982">
        <f>(Vin*K15/2)*Fsw*(Tr_buck+Tf_buck)</f>
        <v/>
      </c>
      <c r="AE15" s="982">
        <f>(0.5*Coss_Q1*(Vin-Q15)^2-0.5*Coss_Q2*(Vin-Q15)^2+(Qoss_Q2*(Vin-Q15)/Vin)*Vin)*Fsw</f>
        <v/>
      </c>
      <c r="AF15" s="982">
        <f>IF(K15&gt;N15/2,0,ABS(K15-N15/2)*Vsd_Q1*Deadtime*Fsw)</f>
        <v/>
      </c>
      <c r="AG15" s="982">
        <f>(AF15+AE15+AD15+AC15*(1+RdsonTopTc*Ta-RdsonTopTc*25))/(1-AC15*RdsonTopTc*ThetaJA_Q1)</f>
        <v/>
      </c>
      <c r="AH15" s="982">
        <f>SQRT((1-M15))*SQRT(K15^2+(N15^2)/12)</f>
        <v/>
      </c>
      <c r="AI15" s="982">
        <f>Rdson2*AH15^2</f>
        <v/>
      </c>
      <c r="AJ15" s="982">
        <f>IF(K15&lt;N15/2,Deadtime*Fsw*IF(VfdSky_Q2&gt;0,0,Vsd_Q2)*(K15+N15/2),2*Deadtime*Fsw*IF(VfdSky_Q2&gt;0,0,Vsd_Q2)*K15)</f>
        <v/>
      </c>
      <c r="AK15" s="982">
        <f>(AJ15+AI15*(1+RdsonBotTc*Ta-RdsonBotTc*25))/(1-AI15*RdsonBotTc*ThetaJA_Q2)</f>
        <v/>
      </c>
      <c r="AL15" s="982">
        <f>2*Deadtime*Fsw*IF(VfdSky_Q2&gt;0,VfdSky_Q2,Vsd_Q2)*K15</f>
        <v/>
      </c>
      <c r="AM15" s="982">
        <f>IF(QrrSky_Q2&gt;0,QrrSky_Q2,Qrr_Q2*K15/(Iout/Number_of_Phases))*Fsw*Vin</f>
        <v/>
      </c>
      <c r="AN15" s="982">
        <f>Rs*R15^2</f>
        <v/>
      </c>
      <c r="AO15" s="982">
        <f>Iq*Vin</f>
        <v/>
      </c>
      <c r="AP15" s="982">
        <f>IF(Ext_VCC=1, (Qg_Q1+Qg_Q2)*Fsw*VCC, (Qg_Q1+Qg_Q2)*Fsw*Vin)</f>
        <v/>
      </c>
      <c r="AQ15" s="982">
        <f>(Vin-VCC)*Fsw*(Qg_Q1+Qg_Q2)+(RdsonDRT+RdsonDRT2)*Fsw*Qg_Q1*VCC/(RdsonDRT+2*Rgate1+RdsonDRT2)+(RdsonDRB+RdsonDRB2)*Fsw*Qg_Q2*VCC/(RdsonDRB+2*Rgate2+RdsonDRB2)</f>
        <v/>
      </c>
      <c r="AR15" s="982">
        <f>(Qg_Q1+Qg_Q2)*Fsw*(Vin-VCC)</f>
        <v/>
      </c>
      <c r="AS15" s="982">
        <f>SUM(AO15:AP15)</f>
        <v/>
      </c>
      <c r="AT15" s="982">
        <f> SUM(U15,X15,AA15,AG15,AK15,AL15,AM15,AS15,AN15)</f>
        <v/>
      </c>
      <c r="AU15">
        <f>Vout*K15</f>
        <v/>
      </c>
      <c r="AV15" s="1079">
        <f>AU15/(AU15+AT15)</f>
        <v/>
      </c>
      <c r="AW15" s="1080">
        <f>ThetaJA_Q1*BC15</f>
        <v/>
      </c>
      <c r="AX15" s="1080">
        <f>ThetaJA_Q2*BD15</f>
        <v/>
      </c>
      <c r="AY15" s="9" t="n"/>
      <c r="AZ15" s="4">
        <f>AV15*100</f>
        <v/>
      </c>
      <c r="BA15" s="982">
        <f>U15</f>
        <v/>
      </c>
      <c r="BB15" s="982">
        <f>AG15+AK15+AM15</f>
        <v/>
      </c>
      <c r="BC15" s="982">
        <f>AG15+AM15*0.66</f>
        <v/>
      </c>
      <c r="BD15" s="982">
        <f>AK15+AM15*0.33</f>
        <v/>
      </c>
      <c r="BE15" s="982">
        <f>AN15</f>
        <v/>
      </c>
      <c r="BJ15" s="18" t="n"/>
      <c r="BK15" s="18" t="n"/>
      <c r="BL15" s="18" t="n"/>
      <c r="BM15" s="19" t="n"/>
    </row>
    <row r="16">
      <c r="A16" s="435" t="inlineStr">
        <is>
          <t>Vcc</t>
        </is>
      </c>
      <c r="B16" s="5">
        <f>VCC</f>
        <v/>
      </c>
      <c r="C16" s="427" t="inlineStr">
        <is>
          <t>V</t>
        </is>
      </c>
      <c r="D16" s="427" t="inlineStr">
        <is>
          <t>Subregulated VCC Voltage</t>
        </is>
      </c>
      <c r="G16" t="n">
        <v>7</v>
      </c>
      <c r="H16" s="531">
        <f>Vin</f>
        <v/>
      </c>
      <c r="I16" s="4">
        <f>MODE</f>
        <v/>
      </c>
      <c r="J16" s="982">
        <f>Iout*G16/100</f>
        <v/>
      </c>
      <c r="K16" s="982">
        <f>Iout*G16/100/Number_of_Phases</f>
        <v/>
      </c>
      <c r="L16" s="4">
        <f>Vout*K16/(Vin*Efficiency)</f>
        <v/>
      </c>
      <c r="M16" s="982">
        <f>(Vout+(Rdson2+Rs+Rdcr)*K16)/(Vin+(Rs+Rdson2-Rdson1)*K16)</f>
        <v/>
      </c>
      <c r="N16" s="4">
        <f>(Vin-(Rdson1+Rdcr)*K16-Vout)*M16/(Fsw*Lf)</f>
        <v/>
      </c>
      <c r="O16" s="4">
        <f>K16+N16/2</f>
        <v/>
      </c>
      <c r="P16" s="4">
        <f>K16-N16/2</f>
        <v/>
      </c>
      <c r="Q16" s="4">
        <f>IF(MIN(Vin, -P16/(Coss_Q1+Coss_Q2)*0.00000002)&lt;0, 0, MIN(Vin, -P16/(Coss_Q1+Coss_Q2)*0.00000002))</f>
        <v/>
      </c>
      <c r="R16" s="4">
        <f>SQRT(K16^2+(N16^2)/12)</f>
        <v/>
      </c>
      <c r="S16" s="982">
        <f>R16^2*Rdcr</f>
        <v/>
      </c>
      <c r="T16" s="982">
        <f>Core_Loss_Ch1</f>
        <v/>
      </c>
      <c r="U16" s="982">
        <f>(T16+S16*(1+Ltc*(Ta-25)))/(1-S16*Ltc*ThetaCa)</f>
        <v/>
      </c>
      <c r="V16" s="4">
        <f>N16/SQRT(12)</f>
        <v/>
      </c>
      <c r="W16" s="982">
        <f>RCoutEsr*V16^2</f>
        <v/>
      </c>
      <c r="X16" s="982">
        <f>W16</f>
        <v/>
      </c>
      <c r="Y16" s="4">
        <f>SQRT(M16*(1-M16))*SQRT(K16^2+(N16^2)/12)</f>
        <v/>
      </c>
      <c r="Z16" s="982">
        <f>RCinEsr*Y16^2</f>
        <v/>
      </c>
      <c r="AA16" s="1078">
        <f>Z16</f>
        <v/>
      </c>
      <c r="AB16" s="982">
        <f>SQRT(M16)*SQRT(K16^2+(N16^2)/12)</f>
        <v/>
      </c>
      <c r="AC16" s="982">
        <f>Rdson1*AB16^2</f>
        <v/>
      </c>
      <c r="AD16" s="982">
        <f>(Vin*K16/2)*Fsw*(Tr_buck+Tf_buck)</f>
        <v/>
      </c>
      <c r="AE16" s="982">
        <f>(0.5*Coss_Q1*(Vin-Q16)^2-0.5*Coss_Q2*(Vin-Q16)^2+(Qoss_Q2*(Vin-Q16)/Vin)*Vin)*Fsw</f>
        <v/>
      </c>
      <c r="AF16" s="982">
        <f>IF(K16&gt;N16/2,0,ABS(K16-N16/2)*Vsd_Q1*Deadtime*Fsw)</f>
        <v/>
      </c>
      <c r="AG16" s="982">
        <f>(AF16+AE16+AD16+AC16*(1+RdsonTopTc*Ta-RdsonTopTc*25))/(1-AC16*RdsonTopTc*ThetaJA_Q1)</f>
        <v/>
      </c>
      <c r="AH16" s="982">
        <f>SQRT((1-M16))*SQRT(K16^2+(N16^2)/12)</f>
        <v/>
      </c>
      <c r="AI16" s="982">
        <f>Rdson2*AH16^2</f>
        <v/>
      </c>
      <c r="AJ16" s="982">
        <f>IF(K16&lt;N16/2,Deadtime*Fsw*IF(VfdSky_Q2&gt;0,0,Vsd_Q2)*(K16+N16/2),2*Deadtime*Fsw*IF(VfdSky_Q2&gt;0,0,Vsd_Q2)*K16)</f>
        <v/>
      </c>
      <c r="AK16" s="982">
        <f>(AJ16+AI16*(1+RdsonBotTc*Ta-RdsonBotTc*25))/(1-AI16*RdsonBotTc*ThetaJA_Q2)</f>
        <v/>
      </c>
      <c r="AL16" s="982">
        <f>2*Deadtime*Fsw*IF(VfdSky_Q2&gt;0,VfdSky_Q2,Vsd_Q2)*K16</f>
        <v/>
      </c>
      <c r="AM16" s="982">
        <f>IF(QrrSky_Q2&gt;0,QrrSky_Q2,Qrr_Q2*K16/(Iout/Number_of_Phases))*Fsw*Vin</f>
        <v/>
      </c>
      <c r="AN16" s="982">
        <f>Rs*R16^2</f>
        <v/>
      </c>
      <c r="AO16" s="982">
        <f>Iq*Vin</f>
        <v/>
      </c>
      <c r="AP16" s="982">
        <f>IF(Ext_VCC=1, (Qg_Q1+Qg_Q2)*Fsw*VCC, (Qg_Q1+Qg_Q2)*Fsw*Vin)</f>
        <v/>
      </c>
      <c r="AQ16" s="982">
        <f>(Vin-VCC)*Fsw*(Qg_Q1+Qg_Q2)+(RdsonDRT+RdsonDRT2)*Fsw*Qg_Q1*VCC/(RdsonDRT+2*Rgate1+RdsonDRT2)+(RdsonDRB+RdsonDRB2)*Fsw*Qg_Q2*VCC/(RdsonDRB+2*Rgate2+RdsonDRB2)</f>
        <v/>
      </c>
      <c r="AR16" s="982">
        <f>(Qg_Q1+Qg_Q2)*Fsw*(Vin-VCC)</f>
        <v/>
      </c>
      <c r="AS16" s="982">
        <f>SUM(AO16:AP16)</f>
        <v/>
      </c>
      <c r="AT16" s="982">
        <f> SUM(U16,X16,AA16,AG16,AK16,AL16,AM16,AS16,AN16)</f>
        <v/>
      </c>
      <c r="AU16">
        <f>Vout*K16</f>
        <v/>
      </c>
      <c r="AV16" s="1079">
        <f>AU16/(AU16+AT16)</f>
        <v/>
      </c>
      <c r="AW16" s="1080">
        <f>ThetaJA_Q1*BC16</f>
        <v/>
      </c>
      <c r="AX16" s="1080">
        <f>ThetaJA_Q2*BD16</f>
        <v/>
      </c>
      <c r="AY16" s="9" t="n"/>
      <c r="AZ16" s="4">
        <f>AV16*100</f>
        <v/>
      </c>
      <c r="BA16" s="982">
        <f>U16</f>
        <v/>
      </c>
      <c r="BB16" s="982">
        <f>AG16+AK16+AM16</f>
        <v/>
      </c>
      <c r="BC16" s="982">
        <f>AG16+AM16*0.66</f>
        <v/>
      </c>
      <c r="BD16" s="982">
        <f>AK16+AM16*0.33</f>
        <v/>
      </c>
      <c r="BE16" s="982">
        <f>AN16</f>
        <v/>
      </c>
      <c r="BJ16" s="18" t="n"/>
      <c r="BK16" s="18" t="n"/>
      <c r="BL16" s="18" t="n"/>
      <c r="BM16" s="19" t="n"/>
    </row>
    <row r="17">
      <c r="A17" s="24" t="inlineStr">
        <is>
          <t>Components</t>
        </is>
      </c>
      <c r="B17" s="16" t="inlineStr">
        <is>
          <t>Input Value</t>
        </is>
      </c>
      <c r="C17" s="24" t="inlineStr">
        <is>
          <t>Units</t>
        </is>
      </c>
      <c r="D17" s="17" t="inlineStr">
        <is>
          <t>Description</t>
        </is>
      </c>
      <c r="G17" t="n">
        <v>8</v>
      </c>
      <c r="H17" s="531">
        <f>Vin</f>
        <v/>
      </c>
      <c r="I17" s="4">
        <f>MODE</f>
        <v/>
      </c>
      <c r="J17" s="982">
        <f>Iout*G17/100</f>
        <v/>
      </c>
      <c r="K17" s="982">
        <f>Iout*G17/100/Number_of_Phases</f>
        <v/>
      </c>
      <c r="L17" s="4">
        <f>Vout*K17/(Vin*Efficiency)</f>
        <v/>
      </c>
      <c r="M17" s="982">
        <f>(Vout+(Rdson2+Rs+Rdcr)*K17)/(Vin+(Rs+Rdson2-Rdson1)*K17)</f>
        <v/>
      </c>
      <c r="N17" s="4">
        <f>(Vin-(Rdson1+Rdcr)*K17-Vout)*M17/(Fsw*Lf)</f>
        <v/>
      </c>
      <c r="O17" s="4">
        <f>K17+N17/2</f>
        <v/>
      </c>
      <c r="P17" s="4">
        <f>K17-N17/2</f>
        <v/>
      </c>
      <c r="Q17" s="4">
        <f>IF(MIN(Vin, -P17/(Coss_Q1+Coss_Q2)*0.00000002)&lt;0, 0, MIN(Vin, -P17/(Coss_Q1+Coss_Q2)*0.00000002))</f>
        <v/>
      </c>
      <c r="R17" s="4">
        <f>SQRT(K17^2+(N17^2)/12)</f>
        <v/>
      </c>
      <c r="S17" s="982">
        <f>R17^2*Rdcr</f>
        <v/>
      </c>
      <c r="T17" s="982">
        <f>Core_Loss_Ch1</f>
        <v/>
      </c>
      <c r="U17" s="982">
        <f>(T17+S17*(1+Ltc*(Ta-25)))/(1-S17*Ltc*ThetaCa)</f>
        <v/>
      </c>
      <c r="V17" s="4">
        <f>N17/SQRT(12)</f>
        <v/>
      </c>
      <c r="W17" s="982">
        <f>RCoutEsr*V17^2</f>
        <v/>
      </c>
      <c r="X17" s="982">
        <f>W17</f>
        <v/>
      </c>
      <c r="Y17" s="4">
        <f>SQRT(M17*(1-M17))*SQRT(K17^2+(N17^2)/12)</f>
        <v/>
      </c>
      <c r="Z17" s="982">
        <f>RCinEsr*Y17^2</f>
        <v/>
      </c>
      <c r="AA17" s="1078">
        <f>Z17</f>
        <v/>
      </c>
      <c r="AB17" s="982">
        <f>SQRT(M17)*SQRT(K17^2+(N17^2)/12)</f>
        <v/>
      </c>
      <c r="AC17" s="982">
        <f>Rdson1*AB17^2</f>
        <v/>
      </c>
      <c r="AD17" s="982">
        <f>(Vin*K17/2)*Fsw*(Tr_buck+Tf_buck)</f>
        <v/>
      </c>
      <c r="AE17" s="982">
        <f>(0.5*Coss_Q1*(Vin-Q17)^2-0.5*Coss_Q2*(Vin-Q17)^2+(Qoss_Q2*(Vin-Q17)/Vin)*Vin)*Fsw</f>
        <v/>
      </c>
      <c r="AF17" s="982">
        <f>IF(K17&gt;N17/2,0,ABS(K17-N17/2)*Vsd_Q1*Deadtime*Fsw)</f>
        <v/>
      </c>
      <c r="AG17" s="982">
        <f>(AF17+AE17+AD17+AC17*(1+RdsonTopTc*Ta-RdsonTopTc*25))/(1-AC17*RdsonTopTc*ThetaJA_Q1)</f>
        <v/>
      </c>
      <c r="AH17" s="982">
        <f>SQRT((1-M17))*SQRT(K17^2+(N17^2)/12)</f>
        <v/>
      </c>
      <c r="AI17" s="982">
        <f>Rdson2*AH17^2</f>
        <v/>
      </c>
      <c r="AJ17" s="982">
        <f>IF(K17&lt;N17/2,Deadtime*Fsw*IF(VfdSky_Q2&gt;0,0,Vsd_Q2)*(K17+N17/2),2*Deadtime*Fsw*IF(VfdSky_Q2&gt;0,0,Vsd_Q2)*K17)</f>
        <v/>
      </c>
      <c r="AK17" s="982">
        <f>(AJ17+AI17*(1+RdsonBotTc*Ta-RdsonBotTc*25))/(1-AI17*RdsonBotTc*ThetaJA_Q2)</f>
        <v/>
      </c>
      <c r="AL17" s="982">
        <f>2*Deadtime*Fsw*IF(VfdSky_Q2&gt;0,VfdSky_Q2,Vsd_Q2)*K17</f>
        <v/>
      </c>
      <c r="AM17" s="982">
        <f>IF(QrrSky_Q2&gt;0,QrrSky_Q2,Qrr_Q2*K17/(Iout/Number_of_Phases))*Fsw*Vin</f>
        <v/>
      </c>
      <c r="AN17" s="982">
        <f>Rs*R17^2</f>
        <v/>
      </c>
      <c r="AO17" s="982">
        <f>Iq*Vin</f>
        <v/>
      </c>
      <c r="AP17" s="982">
        <f>IF(Ext_VCC=1, (Qg_Q1+Qg_Q2)*Fsw*VCC, (Qg_Q1+Qg_Q2)*Fsw*Vin)</f>
        <v/>
      </c>
      <c r="AQ17" s="982">
        <f>(Vin-VCC)*Fsw*(Qg_Q1+Qg_Q2)+(RdsonDRT+RdsonDRT2)*Fsw*Qg_Q1*VCC/(RdsonDRT+2*Rgate1+RdsonDRT2)+(RdsonDRB+RdsonDRB2)*Fsw*Qg_Q2*VCC/(RdsonDRB+2*Rgate2+RdsonDRB2)</f>
        <v/>
      </c>
      <c r="AR17" s="982">
        <f>(Qg_Q1+Qg_Q2)*Fsw*(Vin-VCC)</f>
        <v/>
      </c>
      <c r="AS17" s="982">
        <f>SUM(AO17:AP17)</f>
        <v/>
      </c>
      <c r="AT17" s="982">
        <f> SUM(U17,X17,AA17,AG17,AK17,AL17,AM17,AS17,AN17)</f>
        <v/>
      </c>
      <c r="AU17">
        <f>Vout*K17</f>
        <v/>
      </c>
      <c r="AV17" s="1079">
        <f>AU17/(AU17+AT17)</f>
        <v/>
      </c>
      <c r="AW17" s="1080">
        <f>ThetaJA_Q1*BC17</f>
        <v/>
      </c>
      <c r="AX17" s="1080">
        <f>ThetaJA_Q2*BD17</f>
        <v/>
      </c>
      <c r="AY17" s="9" t="n"/>
      <c r="AZ17" s="4">
        <f>AV17*100</f>
        <v/>
      </c>
      <c r="BA17" s="982">
        <f>U17</f>
        <v/>
      </c>
      <c r="BB17" s="982">
        <f>AG17+AK17+AM17</f>
        <v/>
      </c>
      <c r="BC17" s="982">
        <f>AG17+AM17*0.66</f>
        <v/>
      </c>
      <c r="BD17" s="982">
        <f>AK17+AM17*0.33</f>
        <v/>
      </c>
      <c r="BE17" s="982">
        <f>AN17</f>
        <v/>
      </c>
      <c r="BJ17" s="18" t="n"/>
      <c r="BK17" s="18" t="n"/>
      <c r="BL17" s="18" t="n"/>
      <c r="BM17" s="19" t="n"/>
    </row>
    <row r="18">
      <c r="A18" s="35" t="inlineStr">
        <is>
          <t>L</t>
        </is>
      </c>
      <c r="B18" s="38">
        <f>Lf*1000000</f>
        <v/>
      </c>
      <c r="C18" s="428" t="inlineStr">
        <is>
          <t>uH</t>
        </is>
      </c>
      <c r="D18" s="427" t="inlineStr">
        <is>
          <t>Filter Inductance</t>
        </is>
      </c>
      <c r="G18" t="n">
        <v>9</v>
      </c>
      <c r="H18" s="531">
        <f>Vin</f>
        <v/>
      </c>
      <c r="I18" s="4">
        <f>MODE</f>
        <v/>
      </c>
      <c r="J18" s="982">
        <f>Iout*G18/100</f>
        <v/>
      </c>
      <c r="K18" s="982">
        <f>Iout*G18/100/Number_of_Phases</f>
        <v/>
      </c>
      <c r="L18" s="4">
        <f>Vout*K18/(Vin*Efficiency)</f>
        <v/>
      </c>
      <c r="M18" s="982">
        <f>(Vout+(Rdson2+Rs+Rdcr)*K18)/(Vin+(Rs+Rdson2-Rdson1)*K18)</f>
        <v/>
      </c>
      <c r="N18" s="4">
        <f>(Vin-(Rdson1+Rdcr)*K18-Vout)*M18/(Fsw*Lf)</f>
        <v/>
      </c>
      <c r="O18" s="4">
        <f>K18+N18/2</f>
        <v/>
      </c>
      <c r="P18" s="4">
        <f>K18-N18/2</f>
        <v/>
      </c>
      <c r="Q18" s="4">
        <f>IF(MIN(Vin, -P18/(Coss_Q1+Coss_Q2)*0.00000002)&lt;0, 0, MIN(Vin, -P18/(Coss_Q1+Coss_Q2)*0.00000002))</f>
        <v/>
      </c>
      <c r="R18" s="4">
        <f>SQRT(K18^2+(N18^2)/12)</f>
        <v/>
      </c>
      <c r="S18" s="982">
        <f>R18^2*Rdcr</f>
        <v/>
      </c>
      <c r="T18" s="982">
        <f>Core_Loss_Ch1</f>
        <v/>
      </c>
      <c r="U18" s="982">
        <f>(T18+S18*(1+Ltc*(Ta-25)))/(1-S18*Ltc*ThetaCa)</f>
        <v/>
      </c>
      <c r="V18" s="4">
        <f>N18/SQRT(12)</f>
        <v/>
      </c>
      <c r="W18" s="982">
        <f>RCoutEsr*V18^2</f>
        <v/>
      </c>
      <c r="X18" s="982">
        <f>W18</f>
        <v/>
      </c>
      <c r="Y18" s="4">
        <f>SQRT(M18*(1-M18))*SQRT(K18^2+(N18^2)/12)</f>
        <v/>
      </c>
      <c r="Z18" s="982">
        <f>RCinEsr*Y18^2</f>
        <v/>
      </c>
      <c r="AA18" s="1078">
        <f>Z18</f>
        <v/>
      </c>
      <c r="AB18" s="982">
        <f>SQRT(M18)*SQRT(K18^2+(N18^2)/12)</f>
        <v/>
      </c>
      <c r="AC18" s="982">
        <f>Rdson1*AB18^2</f>
        <v/>
      </c>
      <c r="AD18" s="982">
        <f>(Vin*K18/2)*Fsw*(Tr_buck+Tf_buck)</f>
        <v/>
      </c>
      <c r="AE18" s="982">
        <f>(0.5*Coss_Q1*(Vin-Q18)^2-0.5*Coss_Q2*(Vin-Q18)^2+(Qoss_Q2*(Vin-Q18)/Vin)*Vin)*Fsw</f>
        <v/>
      </c>
      <c r="AF18" s="982">
        <f>IF(K18&gt;N18/2,0,ABS(K18-N18/2)*Vsd_Q1*Deadtime*Fsw)</f>
        <v/>
      </c>
      <c r="AG18" s="982">
        <f>(AF18+AE18+AD18+AC18*(1+RdsonTopTc*Ta-RdsonTopTc*25))/(1-AC18*RdsonTopTc*ThetaJA_Q1)</f>
        <v/>
      </c>
      <c r="AH18" s="982">
        <f>SQRT((1-M18))*SQRT(K18^2+(N18^2)/12)</f>
        <v/>
      </c>
      <c r="AI18" s="982">
        <f>Rdson2*AH18^2</f>
        <v/>
      </c>
      <c r="AJ18" s="982">
        <f>IF(K18&lt;N18/2,Deadtime*Fsw*IF(VfdSky_Q2&gt;0,0,Vsd_Q2)*(K18+N18/2),2*Deadtime*Fsw*IF(VfdSky_Q2&gt;0,0,Vsd_Q2)*K18)</f>
        <v/>
      </c>
      <c r="AK18" s="982">
        <f>(AJ18+AI18*(1+RdsonBotTc*Ta-RdsonBotTc*25))/(1-AI18*RdsonBotTc*ThetaJA_Q2)</f>
        <v/>
      </c>
      <c r="AL18" s="982">
        <f>2*Deadtime*Fsw*IF(VfdSky_Q2&gt;0,VfdSky_Q2,Vsd_Q2)*K18</f>
        <v/>
      </c>
      <c r="AM18" s="982">
        <f>IF(QrrSky_Q2&gt;0,QrrSky_Q2,Qrr_Q2*K18/(Iout/Number_of_Phases))*Fsw*Vin</f>
        <v/>
      </c>
      <c r="AN18" s="982">
        <f>Rs*R18^2</f>
        <v/>
      </c>
      <c r="AO18" s="982">
        <f>Iq*Vin</f>
        <v/>
      </c>
      <c r="AP18" s="982">
        <f>IF(Ext_VCC=1, (Qg_Q1+Qg_Q2)*Fsw*VCC, (Qg_Q1+Qg_Q2)*Fsw*Vin)</f>
        <v/>
      </c>
      <c r="AQ18" s="982">
        <f>(Vin-VCC)*Fsw*(Qg_Q1+Qg_Q2)+(RdsonDRT+RdsonDRT2)*Fsw*Qg_Q1*VCC/(RdsonDRT+2*Rgate1+RdsonDRT2)+(RdsonDRB+RdsonDRB2)*Fsw*Qg_Q2*VCC/(RdsonDRB+2*Rgate2+RdsonDRB2)</f>
        <v/>
      </c>
      <c r="AR18" s="982">
        <f>(Qg_Q1+Qg_Q2)*Fsw*(Vin-VCC)</f>
        <v/>
      </c>
      <c r="AS18" s="982">
        <f>SUM(AO18:AP18)</f>
        <v/>
      </c>
      <c r="AT18" s="982">
        <f> SUM(U18,X18,AA18,AG18,AK18,AL18,AM18,AS18,AN18)</f>
        <v/>
      </c>
      <c r="AU18">
        <f>Vout*K18</f>
        <v/>
      </c>
      <c r="AV18" s="1079">
        <f>AU18/(AU18+AT18)</f>
        <v/>
      </c>
      <c r="AW18" s="1080">
        <f>ThetaJA_Q1*BC18</f>
        <v/>
      </c>
      <c r="AX18" s="1080">
        <f>ThetaJA_Q2*BD18</f>
        <v/>
      </c>
      <c r="AY18" s="9" t="n"/>
      <c r="AZ18" s="4">
        <f>AV18*100</f>
        <v/>
      </c>
      <c r="BA18" s="982">
        <f>U18</f>
        <v/>
      </c>
      <c r="BB18" s="982">
        <f>AG18+AK18+AM18</f>
        <v/>
      </c>
      <c r="BC18" s="982">
        <f>AG18+AM18*0.66</f>
        <v/>
      </c>
      <c r="BD18" s="982">
        <f>AK18+AM18*0.33</f>
        <v/>
      </c>
      <c r="BE18" s="982">
        <f>AN18</f>
        <v/>
      </c>
      <c r="BK18" s="18" t="n"/>
      <c r="BL18" s="19" t="n"/>
    </row>
    <row r="19">
      <c r="A19" s="35" t="inlineStr">
        <is>
          <t>Rdcr</t>
        </is>
      </c>
      <c r="B19" s="39">
        <f>Rdcr*1000</f>
        <v/>
      </c>
      <c r="C19" s="429" t="inlineStr">
        <is>
          <t>mW</t>
        </is>
      </c>
      <c r="D19" s="427" t="inlineStr">
        <is>
          <t>Inductor DCR at 25°C</t>
        </is>
      </c>
      <c r="G19" t="n">
        <v>10</v>
      </c>
      <c r="H19" s="531">
        <f>Vin</f>
        <v/>
      </c>
      <c r="I19" s="4">
        <f>MODE</f>
        <v/>
      </c>
      <c r="J19" s="982">
        <f>Iout*G19/100</f>
        <v/>
      </c>
      <c r="K19" s="982">
        <f>Iout*G19/100/Number_of_Phases</f>
        <v/>
      </c>
      <c r="L19" s="4">
        <f>Vout*K19/(Vin*Efficiency)</f>
        <v/>
      </c>
      <c r="M19" s="982">
        <f>(Vout+(Rdson2+Rs+Rdcr)*K19)/(Vin+(Rs+Rdson2-Rdson1)*K19)</f>
        <v/>
      </c>
      <c r="N19" s="4">
        <f>(Vin-(Rdson1+Rdcr)*K19-Vout)*M19/(Fsw*Lf)</f>
        <v/>
      </c>
      <c r="O19" s="4">
        <f>K19+N19/2</f>
        <v/>
      </c>
      <c r="P19" s="4">
        <f>K19-N19/2</f>
        <v/>
      </c>
      <c r="Q19" s="4">
        <f>IF(MIN(Vin, -P19/(Coss_Q1+Coss_Q2)*0.00000002)&lt;0, 0, MIN(Vin, -P19/(Coss_Q1+Coss_Q2)*0.00000002))</f>
        <v/>
      </c>
      <c r="R19" s="4">
        <f>SQRT(K19^2+(N19^2)/12)</f>
        <v/>
      </c>
      <c r="S19" s="982">
        <f>R19^2*Rdcr</f>
        <v/>
      </c>
      <c r="T19" s="982">
        <f>Core_Loss_Ch1</f>
        <v/>
      </c>
      <c r="U19" s="982">
        <f>(T19+S19*(1+Ltc*(Ta-25)))/(1-S19*Ltc*ThetaCa)</f>
        <v/>
      </c>
      <c r="V19" s="4">
        <f>N19/SQRT(12)</f>
        <v/>
      </c>
      <c r="W19" s="982">
        <f>RCoutEsr*V19^2</f>
        <v/>
      </c>
      <c r="X19" s="982">
        <f>W19</f>
        <v/>
      </c>
      <c r="Y19" s="4">
        <f>SQRT(M19*(1-M19))*SQRT(K19^2+(N19^2)/12)</f>
        <v/>
      </c>
      <c r="Z19" s="982">
        <f>RCinEsr*Y19^2</f>
        <v/>
      </c>
      <c r="AA19" s="1078">
        <f>Z19</f>
        <v/>
      </c>
      <c r="AB19" s="982">
        <f>SQRT(M19)*SQRT(K19^2+(N19^2)/12)</f>
        <v/>
      </c>
      <c r="AC19" s="982">
        <f>Rdson1*AB19^2</f>
        <v/>
      </c>
      <c r="AD19" s="982">
        <f>(Vin*K19/2)*Fsw*(Tr_buck+Tf_buck)</f>
        <v/>
      </c>
      <c r="AE19" s="982">
        <f>(0.5*Coss_Q1*(Vin-Q19)^2-0.5*Coss_Q2*(Vin-Q19)^2+(Qoss_Q2*(Vin-Q19)/Vin)*Vin)*Fsw</f>
        <v/>
      </c>
      <c r="AF19" s="982">
        <f>IF(K19&gt;N19/2,0,ABS(K19-N19/2)*Vsd_Q1*Deadtime*Fsw)</f>
        <v/>
      </c>
      <c r="AG19" s="982">
        <f>(AF19+AE19+AD19+AC19*(1+RdsonTopTc*Ta-RdsonTopTc*25))/(1-AC19*RdsonTopTc*ThetaJA_Q1)</f>
        <v/>
      </c>
      <c r="AH19" s="982">
        <f>SQRT((1-M19))*SQRT(K19^2+(N19^2)/12)</f>
        <v/>
      </c>
      <c r="AI19" s="982">
        <f>Rdson2*AH19^2</f>
        <v/>
      </c>
      <c r="AJ19" s="982">
        <f>IF(K19&lt;N19/2,Deadtime*Fsw*IF(VfdSky_Q2&gt;0,0,Vsd_Q2)*(K19+N19/2),2*Deadtime*Fsw*IF(VfdSky_Q2&gt;0,0,Vsd_Q2)*K19)</f>
        <v/>
      </c>
      <c r="AK19" s="982">
        <f>(AJ19+AI19*(1+RdsonBotTc*Ta-RdsonBotTc*25))/(1-AI19*RdsonBotTc*ThetaJA_Q2)</f>
        <v/>
      </c>
      <c r="AL19" s="982">
        <f>2*Deadtime*Fsw*IF(VfdSky_Q2&gt;0,VfdSky_Q2,Vsd_Q2)*K19</f>
        <v/>
      </c>
      <c r="AM19" s="982">
        <f>IF(QrrSky_Q2&gt;0,QrrSky_Q2,Qrr_Q2*K19/(Iout/Number_of_Phases))*Fsw*Vin</f>
        <v/>
      </c>
      <c r="AN19" s="982">
        <f>Rs*R19^2</f>
        <v/>
      </c>
      <c r="AO19" s="982">
        <f>Iq*Vin</f>
        <v/>
      </c>
      <c r="AP19" s="982">
        <f>IF(Ext_VCC=1, (Qg_Q1+Qg_Q2)*Fsw*VCC, (Qg_Q1+Qg_Q2)*Fsw*Vin)</f>
        <v/>
      </c>
      <c r="AQ19" s="982">
        <f>(Vin-VCC)*Fsw*(Qg_Q1+Qg_Q2)+(RdsonDRT+RdsonDRT2)*Fsw*Qg_Q1*VCC/(RdsonDRT+2*Rgate1+RdsonDRT2)+(RdsonDRB+RdsonDRB2)*Fsw*Qg_Q2*VCC/(RdsonDRB+2*Rgate2+RdsonDRB2)</f>
        <v/>
      </c>
      <c r="AR19" s="982">
        <f>(Qg_Q1+Qg_Q2)*Fsw*(Vin-VCC)</f>
        <v/>
      </c>
      <c r="AS19" s="982">
        <f>SUM(AO19:AP19)</f>
        <v/>
      </c>
      <c r="AT19" s="982">
        <f> SUM(U19,X19,AA19,AG19,AK19,AL19,AM19,AS19,AN19)</f>
        <v/>
      </c>
      <c r="AU19">
        <f>Vout*K19</f>
        <v/>
      </c>
      <c r="AV19" s="1079">
        <f>AU19/(AU19+AT19)</f>
        <v/>
      </c>
      <c r="AW19" s="1080">
        <f>ThetaJA_Q1*BC19</f>
        <v/>
      </c>
      <c r="AX19" s="1080">
        <f>ThetaJA_Q2*BD19</f>
        <v/>
      </c>
      <c r="AY19" s="9" t="n"/>
      <c r="AZ19" s="4">
        <f>AV19*100</f>
        <v/>
      </c>
      <c r="BA19" s="982">
        <f>U19</f>
        <v/>
      </c>
      <c r="BB19" s="982">
        <f>AG19+AK19+AM19</f>
        <v/>
      </c>
      <c r="BC19" s="982">
        <f>AG19+AM19*0.66</f>
        <v/>
      </c>
      <c r="BD19" s="982">
        <f>AK19+AM19*0.33</f>
        <v/>
      </c>
      <c r="BE19" s="982">
        <f>AN19</f>
        <v/>
      </c>
      <c r="BK19" s="18" t="n"/>
      <c r="BL19" s="19" t="n"/>
    </row>
    <row r="20">
      <c r="A20" s="35" t="inlineStr">
        <is>
          <t>LTc</t>
        </is>
      </c>
      <c r="B20" s="39">
        <f>Ltc*1000000</f>
        <v/>
      </c>
      <c r="C20" s="428" t="inlineStr">
        <is>
          <t>ppm</t>
        </is>
      </c>
      <c r="D20" s="21" t="inlineStr">
        <is>
          <t>Inductor Series Resistance Temp Co</t>
        </is>
      </c>
      <c r="G20" t="n">
        <v>11</v>
      </c>
      <c r="H20" s="531">
        <f>Vin</f>
        <v/>
      </c>
      <c r="I20" s="4">
        <f>MODE</f>
        <v/>
      </c>
      <c r="J20" s="982">
        <f>Iout*G20/100</f>
        <v/>
      </c>
      <c r="K20" s="982">
        <f>Iout*G20/100/Number_of_Phases</f>
        <v/>
      </c>
      <c r="L20" s="4">
        <f>Vout*K20/(Vin*Efficiency)</f>
        <v/>
      </c>
      <c r="M20" s="982">
        <f>(Vout+(Rdson2+Rs+Rdcr)*K20)/(Vin+(Rs+Rdson2-Rdson1)*K20)</f>
        <v/>
      </c>
      <c r="N20" s="4">
        <f>(Vin-(Rdson1+Rdcr)*K20-Vout)*M20/(Fsw*Lf)</f>
        <v/>
      </c>
      <c r="O20" s="4">
        <f>K20+N20/2</f>
        <v/>
      </c>
      <c r="P20" s="4">
        <f>K20-N20/2</f>
        <v/>
      </c>
      <c r="Q20" s="4">
        <f>IF(MIN(Vin, -P20/(Coss_Q1+Coss_Q2)*0.00000002)&lt;0, 0, MIN(Vin, -P20/(Coss_Q1+Coss_Q2)*0.00000002))</f>
        <v/>
      </c>
      <c r="R20" s="4">
        <f>SQRT(K20^2+(N20^2)/12)</f>
        <v/>
      </c>
      <c r="S20" s="982">
        <f>R20^2*Rdcr</f>
        <v/>
      </c>
      <c r="T20" s="982">
        <f>Core_Loss_Ch1</f>
        <v/>
      </c>
      <c r="U20" s="982">
        <f>(T20+S20*(1+Ltc*(Ta-25)))/(1-S20*Ltc*ThetaCa)</f>
        <v/>
      </c>
      <c r="V20" s="4">
        <f>N20/SQRT(12)</f>
        <v/>
      </c>
      <c r="W20" s="982">
        <f>RCoutEsr*V20^2</f>
        <v/>
      </c>
      <c r="X20" s="982">
        <f>W20</f>
        <v/>
      </c>
      <c r="Y20" s="4">
        <f>SQRT(M20*(1-M20))*SQRT(K20^2+(N20^2)/12)</f>
        <v/>
      </c>
      <c r="Z20" s="982">
        <f>RCinEsr*Y20^2</f>
        <v/>
      </c>
      <c r="AA20" s="1078">
        <f>Z20</f>
        <v/>
      </c>
      <c r="AB20" s="982">
        <f>SQRT(M20)*SQRT(K20^2+(N20^2)/12)</f>
        <v/>
      </c>
      <c r="AC20" s="982">
        <f>Rdson1*AB20^2</f>
        <v/>
      </c>
      <c r="AD20" s="982">
        <f>(Vin*K20/2)*Fsw*(Tr_buck+Tf_buck)</f>
        <v/>
      </c>
      <c r="AE20" s="982">
        <f>(0.5*Coss_Q1*(Vin-Q20)^2-0.5*Coss_Q2*(Vin-Q20)^2+(Qoss_Q2*(Vin-Q20)/Vin)*Vin)*Fsw</f>
        <v/>
      </c>
      <c r="AF20" s="982">
        <f>IF(K20&gt;N20/2,0,ABS(K20-N20/2)*Vsd_Q1*Deadtime*Fsw)</f>
        <v/>
      </c>
      <c r="AG20" s="982">
        <f>(AF20+AE20+AD20+AC20*(1+RdsonTopTc*Ta-RdsonTopTc*25))/(1-AC20*RdsonTopTc*ThetaJA_Q1)</f>
        <v/>
      </c>
      <c r="AH20" s="982">
        <f>SQRT((1-M20))*SQRT(K20^2+(N20^2)/12)</f>
        <v/>
      </c>
      <c r="AI20" s="982">
        <f>Rdson2*AH20^2</f>
        <v/>
      </c>
      <c r="AJ20" s="982">
        <f>IF(K20&lt;N20/2,Deadtime*Fsw*IF(VfdSky_Q2&gt;0,0,Vsd_Q2)*(K20+N20/2),2*Deadtime*Fsw*IF(VfdSky_Q2&gt;0,0,Vsd_Q2)*K20)</f>
        <v/>
      </c>
      <c r="AK20" s="982">
        <f>(AJ20+AI20*(1+RdsonBotTc*Ta-RdsonBotTc*25))/(1-AI20*RdsonBotTc*ThetaJA_Q2)</f>
        <v/>
      </c>
      <c r="AL20" s="982">
        <f>2*Deadtime*Fsw*IF(VfdSky_Q2&gt;0,VfdSky_Q2,Vsd_Q2)*K20</f>
        <v/>
      </c>
      <c r="AM20" s="982">
        <f>IF(QrrSky_Q2&gt;0,QrrSky_Q2,Qrr_Q2*K20/(Iout/Number_of_Phases))*Fsw*Vin</f>
        <v/>
      </c>
      <c r="AN20" s="982">
        <f>Rs*R20^2</f>
        <v/>
      </c>
      <c r="AO20" s="982">
        <f>Iq*Vin</f>
        <v/>
      </c>
      <c r="AP20" s="982">
        <f>IF(Ext_VCC=1, (Qg_Q1+Qg_Q2)*Fsw*VCC, (Qg_Q1+Qg_Q2)*Fsw*Vin)</f>
        <v/>
      </c>
      <c r="AQ20" s="982">
        <f>(Vin-VCC)*Fsw*(Qg_Q1+Qg_Q2)+(RdsonDRT+RdsonDRT2)*Fsw*Qg_Q1*VCC/(RdsonDRT+2*Rgate1+RdsonDRT2)+(RdsonDRB+RdsonDRB2)*Fsw*Qg_Q2*VCC/(RdsonDRB+2*Rgate2+RdsonDRB2)</f>
        <v/>
      </c>
      <c r="AR20" s="982">
        <f>(Qg_Q1+Qg_Q2)*Fsw*(Vin-VCC)</f>
        <v/>
      </c>
      <c r="AS20" s="982">
        <f>SUM(AO20:AP20)</f>
        <v/>
      </c>
      <c r="AT20" s="982">
        <f> SUM(U20,X20,AA20,AG20,AK20,AL20,AM20,AS20,AN20)</f>
        <v/>
      </c>
      <c r="AU20">
        <f>Vout*K20</f>
        <v/>
      </c>
      <c r="AV20" s="1079">
        <f>AU20/(AU20+AT20)</f>
        <v/>
      </c>
      <c r="AW20" s="1080">
        <f>ThetaJA_Q1*BC20</f>
        <v/>
      </c>
      <c r="AX20" s="1080">
        <f>ThetaJA_Q2*BD20</f>
        <v/>
      </c>
      <c r="AY20" s="9" t="n"/>
      <c r="AZ20" s="4">
        <f>AV20*100</f>
        <v/>
      </c>
      <c r="BA20" s="982">
        <f>U20</f>
        <v/>
      </c>
      <c r="BB20" s="982">
        <f>AG20+AK20+AM20</f>
        <v/>
      </c>
      <c r="BC20" s="982">
        <f>AG20+AM20*0.66</f>
        <v/>
      </c>
      <c r="BD20" s="982">
        <f>AK20+AM20*0.33</f>
        <v/>
      </c>
      <c r="BE20" s="982">
        <f>AN20</f>
        <v/>
      </c>
      <c r="BK20" s="18" t="n"/>
      <c r="BL20" s="19" t="n"/>
    </row>
    <row r="21">
      <c r="A21" s="25" t="inlineStr">
        <is>
          <t>ThetaCa</t>
        </is>
      </c>
      <c r="B21" s="39">
        <f>ThetaCa</f>
        <v/>
      </c>
      <c r="C21" s="428" t="inlineStr">
        <is>
          <t>°C/W</t>
        </is>
      </c>
      <c r="D21" s="26" t="inlineStr">
        <is>
          <t>Core to Ambient Thermal Resistance</t>
        </is>
      </c>
      <c r="G21" t="n">
        <v>12</v>
      </c>
      <c r="H21" s="531">
        <f>Vin</f>
        <v/>
      </c>
      <c r="I21" s="4">
        <f>MODE</f>
        <v/>
      </c>
      <c r="J21" s="982">
        <f>Iout*G21/100</f>
        <v/>
      </c>
      <c r="K21" s="982">
        <f>Iout*G21/100/Number_of_Phases</f>
        <v/>
      </c>
      <c r="L21" s="4">
        <f>Vout*K21/(Vin*Efficiency)</f>
        <v/>
      </c>
      <c r="M21" s="982">
        <f>(Vout+(Rdson2+Rs+Rdcr)*K21)/(Vin+(Rs+Rdson2-Rdson1)*K21)</f>
        <v/>
      </c>
      <c r="N21" s="4">
        <f>(Vin-(Rdson1+Rdcr)*K21-Vout)*M21/(Fsw*Lf)</f>
        <v/>
      </c>
      <c r="O21" s="4">
        <f>K21+N21/2</f>
        <v/>
      </c>
      <c r="P21" s="4">
        <f>K21-N21/2</f>
        <v/>
      </c>
      <c r="Q21" s="4">
        <f>IF(MIN(Vin, -P21/(Coss_Q1+Coss_Q2)*0.00000002)&lt;0, 0, MIN(Vin, -P21/(Coss_Q1+Coss_Q2)*0.00000002))</f>
        <v/>
      </c>
      <c r="R21" s="4">
        <f>SQRT(K21^2+(N21^2)/12)</f>
        <v/>
      </c>
      <c r="S21" s="982">
        <f>R21^2*Rdcr</f>
        <v/>
      </c>
      <c r="T21" s="982">
        <f>Core_Loss_Ch1</f>
        <v/>
      </c>
      <c r="U21" s="982">
        <f>(T21+S21*(1+Ltc*(Ta-25)))/(1-S21*Ltc*ThetaCa)</f>
        <v/>
      </c>
      <c r="V21" s="4">
        <f>N21/SQRT(12)</f>
        <v/>
      </c>
      <c r="W21" s="982">
        <f>RCoutEsr*V21^2</f>
        <v/>
      </c>
      <c r="X21" s="982">
        <f>W21</f>
        <v/>
      </c>
      <c r="Y21" s="4">
        <f>SQRT(M21*(1-M21))*SQRT(K21^2+(N21^2)/12)</f>
        <v/>
      </c>
      <c r="Z21" s="982">
        <f>RCinEsr*Y21^2</f>
        <v/>
      </c>
      <c r="AA21" s="1078">
        <f>Z21</f>
        <v/>
      </c>
      <c r="AB21" s="982">
        <f>SQRT(M21)*SQRT(K21^2+(N21^2)/12)</f>
        <v/>
      </c>
      <c r="AC21" s="982">
        <f>Rdson1*AB21^2</f>
        <v/>
      </c>
      <c r="AD21" s="982">
        <f>(Vin*K21/2)*Fsw*(Tr_buck+Tf_buck)</f>
        <v/>
      </c>
      <c r="AE21" s="982">
        <f>(0.5*Coss_Q1*(Vin-Q21)^2-0.5*Coss_Q2*(Vin-Q21)^2+(Qoss_Q2*(Vin-Q21)/Vin)*Vin)*Fsw</f>
        <v/>
      </c>
      <c r="AF21" s="982">
        <f>IF(K21&gt;N21/2,0,ABS(K21-N21/2)*Vsd_Q1*Deadtime*Fsw)</f>
        <v/>
      </c>
      <c r="AG21" s="982">
        <f>(AF21+AE21+AD21+AC21*(1+RdsonTopTc*Ta-RdsonTopTc*25))/(1-AC21*RdsonTopTc*ThetaJA_Q1)</f>
        <v/>
      </c>
      <c r="AH21" s="982">
        <f>SQRT((1-M21))*SQRT(K21^2+(N21^2)/12)</f>
        <v/>
      </c>
      <c r="AI21" s="982">
        <f>Rdson2*AH21^2</f>
        <v/>
      </c>
      <c r="AJ21" s="982">
        <f>IF(K21&lt;N21/2,Deadtime*Fsw*IF(VfdSky_Q2&gt;0,0,Vsd_Q2)*(K21+N21/2),2*Deadtime*Fsw*IF(VfdSky_Q2&gt;0,0,Vsd_Q2)*K21)</f>
        <v/>
      </c>
      <c r="AK21" s="982">
        <f>(AJ21+AI21*(1+RdsonBotTc*Ta-RdsonBotTc*25))/(1-AI21*RdsonBotTc*ThetaJA_Q2)</f>
        <v/>
      </c>
      <c r="AL21" s="982">
        <f>2*Deadtime*Fsw*IF(VfdSky_Q2&gt;0,VfdSky_Q2,Vsd_Q2)*K21</f>
        <v/>
      </c>
      <c r="AM21" s="982">
        <f>IF(QrrSky_Q2&gt;0,QrrSky_Q2,Qrr_Q2*K21/(Iout/Number_of_Phases))*Fsw*Vin</f>
        <v/>
      </c>
      <c r="AN21" s="982">
        <f>Rs*R21^2</f>
        <v/>
      </c>
      <c r="AO21" s="982">
        <f>Iq*Vin</f>
        <v/>
      </c>
      <c r="AP21" s="982">
        <f>IF(Ext_VCC=1, (Qg_Q1+Qg_Q2)*Fsw*VCC, (Qg_Q1+Qg_Q2)*Fsw*Vin)</f>
        <v/>
      </c>
      <c r="AQ21" s="982">
        <f>(Vin-VCC)*Fsw*(Qg_Q1+Qg_Q2)+(RdsonDRT+RdsonDRT2)*Fsw*Qg_Q1*VCC/(RdsonDRT+2*Rgate1+RdsonDRT2)+(RdsonDRB+RdsonDRB2)*Fsw*Qg_Q2*VCC/(RdsonDRB+2*Rgate2+RdsonDRB2)</f>
        <v/>
      </c>
      <c r="AR21" s="982">
        <f>(Qg_Q1+Qg_Q2)*Fsw*(Vin-VCC)</f>
        <v/>
      </c>
      <c r="AS21" s="982">
        <f>SUM(AO21:AP21)</f>
        <v/>
      </c>
      <c r="AT21" s="982">
        <f> SUM(U21,X21,AA21,AG21,AK21,AL21,AM21,AS21,AN21)</f>
        <v/>
      </c>
      <c r="AU21">
        <f>Vout*K21</f>
        <v/>
      </c>
      <c r="AV21" s="1079">
        <f>AU21/(AU21+AT21)</f>
        <v/>
      </c>
      <c r="AW21" s="1080">
        <f>ThetaJA_Q1*BC21</f>
        <v/>
      </c>
      <c r="AX21" s="1080">
        <f>ThetaJA_Q2*BD21</f>
        <v/>
      </c>
      <c r="AY21" s="9" t="n"/>
      <c r="AZ21" s="4">
        <f>AV21*100</f>
        <v/>
      </c>
      <c r="BA21" s="982">
        <f>U21</f>
        <v/>
      </c>
      <c r="BB21" s="982">
        <f>AG21+AK21+AM21</f>
        <v/>
      </c>
      <c r="BC21" s="982">
        <f>AG21+AM21*0.66</f>
        <v/>
      </c>
      <c r="BD21" s="982">
        <f>AK21+AM21*0.33</f>
        <v/>
      </c>
      <c r="BE21" s="982">
        <f>AN21</f>
        <v/>
      </c>
      <c r="BK21" s="18" t="n"/>
      <c r="BL21" s="19" t="n"/>
    </row>
    <row r="22">
      <c r="A22" s="36" t="inlineStr">
        <is>
          <t>Cin</t>
        </is>
      </c>
      <c r="B22" s="39">
        <f>Cin*1000000</f>
        <v/>
      </c>
      <c r="C22" s="430" t="inlineStr">
        <is>
          <t>μF</t>
        </is>
      </c>
      <c r="D22" s="427" t="inlineStr">
        <is>
          <t>Input Capacitance</t>
        </is>
      </c>
      <c r="G22" t="n">
        <v>13</v>
      </c>
      <c r="H22" s="531">
        <f>Vin</f>
        <v/>
      </c>
      <c r="I22" s="4">
        <f>MODE</f>
        <v/>
      </c>
      <c r="J22" s="982">
        <f>Iout*G22/100</f>
        <v/>
      </c>
      <c r="K22" s="982">
        <f>Iout*G22/100/Number_of_Phases</f>
        <v/>
      </c>
      <c r="L22" s="4">
        <f>Vout*K22/(Vin*Efficiency)</f>
        <v/>
      </c>
      <c r="M22" s="982">
        <f>(Vout+(Rdson2+Rs+Rdcr)*K22)/(Vin+(Rs+Rdson2-Rdson1)*K22)</f>
        <v/>
      </c>
      <c r="N22" s="4">
        <f>(Vin-(Rdson1+Rdcr)*K22-Vout)*M22/(Fsw*Lf)</f>
        <v/>
      </c>
      <c r="O22" s="4">
        <f>K22+N22/2</f>
        <v/>
      </c>
      <c r="P22" s="4">
        <f>K22-N22/2</f>
        <v/>
      </c>
      <c r="Q22" s="4">
        <f>IF(MIN(Vin, -P22/(Coss_Q1+Coss_Q2)*0.00000002)&lt;0, 0, MIN(Vin, -P22/(Coss_Q1+Coss_Q2)*0.00000002))</f>
        <v/>
      </c>
      <c r="R22" s="4">
        <f>SQRT(K22^2+(N22^2)/12)</f>
        <v/>
      </c>
      <c r="S22" s="982">
        <f>R22^2*Rdcr</f>
        <v/>
      </c>
      <c r="T22" s="982">
        <f>Core_Loss_Ch1</f>
        <v/>
      </c>
      <c r="U22" s="982">
        <f>(T22+S22*(1+Ltc*(Ta-25)))/(1-S22*Ltc*ThetaCa)</f>
        <v/>
      </c>
      <c r="V22" s="4">
        <f>N22/SQRT(12)</f>
        <v/>
      </c>
      <c r="W22" s="982">
        <f>RCoutEsr*V22^2</f>
        <v/>
      </c>
      <c r="X22" s="982">
        <f>W22</f>
        <v/>
      </c>
      <c r="Y22" s="4">
        <f>SQRT(M22*(1-M22))*SQRT(K22^2+(N22^2)/12)</f>
        <v/>
      </c>
      <c r="Z22" s="982">
        <f>RCinEsr*Y22^2</f>
        <v/>
      </c>
      <c r="AA22" s="1078">
        <f>Z22</f>
        <v/>
      </c>
      <c r="AB22" s="982">
        <f>SQRT(M22)*SQRT(K22^2+(N22^2)/12)</f>
        <v/>
      </c>
      <c r="AC22" s="982">
        <f>Rdson1*AB22^2</f>
        <v/>
      </c>
      <c r="AD22" s="982">
        <f>(Vin*K22/2)*Fsw*(Tr_buck+Tf_buck)</f>
        <v/>
      </c>
      <c r="AE22" s="982">
        <f>(0.5*Coss_Q1*(Vin-Q22)^2-0.5*Coss_Q2*(Vin-Q22)^2+(Qoss_Q2*(Vin-Q22)/Vin)*Vin)*Fsw</f>
        <v/>
      </c>
      <c r="AF22" s="982">
        <f>IF(K22&gt;N22/2,0,ABS(K22-N22/2)*Vsd_Q1*Deadtime*Fsw)</f>
        <v/>
      </c>
      <c r="AG22" s="982">
        <f>(AF22+AE22+AD22+AC22*(1+RdsonTopTc*Ta-RdsonTopTc*25))/(1-AC22*RdsonTopTc*ThetaJA_Q1)</f>
        <v/>
      </c>
      <c r="AH22" s="982">
        <f>SQRT((1-M22))*SQRT(K22^2+(N22^2)/12)</f>
        <v/>
      </c>
      <c r="AI22" s="982">
        <f>Rdson2*AH22^2</f>
        <v/>
      </c>
      <c r="AJ22" s="982">
        <f>IF(K22&lt;N22/2,Deadtime*Fsw*IF(VfdSky_Q2&gt;0,0,Vsd_Q2)*(K22+N22/2),2*Deadtime*Fsw*IF(VfdSky_Q2&gt;0,0,Vsd_Q2)*K22)</f>
        <v/>
      </c>
      <c r="AK22" s="982">
        <f>(AJ22+AI22*(1+RdsonBotTc*Ta-RdsonBotTc*25))/(1-AI22*RdsonBotTc*ThetaJA_Q2)</f>
        <v/>
      </c>
      <c r="AL22" s="982">
        <f>2*Deadtime*Fsw*IF(VfdSky_Q2&gt;0,VfdSky_Q2,Vsd_Q2)*K22</f>
        <v/>
      </c>
      <c r="AM22" s="982">
        <f>IF(QrrSky_Q2&gt;0,QrrSky_Q2,Qrr_Q2*K22/(Iout/Number_of_Phases))*Fsw*Vin</f>
        <v/>
      </c>
      <c r="AN22" s="982">
        <f>Rs*R22^2</f>
        <v/>
      </c>
      <c r="AO22" s="982">
        <f>Iq*Vin</f>
        <v/>
      </c>
      <c r="AP22" s="982">
        <f>IF(Ext_VCC=1, (Qg_Q1+Qg_Q2)*Fsw*VCC, (Qg_Q1+Qg_Q2)*Fsw*Vin)</f>
        <v/>
      </c>
      <c r="AQ22" s="982">
        <f>(Vin-VCC)*Fsw*(Qg_Q1+Qg_Q2)+(RdsonDRT+RdsonDRT2)*Fsw*Qg_Q1*VCC/(RdsonDRT+2*Rgate1+RdsonDRT2)+(RdsonDRB+RdsonDRB2)*Fsw*Qg_Q2*VCC/(RdsonDRB+2*Rgate2+RdsonDRB2)</f>
        <v/>
      </c>
      <c r="AR22" s="982">
        <f>(Qg_Q1+Qg_Q2)*Fsw*(Vin-VCC)</f>
        <v/>
      </c>
      <c r="AS22" s="982">
        <f>SUM(AO22:AP22)</f>
        <v/>
      </c>
      <c r="AT22" s="982">
        <f> SUM(U22,X22,AA22,AG22,AK22,AL22,AM22,AS22,AN22)</f>
        <v/>
      </c>
      <c r="AU22">
        <f>Vout*K22</f>
        <v/>
      </c>
      <c r="AV22" s="1079">
        <f>AU22/(AU22+AT22)</f>
        <v/>
      </c>
      <c r="AW22" s="1080">
        <f>ThetaJA_Q1*BC22</f>
        <v/>
      </c>
      <c r="AX22" s="1080">
        <f>ThetaJA_Q2*BD22</f>
        <v/>
      </c>
      <c r="AY22" s="9" t="n"/>
      <c r="AZ22" s="4">
        <f>AV22*100</f>
        <v/>
      </c>
      <c r="BA22" s="982">
        <f>U22</f>
        <v/>
      </c>
      <c r="BB22" s="982">
        <f>AG22+AK22+AM22</f>
        <v/>
      </c>
      <c r="BC22" s="982">
        <f>AG22+AM22*0.66</f>
        <v/>
      </c>
      <c r="BD22" s="982">
        <f>AK22+AM22*0.33</f>
        <v/>
      </c>
      <c r="BE22" s="982">
        <f>AN22</f>
        <v/>
      </c>
      <c r="BK22" s="18" t="n"/>
      <c r="BL22" s="19" t="n"/>
    </row>
    <row r="23">
      <c r="A23" s="36" t="inlineStr">
        <is>
          <t>RCinEsr</t>
        </is>
      </c>
      <c r="B23" s="39">
        <f>RCinEsr*1000</f>
        <v/>
      </c>
      <c r="C23" s="429" t="inlineStr">
        <is>
          <t>mW</t>
        </is>
      </c>
      <c r="D23" s="427" t="inlineStr">
        <is>
          <t>Input Capacitor ESR</t>
        </is>
      </c>
      <c r="G23" t="n">
        <v>14</v>
      </c>
      <c r="H23" s="531">
        <f>Vin</f>
        <v/>
      </c>
      <c r="I23" s="4">
        <f>MODE</f>
        <v/>
      </c>
      <c r="J23" s="982">
        <f>Iout*G23/100</f>
        <v/>
      </c>
      <c r="K23" s="982">
        <f>Iout*G23/100/Number_of_Phases</f>
        <v/>
      </c>
      <c r="L23" s="4">
        <f>Vout*K23/(Vin*Efficiency)</f>
        <v/>
      </c>
      <c r="M23" s="982">
        <f>(Vout+(Rdson2+Rs+Rdcr)*K23)/(Vin+(Rs+Rdson2-Rdson1)*K23)</f>
        <v/>
      </c>
      <c r="N23" s="4">
        <f>(Vin-(Rdson1+Rdcr)*K23-Vout)*M23/(Fsw*Lf)</f>
        <v/>
      </c>
      <c r="O23" s="4">
        <f>K23+N23/2</f>
        <v/>
      </c>
      <c r="P23" s="4">
        <f>K23-N23/2</f>
        <v/>
      </c>
      <c r="Q23" s="4">
        <f>IF(MIN(Vin, -P23/(Coss_Q1+Coss_Q2)*0.00000002)&lt;0, 0, MIN(Vin, -P23/(Coss_Q1+Coss_Q2)*0.00000002))</f>
        <v/>
      </c>
      <c r="R23" s="4">
        <f>SQRT(K23^2+(N23^2)/12)</f>
        <v/>
      </c>
      <c r="S23" s="982">
        <f>R23^2*Rdcr</f>
        <v/>
      </c>
      <c r="T23" s="982">
        <f>Core_Loss_Ch1</f>
        <v/>
      </c>
      <c r="U23" s="982">
        <f>(T23+S23*(1+Ltc*(Ta-25)))/(1-S23*Ltc*ThetaCa)</f>
        <v/>
      </c>
      <c r="V23" s="4">
        <f>N23/SQRT(12)</f>
        <v/>
      </c>
      <c r="W23" s="982">
        <f>RCoutEsr*V23^2</f>
        <v/>
      </c>
      <c r="X23" s="982">
        <f>W23</f>
        <v/>
      </c>
      <c r="Y23" s="4">
        <f>SQRT(M23*(1-M23))*SQRT(K23^2+(N23^2)/12)</f>
        <v/>
      </c>
      <c r="Z23" s="982">
        <f>RCinEsr*Y23^2</f>
        <v/>
      </c>
      <c r="AA23" s="1078">
        <f>Z23</f>
        <v/>
      </c>
      <c r="AB23" s="982">
        <f>SQRT(M23)*SQRT(K23^2+(N23^2)/12)</f>
        <v/>
      </c>
      <c r="AC23" s="982">
        <f>Rdson1*AB23^2</f>
        <v/>
      </c>
      <c r="AD23" s="982">
        <f>(Vin*K23/2)*Fsw*(Tr_buck+Tf_buck)</f>
        <v/>
      </c>
      <c r="AE23" s="982">
        <f>(0.5*Coss_Q1*(Vin-Q23)^2-0.5*Coss_Q2*(Vin-Q23)^2+(Qoss_Q2*(Vin-Q23)/Vin)*Vin)*Fsw</f>
        <v/>
      </c>
      <c r="AF23" s="982">
        <f>IF(K23&gt;N23/2,0,ABS(K23-N23/2)*Vsd_Q1*Deadtime*Fsw)</f>
        <v/>
      </c>
      <c r="AG23" s="982">
        <f>(AF23+AE23+AD23+AC23*(1+RdsonTopTc*Ta-RdsonTopTc*25))/(1-AC23*RdsonTopTc*ThetaJA_Q1)</f>
        <v/>
      </c>
      <c r="AH23" s="982">
        <f>SQRT((1-M23))*SQRT(K23^2+(N23^2)/12)</f>
        <v/>
      </c>
      <c r="AI23" s="982">
        <f>Rdson2*AH23^2</f>
        <v/>
      </c>
      <c r="AJ23" s="982">
        <f>IF(K23&lt;N23/2,Deadtime*Fsw*IF(VfdSky_Q2&gt;0,0,Vsd_Q2)*(K23+N23/2),2*Deadtime*Fsw*IF(VfdSky_Q2&gt;0,0,Vsd_Q2)*K23)</f>
        <v/>
      </c>
      <c r="AK23" s="982">
        <f>(AJ23+AI23*(1+RdsonBotTc*Ta-RdsonBotTc*25))/(1-AI23*RdsonBotTc*ThetaJA_Q2)</f>
        <v/>
      </c>
      <c r="AL23" s="982">
        <f>2*Deadtime*Fsw*IF(VfdSky_Q2&gt;0,VfdSky_Q2,Vsd_Q2)*K23</f>
        <v/>
      </c>
      <c r="AM23" s="982">
        <f>IF(QrrSky_Q2&gt;0,QrrSky_Q2,Qrr_Q2*K23/(Iout/Number_of_Phases))*Fsw*Vin</f>
        <v/>
      </c>
      <c r="AN23" s="982">
        <f>Rs*R23^2</f>
        <v/>
      </c>
      <c r="AO23" s="982">
        <f>Iq*Vin</f>
        <v/>
      </c>
      <c r="AP23" s="982">
        <f>IF(Ext_VCC=1, (Qg_Q1+Qg_Q2)*Fsw*VCC, (Qg_Q1+Qg_Q2)*Fsw*Vin)</f>
        <v/>
      </c>
      <c r="AQ23" s="982">
        <f>(Vin-VCC)*Fsw*(Qg_Q1+Qg_Q2)+(RdsonDRT+RdsonDRT2)*Fsw*Qg_Q1*VCC/(RdsonDRT+2*Rgate1+RdsonDRT2)+(RdsonDRB+RdsonDRB2)*Fsw*Qg_Q2*VCC/(RdsonDRB+2*Rgate2+RdsonDRB2)</f>
        <v/>
      </c>
      <c r="AR23" s="982">
        <f>(Qg_Q1+Qg_Q2)*Fsw*(Vin-VCC)</f>
        <v/>
      </c>
      <c r="AS23" s="982">
        <f>SUM(AO23:AP23)</f>
        <v/>
      </c>
      <c r="AT23" s="982">
        <f> SUM(U23,X23,AA23,AG23,AK23,AL23,AM23,AS23,AN23)</f>
        <v/>
      </c>
      <c r="AU23">
        <f>Vout*K23</f>
        <v/>
      </c>
      <c r="AV23" s="1079">
        <f>AU23/(AU23+AT23)</f>
        <v/>
      </c>
      <c r="AW23" s="1080">
        <f>ThetaJA_Q1*BC23</f>
        <v/>
      </c>
      <c r="AX23" s="1080">
        <f>ThetaJA_Q2*BD23</f>
        <v/>
      </c>
      <c r="AY23" s="9" t="n"/>
      <c r="AZ23" s="4">
        <f>AV23*100</f>
        <v/>
      </c>
      <c r="BA23" s="982">
        <f>U23</f>
        <v/>
      </c>
      <c r="BB23" s="982">
        <f>AG23+AK23+AM23</f>
        <v/>
      </c>
      <c r="BC23" s="982">
        <f>AG23+AM23*0.66</f>
        <v/>
      </c>
      <c r="BD23" s="982">
        <f>AK23+AM23*0.33</f>
        <v/>
      </c>
      <c r="BE23" s="982">
        <f>AN23</f>
        <v/>
      </c>
      <c r="BK23" s="18" t="n"/>
      <c r="BL23" s="19" t="n"/>
    </row>
    <row r="24">
      <c r="A24" s="35" t="inlineStr">
        <is>
          <t>Cout</t>
        </is>
      </c>
      <c r="B24" s="39">
        <f>Cout*1000000</f>
        <v/>
      </c>
      <c r="C24" s="428" t="inlineStr">
        <is>
          <t>μF</t>
        </is>
      </c>
      <c r="D24" s="427" t="inlineStr">
        <is>
          <t>Output Capcitance</t>
        </is>
      </c>
      <c r="G24" t="n">
        <v>15</v>
      </c>
      <c r="H24" s="531">
        <f>Vin</f>
        <v/>
      </c>
      <c r="I24" s="4">
        <f>MODE</f>
        <v/>
      </c>
      <c r="J24" s="982">
        <f>Iout*G24/100</f>
        <v/>
      </c>
      <c r="K24" s="982">
        <f>Iout*G24/100/Number_of_Phases</f>
        <v/>
      </c>
      <c r="L24" s="4">
        <f>Vout*K24/(Vin*Efficiency)</f>
        <v/>
      </c>
      <c r="M24" s="982">
        <f>(Vout+(Rdson2+Rs+Rdcr)*K24)/(Vin+(Rs+Rdson2-Rdson1)*K24)</f>
        <v/>
      </c>
      <c r="N24" s="4">
        <f>(Vin-(Rdson1+Rdcr)*K24-Vout)*M24/(Fsw*Lf)</f>
        <v/>
      </c>
      <c r="O24" s="4">
        <f>K24+N24/2</f>
        <v/>
      </c>
      <c r="P24" s="4">
        <f>K24-N24/2</f>
        <v/>
      </c>
      <c r="Q24" s="4">
        <f>IF(MIN(Vin, -P24/(Coss_Q1+Coss_Q2)*0.00000002)&lt;0, 0, MIN(Vin, -P24/(Coss_Q1+Coss_Q2)*0.00000002))</f>
        <v/>
      </c>
      <c r="R24" s="4">
        <f>SQRT(K24^2+(N24^2)/12)</f>
        <v/>
      </c>
      <c r="S24" s="982">
        <f>R24^2*Rdcr</f>
        <v/>
      </c>
      <c r="T24" s="982">
        <f>Core_Loss_Ch1</f>
        <v/>
      </c>
      <c r="U24" s="982">
        <f>(T24+S24*(1+Ltc*(Ta-25)))/(1-S24*Ltc*ThetaCa)</f>
        <v/>
      </c>
      <c r="V24" s="4">
        <f>N24/SQRT(12)</f>
        <v/>
      </c>
      <c r="W24" s="982">
        <f>RCoutEsr*V24^2</f>
        <v/>
      </c>
      <c r="X24" s="982">
        <f>W24</f>
        <v/>
      </c>
      <c r="Y24" s="4">
        <f>SQRT(M24*(1-M24))*SQRT(K24^2+(N24^2)/12)</f>
        <v/>
      </c>
      <c r="Z24" s="982">
        <f>RCinEsr*Y24^2</f>
        <v/>
      </c>
      <c r="AA24" s="1078">
        <f>Z24</f>
        <v/>
      </c>
      <c r="AB24" s="982">
        <f>SQRT(M24)*SQRT(K24^2+(N24^2)/12)</f>
        <v/>
      </c>
      <c r="AC24" s="982">
        <f>Rdson1*AB24^2</f>
        <v/>
      </c>
      <c r="AD24" s="982">
        <f>(Vin*K24/2)*Fsw*(Tr_buck+Tf_buck)</f>
        <v/>
      </c>
      <c r="AE24" s="982">
        <f>(0.5*Coss_Q1*(Vin-Q24)^2-0.5*Coss_Q2*(Vin-Q24)^2+(Qoss_Q2*(Vin-Q24)/Vin)*Vin)*Fsw</f>
        <v/>
      </c>
      <c r="AF24" s="982">
        <f>IF(K24&gt;N24/2,0,ABS(K24-N24/2)*Vsd_Q1*Deadtime*Fsw)</f>
        <v/>
      </c>
      <c r="AG24" s="982">
        <f>(AF24+AE24+AD24+AC24*(1+RdsonTopTc*Ta-RdsonTopTc*25))/(1-AC24*RdsonTopTc*ThetaJA_Q1)</f>
        <v/>
      </c>
      <c r="AH24" s="982">
        <f>SQRT((1-M24))*SQRT(K24^2+(N24^2)/12)</f>
        <v/>
      </c>
      <c r="AI24" s="982">
        <f>Rdson2*AH24^2</f>
        <v/>
      </c>
      <c r="AJ24" s="982">
        <f>IF(K24&lt;N24/2,Deadtime*Fsw*IF(VfdSky_Q2&gt;0,0,Vsd_Q2)*(K24+N24/2),2*Deadtime*Fsw*IF(VfdSky_Q2&gt;0,0,Vsd_Q2)*K24)</f>
        <v/>
      </c>
      <c r="AK24" s="982">
        <f>(AJ24+AI24*(1+RdsonBotTc*Ta-RdsonBotTc*25))/(1-AI24*RdsonBotTc*ThetaJA_Q2)</f>
        <v/>
      </c>
      <c r="AL24" s="982">
        <f>2*Deadtime*Fsw*IF(VfdSky_Q2&gt;0,VfdSky_Q2,Vsd_Q2)*K24</f>
        <v/>
      </c>
      <c r="AM24" s="982">
        <f>IF(QrrSky_Q2&gt;0,QrrSky_Q2,Qrr_Q2*K24/(Iout/Number_of_Phases))*Fsw*Vin</f>
        <v/>
      </c>
      <c r="AN24" s="982">
        <f>Rs*R24^2</f>
        <v/>
      </c>
      <c r="AO24" s="982">
        <f>Iq*Vin</f>
        <v/>
      </c>
      <c r="AP24" s="982">
        <f>IF(Ext_VCC=1, (Qg_Q1+Qg_Q2)*Fsw*VCC, (Qg_Q1+Qg_Q2)*Fsw*Vin)</f>
        <v/>
      </c>
      <c r="AQ24" s="982">
        <f>(Vin-VCC)*Fsw*(Qg_Q1+Qg_Q2)+(RdsonDRT+RdsonDRT2)*Fsw*Qg_Q1*VCC/(RdsonDRT+2*Rgate1+RdsonDRT2)+(RdsonDRB+RdsonDRB2)*Fsw*Qg_Q2*VCC/(RdsonDRB+2*Rgate2+RdsonDRB2)</f>
        <v/>
      </c>
      <c r="AR24" s="982">
        <f>(Qg_Q1+Qg_Q2)*Fsw*(Vin-VCC)</f>
        <v/>
      </c>
      <c r="AS24" s="982">
        <f>SUM(AO24:AP24)</f>
        <v/>
      </c>
      <c r="AT24" s="982">
        <f> SUM(U24,X24,AA24,AG24,AK24,AL24,AM24,AS24,AN24)</f>
        <v/>
      </c>
      <c r="AU24">
        <f>Vout*K24</f>
        <v/>
      </c>
      <c r="AV24" s="1079">
        <f>AU24/(AU24+AT24)</f>
        <v/>
      </c>
      <c r="AW24" s="1080">
        <f>ThetaJA_Q1*BC24</f>
        <v/>
      </c>
      <c r="AX24" s="1080">
        <f>ThetaJA_Q2*BD24</f>
        <v/>
      </c>
      <c r="AY24" s="9" t="n"/>
      <c r="AZ24" s="4">
        <f>AV24*100</f>
        <v/>
      </c>
      <c r="BA24" s="982">
        <f>U24</f>
        <v/>
      </c>
      <c r="BB24" s="982">
        <f>AG24+AK24+AM24</f>
        <v/>
      </c>
      <c r="BC24" s="982">
        <f>AG24+AM24*0.66</f>
        <v/>
      </c>
      <c r="BD24" s="982">
        <f>AK24+AM24*0.33</f>
        <v/>
      </c>
      <c r="BE24" s="982">
        <f>AN24</f>
        <v/>
      </c>
      <c r="BK24" s="18" t="n"/>
      <c r="BL24" s="19" t="n"/>
    </row>
    <row r="25">
      <c r="A25" s="35" t="inlineStr">
        <is>
          <t>RCoutEsr</t>
        </is>
      </c>
      <c r="B25" s="40">
        <f>Cout_ESR*1000</f>
        <v/>
      </c>
      <c r="C25" s="429" t="inlineStr">
        <is>
          <t>mW</t>
        </is>
      </c>
      <c r="D25" s="427" t="inlineStr">
        <is>
          <t>Output Capacitor ESR</t>
        </is>
      </c>
      <c r="G25" t="n">
        <v>16</v>
      </c>
      <c r="H25" s="531">
        <f>Vin</f>
        <v/>
      </c>
      <c r="I25" s="4">
        <f>MODE</f>
        <v/>
      </c>
      <c r="J25" s="982">
        <f>Iout*G25/100</f>
        <v/>
      </c>
      <c r="K25" s="982">
        <f>Iout*G25/100/Number_of_Phases</f>
        <v/>
      </c>
      <c r="L25" s="4">
        <f>Vout*K25/(Vin*Efficiency)</f>
        <v/>
      </c>
      <c r="M25" s="982">
        <f>(Vout+(Rdson2+Rs+Rdcr)*K25)/(Vin+(Rs+Rdson2-Rdson1)*K25)</f>
        <v/>
      </c>
      <c r="N25" s="4">
        <f>(Vin-(Rdson1+Rdcr)*K25-Vout)*M25/(Fsw*Lf)</f>
        <v/>
      </c>
      <c r="O25" s="4">
        <f>K25+N25/2</f>
        <v/>
      </c>
      <c r="P25" s="4">
        <f>K25-N25/2</f>
        <v/>
      </c>
      <c r="Q25" s="4">
        <f>IF(MIN(Vin, -P25/(Coss_Q1+Coss_Q2)*0.00000002)&lt;0, 0, MIN(Vin, -P25/(Coss_Q1+Coss_Q2)*0.00000002))</f>
        <v/>
      </c>
      <c r="R25" s="4">
        <f>SQRT(K25^2+(N25^2)/12)</f>
        <v/>
      </c>
      <c r="S25" s="982">
        <f>R25^2*Rdcr</f>
        <v/>
      </c>
      <c r="T25" s="982">
        <f>Core_Loss_Ch1</f>
        <v/>
      </c>
      <c r="U25" s="982">
        <f>(T25+S25*(1+Ltc*(Ta-25)))/(1-S25*Ltc*ThetaCa)</f>
        <v/>
      </c>
      <c r="V25" s="4">
        <f>N25/SQRT(12)</f>
        <v/>
      </c>
      <c r="W25" s="982">
        <f>RCoutEsr*V25^2</f>
        <v/>
      </c>
      <c r="X25" s="982">
        <f>W25</f>
        <v/>
      </c>
      <c r="Y25" s="4">
        <f>SQRT(M25*(1-M25))*SQRT(K25^2+(N25^2)/12)</f>
        <v/>
      </c>
      <c r="Z25" s="982">
        <f>RCinEsr*Y25^2</f>
        <v/>
      </c>
      <c r="AA25" s="1078">
        <f>Z25</f>
        <v/>
      </c>
      <c r="AB25" s="982">
        <f>SQRT(M25)*SQRT(K25^2+(N25^2)/12)</f>
        <v/>
      </c>
      <c r="AC25" s="982">
        <f>Rdson1*AB25^2</f>
        <v/>
      </c>
      <c r="AD25" s="982">
        <f>(Vin*K25/2)*Fsw*(Tr_buck+Tf_buck)</f>
        <v/>
      </c>
      <c r="AE25" s="982">
        <f>(0.5*Coss_Q1*(Vin-Q25)^2-0.5*Coss_Q2*(Vin-Q25)^2+(Qoss_Q2*(Vin-Q25)/Vin)*Vin)*Fsw</f>
        <v/>
      </c>
      <c r="AF25" s="982">
        <f>IF(K25&gt;N25/2,0,ABS(K25-N25/2)*Vsd_Q1*Deadtime*Fsw)</f>
        <v/>
      </c>
      <c r="AG25" s="982">
        <f>(AF25+AE25+AD25+AC25*(1+RdsonTopTc*Ta-RdsonTopTc*25))/(1-AC25*RdsonTopTc*ThetaJA_Q1)</f>
        <v/>
      </c>
      <c r="AH25" s="982">
        <f>SQRT((1-M25))*SQRT(K25^2+(N25^2)/12)</f>
        <v/>
      </c>
      <c r="AI25" s="982">
        <f>Rdson2*AH25^2</f>
        <v/>
      </c>
      <c r="AJ25" s="982">
        <f>IF(K25&lt;N25/2,Deadtime*Fsw*IF(VfdSky_Q2&gt;0,0,Vsd_Q2)*(K25+N25/2),2*Deadtime*Fsw*IF(VfdSky_Q2&gt;0,0,Vsd_Q2)*K25)</f>
        <v/>
      </c>
      <c r="AK25" s="982">
        <f>(AJ25+AI25*(1+RdsonBotTc*Ta-RdsonBotTc*25))/(1-AI25*RdsonBotTc*ThetaJA_Q2)</f>
        <v/>
      </c>
      <c r="AL25" s="982">
        <f>2*Deadtime*Fsw*IF(VfdSky_Q2&gt;0,VfdSky_Q2,Vsd_Q2)*K25</f>
        <v/>
      </c>
      <c r="AM25" s="982">
        <f>IF(QrrSky_Q2&gt;0,QrrSky_Q2,Qrr_Q2*K25/(Iout/Number_of_Phases))*Fsw*Vin</f>
        <v/>
      </c>
      <c r="AN25" s="982">
        <f>Rs*R25^2</f>
        <v/>
      </c>
      <c r="AO25" s="982">
        <f>Iq*Vin</f>
        <v/>
      </c>
      <c r="AP25" s="982">
        <f>IF(Ext_VCC=1, (Qg_Q1+Qg_Q2)*Fsw*VCC, (Qg_Q1+Qg_Q2)*Fsw*Vin)</f>
        <v/>
      </c>
      <c r="AQ25" s="982">
        <f>(Vin-VCC)*Fsw*(Qg_Q1+Qg_Q2)+(RdsonDRT+RdsonDRT2)*Fsw*Qg_Q1*VCC/(RdsonDRT+2*Rgate1+RdsonDRT2)+(RdsonDRB+RdsonDRB2)*Fsw*Qg_Q2*VCC/(RdsonDRB+2*Rgate2+RdsonDRB2)</f>
        <v/>
      </c>
      <c r="AR25" s="982">
        <f>(Qg_Q1+Qg_Q2)*Fsw*(Vin-VCC)</f>
        <v/>
      </c>
      <c r="AS25" s="982">
        <f>SUM(AO25:AP25)</f>
        <v/>
      </c>
      <c r="AT25" s="982">
        <f> SUM(U25,X25,AA25,AG25,AK25,AL25,AM25,AS25,AN25)</f>
        <v/>
      </c>
      <c r="AU25">
        <f>Vout*K25</f>
        <v/>
      </c>
      <c r="AV25" s="1079">
        <f>AU25/(AU25+AT25)</f>
        <v/>
      </c>
      <c r="AW25" s="1080">
        <f>ThetaJA_Q1*BC25</f>
        <v/>
      </c>
      <c r="AX25" s="1080">
        <f>ThetaJA_Q2*BD25</f>
        <v/>
      </c>
      <c r="AY25" s="9" t="n"/>
      <c r="AZ25" s="4">
        <f>AV25*100</f>
        <v/>
      </c>
      <c r="BA25" s="982">
        <f>U25</f>
        <v/>
      </c>
      <c r="BB25" s="982">
        <f>AG25+AK25+AM25</f>
        <v/>
      </c>
      <c r="BC25" s="982">
        <f>AG25+AM25*0.66</f>
        <v/>
      </c>
      <c r="BD25" s="982">
        <f>AK25+AM25*0.33</f>
        <v/>
      </c>
      <c r="BE25" s="982">
        <f>AN25</f>
        <v/>
      </c>
    </row>
    <row r="26">
      <c r="A26" s="24" t="inlineStr">
        <is>
          <t>Top Driver</t>
        </is>
      </c>
      <c r="B26" s="37" t="inlineStr">
        <is>
          <t>Input Value</t>
        </is>
      </c>
      <c r="C26" s="24" t="inlineStr">
        <is>
          <t>Units</t>
        </is>
      </c>
      <c r="D26" s="17" t="inlineStr">
        <is>
          <t>Description</t>
        </is>
      </c>
      <c r="G26" t="n">
        <v>17</v>
      </c>
      <c r="H26" s="531">
        <f>Vin</f>
        <v/>
      </c>
      <c r="I26" s="4">
        <f>MODE</f>
        <v/>
      </c>
      <c r="J26" s="982">
        <f>Iout*G26/100</f>
        <v/>
      </c>
      <c r="K26" s="982">
        <f>Iout*G26/100/Number_of_Phases</f>
        <v/>
      </c>
      <c r="L26" s="4">
        <f>Vout*K26/(Vin*Efficiency)</f>
        <v/>
      </c>
      <c r="M26" s="982">
        <f>(Vout+(Rdson2+Rs+Rdcr)*K26)/(Vin+(Rs+Rdson2-Rdson1)*K26)</f>
        <v/>
      </c>
      <c r="N26" s="4">
        <f>(Vin-(Rdson1+Rdcr)*K26-Vout)*M26/(Fsw*Lf)</f>
        <v/>
      </c>
      <c r="O26" s="4">
        <f>K26+N26/2</f>
        <v/>
      </c>
      <c r="P26" s="4">
        <f>K26-N26/2</f>
        <v/>
      </c>
      <c r="Q26" s="4">
        <f>IF(MIN(Vin, -P26/(Coss_Q1+Coss_Q2)*0.00000002)&lt;0, 0, MIN(Vin, -P26/(Coss_Q1+Coss_Q2)*0.00000002))</f>
        <v/>
      </c>
      <c r="R26" s="4">
        <f>SQRT(K26^2+(N26^2)/12)</f>
        <v/>
      </c>
      <c r="S26" s="982">
        <f>R26^2*Rdcr</f>
        <v/>
      </c>
      <c r="T26" s="982">
        <f>Core_Loss_Ch1</f>
        <v/>
      </c>
      <c r="U26" s="982">
        <f>(T26+S26*(1+Ltc*(Ta-25)))/(1-S26*Ltc*ThetaCa)</f>
        <v/>
      </c>
      <c r="V26" s="4">
        <f>N26/SQRT(12)</f>
        <v/>
      </c>
      <c r="W26" s="982">
        <f>RCoutEsr*V26^2</f>
        <v/>
      </c>
      <c r="X26" s="982">
        <f>W26</f>
        <v/>
      </c>
      <c r="Y26" s="4">
        <f>SQRT(M26*(1-M26))*SQRT(K26^2+(N26^2)/12)</f>
        <v/>
      </c>
      <c r="Z26" s="982">
        <f>RCinEsr*Y26^2</f>
        <v/>
      </c>
      <c r="AA26" s="1078">
        <f>Z26</f>
        <v/>
      </c>
      <c r="AB26" s="982">
        <f>SQRT(M26)*SQRT(K26^2+(N26^2)/12)</f>
        <v/>
      </c>
      <c r="AC26" s="982">
        <f>Rdson1*AB26^2</f>
        <v/>
      </c>
      <c r="AD26" s="982">
        <f>(Vin*K26/2)*Fsw*(Tr_buck+Tf_buck)</f>
        <v/>
      </c>
      <c r="AE26" s="982">
        <f>(0.5*Coss_Q1*(Vin-Q26)^2-0.5*Coss_Q2*(Vin-Q26)^2+(Qoss_Q2*(Vin-Q26)/Vin)*Vin)*Fsw</f>
        <v/>
      </c>
      <c r="AF26" s="982">
        <f>IF(K26&gt;N26/2,0,ABS(K26-N26/2)*Vsd_Q1*Deadtime*Fsw)</f>
        <v/>
      </c>
      <c r="AG26" s="982">
        <f>(AF26+AE26+AD26+AC26*(1+RdsonTopTc*Ta-RdsonTopTc*25))/(1-AC26*RdsonTopTc*ThetaJA_Q1)</f>
        <v/>
      </c>
      <c r="AH26" s="982">
        <f>SQRT((1-M26))*SQRT(K26^2+(N26^2)/12)</f>
        <v/>
      </c>
      <c r="AI26" s="982">
        <f>Rdson2*AH26^2</f>
        <v/>
      </c>
      <c r="AJ26" s="982">
        <f>IF(K26&lt;N26/2,Deadtime*Fsw*IF(VfdSky_Q2&gt;0,0,Vsd_Q2)*(K26+N26/2),2*Deadtime*Fsw*IF(VfdSky_Q2&gt;0,0,Vsd_Q2)*K26)</f>
        <v/>
      </c>
      <c r="AK26" s="982">
        <f>(AJ26+AI26*(1+RdsonBotTc*Ta-RdsonBotTc*25))/(1-AI26*RdsonBotTc*ThetaJA_Q2)</f>
        <v/>
      </c>
      <c r="AL26" s="982">
        <f>2*Deadtime*Fsw*IF(VfdSky_Q2&gt;0,VfdSky_Q2,Vsd_Q2)*K26</f>
        <v/>
      </c>
      <c r="AM26" s="982">
        <f>IF(QrrSky_Q2&gt;0,QrrSky_Q2,Qrr_Q2*K26/(Iout/Number_of_Phases))*Fsw*Vin</f>
        <v/>
      </c>
      <c r="AN26" s="982">
        <f>Rs*R26^2</f>
        <v/>
      </c>
      <c r="AO26" s="982">
        <f>Iq*Vin</f>
        <v/>
      </c>
      <c r="AP26" s="982">
        <f>IF(Ext_VCC=1, (Qg_Q1+Qg_Q2)*Fsw*VCC, (Qg_Q1+Qg_Q2)*Fsw*Vin)</f>
        <v/>
      </c>
      <c r="AQ26" s="982">
        <f>(Vin-VCC)*Fsw*(Qg_Q1+Qg_Q2)+(RdsonDRT+RdsonDRT2)*Fsw*Qg_Q1*VCC/(RdsonDRT+2*Rgate1+RdsonDRT2)+(RdsonDRB+RdsonDRB2)*Fsw*Qg_Q2*VCC/(RdsonDRB+2*Rgate2+RdsonDRB2)</f>
        <v/>
      </c>
      <c r="AR26" s="982">
        <f>(Qg_Q1+Qg_Q2)*Fsw*(Vin-VCC)</f>
        <v/>
      </c>
      <c r="AS26" s="982">
        <f>SUM(AO26:AP26)</f>
        <v/>
      </c>
      <c r="AT26" s="982">
        <f> SUM(U26,X26,AA26,AG26,AK26,AL26,AM26,AS26,AN26)</f>
        <v/>
      </c>
      <c r="AU26">
        <f>Vout*K26</f>
        <v/>
      </c>
      <c r="AV26" s="1079">
        <f>AU26/(AU26+AT26)</f>
        <v/>
      </c>
      <c r="AW26" s="1080">
        <f>ThetaJA_Q1*BC26</f>
        <v/>
      </c>
      <c r="AX26" s="1080">
        <f>ThetaJA_Q2*BD26</f>
        <v/>
      </c>
      <c r="AY26" s="9" t="n"/>
      <c r="AZ26" s="4">
        <f>AV26*100</f>
        <v/>
      </c>
      <c r="BA26" s="982">
        <f>U26</f>
        <v/>
      </c>
      <c r="BB26" s="982">
        <f>AG26+AK26+AM26</f>
        <v/>
      </c>
      <c r="BC26" s="982">
        <f>AG26+AM26*0.66</f>
        <v/>
      </c>
      <c r="BD26" s="982">
        <f>AK26+AM26*0.33</f>
        <v/>
      </c>
      <c r="BE26" s="982">
        <f>AN26</f>
        <v/>
      </c>
    </row>
    <row r="27">
      <c r="A27" s="22" t="inlineStr">
        <is>
          <t>RdsonDRT</t>
        </is>
      </c>
      <c r="B27" s="5" t="n">
        <v>0.7</v>
      </c>
      <c r="C27" s="431" t="inlineStr">
        <is>
          <t>W</t>
        </is>
      </c>
      <c r="D27" s="427" t="inlineStr">
        <is>
          <t>Drain to Source Resistance of pullup Top FET Driver</t>
        </is>
      </c>
      <c r="G27" t="n">
        <v>18</v>
      </c>
      <c r="H27" s="531">
        <f>Vin</f>
        <v/>
      </c>
      <c r="I27" s="4">
        <f>MODE</f>
        <v/>
      </c>
      <c r="J27" s="982">
        <f>Iout*G27/100</f>
        <v/>
      </c>
      <c r="K27" s="982">
        <f>Iout*G27/100/Number_of_Phases</f>
        <v/>
      </c>
      <c r="L27" s="4">
        <f>Vout*K27/(Vin*Efficiency)</f>
        <v/>
      </c>
      <c r="M27" s="982">
        <f>(Vout+(Rdson2+Rs+Rdcr)*K27)/(Vin+(Rs+Rdson2-Rdson1)*K27)</f>
        <v/>
      </c>
      <c r="N27" s="4">
        <f>(Vin-(Rdson1+Rdcr)*K27-Vout)*M27/(Fsw*Lf)</f>
        <v/>
      </c>
      <c r="O27" s="4">
        <f>K27+N27/2</f>
        <v/>
      </c>
      <c r="P27" s="4">
        <f>K27-N27/2</f>
        <v/>
      </c>
      <c r="Q27" s="4">
        <f>IF(MIN(Vin, -P27/(Coss_Q1+Coss_Q2)*0.00000002)&lt;0, 0, MIN(Vin, -P27/(Coss_Q1+Coss_Q2)*0.00000002))</f>
        <v/>
      </c>
      <c r="R27" s="4">
        <f>SQRT(K27^2+(N27^2)/12)</f>
        <v/>
      </c>
      <c r="S27" s="982">
        <f>R27^2*Rdcr</f>
        <v/>
      </c>
      <c r="T27" s="982">
        <f>Core_Loss_Ch1</f>
        <v/>
      </c>
      <c r="U27" s="982">
        <f>(T27+S27*(1+Ltc*(Ta-25)))/(1-S27*Ltc*ThetaCa)</f>
        <v/>
      </c>
      <c r="V27" s="4">
        <f>N27/SQRT(12)</f>
        <v/>
      </c>
      <c r="W27" s="982">
        <f>RCoutEsr*V27^2</f>
        <v/>
      </c>
      <c r="X27" s="982">
        <f>W27</f>
        <v/>
      </c>
      <c r="Y27" s="4">
        <f>SQRT(M27*(1-M27))*SQRT(K27^2+(N27^2)/12)</f>
        <v/>
      </c>
      <c r="Z27" s="982">
        <f>RCinEsr*Y27^2</f>
        <v/>
      </c>
      <c r="AA27" s="1078">
        <f>Z27</f>
        <v/>
      </c>
      <c r="AB27" s="982">
        <f>SQRT(M27)*SQRT(K27^2+(N27^2)/12)</f>
        <v/>
      </c>
      <c r="AC27" s="982">
        <f>Rdson1*AB27^2</f>
        <v/>
      </c>
      <c r="AD27" s="982">
        <f>(Vin*K27/2)*Fsw*(Tr_buck+Tf_buck)</f>
        <v/>
      </c>
      <c r="AE27" s="982">
        <f>(0.5*Coss_Q1*(Vin-Q27)^2-0.5*Coss_Q2*(Vin-Q27)^2+(Qoss_Q2*(Vin-Q27)/Vin)*Vin)*Fsw</f>
        <v/>
      </c>
      <c r="AF27" s="982">
        <f>IF(K27&gt;N27/2,0,ABS(K27-N27/2)*Vsd_Q1*Deadtime*Fsw)</f>
        <v/>
      </c>
      <c r="AG27" s="982">
        <f>(AF27+AE27+AD27+AC27*(1+RdsonTopTc*Ta-RdsonTopTc*25))/(1-AC27*RdsonTopTc*ThetaJA_Q1)</f>
        <v/>
      </c>
      <c r="AH27" s="982">
        <f>SQRT((1-M27))*SQRT(K27^2+(N27^2)/12)</f>
        <v/>
      </c>
      <c r="AI27" s="982">
        <f>Rdson2*AH27^2</f>
        <v/>
      </c>
      <c r="AJ27" s="982">
        <f>IF(K27&lt;N27/2,Deadtime*Fsw*IF(VfdSky_Q2&gt;0,0,Vsd_Q2)*(K27+N27/2),2*Deadtime*Fsw*IF(VfdSky_Q2&gt;0,0,Vsd_Q2)*K27)</f>
        <v/>
      </c>
      <c r="AK27" s="982">
        <f>(AJ27+AI27*(1+RdsonBotTc*Ta-RdsonBotTc*25))/(1-AI27*RdsonBotTc*ThetaJA_Q2)</f>
        <v/>
      </c>
      <c r="AL27" s="982">
        <f>2*Deadtime*Fsw*IF(VfdSky_Q2&gt;0,VfdSky_Q2,Vsd_Q2)*K27</f>
        <v/>
      </c>
      <c r="AM27" s="982">
        <f>IF(QrrSky_Q2&gt;0,QrrSky_Q2,Qrr_Q2*K27/(Iout/Number_of_Phases))*Fsw*Vin</f>
        <v/>
      </c>
      <c r="AN27" s="982">
        <f>Rs*R27^2</f>
        <v/>
      </c>
      <c r="AO27" s="982">
        <f>Iq*Vin</f>
        <v/>
      </c>
      <c r="AP27" s="982">
        <f>IF(Ext_VCC=1, (Qg_Q1+Qg_Q2)*Fsw*VCC, (Qg_Q1+Qg_Q2)*Fsw*Vin)</f>
        <v/>
      </c>
      <c r="AQ27" s="982">
        <f>(Vin-VCC)*Fsw*(Qg_Q1+Qg_Q2)+(RdsonDRT+RdsonDRT2)*Fsw*Qg_Q1*VCC/(RdsonDRT+2*Rgate1+RdsonDRT2)+(RdsonDRB+RdsonDRB2)*Fsw*Qg_Q2*VCC/(RdsonDRB+2*Rgate2+RdsonDRB2)</f>
        <v/>
      </c>
      <c r="AR27" s="982">
        <f>(Qg_Q1+Qg_Q2)*Fsw*(Vin-VCC)</f>
        <v/>
      </c>
      <c r="AS27" s="982">
        <f>SUM(AO27:AP27)</f>
        <v/>
      </c>
      <c r="AT27" s="982">
        <f> SUM(U27,X27,AA27,AG27,AK27,AL27,AM27,AS27,AN27)</f>
        <v/>
      </c>
      <c r="AU27">
        <f>Vout*K27</f>
        <v/>
      </c>
      <c r="AV27" s="1079">
        <f>AU27/(AU27+AT27)</f>
        <v/>
      </c>
      <c r="AW27" s="1080">
        <f>ThetaJA_Q1*BC27</f>
        <v/>
      </c>
      <c r="AX27" s="1080">
        <f>ThetaJA_Q2*BD27</f>
        <v/>
      </c>
      <c r="AY27" s="9" t="n"/>
      <c r="AZ27" s="4">
        <f>AV27*100</f>
        <v/>
      </c>
      <c r="BA27" s="982">
        <f>U27</f>
        <v/>
      </c>
      <c r="BB27" s="982">
        <f>AG27+AK27+AM27</f>
        <v/>
      </c>
      <c r="BC27" s="982">
        <f>AG27+AM27*0.66</f>
        <v/>
      </c>
      <c r="BD27" s="982">
        <f>AK27+AM27*0.33</f>
        <v/>
      </c>
      <c r="BE27" s="982">
        <f>AN27</f>
        <v/>
      </c>
    </row>
    <row r="28">
      <c r="A28" s="22" t="inlineStr">
        <is>
          <t>RdsonDRT2</t>
        </is>
      </c>
      <c r="B28" s="5">
        <f>RdsonDRT2</f>
        <v/>
      </c>
      <c r="C28" s="431" t="inlineStr">
        <is>
          <t>W</t>
        </is>
      </c>
      <c r="D28" s="427" t="inlineStr">
        <is>
          <t>Drain to Source Resistance of pulldown Top FET Driver</t>
        </is>
      </c>
      <c r="G28" t="n">
        <v>19</v>
      </c>
      <c r="H28" s="531">
        <f>Vin</f>
        <v/>
      </c>
      <c r="I28" s="4">
        <f>MODE</f>
        <v/>
      </c>
      <c r="J28" s="982">
        <f>Iout*G28/100</f>
        <v/>
      </c>
      <c r="K28" s="982">
        <f>Iout*G28/100/Number_of_Phases</f>
        <v/>
      </c>
      <c r="L28" s="4">
        <f>Vout*K28/(Vin*Efficiency)</f>
        <v/>
      </c>
      <c r="M28" s="982">
        <f>(Vout+(Rdson2+Rs+Rdcr)*K28)/(Vin+(Rs+Rdson2-Rdson1)*K28)</f>
        <v/>
      </c>
      <c r="N28" s="4">
        <f>(Vin-(Rdson1+Rdcr)*K28-Vout)*M28/(Fsw*Lf)</f>
        <v/>
      </c>
      <c r="O28" s="4">
        <f>K28+N28/2</f>
        <v/>
      </c>
      <c r="P28" s="4">
        <f>K28-N28/2</f>
        <v/>
      </c>
      <c r="Q28" s="4">
        <f>IF(MIN(Vin, -P28/(Coss_Q1+Coss_Q2)*0.00000002)&lt;0, 0, MIN(Vin, -P28/(Coss_Q1+Coss_Q2)*0.00000002))</f>
        <v/>
      </c>
      <c r="R28" s="4">
        <f>SQRT(K28^2+(N28^2)/12)</f>
        <v/>
      </c>
      <c r="S28" s="982">
        <f>R28^2*Rdcr</f>
        <v/>
      </c>
      <c r="T28" s="982">
        <f>Core_Loss_Ch1</f>
        <v/>
      </c>
      <c r="U28" s="982">
        <f>(T28+S28*(1+Ltc*(Ta-25)))/(1-S28*Ltc*ThetaCa)</f>
        <v/>
      </c>
      <c r="V28" s="4">
        <f>N28/SQRT(12)</f>
        <v/>
      </c>
      <c r="W28" s="982">
        <f>RCoutEsr*V28^2</f>
        <v/>
      </c>
      <c r="X28" s="982">
        <f>W28</f>
        <v/>
      </c>
      <c r="Y28" s="4">
        <f>SQRT(M28*(1-M28))*SQRT(K28^2+(N28^2)/12)</f>
        <v/>
      </c>
      <c r="Z28" s="982">
        <f>RCinEsr*Y28^2</f>
        <v/>
      </c>
      <c r="AA28" s="1078">
        <f>Z28</f>
        <v/>
      </c>
      <c r="AB28" s="982">
        <f>SQRT(M28)*SQRT(K28^2+(N28^2)/12)</f>
        <v/>
      </c>
      <c r="AC28" s="982">
        <f>Rdson1*AB28^2</f>
        <v/>
      </c>
      <c r="AD28" s="982">
        <f>(Vin*K28/2)*Fsw*(Tr_buck+Tf_buck)</f>
        <v/>
      </c>
      <c r="AE28" s="982">
        <f>(0.5*Coss_Q1*(Vin-Q28)^2-0.5*Coss_Q2*(Vin-Q28)^2+(Qoss_Q2*(Vin-Q28)/Vin)*Vin)*Fsw</f>
        <v/>
      </c>
      <c r="AF28" s="982">
        <f>IF(K28&gt;N28/2,0,ABS(K28-N28/2)*Vsd_Q1*Deadtime*Fsw)</f>
        <v/>
      </c>
      <c r="AG28" s="982">
        <f>(AF28+AE28+AD28+AC28*(1+RdsonTopTc*Ta-RdsonTopTc*25))/(1-AC28*RdsonTopTc*ThetaJA_Q1)</f>
        <v/>
      </c>
      <c r="AH28" s="982">
        <f>SQRT((1-M28))*SQRT(K28^2+(N28^2)/12)</f>
        <v/>
      </c>
      <c r="AI28" s="982">
        <f>Rdson2*AH28^2</f>
        <v/>
      </c>
      <c r="AJ28" s="982">
        <f>IF(K28&lt;N28/2,Deadtime*Fsw*IF(VfdSky_Q2&gt;0,0,Vsd_Q2)*(K28+N28/2),2*Deadtime*Fsw*IF(VfdSky_Q2&gt;0,0,Vsd_Q2)*K28)</f>
        <v/>
      </c>
      <c r="AK28" s="982">
        <f>(AJ28+AI28*(1+RdsonBotTc*Ta-RdsonBotTc*25))/(1-AI28*RdsonBotTc*ThetaJA_Q2)</f>
        <v/>
      </c>
      <c r="AL28" s="982">
        <f>2*Deadtime*Fsw*IF(VfdSky_Q2&gt;0,VfdSky_Q2,Vsd_Q2)*K28</f>
        <v/>
      </c>
      <c r="AM28" s="982">
        <f>IF(QrrSky_Q2&gt;0,QrrSky_Q2,Qrr_Q2*K28/(Iout/Number_of_Phases))*Fsw*Vin</f>
        <v/>
      </c>
      <c r="AN28" s="982">
        <f>Rs*R28^2</f>
        <v/>
      </c>
      <c r="AO28" s="982">
        <f>Iq*Vin</f>
        <v/>
      </c>
      <c r="AP28" s="982">
        <f>IF(Ext_VCC=1, (Qg_Q1+Qg_Q2)*Fsw*VCC, (Qg_Q1+Qg_Q2)*Fsw*Vin)</f>
        <v/>
      </c>
      <c r="AQ28" s="982">
        <f>(Vin-VCC)*Fsw*(Qg_Q1+Qg_Q2)+(RdsonDRT+RdsonDRT2)*Fsw*Qg_Q1*VCC/(RdsonDRT+2*Rgate1+RdsonDRT2)+(RdsonDRB+RdsonDRB2)*Fsw*Qg_Q2*VCC/(RdsonDRB+2*Rgate2+RdsonDRB2)</f>
        <v/>
      </c>
      <c r="AR28" s="982">
        <f>(Qg_Q1+Qg_Q2)*Fsw*(Vin-VCC)</f>
        <v/>
      </c>
      <c r="AS28" s="982">
        <f>SUM(AO28:AP28)</f>
        <v/>
      </c>
      <c r="AT28" s="982">
        <f> SUM(U28,X28,AA28,AG28,AK28,AL28,AM28,AS28,AN28)</f>
        <v/>
      </c>
      <c r="AU28">
        <f>Vout*K28</f>
        <v/>
      </c>
      <c r="AV28" s="1079">
        <f>AU28/(AU28+AT28)</f>
        <v/>
      </c>
      <c r="AW28" s="1080">
        <f>ThetaJA_Q1*BC28</f>
        <v/>
      </c>
      <c r="AX28" s="1080">
        <f>ThetaJA_Q2*BD28</f>
        <v/>
      </c>
      <c r="AY28" s="9" t="n"/>
      <c r="AZ28" s="4">
        <f>AV28*100</f>
        <v/>
      </c>
      <c r="BA28" s="982">
        <f>U28</f>
        <v/>
      </c>
      <c r="BB28" s="982">
        <f>AG28+AK28+AM28</f>
        <v/>
      </c>
      <c r="BC28" s="982">
        <f>AG28+AM28*0.66</f>
        <v/>
      </c>
      <c r="BD28" s="982">
        <f>AK28+AM28*0.33</f>
        <v/>
      </c>
      <c r="BE28" s="982">
        <f>AN28</f>
        <v/>
      </c>
    </row>
    <row r="29">
      <c r="A29" s="24" t="inlineStr">
        <is>
          <t>Bottom Driver</t>
        </is>
      </c>
      <c r="B29" s="15" t="inlineStr">
        <is>
          <t>Input Value</t>
        </is>
      </c>
      <c r="C29" s="24" t="inlineStr">
        <is>
          <t>Units</t>
        </is>
      </c>
      <c r="D29" s="17" t="inlineStr">
        <is>
          <t>Description</t>
        </is>
      </c>
      <c r="G29" t="n">
        <v>20</v>
      </c>
      <c r="H29" s="531">
        <f>Vin</f>
        <v/>
      </c>
      <c r="I29" s="4">
        <f>MODE</f>
        <v/>
      </c>
      <c r="J29" s="982">
        <f>Iout*G29/100</f>
        <v/>
      </c>
      <c r="K29" s="982">
        <f>Iout*G29/100/Number_of_Phases</f>
        <v/>
      </c>
      <c r="L29" s="4">
        <f>Vout*K29/(Vin*Efficiency)</f>
        <v/>
      </c>
      <c r="M29" s="982">
        <f>(Vout+(Rdson2+Rs+Rdcr)*K29)/(Vin+(Rs+Rdson2-Rdson1)*K29)</f>
        <v/>
      </c>
      <c r="N29" s="4">
        <f>(Vin-(Rdson1+Rdcr)*K29-Vout)*M29/(Fsw*Lf)</f>
        <v/>
      </c>
      <c r="O29" s="4">
        <f>K29+N29/2</f>
        <v/>
      </c>
      <c r="P29" s="4">
        <f>K29-N29/2</f>
        <v/>
      </c>
      <c r="Q29" s="4">
        <f>IF(MIN(Vin, -P29/(Coss_Q1+Coss_Q2)*0.00000002)&lt;0, 0, MIN(Vin, -P29/(Coss_Q1+Coss_Q2)*0.00000002))</f>
        <v/>
      </c>
      <c r="R29" s="4">
        <f>SQRT(K29^2+(N29^2)/12)</f>
        <v/>
      </c>
      <c r="S29" s="982">
        <f>R29^2*Rdcr</f>
        <v/>
      </c>
      <c r="T29" s="982">
        <f>Core_Loss_Ch1</f>
        <v/>
      </c>
      <c r="U29" s="982">
        <f>(T29+S29*(1+Ltc*(Ta-25)))/(1-S29*Ltc*ThetaCa)</f>
        <v/>
      </c>
      <c r="V29" s="4">
        <f>N29/SQRT(12)</f>
        <v/>
      </c>
      <c r="W29" s="982">
        <f>RCoutEsr*V29^2</f>
        <v/>
      </c>
      <c r="X29" s="982">
        <f>W29</f>
        <v/>
      </c>
      <c r="Y29" s="4">
        <f>SQRT(M29*(1-M29))*SQRT(K29^2+(N29^2)/12)</f>
        <v/>
      </c>
      <c r="Z29" s="982">
        <f>RCinEsr*Y29^2</f>
        <v/>
      </c>
      <c r="AA29" s="1078">
        <f>Z29</f>
        <v/>
      </c>
      <c r="AB29" s="982">
        <f>SQRT(M29)*SQRT(K29^2+(N29^2)/12)</f>
        <v/>
      </c>
      <c r="AC29" s="982">
        <f>Rdson1*AB29^2</f>
        <v/>
      </c>
      <c r="AD29" s="982">
        <f>(Vin*K29/2)*Fsw*(Tr_buck+Tf_buck)</f>
        <v/>
      </c>
      <c r="AE29" s="982">
        <f>(0.5*Coss_Q1*(Vin-Q29)^2-0.5*Coss_Q2*(Vin-Q29)^2+(Qoss_Q2*(Vin-Q29)/Vin)*Vin)*Fsw</f>
        <v/>
      </c>
      <c r="AF29" s="982">
        <f>IF(K29&gt;N29/2,0,ABS(K29-N29/2)*Vsd_Q1*Deadtime*Fsw)</f>
        <v/>
      </c>
      <c r="AG29" s="982">
        <f>(AF29+AE29+AD29+AC29*(1+RdsonTopTc*Ta-RdsonTopTc*25))/(1-AC29*RdsonTopTc*ThetaJA_Q1)</f>
        <v/>
      </c>
      <c r="AH29" s="982">
        <f>SQRT((1-M29))*SQRT(K29^2+(N29^2)/12)</f>
        <v/>
      </c>
      <c r="AI29" s="982">
        <f>Rdson2*AH29^2</f>
        <v/>
      </c>
      <c r="AJ29" s="982">
        <f>IF(K29&lt;N29/2,Deadtime*Fsw*IF(VfdSky_Q2&gt;0,0,Vsd_Q2)*(K29+N29/2),2*Deadtime*Fsw*IF(VfdSky_Q2&gt;0,0,Vsd_Q2)*K29)</f>
        <v/>
      </c>
      <c r="AK29" s="982">
        <f>(AJ29+AI29*(1+RdsonBotTc*Ta-RdsonBotTc*25))/(1-AI29*RdsonBotTc*ThetaJA_Q2)</f>
        <v/>
      </c>
      <c r="AL29" s="982">
        <f>2*Deadtime*Fsw*IF(VfdSky_Q2&gt;0,VfdSky_Q2,Vsd_Q2)*K29</f>
        <v/>
      </c>
      <c r="AM29" s="982">
        <f>IF(QrrSky_Q2&gt;0,QrrSky_Q2,Qrr_Q2*K29/(Iout/Number_of_Phases))*Fsw*Vin</f>
        <v/>
      </c>
      <c r="AN29" s="982">
        <f>Rs*R29^2</f>
        <v/>
      </c>
      <c r="AO29" s="982">
        <f>Iq*Vin</f>
        <v/>
      </c>
      <c r="AP29" s="982">
        <f>IF(Ext_VCC=1, (Qg_Q1+Qg_Q2)*Fsw*VCC, (Qg_Q1+Qg_Q2)*Fsw*Vin)</f>
        <v/>
      </c>
      <c r="AQ29" s="982">
        <f>(Vin-VCC)*Fsw*(Qg_Q1+Qg_Q2)+(RdsonDRT+RdsonDRT2)*Fsw*Qg_Q1*VCC/(RdsonDRT+2*Rgate1+RdsonDRT2)+(RdsonDRB+RdsonDRB2)*Fsw*Qg_Q2*VCC/(RdsonDRB+2*Rgate2+RdsonDRB2)</f>
        <v/>
      </c>
      <c r="AR29" s="982">
        <f>(Qg_Q1+Qg_Q2)*Fsw*(Vin-VCC)</f>
        <v/>
      </c>
      <c r="AS29" s="982">
        <f>SUM(AO29:AP29)</f>
        <v/>
      </c>
      <c r="AT29" s="982">
        <f> SUM(U29,X29,AA29,AG29,AK29,AL29,AM29,AS29,AN29)</f>
        <v/>
      </c>
      <c r="AU29">
        <f>Vout*K29</f>
        <v/>
      </c>
      <c r="AV29" s="1079">
        <f>AU29/(AU29+AT29)</f>
        <v/>
      </c>
      <c r="AW29" s="1080">
        <f>ThetaJA_Q1*BC29</f>
        <v/>
      </c>
      <c r="AX29" s="1080">
        <f>ThetaJA_Q2*BD29</f>
        <v/>
      </c>
      <c r="AY29" s="9" t="n"/>
      <c r="AZ29" s="4">
        <f>AV29*100</f>
        <v/>
      </c>
      <c r="BA29" s="982">
        <f>U29</f>
        <v/>
      </c>
      <c r="BB29" s="982">
        <f>AG29+AK29+AM29</f>
        <v/>
      </c>
      <c r="BC29" s="982">
        <f>AG29+AM29*0.66</f>
        <v/>
      </c>
      <c r="BD29" s="982">
        <f>AK29+AM29*0.33</f>
        <v/>
      </c>
      <c r="BE29" s="982">
        <f>AN29</f>
        <v/>
      </c>
    </row>
    <row r="30">
      <c r="A30" s="22" t="inlineStr">
        <is>
          <t>RdsonDRB</t>
        </is>
      </c>
      <c r="B30" s="27" t="n">
        <v>0.7</v>
      </c>
      <c r="C30" s="431" t="inlineStr">
        <is>
          <t>W</t>
        </is>
      </c>
      <c r="D30" s="427" t="inlineStr">
        <is>
          <t>Drain to Source Resistance of pullup Bottom FET Driver</t>
        </is>
      </c>
      <c r="G30" t="n">
        <v>21</v>
      </c>
      <c r="H30" s="531">
        <f>Vin</f>
        <v/>
      </c>
      <c r="I30" s="4">
        <f>MODE</f>
        <v/>
      </c>
      <c r="J30" s="982">
        <f>Iout*G30/100</f>
        <v/>
      </c>
      <c r="K30" s="982">
        <f>Iout*G30/100/Number_of_Phases</f>
        <v/>
      </c>
      <c r="L30" s="4">
        <f>Vout*K30/(Vin*Efficiency)</f>
        <v/>
      </c>
      <c r="M30" s="982">
        <f>(Vout+(Rdson2+Rs+Rdcr)*K30)/(Vin+(Rs+Rdson2-Rdson1)*K30)</f>
        <v/>
      </c>
      <c r="N30" s="4">
        <f>(Vin-(Rdson1+Rdcr)*K30-Vout)*M30/(Fsw*Lf)</f>
        <v/>
      </c>
      <c r="O30" s="4">
        <f>K30+N30/2</f>
        <v/>
      </c>
      <c r="P30" s="4">
        <f>K30-N30/2</f>
        <v/>
      </c>
      <c r="Q30" s="4">
        <f>IF(MIN(Vin, -P30/(Coss_Q1+Coss_Q2)*0.00000002)&lt;0, 0, MIN(Vin, -P30/(Coss_Q1+Coss_Q2)*0.00000002))</f>
        <v/>
      </c>
      <c r="R30" s="4">
        <f>SQRT(K30^2+(N30^2)/12)</f>
        <v/>
      </c>
      <c r="S30" s="982">
        <f>R30^2*Rdcr</f>
        <v/>
      </c>
      <c r="T30" s="982">
        <f>Core_Loss_Ch1</f>
        <v/>
      </c>
      <c r="U30" s="982">
        <f>(T30+S30*(1+Ltc*(Ta-25)))/(1-S30*Ltc*ThetaCa)</f>
        <v/>
      </c>
      <c r="V30" s="4">
        <f>N30/SQRT(12)</f>
        <v/>
      </c>
      <c r="W30" s="982">
        <f>RCoutEsr*V30^2</f>
        <v/>
      </c>
      <c r="X30" s="982">
        <f>W30</f>
        <v/>
      </c>
      <c r="Y30" s="4">
        <f>SQRT(M30*(1-M30))*SQRT(K30^2+(N30^2)/12)</f>
        <v/>
      </c>
      <c r="Z30" s="982">
        <f>RCinEsr*Y30^2</f>
        <v/>
      </c>
      <c r="AA30" s="1078">
        <f>Z30</f>
        <v/>
      </c>
      <c r="AB30" s="982">
        <f>SQRT(M30)*SQRT(K30^2+(N30^2)/12)</f>
        <v/>
      </c>
      <c r="AC30" s="982">
        <f>Rdson1*AB30^2</f>
        <v/>
      </c>
      <c r="AD30" s="982">
        <f>(Vin*K30/2)*Fsw*(Tr_buck+Tf_buck)</f>
        <v/>
      </c>
      <c r="AE30" s="982">
        <f>(0.5*Coss_Q1*(Vin-Q30)^2-0.5*Coss_Q2*(Vin-Q30)^2+(Qoss_Q2*(Vin-Q30)/Vin)*Vin)*Fsw</f>
        <v/>
      </c>
      <c r="AF30" s="982">
        <f>IF(K30&gt;N30/2,0,ABS(K30-N30/2)*Vsd_Q1*Deadtime*Fsw)</f>
        <v/>
      </c>
      <c r="AG30" s="982">
        <f>(AF30+AE30+AD30+AC30*(1+RdsonTopTc*Ta-RdsonTopTc*25))/(1-AC30*RdsonTopTc*ThetaJA_Q1)</f>
        <v/>
      </c>
      <c r="AH30" s="982">
        <f>SQRT((1-M30))*SQRT(K30^2+(N30^2)/12)</f>
        <v/>
      </c>
      <c r="AI30" s="982">
        <f>Rdson2*AH30^2</f>
        <v/>
      </c>
      <c r="AJ30" s="982">
        <f>IF(K30&lt;N30/2,Deadtime*Fsw*IF(VfdSky_Q2&gt;0,0,Vsd_Q2)*(K30+N30/2),2*Deadtime*Fsw*IF(VfdSky_Q2&gt;0,0,Vsd_Q2)*K30)</f>
        <v/>
      </c>
      <c r="AK30" s="982">
        <f>(AJ30+AI30*(1+RdsonBotTc*Ta-RdsonBotTc*25))/(1-AI30*RdsonBotTc*ThetaJA_Q2)</f>
        <v/>
      </c>
      <c r="AL30" s="982">
        <f>2*Deadtime*Fsw*IF(VfdSky_Q2&gt;0,VfdSky_Q2,Vsd_Q2)*K30</f>
        <v/>
      </c>
      <c r="AM30" s="982">
        <f>IF(QrrSky_Q2&gt;0,QrrSky_Q2,Qrr_Q2*K30/(Iout/Number_of_Phases))*Fsw*Vin</f>
        <v/>
      </c>
      <c r="AN30" s="982">
        <f>Rs*R30^2</f>
        <v/>
      </c>
      <c r="AO30" s="982">
        <f>Iq*Vin</f>
        <v/>
      </c>
      <c r="AP30" s="982">
        <f>IF(Ext_VCC=1, (Qg_Q1+Qg_Q2)*Fsw*VCC, (Qg_Q1+Qg_Q2)*Fsw*Vin)</f>
        <v/>
      </c>
      <c r="AQ30" s="982">
        <f>(Vin-VCC)*Fsw*(Qg_Q1+Qg_Q2)+(RdsonDRT+RdsonDRT2)*Fsw*Qg_Q1*VCC/(RdsonDRT+2*Rgate1+RdsonDRT2)+(RdsonDRB+RdsonDRB2)*Fsw*Qg_Q2*VCC/(RdsonDRB+2*Rgate2+RdsonDRB2)</f>
        <v/>
      </c>
      <c r="AR30" s="982">
        <f>(Qg_Q1+Qg_Q2)*Fsw*(Vin-VCC)</f>
        <v/>
      </c>
      <c r="AS30" s="982">
        <f>SUM(AO30:AP30)</f>
        <v/>
      </c>
      <c r="AT30" s="982">
        <f> SUM(U30,X30,AA30,AG30,AK30,AL30,AM30,AS30,AN30)</f>
        <v/>
      </c>
      <c r="AU30">
        <f>Vout*K30</f>
        <v/>
      </c>
      <c r="AV30" s="1079">
        <f>AU30/(AU30+AT30)</f>
        <v/>
      </c>
      <c r="AW30" s="1080">
        <f>ThetaJA_Q1*BC30</f>
        <v/>
      </c>
      <c r="AX30" s="1080">
        <f>ThetaJA_Q2*BD30</f>
        <v/>
      </c>
      <c r="AY30" s="9" t="n"/>
      <c r="AZ30" s="4">
        <f>AV30*100</f>
        <v/>
      </c>
      <c r="BA30" s="982">
        <f>U30</f>
        <v/>
      </c>
      <c r="BB30" s="982">
        <f>AG30+AK30+AM30</f>
        <v/>
      </c>
      <c r="BC30" s="982">
        <f>AG30+AM30*0.66</f>
        <v/>
      </c>
      <c r="BD30" s="982">
        <f>AK30+AM30*0.33</f>
        <v/>
      </c>
      <c r="BE30" s="982">
        <f>AN30</f>
        <v/>
      </c>
    </row>
    <row r="31">
      <c r="A31" s="22" t="inlineStr">
        <is>
          <t>RdsonDRB2</t>
        </is>
      </c>
      <c r="B31" s="27" t="n">
        <v>0.5</v>
      </c>
      <c r="C31" s="431" t="inlineStr">
        <is>
          <t>W</t>
        </is>
      </c>
      <c r="D31" s="427" t="inlineStr">
        <is>
          <t>Drain to Source Resistance of pulldown Bottom FET Driver</t>
        </is>
      </c>
      <c r="G31" t="n">
        <v>22</v>
      </c>
      <c r="H31" s="531">
        <f>Vin</f>
        <v/>
      </c>
      <c r="I31" s="4">
        <f>MODE</f>
        <v/>
      </c>
      <c r="J31" s="982">
        <f>Iout*G31/100</f>
        <v/>
      </c>
      <c r="K31" s="982">
        <f>Iout*G31/100/Number_of_Phases</f>
        <v/>
      </c>
      <c r="L31" s="4">
        <f>Vout*K31/(Vin*Efficiency)</f>
        <v/>
      </c>
      <c r="M31" s="982">
        <f>(Vout+(Rdson2+Rs+Rdcr)*K31)/(Vin+(Rs+Rdson2-Rdson1)*K31)</f>
        <v/>
      </c>
      <c r="N31" s="4">
        <f>(Vin-(Rdson1+Rdcr)*K31-Vout)*M31/(Fsw*Lf)</f>
        <v/>
      </c>
      <c r="O31" s="4">
        <f>K31+N31/2</f>
        <v/>
      </c>
      <c r="P31" s="4">
        <f>K31-N31/2</f>
        <v/>
      </c>
      <c r="Q31" s="4">
        <f>IF(MIN(Vin, -P31/(Coss_Q1+Coss_Q2)*0.00000002)&lt;0, 0, MIN(Vin, -P31/(Coss_Q1+Coss_Q2)*0.00000002))</f>
        <v/>
      </c>
      <c r="R31" s="4">
        <f>SQRT(K31^2+(N31^2)/12)</f>
        <v/>
      </c>
      <c r="S31" s="982">
        <f>R31^2*Rdcr</f>
        <v/>
      </c>
      <c r="T31" s="982">
        <f>Core_Loss_Ch1</f>
        <v/>
      </c>
      <c r="U31" s="982">
        <f>(T31+S31*(1+Ltc*(Ta-25)))/(1-S31*Ltc*ThetaCa)</f>
        <v/>
      </c>
      <c r="V31" s="4">
        <f>N31/SQRT(12)</f>
        <v/>
      </c>
      <c r="W31" s="982">
        <f>RCoutEsr*V31^2</f>
        <v/>
      </c>
      <c r="X31" s="982">
        <f>W31</f>
        <v/>
      </c>
      <c r="Y31" s="4">
        <f>SQRT(M31*(1-M31))*SQRT(K31^2+(N31^2)/12)</f>
        <v/>
      </c>
      <c r="Z31" s="982">
        <f>RCinEsr*Y31^2</f>
        <v/>
      </c>
      <c r="AA31" s="1078">
        <f>Z31</f>
        <v/>
      </c>
      <c r="AB31" s="982">
        <f>SQRT(M31)*SQRT(K31^2+(N31^2)/12)</f>
        <v/>
      </c>
      <c r="AC31" s="982">
        <f>Rdson1*AB31^2</f>
        <v/>
      </c>
      <c r="AD31" s="982">
        <f>(Vin*K31/2)*Fsw*(Tr_buck+Tf_buck)</f>
        <v/>
      </c>
      <c r="AE31" s="982">
        <f>(0.5*Coss_Q1*(Vin-Q31)^2-0.5*Coss_Q2*(Vin-Q31)^2+(Qoss_Q2*(Vin-Q31)/Vin)*Vin)*Fsw</f>
        <v/>
      </c>
      <c r="AF31" s="982">
        <f>IF(K31&gt;N31/2,0,ABS(K31-N31/2)*Vsd_Q1*Deadtime*Fsw)</f>
        <v/>
      </c>
      <c r="AG31" s="982">
        <f>(AF31+AE31+AD31+AC31*(1+RdsonTopTc*Ta-RdsonTopTc*25))/(1-AC31*RdsonTopTc*ThetaJA_Q1)</f>
        <v/>
      </c>
      <c r="AH31" s="982">
        <f>SQRT((1-M31))*SQRT(K31^2+(N31^2)/12)</f>
        <v/>
      </c>
      <c r="AI31" s="982">
        <f>Rdson2*AH31^2</f>
        <v/>
      </c>
      <c r="AJ31" s="982">
        <f>IF(K31&lt;N31/2,Deadtime*Fsw*IF(VfdSky_Q2&gt;0,0,Vsd_Q2)*(K31+N31/2),2*Deadtime*Fsw*IF(VfdSky_Q2&gt;0,0,Vsd_Q2)*K31)</f>
        <v/>
      </c>
      <c r="AK31" s="982">
        <f>(AJ31+AI31*(1+RdsonBotTc*Ta-RdsonBotTc*25))/(1-AI31*RdsonBotTc*ThetaJA_Q2)</f>
        <v/>
      </c>
      <c r="AL31" s="982">
        <f>2*Deadtime*Fsw*IF(VfdSky_Q2&gt;0,VfdSky_Q2,Vsd_Q2)*K31</f>
        <v/>
      </c>
      <c r="AM31" s="982">
        <f>IF(QrrSky_Q2&gt;0,QrrSky_Q2,Qrr_Q2*K31/(Iout/Number_of_Phases))*Fsw*Vin</f>
        <v/>
      </c>
      <c r="AN31" s="982">
        <f>Rs*R31^2</f>
        <v/>
      </c>
      <c r="AO31" s="982">
        <f>Iq*Vin</f>
        <v/>
      </c>
      <c r="AP31" s="982">
        <f>IF(Ext_VCC=1, (Qg_Q1+Qg_Q2)*Fsw*VCC, (Qg_Q1+Qg_Q2)*Fsw*Vin)</f>
        <v/>
      </c>
      <c r="AQ31" s="982">
        <f>(Vin-VCC)*Fsw*(Qg_Q1+Qg_Q2)+(RdsonDRT+RdsonDRT2)*Fsw*Qg_Q1*VCC/(RdsonDRT+2*Rgate1+RdsonDRT2)+(RdsonDRB+RdsonDRB2)*Fsw*Qg_Q2*VCC/(RdsonDRB+2*Rgate2+RdsonDRB2)</f>
        <v/>
      </c>
      <c r="AR31" s="982">
        <f>(Qg_Q1+Qg_Q2)*Fsw*(Vin-VCC)</f>
        <v/>
      </c>
      <c r="AS31" s="982">
        <f>SUM(AO31:AP31)</f>
        <v/>
      </c>
      <c r="AT31" s="982">
        <f> SUM(U31,X31,AA31,AG31,AK31,AL31,AM31,AS31,AN31)</f>
        <v/>
      </c>
      <c r="AU31">
        <f>Vout*K31</f>
        <v/>
      </c>
      <c r="AV31" s="1079">
        <f>AU31/(AU31+AT31)</f>
        <v/>
      </c>
      <c r="AW31" s="1080">
        <f>ThetaJA_Q1*BC31</f>
        <v/>
      </c>
      <c r="AX31" s="1080">
        <f>ThetaJA_Q2*BD31</f>
        <v/>
      </c>
      <c r="AY31" s="9" t="n"/>
      <c r="AZ31" s="4">
        <f>AV31*100</f>
        <v/>
      </c>
      <c r="BA31" s="982">
        <f>U31</f>
        <v/>
      </c>
      <c r="BB31" s="982">
        <f>AG31+AK31+AM31</f>
        <v/>
      </c>
      <c r="BC31" s="982">
        <f>AG31+AM31*0.66</f>
        <v/>
      </c>
      <c r="BD31" s="982">
        <f>AK31+AM31*0.33</f>
        <v/>
      </c>
      <c r="BE31" s="982">
        <f>AN31</f>
        <v/>
      </c>
    </row>
    <row r="32">
      <c r="A32" s="24" t="inlineStr">
        <is>
          <t>Deadtime</t>
        </is>
      </c>
      <c r="B32" s="15" t="inlineStr">
        <is>
          <t>Input Value</t>
        </is>
      </c>
      <c r="C32" s="24" t="inlineStr">
        <is>
          <t>Units</t>
        </is>
      </c>
      <c r="D32" s="17" t="inlineStr">
        <is>
          <t>Description</t>
        </is>
      </c>
      <c r="G32" t="n">
        <v>23</v>
      </c>
      <c r="H32" s="531">
        <f>Vin</f>
        <v/>
      </c>
      <c r="I32" s="4">
        <f>MODE</f>
        <v/>
      </c>
      <c r="J32" s="982">
        <f>Iout*G32/100</f>
        <v/>
      </c>
      <c r="K32" s="982">
        <f>Iout*G32/100/Number_of_Phases</f>
        <v/>
      </c>
      <c r="L32" s="4">
        <f>Vout*K32/(Vin*Efficiency)</f>
        <v/>
      </c>
      <c r="M32" s="982">
        <f>(Vout+(Rdson2+Rs+Rdcr)*K32)/(Vin+(Rs+Rdson2-Rdson1)*K32)</f>
        <v/>
      </c>
      <c r="N32" s="4">
        <f>(Vin-(Rdson1+Rdcr)*K32-Vout)*M32/(Fsw*Lf)</f>
        <v/>
      </c>
      <c r="O32" s="4">
        <f>K32+N32/2</f>
        <v/>
      </c>
      <c r="P32" s="4">
        <f>K32-N32/2</f>
        <v/>
      </c>
      <c r="Q32" s="4">
        <f>IF(MIN(Vin, -P32/(Coss_Q1+Coss_Q2)*0.00000002)&lt;0, 0, MIN(Vin, -P32/(Coss_Q1+Coss_Q2)*0.00000002))</f>
        <v/>
      </c>
      <c r="R32" s="4">
        <f>SQRT(K32^2+(N32^2)/12)</f>
        <v/>
      </c>
      <c r="S32" s="982">
        <f>R32^2*Rdcr</f>
        <v/>
      </c>
      <c r="T32" s="982">
        <f>Core_Loss_Ch1</f>
        <v/>
      </c>
      <c r="U32" s="982">
        <f>(T32+S32*(1+Ltc*(Ta-25)))/(1-S32*Ltc*ThetaCa)</f>
        <v/>
      </c>
      <c r="V32" s="4">
        <f>N32/SQRT(12)</f>
        <v/>
      </c>
      <c r="W32" s="982">
        <f>RCoutEsr*V32^2</f>
        <v/>
      </c>
      <c r="X32" s="982">
        <f>W32</f>
        <v/>
      </c>
      <c r="Y32" s="4">
        <f>SQRT(M32*(1-M32))*SQRT(K32^2+(N32^2)/12)</f>
        <v/>
      </c>
      <c r="Z32" s="982">
        <f>RCinEsr*Y32^2</f>
        <v/>
      </c>
      <c r="AA32" s="1078">
        <f>Z32</f>
        <v/>
      </c>
      <c r="AB32" s="982">
        <f>SQRT(M32)*SQRT(K32^2+(N32^2)/12)</f>
        <v/>
      </c>
      <c r="AC32" s="982">
        <f>Rdson1*AB32^2</f>
        <v/>
      </c>
      <c r="AD32" s="982">
        <f>(Vin*K32/2)*Fsw*(Tr_buck+Tf_buck)</f>
        <v/>
      </c>
      <c r="AE32" s="982">
        <f>(0.5*Coss_Q1*(Vin-Q32)^2-0.5*Coss_Q2*(Vin-Q32)^2+(Qoss_Q2*(Vin-Q32)/Vin)*Vin)*Fsw</f>
        <v/>
      </c>
      <c r="AF32" s="982">
        <f>IF(K32&gt;N32/2,0,ABS(K32-N32/2)*Vsd_Q1*Deadtime*Fsw)</f>
        <v/>
      </c>
      <c r="AG32" s="982">
        <f>(AF32+AE32+AD32+AC32*(1+RdsonTopTc*Ta-RdsonTopTc*25))/(1-AC32*RdsonTopTc*ThetaJA_Q1)</f>
        <v/>
      </c>
      <c r="AH32" s="982">
        <f>SQRT((1-M32))*SQRT(K32^2+(N32^2)/12)</f>
        <v/>
      </c>
      <c r="AI32" s="982">
        <f>Rdson2*AH32^2</f>
        <v/>
      </c>
      <c r="AJ32" s="982">
        <f>IF(K32&lt;N32/2,Deadtime*Fsw*IF(VfdSky_Q2&gt;0,0,Vsd_Q2)*(K32+N32/2),2*Deadtime*Fsw*IF(VfdSky_Q2&gt;0,0,Vsd_Q2)*K32)</f>
        <v/>
      </c>
      <c r="AK32" s="982">
        <f>(AJ32+AI32*(1+RdsonBotTc*Ta-RdsonBotTc*25))/(1-AI32*RdsonBotTc*ThetaJA_Q2)</f>
        <v/>
      </c>
      <c r="AL32" s="982">
        <f>2*Deadtime*Fsw*IF(VfdSky_Q2&gt;0,VfdSky_Q2,Vsd_Q2)*K32</f>
        <v/>
      </c>
      <c r="AM32" s="982">
        <f>IF(QrrSky_Q2&gt;0,QrrSky_Q2,Qrr_Q2*K32/(Iout/Number_of_Phases))*Fsw*Vin</f>
        <v/>
      </c>
      <c r="AN32" s="982">
        <f>Rs*R32^2</f>
        <v/>
      </c>
      <c r="AO32" s="982">
        <f>Iq*Vin</f>
        <v/>
      </c>
      <c r="AP32" s="982">
        <f>IF(Ext_VCC=1, (Qg_Q1+Qg_Q2)*Fsw*VCC, (Qg_Q1+Qg_Q2)*Fsw*Vin)</f>
        <v/>
      </c>
      <c r="AQ32" s="982">
        <f>(Vin-VCC)*Fsw*(Qg_Q1+Qg_Q2)+(RdsonDRT+RdsonDRT2)*Fsw*Qg_Q1*VCC/(RdsonDRT+2*Rgate1+RdsonDRT2)+(RdsonDRB+RdsonDRB2)*Fsw*Qg_Q2*VCC/(RdsonDRB+2*Rgate2+RdsonDRB2)</f>
        <v/>
      </c>
      <c r="AR32" s="982">
        <f>(Qg_Q1+Qg_Q2)*Fsw*(Vin-VCC)</f>
        <v/>
      </c>
      <c r="AS32" s="982">
        <f>SUM(AO32:AP32)</f>
        <v/>
      </c>
      <c r="AT32" s="982">
        <f> SUM(U32,X32,AA32,AG32,AK32,AL32,AM32,AS32,AN32)</f>
        <v/>
      </c>
      <c r="AU32">
        <f>Vout*K32</f>
        <v/>
      </c>
      <c r="AV32" s="1079">
        <f>AU32/(AU32+AT32)</f>
        <v/>
      </c>
      <c r="AW32" s="1080">
        <f>ThetaJA_Q1*BC32</f>
        <v/>
      </c>
      <c r="AX32" s="1080">
        <f>ThetaJA_Q2*BD32</f>
        <v/>
      </c>
      <c r="AY32" s="9" t="n"/>
      <c r="AZ32" s="4">
        <f>AV32*100</f>
        <v/>
      </c>
      <c r="BA32" s="982">
        <f>U32</f>
        <v/>
      </c>
      <c r="BB32" s="982">
        <f>AG32+AK32+AM32</f>
        <v/>
      </c>
      <c r="BC32" s="982">
        <f>AG32+AM32*0.66</f>
        <v/>
      </c>
      <c r="BD32" s="982">
        <f>AK32+AM32*0.33</f>
        <v/>
      </c>
      <c r="BE32" s="982">
        <f>AN32</f>
        <v/>
      </c>
    </row>
    <row r="33">
      <c r="A33" s="22" t="inlineStr">
        <is>
          <t>Deadtime</t>
        </is>
      </c>
      <c r="B33" s="5">
        <f>Deadtime*1000000000</f>
        <v/>
      </c>
      <c r="C33" s="427" t="inlineStr">
        <is>
          <t>ns</t>
        </is>
      </c>
      <c r="D33" s="21" t="inlineStr">
        <is>
          <t>Total Deadtime</t>
        </is>
      </c>
      <c r="G33" t="n">
        <v>24</v>
      </c>
      <c r="H33" s="531">
        <f>Vin</f>
        <v/>
      </c>
      <c r="I33" s="4">
        <f>MODE</f>
        <v/>
      </c>
      <c r="J33" s="982">
        <f>Iout*G33/100</f>
        <v/>
      </c>
      <c r="K33" s="982">
        <f>Iout*G33/100/Number_of_Phases</f>
        <v/>
      </c>
      <c r="L33" s="4">
        <f>Vout*K33/(Vin*Efficiency)</f>
        <v/>
      </c>
      <c r="M33" s="982">
        <f>(Vout+(Rdson2+Rs+Rdcr)*K33)/(Vin+(Rs+Rdson2-Rdson1)*K33)</f>
        <v/>
      </c>
      <c r="N33" s="4">
        <f>(Vin-(Rdson1+Rdcr)*K33-Vout)*M33/(Fsw*Lf)</f>
        <v/>
      </c>
      <c r="O33" s="4">
        <f>K33+N33/2</f>
        <v/>
      </c>
      <c r="P33" s="4">
        <f>K33-N33/2</f>
        <v/>
      </c>
      <c r="Q33" s="4">
        <f>IF(MIN(Vin, -P33/(Coss_Q1+Coss_Q2)*0.00000002)&lt;0, 0, MIN(Vin, -P33/(Coss_Q1+Coss_Q2)*0.00000002))</f>
        <v/>
      </c>
      <c r="R33" s="4">
        <f>SQRT(K33^2+(N33^2)/12)</f>
        <v/>
      </c>
      <c r="S33" s="982">
        <f>R33^2*Rdcr</f>
        <v/>
      </c>
      <c r="T33" s="982">
        <f>Core_Loss_Ch1</f>
        <v/>
      </c>
      <c r="U33" s="982">
        <f>(T33+S33*(1+Ltc*(Ta-25)))/(1-S33*Ltc*ThetaCa)</f>
        <v/>
      </c>
      <c r="V33" s="4">
        <f>N33/SQRT(12)</f>
        <v/>
      </c>
      <c r="W33" s="982">
        <f>RCoutEsr*V33^2</f>
        <v/>
      </c>
      <c r="X33" s="982">
        <f>W33</f>
        <v/>
      </c>
      <c r="Y33" s="4">
        <f>SQRT(M33*(1-M33))*SQRT(K33^2+(N33^2)/12)</f>
        <v/>
      </c>
      <c r="Z33" s="982">
        <f>RCinEsr*Y33^2</f>
        <v/>
      </c>
      <c r="AA33" s="1078">
        <f>Z33</f>
        <v/>
      </c>
      <c r="AB33" s="982">
        <f>SQRT(M33)*SQRT(K33^2+(N33^2)/12)</f>
        <v/>
      </c>
      <c r="AC33" s="982">
        <f>Rdson1*AB33^2</f>
        <v/>
      </c>
      <c r="AD33" s="982">
        <f>(Vin*K33/2)*Fsw*(Tr_buck+Tf_buck)</f>
        <v/>
      </c>
      <c r="AE33" s="982">
        <f>(0.5*Coss_Q1*(Vin-Q33)^2-0.5*Coss_Q2*(Vin-Q33)^2+(Qoss_Q2*(Vin-Q33)/Vin)*Vin)*Fsw</f>
        <v/>
      </c>
      <c r="AF33" s="982">
        <f>IF(K33&gt;N33/2,0,ABS(K33-N33/2)*Vsd_Q1*Deadtime*Fsw)</f>
        <v/>
      </c>
      <c r="AG33" s="982">
        <f>(AF33+AE33+AD33+AC33*(1+RdsonTopTc*Ta-RdsonTopTc*25))/(1-AC33*RdsonTopTc*ThetaJA_Q1)</f>
        <v/>
      </c>
      <c r="AH33" s="982">
        <f>SQRT((1-M33))*SQRT(K33^2+(N33^2)/12)</f>
        <v/>
      </c>
      <c r="AI33" s="982">
        <f>Rdson2*AH33^2</f>
        <v/>
      </c>
      <c r="AJ33" s="982">
        <f>IF(K33&lt;N33/2,Deadtime*Fsw*IF(VfdSky_Q2&gt;0,0,Vsd_Q2)*(K33+N33/2),2*Deadtime*Fsw*IF(VfdSky_Q2&gt;0,0,Vsd_Q2)*K33)</f>
        <v/>
      </c>
      <c r="AK33" s="982">
        <f>(AJ33+AI33*(1+RdsonBotTc*Ta-RdsonBotTc*25))/(1-AI33*RdsonBotTc*ThetaJA_Q2)</f>
        <v/>
      </c>
      <c r="AL33" s="982">
        <f>2*Deadtime*Fsw*IF(VfdSky_Q2&gt;0,VfdSky_Q2,Vsd_Q2)*K33</f>
        <v/>
      </c>
      <c r="AM33" s="982">
        <f>IF(QrrSky_Q2&gt;0,QrrSky_Q2,Qrr_Q2*K33/(Iout/Number_of_Phases))*Fsw*Vin</f>
        <v/>
      </c>
      <c r="AN33" s="982">
        <f>Rs*R33^2</f>
        <v/>
      </c>
      <c r="AO33" s="982">
        <f>Iq*Vin</f>
        <v/>
      </c>
      <c r="AP33" s="982">
        <f>IF(Ext_VCC=1, (Qg_Q1+Qg_Q2)*Fsw*VCC, (Qg_Q1+Qg_Q2)*Fsw*Vin)</f>
        <v/>
      </c>
      <c r="AQ33" s="982">
        <f>(Vin-VCC)*Fsw*(Qg_Q1+Qg_Q2)+(RdsonDRT+RdsonDRT2)*Fsw*Qg_Q1*VCC/(RdsonDRT+2*Rgate1+RdsonDRT2)+(RdsonDRB+RdsonDRB2)*Fsw*Qg_Q2*VCC/(RdsonDRB+2*Rgate2+RdsonDRB2)</f>
        <v/>
      </c>
      <c r="AR33" s="982">
        <f>(Qg_Q1+Qg_Q2)*Fsw*(Vin-VCC)</f>
        <v/>
      </c>
      <c r="AS33" s="982">
        <f>SUM(AO33:AP33)</f>
        <v/>
      </c>
      <c r="AT33" s="982">
        <f> SUM(U33,X33,AA33,AG33,AK33,AL33,AM33,AS33,AN33)</f>
        <v/>
      </c>
      <c r="AU33">
        <f>Vout*K33</f>
        <v/>
      </c>
      <c r="AV33" s="1079">
        <f>AU33/(AU33+AT33)</f>
        <v/>
      </c>
      <c r="AW33" s="1080">
        <f>ThetaJA_Q1*BC33</f>
        <v/>
      </c>
      <c r="AX33" s="1080">
        <f>ThetaJA_Q2*BD33</f>
        <v/>
      </c>
      <c r="AY33" s="9" t="n"/>
      <c r="AZ33" s="4">
        <f>AV33*100</f>
        <v/>
      </c>
      <c r="BA33" s="982">
        <f>U33</f>
        <v/>
      </c>
      <c r="BB33" s="982">
        <f>AG33+AK33+AM33</f>
        <v/>
      </c>
      <c r="BC33" s="982">
        <f>AG33+AM33*0.66</f>
        <v/>
      </c>
      <c r="BD33" s="982">
        <f>AK33+AM33*0.33</f>
        <v/>
      </c>
      <c r="BE33" s="982">
        <f>AN33</f>
        <v/>
      </c>
    </row>
    <row r="34">
      <c r="A34" s="24" t="inlineStr">
        <is>
          <t>IQ</t>
        </is>
      </c>
      <c r="B34" s="15" t="inlineStr">
        <is>
          <t>Input Value</t>
        </is>
      </c>
      <c r="C34" s="24" t="inlineStr">
        <is>
          <t>Units</t>
        </is>
      </c>
      <c r="D34" s="17" t="inlineStr">
        <is>
          <t>Description</t>
        </is>
      </c>
      <c r="G34" t="n">
        <v>25</v>
      </c>
      <c r="H34" s="531">
        <f>Vin</f>
        <v/>
      </c>
      <c r="I34" s="4">
        <f>MODE</f>
        <v/>
      </c>
      <c r="J34" s="982">
        <f>Iout*G34/100</f>
        <v/>
      </c>
      <c r="K34" s="982">
        <f>Iout*G34/100/Number_of_Phases</f>
        <v/>
      </c>
      <c r="L34" s="4">
        <f>Vout*K34/(Vin*Efficiency)</f>
        <v/>
      </c>
      <c r="M34" s="982">
        <f>(Vout+(Rdson2+Rs+Rdcr)*K34)/(Vin+(Rs+Rdson2-Rdson1)*K34)</f>
        <v/>
      </c>
      <c r="N34" s="4">
        <f>(Vin-(Rdson1+Rdcr)*K34-Vout)*M34/(Fsw*Lf)</f>
        <v/>
      </c>
      <c r="O34" s="4">
        <f>K34+N34/2</f>
        <v/>
      </c>
      <c r="P34" s="4">
        <f>K34-N34/2</f>
        <v/>
      </c>
      <c r="Q34" s="4">
        <f>IF(MIN(Vin, -P34/(Coss_Q1+Coss_Q2)*0.00000002)&lt;0, 0, MIN(Vin, -P34/(Coss_Q1+Coss_Q2)*0.00000002))</f>
        <v/>
      </c>
      <c r="R34" s="4">
        <f>SQRT(K34^2+(N34^2)/12)</f>
        <v/>
      </c>
      <c r="S34" s="982">
        <f>R34^2*Rdcr</f>
        <v/>
      </c>
      <c r="T34" s="982">
        <f>Core_Loss_Ch1</f>
        <v/>
      </c>
      <c r="U34" s="982">
        <f>(T34+S34*(1+Ltc*(Ta-25)))/(1-S34*Ltc*ThetaCa)</f>
        <v/>
      </c>
      <c r="V34" s="4">
        <f>N34/SQRT(12)</f>
        <v/>
      </c>
      <c r="W34" s="982">
        <f>RCoutEsr*V34^2</f>
        <v/>
      </c>
      <c r="X34" s="982">
        <f>W34</f>
        <v/>
      </c>
      <c r="Y34" s="4">
        <f>SQRT(M34*(1-M34))*SQRT(K34^2+(N34^2)/12)</f>
        <v/>
      </c>
      <c r="Z34" s="982">
        <f>RCinEsr*Y34^2</f>
        <v/>
      </c>
      <c r="AA34" s="1078">
        <f>Z34</f>
        <v/>
      </c>
      <c r="AB34" s="982">
        <f>SQRT(M34)*SQRT(K34^2+(N34^2)/12)</f>
        <v/>
      </c>
      <c r="AC34" s="982">
        <f>Rdson1*AB34^2</f>
        <v/>
      </c>
      <c r="AD34" s="982">
        <f>(Vin*K34/2)*Fsw*(Tr_buck+Tf_buck)</f>
        <v/>
      </c>
      <c r="AE34" s="982">
        <f>(0.5*Coss_Q1*(Vin-Q34)^2-0.5*Coss_Q2*(Vin-Q34)^2+(Qoss_Q2*(Vin-Q34)/Vin)*Vin)*Fsw</f>
        <v/>
      </c>
      <c r="AF34" s="982">
        <f>IF(K34&gt;N34/2,0,ABS(K34-N34/2)*Vsd_Q1*Deadtime*Fsw)</f>
        <v/>
      </c>
      <c r="AG34" s="982">
        <f>(AF34+AE34+AD34+AC34*(1+RdsonTopTc*Ta-RdsonTopTc*25))/(1-AC34*RdsonTopTc*ThetaJA_Q1)</f>
        <v/>
      </c>
      <c r="AH34" s="982">
        <f>SQRT((1-M34))*SQRT(K34^2+(N34^2)/12)</f>
        <v/>
      </c>
      <c r="AI34" s="982">
        <f>Rdson2*AH34^2</f>
        <v/>
      </c>
      <c r="AJ34" s="982">
        <f>IF(K34&lt;N34/2,Deadtime*Fsw*IF(VfdSky_Q2&gt;0,0,Vsd_Q2)*(K34+N34/2),2*Deadtime*Fsw*IF(VfdSky_Q2&gt;0,0,Vsd_Q2)*K34)</f>
        <v/>
      </c>
      <c r="AK34" s="982">
        <f>(AJ34+AI34*(1+RdsonBotTc*Ta-RdsonBotTc*25))/(1-AI34*RdsonBotTc*ThetaJA_Q2)</f>
        <v/>
      </c>
      <c r="AL34" s="982">
        <f>2*Deadtime*Fsw*IF(VfdSky_Q2&gt;0,VfdSky_Q2,Vsd_Q2)*K34</f>
        <v/>
      </c>
      <c r="AM34" s="982">
        <f>IF(QrrSky_Q2&gt;0,QrrSky_Q2,Qrr_Q2*K34/(Iout/Number_of_Phases))*Fsw*Vin</f>
        <v/>
      </c>
      <c r="AN34" s="982">
        <f>Rs*R34^2</f>
        <v/>
      </c>
      <c r="AO34" s="982">
        <f>Iq*Vin</f>
        <v/>
      </c>
      <c r="AP34" s="982">
        <f>IF(Ext_VCC=1, (Qg_Q1+Qg_Q2)*Fsw*VCC, (Qg_Q1+Qg_Q2)*Fsw*Vin)</f>
        <v/>
      </c>
      <c r="AQ34" s="982">
        <f>(Vin-VCC)*Fsw*(Qg_Q1+Qg_Q2)+(RdsonDRT+RdsonDRT2)*Fsw*Qg_Q1*VCC/(RdsonDRT+2*Rgate1+RdsonDRT2)+(RdsonDRB+RdsonDRB2)*Fsw*Qg_Q2*VCC/(RdsonDRB+2*Rgate2+RdsonDRB2)</f>
        <v/>
      </c>
      <c r="AR34" s="982">
        <f>(Qg_Q1+Qg_Q2)*Fsw*(Vin-VCC)</f>
        <v/>
      </c>
      <c r="AS34" s="982">
        <f>SUM(AO34:AP34)</f>
        <v/>
      </c>
      <c r="AT34" s="982">
        <f> SUM(U34,X34,AA34,AG34,AK34,AL34,AM34,AS34,AN34)</f>
        <v/>
      </c>
      <c r="AU34">
        <f>Vout*K34</f>
        <v/>
      </c>
      <c r="AV34" s="1079">
        <f>AU34/(AU34+AT34)</f>
        <v/>
      </c>
      <c r="AW34" s="1080">
        <f>ThetaJA_Q1*BC34</f>
        <v/>
      </c>
      <c r="AX34" s="1080">
        <f>ThetaJA_Q2*BD34</f>
        <v/>
      </c>
      <c r="AY34" s="9" t="n"/>
      <c r="AZ34" s="4">
        <f>AV34*100</f>
        <v/>
      </c>
      <c r="BA34" s="982">
        <f>U34</f>
        <v/>
      </c>
      <c r="BB34" s="982">
        <f>AG34+AK34+AM34</f>
        <v/>
      </c>
      <c r="BC34" s="982">
        <f>AG34+AM34*0.66</f>
        <v/>
      </c>
      <c r="BD34" s="982">
        <f>AK34+AM34*0.33</f>
        <v/>
      </c>
      <c r="BE34" s="982">
        <f>AN34</f>
        <v/>
      </c>
    </row>
    <row r="35">
      <c r="A35" s="22" t="inlineStr">
        <is>
          <t xml:space="preserve">IQ </t>
        </is>
      </c>
      <c r="B35" s="5">
        <f>Iq*1000</f>
        <v/>
      </c>
      <c r="C35" s="427" t="inlineStr">
        <is>
          <t>mA</t>
        </is>
      </c>
      <c r="D35" s="21" t="inlineStr">
        <is>
          <t>Quiescent Current Of Controller (Not Switching!)</t>
        </is>
      </c>
      <c r="G35" t="n">
        <v>26</v>
      </c>
      <c r="H35" s="531">
        <f>Vin</f>
        <v/>
      </c>
      <c r="I35" s="4">
        <f>MODE</f>
        <v/>
      </c>
      <c r="J35" s="982">
        <f>Iout*G35/100</f>
        <v/>
      </c>
      <c r="K35" s="982">
        <f>Iout*G35/100/Number_of_Phases</f>
        <v/>
      </c>
      <c r="L35" s="4">
        <f>Vout*K35/(Vin*Efficiency)</f>
        <v/>
      </c>
      <c r="M35" s="982">
        <f>(Vout+(Rdson2+Rs+Rdcr)*K35)/(Vin+(Rs+Rdson2-Rdson1)*K35)</f>
        <v/>
      </c>
      <c r="N35" s="4">
        <f>(Vin-(Rdson1+Rdcr)*K35-Vout)*M35/(Fsw*Lf)</f>
        <v/>
      </c>
      <c r="O35" s="4">
        <f>K35+N35/2</f>
        <v/>
      </c>
      <c r="P35" s="4">
        <f>K35-N35/2</f>
        <v/>
      </c>
      <c r="Q35" s="4">
        <f>IF(MIN(Vin, -P35/(Coss_Q1+Coss_Q2)*0.00000002)&lt;0, 0, MIN(Vin, -P35/(Coss_Q1+Coss_Q2)*0.00000002))</f>
        <v/>
      </c>
      <c r="R35" s="4">
        <f>SQRT(K35^2+(N35^2)/12)</f>
        <v/>
      </c>
      <c r="S35" s="982">
        <f>R35^2*Rdcr</f>
        <v/>
      </c>
      <c r="T35" s="982">
        <f>Core_Loss_Ch1</f>
        <v/>
      </c>
      <c r="U35" s="982">
        <f>(T35+S35*(1+Ltc*(Ta-25)))/(1-S35*Ltc*ThetaCa)</f>
        <v/>
      </c>
      <c r="V35" s="4">
        <f>N35/SQRT(12)</f>
        <v/>
      </c>
      <c r="W35" s="982">
        <f>RCoutEsr*V35^2</f>
        <v/>
      </c>
      <c r="X35" s="982">
        <f>W35</f>
        <v/>
      </c>
      <c r="Y35" s="4">
        <f>SQRT(M35*(1-M35))*SQRT(K35^2+(N35^2)/12)</f>
        <v/>
      </c>
      <c r="Z35" s="982">
        <f>RCinEsr*Y35^2</f>
        <v/>
      </c>
      <c r="AA35" s="1078">
        <f>Z35</f>
        <v/>
      </c>
      <c r="AB35" s="982">
        <f>SQRT(M35)*SQRT(K35^2+(N35^2)/12)</f>
        <v/>
      </c>
      <c r="AC35" s="982">
        <f>Rdson1*AB35^2</f>
        <v/>
      </c>
      <c r="AD35" s="982">
        <f>(Vin*K35/2)*Fsw*(Tr_buck+Tf_buck)</f>
        <v/>
      </c>
      <c r="AE35" s="982">
        <f>(0.5*Coss_Q1*(Vin-Q35)^2-0.5*Coss_Q2*(Vin-Q35)^2+(Qoss_Q2*(Vin-Q35)/Vin)*Vin)*Fsw</f>
        <v/>
      </c>
      <c r="AF35" s="982">
        <f>IF(K35&gt;N35/2,0,ABS(K35-N35/2)*Vsd_Q1*Deadtime*Fsw)</f>
        <v/>
      </c>
      <c r="AG35" s="982">
        <f>(AF35+AE35+AD35+AC35*(1+RdsonTopTc*Ta-RdsonTopTc*25))/(1-AC35*RdsonTopTc*ThetaJA_Q1)</f>
        <v/>
      </c>
      <c r="AH35" s="982">
        <f>SQRT((1-M35))*SQRT(K35^2+(N35^2)/12)</f>
        <v/>
      </c>
      <c r="AI35" s="982">
        <f>Rdson2*AH35^2</f>
        <v/>
      </c>
      <c r="AJ35" s="982">
        <f>IF(K35&lt;N35/2,Deadtime*Fsw*IF(VfdSky_Q2&gt;0,0,Vsd_Q2)*(K35+N35/2),2*Deadtime*Fsw*IF(VfdSky_Q2&gt;0,0,Vsd_Q2)*K35)</f>
        <v/>
      </c>
      <c r="AK35" s="982">
        <f>(AJ35+AI35*(1+RdsonBotTc*Ta-RdsonBotTc*25))/(1-AI35*RdsonBotTc*ThetaJA_Q2)</f>
        <v/>
      </c>
      <c r="AL35" s="982">
        <f>2*Deadtime*Fsw*IF(VfdSky_Q2&gt;0,VfdSky_Q2,Vsd_Q2)*K35</f>
        <v/>
      </c>
      <c r="AM35" s="982">
        <f>IF(QrrSky_Q2&gt;0,QrrSky_Q2,Qrr_Q2*K35/(Iout/Number_of_Phases))*Fsw*Vin</f>
        <v/>
      </c>
      <c r="AN35" s="982">
        <f>Rs*R35^2</f>
        <v/>
      </c>
      <c r="AO35" s="982">
        <f>Iq*Vin</f>
        <v/>
      </c>
      <c r="AP35" s="982">
        <f>IF(Ext_VCC=1, (Qg_Q1+Qg_Q2)*Fsw*VCC, (Qg_Q1+Qg_Q2)*Fsw*Vin)</f>
        <v/>
      </c>
      <c r="AQ35" s="982">
        <f>(Vin-VCC)*Fsw*(Qg_Q1+Qg_Q2)+(RdsonDRT+RdsonDRT2)*Fsw*Qg_Q1*VCC/(RdsonDRT+2*Rgate1+RdsonDRT2)+(RdsonDRB+RdsonDRB2)*Fsw*Qg_Q2*VCC/(RdsonDRB+2*Rgate2+RdsonDRB2)</f>
        <v/>
      </c>
      <c r="AR35" s="982">
        <f>(Qg_Q1+Qg_Q2)*Fsw*(Vin-VCC)</f>
        <v/>
      </c>
      <c r="AS35" s="982">
        <f>SUM(AO35:AP35)</f>
        <v/>
      </c>
      <c r="AT35" s="982">
        <f> SUM(U35,X35,AA35,AG35,AK35,AL35,AM35,AS35,AN35)</f>
        <v/>
      </c>
      <c r="AU35">
        <f>Vout*K35</f>
        <v/>
      </c>
      <c r="AV35" s="1079">
        <f>AU35/(AU35+AT35)</f>
        <v/>
      </c>
      <c r="AW35" s="1080">
        <f>ThetaJA_Q1*BC35</f>
        <v/>
      </c>
      <c r="AX35" s="1080">
        <f>ThetaJA_Q2*BD35</f>
        <v/>
      </c>
      <c r="AY35" s="9" t="n"/>
      <c r="AZ35" s="4">
        <f>AV35*100</f>
        <v/>
      </c>
      <c r="BA35" s="982">
        <f>U35</f>
        <v/>
      </c>
      <c r="BB35" s="982">
        <f>AG35+AK35+AM35</f>
        <v/>
      </c>
      <c r="BC35" s="982">
        <f>AG35+AM35*0.66</f>
        <v/>
      </c>
      <c r="BD35" s="982">
        <f>AK35+AM35*0.33</f>
        <v/>
      </c>
      <c r="BE35" s="982">
        <f>AN35</f>
        <v/>
      </c>
    </row>
    <row r="36">
      <c r="A36" s="24" t="inlineStr">
        <is>
          <t>High-side FET</t>
        </is>
      </c>
      <c r="B36" s="15" t="inlineStr">
        <is>
          <t>Input Value</t>
        </is>
      </c>
      <c r="C36" s="24" t="inlineStr">
        <is>
          <t>Units</t>
        </is>
      </c>
      <c r="D36" s="17" t="inlineStr">
        <is>
          <t>Description</t>
        </is>
      </c>
      <c r="G36" t="n">
        <v>27</v>
      </c>
      <c r="H36" s="531">
        <f>Vin</f>
        <v/>
      </c>
      <c r="I36" s="4">
        <f>MODE</f>
        <v/>
      </c>
      <c r="J36" s="982">
        <f>Iout*G36/100</f>
        <v/>
      </c>
      <c r="K36" s="982">
        <f>Iout*G36/100/Number_of_Phases</f>
        <v/>
      </c>
      <c r="L36" s="4">
        <f>Vout*K36/(Vin*Efficiency)</f>
        <v/>
      </c>
      <c r="M36" s="982">
        <f>(Vout+(Rdson2+Rs+Rdcr)*K36)/(Vin+(Rs+Rdson2-Rdson1)*K36)</f>
        <v/>
      </c>
      <c r="N36" s="4">
        <f>(Vin-(Rdson1+Rdcr)*K36-Vout)*M36/(Fsw*Lf)</f>
        <v/>
      </c>
      <c r="O36" s="4">
        <f>K36+N36/2</f>
        <v/>
      </c>
      <c r="P36" s="4">
        <f>K36-N36/2</f>
        <v/>
      </c>
      <c r="Q36" s="4">
        <f>IF(MIN(Vin, -P36/(Coss_Q1+Coss_Q2)*0.00000002)&lt;0, 0, MIN(Vin, -P36/(Coss_Q1+Coss_Q2)*0.00000002))</f>
        <v/>
      </c>
      <c r="R36" s="4">
        <f>SQRT(K36^2+(N36^2)/12)</f>
        <v/>
      </c>
      <c r="S36" s="982">
        <f>R36^2*Rdcr</f>
        <v/>
      </c>
      <c r="T36" s="982">
        <f>Core_Loss_Ch1</f>
        <v/>
      </c>
      <c r="U36" s="982">
        <f>(T36+S36*(1+Ltc*(Ta-25)))/(1-S36*Ltc*ThetaCa)</f>
        <v/>
      </c>
      <c r="V36" s="4">
        <f>N36/SQRT(12)</f>
        <v/>
      </c>
      <c r="W36" s="982">
        <f>RCoutEsr*V36^2</f>
        <v/>
      </c>
      <c r="X36" s="982">
        <f>W36</f>
        <v/>
      </c>
      <c r="Y36" s="4">
        <f>SQRT(M36*(1-M36))*SQRT(K36^2+(N36^2)/12)</f>
        <v/>
      </c>
      <c r="Z36" s="982">
        <f>RCinEsr*Y36^2</f>
        <v/>
      </c>
      <c r="AA36" s="1078">
        <f>Z36</f>
        <v/>
      </c>
      <c r="AB36" s="982">
        <f>SQRT(M36)*SQRT(K36^2+(N36^2)/12)</f>
        <v/>
      </c>
      <c r="AC36" s="982">
        <f>Rdson1*AB36^2</f>
        <v/>
      </c>
      <c r="AD36" s="982">
        <f>(Vin*K36/2)*Fsw*(Tr_buck+Tf_buck)</f>
        <v/>
      </c>
      <c r="AE36" s="982">
        <f>(0.5*Coss_Q1*(Vin-Q36)^2-0.5*Coss_Q2*(Vin-Q36)^2+(Qoss_Q2*(Vin-Q36)/Vin)*Vin)*Fsw</f>
        <v/>
      </c>
      <c r="AF36" s="982">
        <f>IF(K36&gt;N36/2,0,ABS(K36-N36/2)*Vsd_Q1*Deadtime*Fsw)</f>
        <v/>
      </c>
      <c r="AG36" s="982">
        <f>(AF36+AE36+AD36+AC36*(1+RdsonTopTc*Ta-RdsonTopTc*25))/(1-AC36*RdsonTopTc*ThetaJA_Q1)</f>
        <v/>
      </c>
      <c r="AH36" s="982">
        <f>SQRT((1-M36))*SQRT(K36^2+(N36^2)/12)</f>
        <v/>
      </c>
      <c r="AI36" s="982">
        <f>Rdson2*AH36^2</f>
        <v/>
      </c>
      <c r="AJ36" s="982">
        <f>IF(K36&lt;N36/2,Deadtime*Fsw*IF(VfdSky_Q2&gt;0,0,Vsd_Q2)*(K36+N36/2),2*Deadtime*Fsw*IF(VfdSky_Q2&gt;0,0,Vsd_Q2)*K36)</f>
        <v/>
      </c>
      <c r="AK36" s="982">
        <f>(AJ36+AI36*(1+RdsonBotTc*Ta-RdsonBotTc*25))/(1-AI36*RdsonBotTc*ThetaJA_Q2)</f>
        <v/>
      </c>
      <c r="AL36" s="982">
        <f>2*Deadtime*Fsw*IF(VfdSky_Q2&gt;0,VfdSky_Q2,Vsd_Q2)*K36</f>
        <v/>
      </c>
      <c r="AM36" s="982">
        <f>IF(QrrSky_Q2&gt;0,QrrSky_Q2,Qrr_Q2*K36/(Iout/Number_of_Phases))*Fsw*Vin</f>
        <v/>
      </c>
      <c r="AN36" s="982">
        <f>Rs*R36^2</f>
        <v/>
      </c>
      <c r="AO36" s="982">
        <f>Iq*Vin</f>
        <v/>
      </c>
      <c r="AP36" s="982">
        <f>IF(Ext_VCC=1, (Qg_Q1+Qg_Q2)*Fsw*VCC, (Qg_Q1+Qg_Q2)*Fsw*Vin)</f>
        <v/>
      </c>
      <c r="AQ36" s="982">
        <f>(Vin-VCC)*Fsw*(Qg_Q1+Qg_Q2)+(RdsonDRT+RdsonDRT2)*Fsw*Qg_Q1*VCC/(RdsonDRT+2*Rgate1+RdsonDRT2)+(RdsonDRB+RdsonDRB2)*Fsw*Qg_Q2*VCC/(RdsonDRB+2*Rgate2+RdsonDRB2)</f>
        <v/>
      </c>
      <c r="AR36" s="982">
        <f>(Qg_Q1+Qg_Q2)*Fsw*(Vin-VCC)</f>
        <v/>
      </c>
      <c r="AS36" s="982">
        <f>SUM(AO36:AP36)</f>
        <v/>
      </c>
      <c r="AT36" s="982">
        <f> SUM(U36,X36,AA36,AG36,AK36,AL36,AM36,AS36,AN36)</f>
        <v/>
      </c>
      <c r="AU36">
        <f>Vout*K36</f>
        <v/>
      </c>
      <c r="AV36" s="1079">
        <f>AU36/(AU36+AT36)</f>
        <v/>
      </c>
      <c r="AW36" s="1080">
        <f>ThetaJA_Q1*BC36</f>
        <v/>
      </c>
      <c r="AX36" s="1080">
        <f>ThetaJA_Q2*BD36</f>
        <v/>
      </c>
      <c r="AY36" s="9" t="n"/>
      <c r="AZ36" s="4">
        <f>AV36*100</f>
        <v/>
      </c>
      <c r="BA36" s="982">
        <f>U36</f>
        <v/>
      </c>
      <c r="BB36" s="982">
        <f>AG36+AK36+AM36</f>
        <v/>
      </c>
      <c r="BC36" s="982">
        <f>AG36+AM36*0.66</f>
        <v/>
      </c>
      <c r="BD36" s="982">
        <f>AK36+AM36*0.33</f>
        <v/>
      </c>
      <c r="BE36" s="982">
        <f>AN36</f>
        <v/>
      </c>
    </row>
    <row r="37">
      <c r="A37" s="23" t="inlineStr">
        <is>
          <t>RdsonTop</t>
        </is>
      </c>
      <c r="B37" s="5">
        <f>Rdson1*1000</f>
        <v/>
      </c>
      <c r="C37" s="429" t="inlineStr">
        <is>
          <t>mW</t>
        </is>
      </c>
      <c r="D37" s="427" t="inlineStr">
        <is>
          <t xml:space="preserve">Drain-Source Resistance of Top FET </t>
        </is>
      </c>
      <c r="G37" t="n">
        <v>28</v>
      </c>
      <c r="H37" s="531">
        <f>Vin</f>
        <v/>
      </c>
      <c r="I37" s="4">
        <f>MODE</f>
        <v/>
      </c>
      <c r="J37" s="982">
        <f>Iout*G37/100</f>
        <v/>
      </c>
      <c r="K37" s="982">
        <f>Iout*G37/100/Number_of_Phases</f>
        <v/>
      </c>
      <c r="L37" s="4">
        <f>Vout*K37/(Vin*Efficiency)</f>
        <v/>
      </c>
      <c r="M37" s="982">
        <f>(Vout+(Rdson2+Rs+Rdcr)*K37)/(Vin+(Rs+Rdson2-Rdson1)*K37)</f>
        <v/>
      </c>
      <c r="N37" s="4">
        <f>(Vin-(Rdson1+Rdcr)*K37-Vout)*M37/(Fsw*Lf)</f>
        <v/>
      </c>
      <c r="O37" s="4">
        <f>K37+N37/2</f>
        <v/>
      </c>
      <c r="P37" s="4">
        <f>K37-N37/2</f>
        <v/>
      </c>
      <c r="Q37" s="4">
        <f>IF(MIN(Vin, -P37/(Coss_Q1+Coss_Q2)*0.00000002)&lt;0, 0, MIN(Vin, -P37/(Coss_Q1+Coss_Q2)*0.00000002))</f>
        <v/>
      </c>
      <c r="R37" s="4">
        <f>SQRT(K37^2+(N37^2)/12)</f>
        <v/>
      </c>
      <c r="S37" s="982">
        <f>R37^2*Rdcr</f>
        <v/>
      </c>
      <c r="T37" s="982">
        <f>Core_Loss_Ch1</f>
        <v/>
      </c>
      <c r="U37" s="982">
        <f>(T37+S37*(1+Ltc*(Ta-25)))/(1-S37*Ltc*ThetaCa)</f>
        <v/>
      </c>
      <c r="V37" s="4">
        <f>N37/SQRT(12)</f>
        <v/>
      </c>
      <c r="W37" s="982">
        <f>RCoutEsr*V37^2</f>
        <v/>
      </c>
      <c r="X37" s="982">
        <f>W37</f>
        <v/>
      </c>
      <c r="Y37" s="4">
        <f>SQRT(M37*(1-M37))*SQRT(K37^2+(N37^2)/12)</f>
        <v/>
      </c>
      <c r="Z37" s="982">
        <f>RCinEsr*Y37^2</f>
        <v/>
      </c>
      <c r="AA37" s="1078">
        <f>Z37</f>
        <v/>
      </c>
      <c r="AB37" s="982">
        <f>SQRT(M37)*SQRT(K37^2+(N37^2)/12)</f>
        <v/>
      </c>
      <c r="AC37" s="982">
        <f>Rdson1*AB37^2</f>
        <v/>
      </c>
      <c r="AD37" s="982">
        <f>(Vin*K37/2)*Fsw*(Tr_buck+Tf_buck)</f>
        <v/>
      </c>
      <c r="AE37" s="982">
        <f>(0.5*Coss_Q1*(Vin-Q37)^2-0.5*Coss_Q2*(Vin-Q37)^2+(Qoss_Q2*(Vin-Q37)/Vin)*Vin)*Fsw</f>
        <v/>
      </c>
      <c r="AF37" s="982">
        <f>IF(K37&gt;N37/2,0,ABS(K37-N37/2)*Vsd_Q1*Deadtime*Fsw)</f>
        <v/>
      </c>
      <c r="AG37" s="982">
        <f>(AF37+AE37+AD37+AC37*(1+RdsonTopTc*Ta-RdsonTopTc*25))/(1-AC37*RdsonTopTc*ThetaJA_Q1)</f>
        <v/>
      </c>
      <c r="AH37" s="982">
        <f>SQRT((1-M37))*SQRT(K37^2+(N37^2)/12)</f>
        <v/>
      </c>
      <c r="AI37" s="982">
        <f>Rdson2*AH37^2</f>
        <v/>
      </c>
      <c r="AJ37" s="982">
        <f>IF(K37&lt;N37/2,Deadtime*Fsw*IF(VfdSky_Q2&gt;0,0,Vsd_Q2)*(K37+N37/2),2*Deadtime*Fsw*IF(VfdSky_Q2&gt;0,0,Vsd_Q2)*K37)</f>
        <v/>
      </c>
      <c r="AK37" s="982">
        <f>(AJ37+AI37*(1+RdsonBotTc*Ta-RdsonBotTc*25))/(1-AI37*RdsonBotTc*ThetaJA_Q2)</f>
        <v/>
      </c>
      <c r="AL37" s="982">
        <f>2*Deadtime*Fsw*IF(VfdSky_Q2&gt;0,VfdSky_Q2,Vsd_Q2)*K37</f>
        <v/>
      </c>
      <c r="AM37" s="982">
        <f>IF(QrrSky_Q2&gt;0,QrrSky_Q2,Qrr_Q2*K37/(Iout/Number_of_Phases))*Fsw*Vin</f>
        <v/>
      </c>
      <c r="AN37" s="982">
        <f>Rs*R37^2</f>
        <v/>
      </c>
      <c r="AO37" s="982">
        <f>Iq*Vin</f>
        <v/>
      </c>
      <c r="AP37" s="982">
        <f>IF(Ext_VCC=1, (Qg_Q1+Qg_Q2)*Fsw*VCC, (Qg_Q1+Qg_Q2)*Fsw*Vin)</f>
        <v/>
      </c>
      <c r="AQ37" s="982">
        <f>(Vin-VCC)*Fsw*(Qg_Q1+Qg_Q2)+(RdsonDRT+RdsonDRT2)*Fsw*Qg_Q1*VCC/(RdsonDRT+2*Rgate1+RdsonDRT2)+(RdsonDRB+RdsonDRB2)*Fsw*Qg_Q2*VCC/(RdsonDRB+2*Rgate2+RdsonDRB2)</f>
        <v/>
      </c>
      <c r="AR37" s="982">
        <f>(Qg_Q1+Qg_Q2)*Fsw*(Vin-VCC)</f>
        <v/>
      </c>
      <c r="AS37" s="982">
        <f>SUM(AO37:AP37)</f>
        <v/>
      </c>
      <c r="AT37" s="982">
        <f> SUM(U37,X37,AA37,AG37,AK37,AL37,AM37,AS37,AN37)</f>
        <v/>
      </c>
      <c r="AU37">
        <f>Vout*K37</f>
        <v/>
      </c>
      <c r="AV37" s="1079">
        <f>AU37/(AU37+AT37)</f>
        <v/>
      </c>
      <c r="AW37" s="1080">
        <f>ThetaJA_Q1*BC37</f>
        <v/>
      </c>
      <c r="AX37" s="1080">
        <f>ThetaJA_Q2*BD37</f>
        <v/>
      </c>
      <c r="AY37" s="9" t="n"/>
      <c r="AZ37" s="4">
        <f>AV37*100</f>
        <v/>
      </c>
      <c r="BA37" s="982">
        <f>U37</f>
        <v/>
      </c>
      <c r="BB37" s="982">
        <f>AG37+AK37+AM37</f>
        <v/>
      </c>
      <c r="BC37" s="982">
        <f>AG37+AM37*0.66</f>
        <v/>
      </c>
      <c r="BD37" s="982">
        <f>AK37+AM37*0.33</f>
        <v/>
      </c>
      <c r="BE37" s="982">
        <f>AN37</f>
        <v/>
      </c>
    </row>
    <row r="38">
      <c r="A38" s="22" t="inlineStr">
        <is>
          <t>RdsonTopTc</t>
        </is>
      </c>
      <c r="B38" s="5">
        <f>RdsonTopTc*1000000</f>
        <v/>
      </c>
      <c r="C38" s="427" t="inlineStr">
        <is>
          <t>ppm</t>
        </is>
      </c>
      <c r="D38" s="21" t="inlineStr">
        <is>
          <t>Drain to Source Resistance Temp Co</t>
        </is>
      </c>
      <c r="G38" t="n">
        <v>29</v>
      </c>
      <c r="H38" s="531">
        <f>Vin</f>
        <v/>
      </c>
      <c r="I38" s="4">
        <f>MODE</f>
        <v/>
      </c>
      <c r="J38" s="982">
        <f>Iout*G38/100</f>
        <v/>
      </c>
      <c r="K38" s="982">
        <f>Iout*G38/100/Number_of_Phases</f>
        <v/>
      </c>
      <c r="L38" s="4">
        <f>Vout*K38/(Vin*Efficiency)</f>
        <v/>
      </c>
      <c r="M38" s="982">
        <f>(Vout+(Rdson2+Rs+Rdcr)*K38)/(Vin+(Rs+Rdson2-Rdson1)*K38)</f>
        <v/>
      </c>
      <c r="N38" s="4">
        <f>(Vin-(Rdson1+Rdcr)*K38-Vout)*M38/(Fsw*Lf)</f>
        <v/>
      </c>
      <c r="O38" s="4">
        <f>K38+N38/2</f>
        <v/>
      </c>
      <c r="P38" s="4">
        <f>K38-N38/2</f>
        <v/>
      </c>
      <c r="Q38" s="4">
        <f>IF(MIN(Vin, -P38/(Coss_Q1+Coss_Q2)*0.00000002)&lt;0, 0, MIN(Vin, -P38/(Coss_Q1+Coss_Q2)*0.00000002))</f>
        <v/>
      </c>
      <c r="R38" s="4">
        <f>SQRT(K38^2+(N38^2)/12)</f>
        <v/>
      </c>
      <c r="S38" s="982">
        <f>R38^2*Rdcr</f>
        <v/>
      </c>
      <c r="T38" s="982">
        <f>Core_Loss_Ch1</f>
        <v/>
      </c>
      <c r="U38" s="982">
        <f>(T38+S38*(1+Ltc*(Ta-25)))/(1-S38*Ltc*ThetaCa)</f>
        <v/>
      </c>
      <c r="V38" s="4">
        <f>N38/SQRT(12)</f>
        <v/>
      </c>
      <c r="W38" s="982">
        <f>RCoutEsr*V38^2</f>
        <v/>
      </c>
      <c r="X38" s="982">
        <f>W38</f>
        <v/>
      </c>
      <c r="Y38" s="4">
        <f>SQRT(M38*(1-M38))*SQRT(K38^2+(N38^2)/12)</f>
        <v/>
      </c>
      <c r="Z38" s="982">
        <f>RCinEsr*Y38^2</f>
        <v/>
      </c>
      <c r="AA38" s="1078">
        <f>Z38</f>
        <v/>
      </c>
      <c r="AB38" s="982">
        <f>SQRT(M38)*SQRT(K38^2+(N38^2)/12)</f>
        <v/>
      </c>
      <c r="AC38" s="982">
        <f>Rdson1*AB38^2</f>
        <v/>
      </c>
      <c r="AD38" s="982">
        <f>(Vin*K38/2)*Fsw*(Tr_buck+Tf_buck)</f>
        <v/>
      </c>
      <c r="AE38" s="982">
        <f>(0.5*Coss_Q1*(Vin-Q38)^2-0.5*Coss_Q2*(Vin-Q38)^2+(Qoss_Q2*(Vin-Q38)/Vin)*Vin)*Fsw</f>
        <v/>
      </c>
      <c r="AF38" s="982">
        <f>IF(K38&gt;N38/2,0,ABS(K38-N38/2)*Vsd_Q1*Deadtime*Fsw)</f>
        <v/>
      </c>
      <c r="AG38" s="982">
        <f>(AF38+AE38+AD38+AC38*(1+RdsonTopTc*Ta-RdsonTopTc*25))/(1-AC38*RdsonTopTc*ThetaJA_Q1)</f>
        <v/>
      </c>
      <c r="AH38" s="982">
        <f>SQRT((1-M38))*SQRT(K38^2+(N38^2)/12)</f>
        <v/>
      </c>
      <c r="AI38" s="982">
        <f>Rdson2*AH38^2</f>
        <v/>
      </c>
      <c r="AJ38" s="982">
        <f>IF(K38&lt;N38/2,Deadtime*Fsw*IF(VfdSky_Q2&gt;0,0,Vsd_Q2)*(K38+N38/2),2*Deadtime*Fsw*IF(VfdSky_Q2&gt;0,0,Vsd_Q2)*K38)</f>
        <v/>
      </c>
      <c r="AK38" s="982">
        <f>(AJ38+AI38*(1+RdsonBotTc*Ta-RdsonBotTc*25))/(1-AI38*RdsonBotTc*ThetaJA_Q2)</f>
        <v/>
      </c>
      <c r="AL38" s="982">
        <f>2*Deadtime*Fsw*IF(VfdSky_Q2&gt;0,VfdSky_Q2,Vsd_Q2)*K38</f>
        <v/>
      </c>
      <c r="AM38" s="982">
        <f>IF(QrrSky_Q2&gt;0,QrrSky_Q2,Qrr_Q2*K38/(Iout/Number_of_Phases))*Fsw*Vin</f>
        <v/>
      </c>
      <c r="AN38" s="982">
        <f>Rs*R38^2</f>
        <v/>
      </c>
      <c r="AO38" s="982">
        <f>Iq*Vin</f>
        <v/>
      </c>
      <c r="AP38" s="982">
        <f>IF(Ext_VCC=1, (Qg_Q1+Qg_Q2)*Fsw*VCC, (Qg_Q1+Qg_Q2)*Fsw*Vin)</f>
        <v/>
      </c>
      <c r="AQ38" s="982">
        <f>(Vin-VCC)*Fsw*(Qg_Q1+Qg_Q2)+(RdsonDRT+RdsonDRT2)*Fsw*Qg_Q1*VCC/(RdsonDRT+2*Rgate1+RdsonDRT2)+(RdsonDRB+RdsonDRB2)*Fsw*Qg_Q2*VCC/(RdsonDRB+2*Rgate2+RdsonDRB2)</f>
        <v/>
      </c>
      <c r="AR38" s="982">
        <f>(Qg_Q1+Qg_Q2)*Fsw*(Vin-VCC)</f>
        <v/>
      </c>
      <c r="AS38" s="982">
        <f>SUM(AO38:AP38)</f>
        <v/>
      </c>
      <c r="AT38" s="982">
        <f> SUM(U38,X38,AA38,AG38,AK38,AL38,AM38,AS38,AN38)</f>
        <v/>
      </c>
      <c r="AU38">
        <f>Vout*K38</f>
        <v/>
      </c>
      <c r="AV38" s="1079">
        <f>AU38/(AU38+AT38)</f>
        <v/>
      </c>
      <c r="AW38" s="1080">
        <f>ThetaJA_Q1*BC38</f>
        <v/>
      </c>
      <c r="AX38" s="1080">
        <f>ThetaJA_Q2*BD38</f>
        <v/>
      </c>
      <c r="AY38" s="9" t="n"/>
      <c r="AZ38" s="4">
        <f>AV38*100</f>
        <v/>
      </c>
      <c r="BA38" s="982">
        <f>U38</f>
        <v/>
      </c>
      <c r="BB38" s="982">
        <f>AG38+AK38+AM38</f>
        <v/>
      </c>
      <c r="BC38" s="982">
        <f>AG38+AM38*0.66</f>
        <v/>
      </c>
      <c r="BD38" s="982">
        <f>AK38+AM38*0.33</f>
        <v/>
      </c>
      <c r="BE38" s="982">
        <f>AN38</f>
        <v/>
      </c>
    </row>
    <row r="39">
      <c r="A39" s="23" t="inlineStr">
        <is>
          <t>QgTop</t>
        </is>
      </c>
      <c r="B39" s="5">
        <f>Qg_Q1*1000000000</f>
        <v/>
      </c>
      <c r="C39" s="427" t="inlineStr">
        <is>
          <t>nC</t>
        </is>
      </c>
      <c r="D39" s="21" t="inlineStr">
        <is>
          <t>Gate Charge Of Top FET</t>
        </is>
      </c>
      <c r="G39" t="n">
        <v>30</v>
      </c>
      <c r="H39" s="531">
        <f>Vin</f>
        <v/>
      </c>
      <c r="I39" s="4">
        <f>MODE</f>
        <v/>
      </c>
      <c r="J39" s="982">
        <f>Iout*G39/100</f>
        <v/>
      </c>
      <c r="K39" s="982">
        <f>Iout*G39/100/Number_of_Phases</f>
        <v/>
      </c>
      <c r="L39" s="4">
        <f>Vout*K39/(Vin*Efficiency)</f>
        <v/>
      </c>
      <c r="M39" s="982">
        <f>(Vout+(Rdson2+Rs+Rdcr)*K39)/(Vin+(Rs+Rdson2-Rdson1)*K39)</f>
        <v/>
      </c>
      <c r="N39" s="4">
        <f>(Vin-(Rdson1+Rdcr)*K39-Vout)*M39/(Fsw*Lf)</f>
        <v/>
      </c>
      <c r="O39" s="4">
        <f>K39+N39/2</f>
        <v/>
      </c>
      <c r="P39" s="4">
        <f>K39-N39/2</f>
        <v/>
      </c>
      <c r="Q39" s="4">
        <f>IF(MIN(Vin, -P39/(Coss_Q1+Coss_Q2)*0.00000002)&lt;0, 0, MIN(Vin, -P39/(Coss_Q1+Coss_Q2)*0.00000002))</f>
        <v/>
      </c>
      <c r="R39" s="4">
        <f>SQRT(K39^2+(N39^2)/12)</f>
        <v/>
      </c>
      <c r="S39" s="982">
        <f>R39^2*Rdcr</f>
        <v/>
      </c>
      <c r="T39" s="982">
        <f>Core_Loss_Ch1</f>
        <v/>
      </c>
      <c r="U39" s="982">
        <f>(T39+S39*(1+Ltc*(Ta-25)))/(1-S39*Ltc*ThetaCa)</f>
        <v/>
      </c>
      <c r="V39" s="4">
        <f>N39/SQRT(12)</f>
        <v/>
      </c>
      <c r="W39" s="982">
        <f>RCoutEsr*V39^2</f>
        <v/>
      </c>
      <c r="X39" s="982">
        <f>W39</f>
        <v/>
      </c>
      <c r="Y39" s="4">
        <f>SQRT(M39*(1-M39))*SQRT(K39^2+(N39^2)/12)</f>
        <v/>
      </c>
      <c r="Z39" s="982">
        <f>RCinEsr*Y39^2</f>
        <v/>
      </c>
      <c r="AA39" s="1078">
        <f>Z39</f>
        <v/>
      </c>
      <c r="AB39" s="982">
        <f>SQRT(M39)*SQRT(K39^2+(N39^2)/12)</f>
        <v/>
      </c>
      <c r="AC39" s="982">
        <f>Rdson1*AB39^2</f>
        <v/>
      </c>
      <c r="AD39" s="982">
        <f>(Vin*K39/2)*Fsw*(Tr_buck+Tf_buck)</f>
        <v/>
      </c>
      <c r="AE39" s="982">
        <f>(0.5*Coss_Q1*(Vin-Q39)^2-0.5*Coss_Q2*(Vin-Q39)^2+(Qoss_Q2*(Vin-Q39)/Vin)*Vin)*Fsw</f>
        <v/>
      </c>
      <c r="AF39" s="982">
        <f>IF(K39&gt;N39/2,0,ABS(K39-N39/2)*Vsd_Q1*Deadtime*Fsw)</f>
        <v/>
      </c>
      <c r="AG39" s="982">
        <f>(AF39+AE39+AD39+AC39*(1+RdsonTopTc*Ta-RdsonTopTc*25))/(1-AC39*RdsonTopTc*ThetaJA_Q1)</f>
        <v/>
      </c>
      <c r="AH39" s="982">
        <f>SQRT((1-M39))*SQRT(K39^2+(N39^2)/12)</f>
        <v/>
      </c>
      <c r="AI39" s="982">
        <f>Rdson2*AH39^2</f>
        <v/>
      </c>
      <c r="AJ39" s="982">
        <f>IF(K39&lt;N39/2,Deadtime*Fsw*IF(VfdSky_Q2&gt;0,0,Vsd_Q2)*(K39+N39/2),2*Deadtime*Fsw*IF(VfdSky_Q2&gt;0,0,Vsd_Q2)*K39)</f>
        <v/>
      </c>
      <c r="AK39" s="982">
        <f>(AJ39+AI39*(1+RdsonBotTc*Ta-RdsonBotTc*25))/(1-AI39*RdsonBotTc*ThetaJA_Q2)</f>
        <v/>
      </c>
      <c r="AL39" s="982">
        <f>2*Deadtime*Fsw*IF(VfdSky_Q2&gt;0,VfdSky_Q2,Vsd_Q2)*K39</f>
        <v/>
      </c>
      <c r="AM39" s="982">
        <f>IF(QrrSky_Q2&gt;0,QrrSky_Q2,Qrr_Q2*K39/(Iout/Number_of_Phases))*Fsw*Vin</f>
        <v/>
      </c>
      <c r="AN39" s="982">
        <f>Rs*R39^2</f>
        <v/>
      </c>
      <c r="AO39" s="982">
        <f>Iq*Vin</f>
        <v/>
      </c>
      <c r="AP39" s="982">
        <f>IF(Ext_VCC=1, (Qg_Q1+Qg_Q2)*Fsw*VCC, (Qg_Q1+Qg_Q2)*Fsw*Vin)</f>
        <v/>
      </c>
      <c r="AQ39" s="982">
        <f>(Vin-VCC)*Fsw*(Qg_Q1+Qg_Q2)+(RdsonDRT+RdsonDRT2)*Fsw*Qg_Q1*VCC/(RdsonDRT+2*Rgate1+RdsonDRT2)+(RdsonDRB+RdsonDRB2)*Fsw*Qg_Q2*VCC/(RdsonDRB+2*Rgate2+RdsonDRB2)</f>
        <v/>
      </c>
      <c r="AR39" s="982">
        <f>(Qg_Q1+Qg_Q2)*Fsw*(Vin-VCC)</f>
        <v/>
      </c>
      <c r="AS39" s="982">
        <f>SUM(AO39:AP39)</f>
        <v/>
      </c>
      <c r="AT39" s="982">
        <f> SUM(U39,X39,AA39,AG39,AK39,AL39,AM39,AS39,AN39)</f>
        <v/>
      </c>
      <c r="AU39">
        <f>Vout*K39</f>
        <v/>
      </c>
      <c r="AV39" s="1079">
        <f>AU39/(AU39+AT39)</f>
        <v/>
      </c>
      <c r="AW39" s="1080">
        <f>ThetaJA_Q1*BC39</f>
        <v/>
      </c>
      <c r="AX39" s="1080">
        <f>ThetaJA_Q2*BD39</f>
        <v/>
      </c>
      <c r="AY39" s="9" t="n"/>
      <c r="AZ39" s="4">
        <f>AV39*100</f>
        <v/>
      </c>
      <c r="BA39" s="982">
        <f>U39</f>
        <v/>
      </c>
      <c r="BB39" s="982">
        <f>AG39+AK39+AM39</f>
        <v/>
      </c>
      <c r="BC39" s="982">
        <f>AG39+AM39*0.66</f>
        <v/>
      </c>
      <c r="BD39" s="982">
        <f>AK39+AM39*0.33</f>
        <v/>
      </c>
      <c r="BE39" s="982">
        <f>AN39</f>
        <v/>
      </c>
    </row>
    <row r="40">
      <c r="A40" s="23" t="inlineStr">
        <is>
          <t>QgdTop</t>
        </is>
      </c>
      <c r="B40" s="5">
        <f>Qgd_Q1*1000000000</f>
        <v/>
      </c>
      <c r="C40" s="427" t="inlineStr">
        <is>
          <t>nC</t>
        </is>
      </c>
      <c r="D40" s="21" t="inlineStr">
        <is>
          <t>Gate to Drain Charge</t>
        </is>
      </c>
      <c r="G40" t="n">
        <v>31</v>
      </c>
      <c r="H40" s="531">
        <f>Vin</f>
        <v/>
      </c>
      <c r="I40" s="4">
        <f>MODE</f>
        <v/>
      </c>
      <c r="J40" s="982">
        <f>Iout*G40/100</f>
        <v/>
      </c>
      <c r="K40" s="982">
        <f>Iout*G40/100/Number_of_Phases</f>
        <v/>
      </c>
      <c r="L40" s="4">
        <f>Vout*K40/(Vin*Efficiency)</f>
        <v/>
      </c>
      <c r="M40" s="982">
        <f>(Vout+(Rdson2+Rs+Rdcr)*K40)/(Vin+(Rs+Rdson2-Rdson1)*K40)</f>
        <v/>
      </c>
      <c r="N40" s="4">
        <f>(Vin-(Rdson1+Rdcr)*K40-Vout)*M40/(Fsw*Lf)</f>
        <v/>
      </c>
      <c r="O40" s="4">
        <f>K40+N40/2</f>
        <v/>
      </c>
      <c r="P40" s="4">
        <f>K40-N40/2</f>
        <v/>
      </c>
      <c r="Q40" s="4">
        <f>IF(MIN(Vin, -P40/(Coss_Q1+Coss_Q2)*0.00000002)&lt;0, 0, MIN(Vin, -P40/(Coss_Q1+Coss_Q2)*0.00000002))</f>
        <v/>
      </c>
      <c r="R40" s="4">
        <f>SQRT(K40^2+(N40^2)/12)</f>
        <v/>
      </c>
      <c r="S40" s="982">
        <f>R40^2*Rdcr</f>
        <v/>
      </c>
      <c r="T40" s="982">
        <f>Core_Loss_Ch1</f>
        <v/>
      </c>
      <c r="U40" s="982">
        <f>(T40+S40*(1+Ltc*(Ta-25)))/(1-S40*Ltc*ThetaCa)</f>
        <v/>
      </c>
      <c r="V40" s="4">
        <f>N40/SQRT(12)</f>
        <v/>
      </c>
      <c r="W40" s="982">
        <f>RCoutEsr*V40^2</f>
        <v/>
      </c>
      <c r="X40" s="982">
        <f>W40</f>
        <v/>
      </c>
      <c r="Y40" s="4">
        <f>SQRT(M40*(1-M40))*SQRT(K40^2+(N40^2)/12)</f>
        <v/>
      </c>
      <c r="Z40" s="982">
        <f>RCinEsr*Y40^2</f>
        <v/>
      </c>
      <c r="AA40" s="1078">
        <f>Z40</f>
        <v/>
      </c>
      <c r="AB40" s="982">
        <f>SQRT(M40)*SQRT(K40^2+(N40^2)/12)</f>
        <v/>
      </c>
      <c r="AC40" s="982">
        <f>Rdson1*AB40^2</f>
        <v/>
      </c>
      <c r="AD40" s="982">
        <f>(Vin*K40/2)*Fsw*(Tr_buck+Tf_buck)</f>
        <v/>
      </c>
      <c r="AE40" s="982">
        <f>(0.5*Coss_Q1*(Vin-Q40)^2-0.5*Coss_Q2*(Vin-Q40)^2+(Qoss_Q2*(Vin-Q40)/Vin)*Vin)*Fsw</f>
        <v/>
      </c>
      <c r="AF40" s="982">
        <f>IF(K40&gt;N40/2,0,ABS(K40-N40/2)*Vsd_Q1*Deadtime*Fsw)</f>
        <v/>
      </c>
      <c r="AG40" s="982">
        <f>(AF40+AE40+AD40+AC40*(1+RdsonTopTc*Ta-RdsonTopTc*25))/(1-AC40*RdsonTopTc*ThetaJA_Q1)</f>
        <v/>
      </c>
      <c r="AH40" s="982">
        <f>SQRT((1-M40))*SQRT(K40^2+(N40^2)/12)</f>
        <v/>
      </c>
      <c r="AI40" s="982">
        <f>Rdson2*AH40^2</f>
        <v/>
      </c>
      <c r="AJ40" s="982">
        <f>IF(K40&lt;N40/2,Deadtime*Fsw*IF(VfdSky_Q2&gt;0,0,Vsd_Q2)*(K40+N40/2),2*Deadtime*Fsw*IF(VfdSky_Q2&gt;0,0,Vsd_Q2)*K40)</f>
        <v/>
      </c>
      <c r="AK40" s="982">
        <f>(AJ40+AI40*(1+RdsonBotTc*Ta-RdsonBotTc*25))/(1-AI40*RdsonBotTc*ThetaJA_Q2)</f>
        <v/>
      </c>
      <c r="AL40" s="982">
        <f>2*Deadtime*Fsw*IF(VfdSky_Q2&gt;0,VfdSky_Q2,Vsd_Q2)*K40</f>
        <v/>
      </c>
      <c r="AM40" s="982">
        <f>IF(QrrSky_Q2&gt;0,QrrSky_Q2,Qrr_Q2*K40/(Iout/Number_of_Phases))*Fsw*Vin</f>
        <v/>
      </c>
      <c r="AN40" s="982">
        <f>Rs*R40^2</f>
        <v/>
      </c>
      <c r="AO40" s="982">
        <f>Iq*Vin</f>
        <v/>
      </c>
      <c r="AP40" s="982">
        <f>IF(Ext_VCC=1, (Qg_Q1+Qg_Q2)*Fsw*VCC, (Qg_Q1+Qg_Q2)*Fsw*Vin)</f>
        <v/>
      </c>
      <c r="AQ40" s="982">
        <f>(Vin-VCC)*Fsw*(Qg_Q1+Qg_Q2)+(RdsonDRT+RdsonDRT2)*Fsw*Qg_Q1*VCC/(RdsonDRT+2*Rgate1+RdsonDRT2)+(RdsonDRB+RdsonDRB2)*Fsw*Qg_Q2*VCC/(RdsonDRB+2*Rgate2+RdsonDRB2)</f>
        <v/>
      </c>
      <c r="AR40" s="982">
        <f>(Qg_Q1+Qg_Q2)*Fsw*(Vin-VCC)</f>
        <v/>
      </c>
      <c r="AS40" s="982">
        <f>SUM(AO40:AP40)</f>
        <v/>
      </c>
      <c r="AT40" s="982">
        <f> SUM(U40,X40,AA40,AG40,AK40,AL40,AM40,AS40,AN40)</f>
        <v/>
      </c>
      <c r="AU40">
        <f>Vout*K40</f>
        <v/>
      </c>
      <c r="AV40" s="1079">
        <f>AU40/(AU40+AT40)</f>
        <v/>
      </c>
      <c r="AW40" s="1080">
        <f>ThetaJA_Q1*BC40</f>
        <v/>
      </c>
      <c r="AX40" s="1080">
        <f>ThetaJA_Q2*BD40</f>
        <v/>
      </c>
      <c r="AY40" s="9" t="n"/>
      <c r="AZ40" s="4">
        <f>AV40*100</f>
        <v/>
      </c>
      <c r="BA40" s="982">
        <f>U40</f>
        <v/>
      </c>
      <c r="BB40" s="982">
        <f>AG40+AK40+AM40</f>
        <v/>
      </c>
      <c r="BC40" s="982">
        <f>AG40+AM40*0.66</f>
        <v/>
      </c>
      <c r="BD40" s="982">
        <f>AK40+AM40*0.33</f>
        <v/>
      </c>
      <c r="BE40" s="982">
        <f>AN40</f>
        <v/>
      </c>
    </row>
    <row r="41">
      <c r="A41" s="23" t="inlineStr">
        <is>
          <t>QgsTop</t>
        </is>
      </c>
      <c r="B41" s="5">
        <f>Qgs_Q1*1000000000</f>
        <v/>
      </c>
      <c r="C41" s="427" t="inlineStr">
        <is>
          <t>nC</t>
        </is>
      </c>
      <c r="D41" s="21" t="n"/>
      <c r="G41" t="n">
        <v>32</v>
      </c>
      <c r="H41" s="531">
        <f>Vin</f>
        <v/>
      </c>
      <c r="I41" s="4">
        <f>MODE</f>
        <v/>
      </c>
      <c r="J41" s="982">
        <f>Iout*G41/100</f>
        <v/>
      </c>
      <c r="K41" s="982">
        <f>Iout*G41/100/Number_of_Phases</f>
        <v/>
      </c>
      <c r="L41" s="4">
        <f>Vout*K41/(Vin*Efficiency)</f>
        <v/>
      </c>
      <c r="M41" s="982">
        <f>(Vout+(Rdson2+Rs+Rdcr)*K41)/(Vin+(Rs+Rdson2-Rdson1)*K41)</f>
        <v/>
      </c>
      <c r="N41" s="4">
        <f>(Vin-(Rdson1+Rdcr)*K41-Vout)*M41/(Fsw*Lf)</f>
        <v/>
      </c>
      <c r="O41" s="4">
        <f>K41+N41/2</f>
        <v/>
      </c>
      <c r="P41" s="4">
        <f>K41-N41/2</f>
        <v/>
      </c>
      <c r="Q41" s="4">
        <f>IF(MIN(Vin, -P41/(Coss_Q1+Coss_Q2)*0.00000002)&lt;0, 0, MIN(Vin, -P41/(Coss_Q1+Coss_Q2)*0.00000002))</f>
        <v/>
      </c>
      <c r="R41" s="4">
        <f>SQRT(K41^2+(N41^2)/12)</f>
        <v/>
      </c>
      <c r="S41" s="982">
        <f>R41^2*Rdcr</f>
        <v/>
      </c>
      <c r="T41" s="982">
        <f>Core_Loss_Ch1</f>
        <v/>
      </c>
      <c r="U41" s="982">
        <f>(T41+S41*(1+Ltc*(Ta-25)))/(1-S41*Ltc*ThetaCa)</f>
        <v/>
      </c>
      <c r="V41" s="4">
        <f>N41/SQRT(12)</f>
        <v/>
      </c>
      <c r="W41" s="982">
        <f>RCoutEsr*V41^2</f>
        <v/>
      </c>
      <c r="X41" s="982">
        <f>W41</f>
        <v/>
      </c>
      <c r="Y41" s="4">
        <f>SQRT(M41*(1-M41))*SQRT(K41^2+(N41^2)/12)</f>
        <v/>
      </c>
      <c r="Z41" s="982">
        <f>RCinEsr*Y41^2</f>
        <v/>
      </c>
      <c r="AA41" s="1078">
        <f>Z41</f>
        <v/>
      </c>
      <c r="AB41" s="982">
        <f>SQRT(M41)*SQRT(K41^2+(N41^2)/12)</f>
        <v/>
      </c>
      <c r="AC41" s="982">
        <f>Rdson1*AB41^2</f>
        <v/>
      </c>
      <c r="AD41" s="982">
        <f>(Vin*K41/2)*Fsw*(Tr_buck+Tf_buck)</f>
        <v/>
      </c>
      <c r="AE41" s="982">
        <f>(0.5*Coss_Q1*(Vin-Q41)^2-0.5*Coss_Q2*(Vin-Q41)^2+(Qoss_Q2*(Vin-Q41)/Vin)*Vin)*Fsw</f>
        <v/>
      </c>
      <c r="AF41" s="982">
        <f>IF(K41&gt;N41/2,0,ABS(K41-N41/2)*Vsd_Q1*Deadtime*Fsw)</f>
        <v/>
      </c>
      <c r="AG41" s="982">
        <f>(AF41+AE41+AD41+AC41*(1+RdsonTopTc*Ta-RdsonTopTc*25))/(1-AC41*RdsonTopTc*ThetaJA_Q1)</f>
        <v/>
      </c>
      <c r="AH41" s="982">
        <f>SQRT((1-M41))*SQRT(K41^2+(N41^2)/12)</f>
        <v/>
      </c>
      <c r="AI41" s="982">
        <f>Rdson2*AH41^2</f>
        <v/>
      </c>
      <c r="AJ41" s="982">
        <f>IF(K41&lt;N41/2,Deadtime*Fsw*IF(VfdSky_Q2&gt;0,0,Vsd_Q2)*(K41+N41/2),2*Deadtime*Fsw*IF(VfdSky_Q2&gt;0,0,Vsd_Q2)*K41)</f>
        <v/>
      </c>
      <c r="AK41" s="982">
        <f>(AJ41+AI41*(1+RdsonBotTc*Ta-RdsonBotTc*25))/(1-AI41*RdsonBotTc*ThetaJA_Q2)</f>
        <v/>
      </c>
      <c r="AL41" s="982">
        <f>2*Deadtime*Fsw*IF(VfdSky_Q2&gt;0,VfdSky_Q2,Vsd_Q2)*K41</f>
        <v/>
      </c>
      <c r="AM41" s="982">
        <f>IF(QrrSky_Q2&gt;0,QrrSky_Q2,Qrr_Q2*K41/(Iout/Number_of_Phases))*Fsw*Vin</f>
        <v/>
      </c>
      <c r="AN41" s="982">
        <f>Rs*R41^2</f>
        <v/>
      </c>
      <c r="AO41" s="982">
        <f>Iq*Vin</f>
        <v/>
      </c>
      <c r="AP41" s="982">
        <f>IF(Ext_VCC=1,  (Qg_Q1+Qg_Q2)*Fsw*VCC, (Qg_Q1+Qg_Q2)*Fsw*Vin)</f>
        <v/>
      </c>
      <c r="AQ41" s="982">
        <f>(Vin-VCC)*Fsw*(Qg_Q1+Qg_Q2)+(RdsonDRT+RdsonDRT2)*Fsw*Qg_Q1*VCC/(RdsonDRT+2*Rgate1+RdsonDRT2)+(RdsonDRB+RdsonDRB2)*Fsw*Qg_Q2*VCC/(RdsonDRB+2*Rgate2+RdsonDRB2)</f>
        <v/>
      </c>
      <c r="AR41" s="982">
        <f>(Qg_Q1+Qg_Q2)*Fsw*(Vin-VCC)</f>
        <v/>
      </c>
      <c r="AS41" s="982">
        <f>SUM(AO41:AP41)</f>
        <v/>
      </c>
      <c r="AT41" s="982">
        <f> SUM(U41,X41,AA41,AG41,AK41,AL41,AM41,AS41,AN41)</f>
        <v/>
      </c>
      <c r="AU41">
        <f>Vout*K41</f>
        <v/>
      </c>
      <c r="AV41" s="1079">
        <f>AU41/(AU41+AT41)</f>
        <v/>
      </c>
      <c r="AW41" s="1080">
        <f>ThetaJA_Q1*BC41</f>
        <v/>
      </c>
      <c r="AX41" s="1080">
        <f>ThetaJA_Q2*BD41</f>
        <v/>
      </c>
      <c r="AY41" s="9" t="n"/>
      <c r="AZ41" s="4">
        <f>AV41*100</f>
        <v/>
      </c>
      <c r="BA41" s="982">
        <f>U41</f>
        <v/>
      </c>
      <c r="BB41" s="982">
        <f>AG41+AK41+AM41</f>
        <v/>
      </c>
      <c r="BC41" s="982">
        <f>AG41+AM41*0.66</f>
        <v/>
      </c>
      <c r="BD41" s="982">
        <f>AK41+AM41*0.33</f>
        <v/>
      </c>
      <c r="BE41" s="982">
        <f>AN41</f>
        <v/>
      </c>
    </row>
    <row r="42">
      <c r="A42" s="23" t="inlineStr">
        <is>
          <t>RGateTop</t>
        </is>
      </c>
      <c r="B42" s="5">
        <f>Rgate1</f>
        <v/>
      </c>
      <c r="C42" s="431" t="inlineStr">
        <is>
          <t>W</t>
        </is>
      </c>
      <c r="D42" s="21" t="inlineStr">
        <is>
          <t>Gate Resistance</t>
        </is>
      </c>
      <c r="G42" t="n">
        <v>33</v>
      </c>
      <c r="H42" s="531">
        <f>Vin</f>
        <v/>
      </c>
      <c r="I42" s="4">
        <f>MODE</f>
        <v/>
      </c>
      <c r="J42" s="982">
        <f>Iout*G42/100</f>
        <v/>
      </c>
      <c r="K42" s="982">
        <f>Iout*G42/100/Number_of_Phases</f>
        <v/>
      </c>
      <c r="L42" s="4">
        <f>Vout*K42/(Vin*Efficiency)</f>
        <v/>
      </c>
      <c r="M42" s="982">
        <f>(Vout+(Rdson2+Rs+Rdcr)*K42)/(Vin+(Rs+Rdson2-Rdson1)*K42)</f>
        <v/>
      </c>
      <c r="N42" s="4">
        <f>(Vin-(Rdson1+Rdcr)*K42-Vout)*M42/(Fsw*Lf)</f>
        <v/>
      </c>
      <c r="O42" s="4">
        <f>K42+N42/2</f>
        <v/>
      </c>
      <c r="P42" s="4">
        <f>K42-N42/2</f>
        <v/>
      </c>
      <c r="Q42" s="4">
        <f>IF(MIN(Vin, -P42/(Coss_Q1+Coss_Q2)*0.00000002)&lt;0, 0, MIN(Vin, -P42/(Coss_Q1+Coss_Q2)*0.00000002))</f>
        <v/>
      </c>
      <c r="R42" s="4">
        <f>SQRT(K42^2+(N42^2)/12)</f>
        <v/>
      </c>
      <c r="S42" s="982">
        <f>R42^2*Rdcr</f>
        <v/>
      </c>
      <c r="T42" s="982">
        <f>Core_Loss_Ch1</f>
        <v/>
      </c>
      <c r="U42" s="982">
        <f>(T42+S42*(1+Ltc*(Ta-25)))/(1-S42*Ltc*ThetaCa)</f>
        <v/>
      </c>
      <c r="V42" s="4">
        <f>N42/SQRT(12)</f>
        <v/>
      </c>
      <c r="W42" s="982">
        <f>RCoutEsr*V42^2</f>
        <v/>
      </c>
      <c r="X42" s="982">
        <f>W42</f>
        <v/>
      </c>
      <c r="Y42" s="4">
        <f>SQRT(M42*(1-M42))*SQRT(K42^2+(N42^2)/12)</f>
        <v/>
      </c>
      <c r="Z42" s="982">
        <f>RCinEsr*Y42^2</f>
        <v/>
      </c>
      <c r="AA42" s="1078">
        <f>Z42</f>
        <v/>
      </c>
      <c r="AB42" s="982">
        <f>SQRT(M42)*SQRT(K42^2+(N42^2)/12)</f>
        <v/>
      </c>
      <c r="AC42" s="982">
        <f>Rdson1*AB42^2</f>
        <v/>
      </c>
      <c r="AD42" s="982">
        <f>(Vin*K42/2)*Fsw*(Tr_buck+Tf_buck)</f>
        <v/>
      </c>
      <c r="AE42" s="982">
        <f>(0.5*Coss_Q1*(Vin-Q42)^2-0.5*Coss_Q2*(Vin-Q42)^2+(Qoss_Q2*(Vin-Q42)/Vin)*Vin)*Fsw</f>
        <v/>
      </c>
      <c r="AF42" s="982">
        <f>IF(K42&gt;N42/2,0,ABS(K42-N42/2)*Vsd_Q1*Deadtime*Fsw)</f>
        <v/>
      </c>
      <c r="AG42" s="982">
        <f>(AF42+AE42+AD42+AC42*(1+RdsonTopTc*Ta-RdsonTopTc*25))/(1-AC42*RdsonTopTc*ThetaJA_Q1)</f>
        <v/>
      </c>
      <c r="AH42" s="982">
        <f>SQRT((1-M42))*SQRT(K42^2+(N42^2)/12)</f>
        <v/>
      </c>
      <c r="AI42" s="982">
        <f>Rdson2*AH42^2</f>
        <v/>
      </c>
      <c r="AJ42" s="982">
        <f>IF(K42&lt;N42/2,Deadtime*Fsw*IF(VfdSky_Q2&gt;0,0,Vsd_Q2)*(K42+N42/2),2*Deadtime*Fsw*IF(VfdSky_Q2&gt;0,0,Vsd_Q2)*K42)</f>
        <v/>
      </c>
      <c r="AK42" s="982">
        <f>(AJ42+AI42*(1+RdsonBotTc*Ta-RdsonBotTc*25))/(1-AI42*RdsonBotTc*ThetaJA_Q2)</f>
        <v/>
      </c>
      <c r="AL42" s="982">
        <f>2*Deadtime*Fsw*IF(VfdSky_Q2&gt;0,VfdSky_Q2,Vsd_Q2)*K42</f>
        <v/>
      </c>
      <c r="AM42" s="982">
        <f>IF(QrrSky_Q2&gt;0,QrrSky_Q2,Qrr_Q2*K42/(Iout/Number_of_Phases))*Fsw*Vin</f>
        <v/>
      </c>
      <c r="AN42" s="982">
        <f>Rs*R42^2</f>
        <v/>
      </c>
      <c r="AO42" s="982">
        <f>Iq*Vin</f>
        <v/>
      </c>
      <c r="AP42" s="982">
        <f>IF(Ext_VCC=1, (Qg_Q1+Qg_Q2)*Fsw*VCC, (Qg_Q1+Qg_Q2)*Fsw*Vin)</f>
        <v/>
      </c>
      <c r="AQ42" s="982">
        <f>(Vin-VCC)*Fsw*(Qg_Q1+Qg_Q2)+(RdsonDRT+RdsonDRT2)*Fsw*Qg_Q1*VCC/(RdsonDRT+2*Rgate1+RdsonDRT2)+(RdsonDRB+RdsonDRB2)*Fsw*Qg_Q2*VCC/(RdsonDRB+2*Rgate2+RdsonDRB2)</f>
        <v/>
      </c>
      <c r="AR42" s="982">
        <f>(Qg_Q1+Qg_Q2)*Fsw*(Vin-VCC)</f>
        <v/>
      </c>
      <c r="AS42" s="982">
        <f>SUM(AO42:AP42)</f>
        <v/>
      </c>
      <c r="AT42" s="982">
        <f> SUM(U42,X42,AA42,AG42,AK42,AL42,AM42,AS42,AN42)</f>
        <v/>
      </c>
      <c r="AU42">
        <f>Vout*K42</f>
        <v/>
      </c>
      <c r="AV42" s="1079">
        <f>AU42/(AU42+AT42)</f>
        <v/>
      </c>
      <c r="AW42" s="1080">
        <f>ThetaJA_Q1*BC42</f>
        <v/>
      </c>
      <c r="AX42" s="1080">
        <f>ThetaJA_Q2*BD42</f>
        <v/>
      </c>
      <c r="AY42" s="9" t="n"/>
      <c r="AZ42" s="4">
        <f>AV42*100</f>
        <v/>
      </c>
      <c r="BA42" s="982">
        <f>U42</f>
        <v/>
      </c>
      <c r="BB42" s="982">
        <f>AG42+AK42+AM42</f>
        <v/>
      </c>
      <c r="BC42" s="982">
        <f>AG42+AM42*0.66</f>
        <v/>
      </c>
      <c r="BD42" s="982">
        <f>AK42+AM42*0.33</f>
        <v/>
      </c>
      <c r="BE42" s="982">
        <f>AN42</f>
        <v/>
      </c>
    </row>
    <row r="43">
      <c r="A43" s="23" t="inlineStr">
        <is>
          <t>GfsTop</t>
        </is>
      </c>
      <c r="B43" s="5">
        <f>Gfs_Q1</f>
        <v/>
      </c>
      <c r="C43" s="427" t="inlineStr">
        <is>
          <t>S</t>
        </is>
      </c>
      <c r="D43" s="21" t="inlineStr">
        <is>
          <t>Transconductance of Top FET</t>
        </is>
      </c>
      <c r="G43" t="n">
        <v>34</v>
      </c>
      <c r="H43" s="531">
        <f>Vin</f>
        <v/>
      </c>
      <c r="I43" s="4">
        <f>MODE</f>
        <v/>
      </c>
      <c r="J43" s="982">
        <f>Iout*G43/100</f>
        <v/>
      </c>
      <c r="K43" s="982">
        <f>Iout*G43/100/Number_of_Phases</f>
        <v/>
      </c>
      <c r="L43" s="4">
        <f>Vout*K43/(Vin*Efficiency)</f>
        <v/>
      </c>
      <c r="M43" s="982">
        <f>(Vout+(Rdson2+Rs+Rdcr)*K43)/(Vin+(Rs+Rdson2-Rdson1)*K43)</f>
        <v/>
      </c>
      <c r="N43" s="4">
        <f>(Vin-(Rdson1+Rdcr)*K43-Vout)*M43/(Fsw*Lf)</f>
        <v/>
      </c>
      <c r="O43" s="4">
        <f>K43+N43/2</f>
        <v/>
      </c>
      <c r="P43" s="4">
        <f>K43-N43/2</f>
        <v/>
      </c>
      <c r="Q43" s="4">
        <f>IF(MIN(Vin, -P43/(Coss_Q1+Coss_Q2)*0.00000002)&lt;0, 0, MIN(Vin, -P43/(Coss_Q1+Coss_Q2)*0.00000002))</f>
        <v/>
      </c>
      <c r="R43" s="4">
        <f>SQRT(K43^2+(N43^2)/12)</f>
        <v/>
      </c>
      <c r="S43" s="982">
        <f>R43^2*Rdcr</f>
        <v/>
      </c>
      <c r="T43" s="982">
        <f>Core_Loss_Ch1</f>
        <v/>
      </c>
      <c r="U43" s="982">
        <f>(T43+S43*(1+Ltc*(Ta-25)))/(1-S43*Ltc*ThetaCa)</f>
        <v/>
      </c>
      <c r="V43" s="4">
        <f>N43/SQRT(12)</f>
        <v/>
      </c>
      <c r="W43" s="982">
        <f>RCoutEsr*V43^2</f>
        <v/>
      </c>
      <c r="X43" s="982">
        <f>W43</f>
        <v/>
      </c>
      <c r="Y43" s="4">
        <f>SQRT(M43*(1-M43))*SQRT(K43^2+(N43^2)/12)</f>
        <v/>
      </c>
      <c r="Z43" s="982">
        <f>RCinEsr*Y43^2</f>
        <v/>
      </c>
      <c r="AA43" s="1078">
        <f>Z43</f>
        <v/>
      </c>
      <c r="AB43" s="982">
        <f>SQRT(M43)*SQRT(K43^2+(N43^2)/12)</f>
        <v/>
      </c>
      <c r="AC43" s="982">
        <f>Rdson1*AB43^2</f>
        <v/>
      </c>
      <c r="AD43" s="982">
        <f>(Vin*K43/2)*Fsw*(Tr_buck+Tf_buck)</f>
        <v/>
      </c>
      <c r="AE43" s="982">
        <f>(0.5*Coss_Q1*(Vin-Q43)^2-0.5*Coss_Q2*(Vin-Q43)^2+(Qoss_Q2*(Vin-Q43)/Vin)*Vin)*Fsw</f>
        <v/>
      </c>
      <c r="AF43" s="982">
        <f>IF(K43&gt;N43/2,0,ABS(K43-N43/2)*Vsd_Q1*Deadtime*Fsw)</f>
        <v/>
      </c>
      <c r="AG43" s="982">
        <f>(AF43+AE43+AD43+AC43*(1+RdsonTopTc*Ta-RdsonTopTc*25))/(1-AC43*RdsonTopTc*ThetaJA_Q1)</f>
        <v/>
      </c>
      <c r="AH43" s="982">
        <f>SQRT((1-M43))*SQRT(K43^2+(N43^2)/12)</f>
        <v/>
      </c>
      <c r="AI43" s="982">
        <f>Rdson2*AH43^2</f>
        <v/>
      </c>
      <c r="AJ43" s="982">
        <f>IF(K43&lt;N43/2,Deadtime*Fsw*IF(VfdSky_Q2&gt;0,0,Vsd_Q2)*(K43+N43/2),2*Deadtime*Fsw*IF(VfdSky_Q2&gt;0,0,Vsd_Q2)*K43)</f>
        <v/>
      </c>
      <c r="AK43" s="982">
        <f>(AJ43+AI43*(1+RdsonBotTc*Ta-RdsonBotTc*25))/(1-AI43*RdsonBotTc*ThetaJA_Q2)</f>
        <v/>
      </c>
      <c r="AL43" s="982">
        <f>2*Deadtime*Fsw*IF(VfdSky_Q2&gt;0,VfdSky_Q2,Vsd_Q2)*K43</f>
        <v/>
      </c>
      <c r="AM43" s="982">
        <f>IF(QrrSky_Q2&gt;0,QrrSky_Q2,Qrr_Q2*K43/(Iout/Number_of_Phases))*Fsw*Vin</f>
        <v/>
      </c>
      <c r="AN43" s="982">
        <f>Rs*R43^2</f>
        <v/>
      </c>
      <c r="AO43" s="982">
        <f>Iq*Vin</f>
        <v/>
      </c>
      <c r="AP43" s="982">
        <f>IF(Ext_VCC=1, (Qg_Q1+Qg_Q2)*Fsw*VCC, (Qg_Q1+Qg_Q2)*Fsw*Vin)</f>
        <v/>
      </c>
      <c r="AQ43" s="982">
        <f>(Vin-VCC)*Fsw*(Qg_Q1+Qg_Q2)+(RdsonDRT+RdsonDRT2)*Fsw*Qg_Q1*VCC/(RdsonDRT+2*Rgate1+RdsonDRT2)+(RdsonDRB+RdsonDRB2)*Fsw*Qg_Q2*VCC/(RdsonDRB+2*Rgate2+RdsonDRB2)</f>
        <v/>
      </c>
      <c r="AR43" s="982">
        <f>(Qg_Q1+Qg_Q2)*Fsw*(Vin-VCC)</f>
        <v/>
      </c>
      <c r="AS43" s="982">
        <f>SUM(AO43:AP43)</f>
        <v/>
      </c>
      <c r="AT43" s="982">
        <f> SUM(U43,X43,AA43,AG43,AK43,AL43,AM43,AS43,AN43)</f>
        <v/>
      </c>
      <c r="AU43">
        <f>Vout*K43</f>
        <v/>
      </c>
      <c r="AV43" s="1079">
        <f>AU43/(AU43+AT43)</f>
        <v/>
      </c>
      <c r="AW43" s="1080">
        <f>ThetaJA_Q1*BC43</f>
        <v/>
      </c>
      <c r="AX43" s="1080">
        <f>ThetaJA_Q2*BD43</f>
        <v/>
      </c>
      <c r="AY43" s="9" t="n"/>
      <c r="AZ43" s="4">
        <f>AV43*100</f>
        <v/>
      </c>
      <c r="BA43" s="982">
        <f>U43</f>
        <v/>
      </c>
      <c r="BB43" s="982">
        <f>AG43+AK43+AM43</f>
        <v/>
      </c>
      <c r="BC43" s="982">
        <f>AG43+AM43*0.66</f>
        <v/>
      </c>
      <c r="BD43" s="982">
        <f>AK43+AM43*0.33</f>
        <v/>
      </c>
      <c r="BE43" s="982">
        <f>AN43</f>
        <v/>
      </c>
    </row>
    <row r="44">
      <c r="A44" s="23" t="inlineStr">
        <is>
          <t>VthTop</t>
        </is>
      </c>
      <c r="B44" s="5">
        <f>Vth_Q1</f>
        <v/>
      </c>
      <c r="C44" s="427" t="inlineStr">
        <is>
          <t>V</t>
        </is>
      </c>
      <c r="D44" s="21" t="inlineStr">
        <is>
          <t>Threshold Voltage of Top FET</t>
        </is>
      </c>
      <c r="G44" t="n">
        <v>35</v>
      </c>
      <c r="H44" s="531">
        <f>Vin</f>
        <v/>
      </c>
      <c r="I44" s="4">
        <f>MODE</f>
        <v/>
      </c>
      <c r="J44" s="982">
        <f>Iout*G44/100</f>
        <v/>
      </c>
      <c r="K44" s="982">
        <f>Iout*G44/100/Number_of_Phases</f>
        <v/>
      </c>
      <c r="L44" s="4">
        <f>Vout*K44/(Vin*Efficiency)</f>
        <v/>
      </c>
      <c r="M44" s="982">
        <f>(Vout+(Rdson2+Rs+Rdcr)*K44)/(Vin+(Rs+Rdson2-Rdson1)*K44)</f>
        <v/>
      </c>
      <c r="N44" s="4">
        <f>(Vin-(Rdson1+Rdcr)*K44-Vout)*M44/(Fsw*Lf)</f>
        <v/>
      </c>
      <c r="O44" s="4">
        <f>K44+N44/2</f>
        <v/>
      </c>
      <c r="P44" s="4">
        <f>K44-N44/2</f>
        <v/>
      </c>
      <c r="Q44" s="4">
        <f>IF(MIN(Vin, -P44/(Coss_Q1+Coss_Q2)*0.00000002)&lt;0, 0, MIN(Vin, -P44/(Coss_Q1+Coss_Q2)*0.00000002))</f>
        <v/>
      </c>
      <c r="R44" s="4">
        <f>SQRT(K44^2+(N44^2)/12)</f>
        <v/>
      </c>
      <c r="S44" s="982">
        <f>R44^2*Rdcr</f>
        <v/>
      </c>
      <c r="T44" s="982">
        <f>Core_Loss_Ch1</f>
        <v/>
      </c>
      <c r="U44" s="982">
        <f>(T44+S44*(1+Ltc*(Ta-25)))/(1-S44*Ltc*ThetaCa)</f>
        <v/>
      </c>
      <c r="V44" s="4">
        <f>N44/SQRT(12)</f>
        <v/>
      </c>
      <c r="W44" s="982">
        <f>RCoutEsr*V44^2</f>
        <v/>
      </c>
      <c r="X44" s="982">
        <f>W44</f>
        <v/>
      </c>
      <c r="Y44" s="4">
        <f>SQRT(M44*(1-M44))*SQRT(K44^2+(N44^2)/12)</f>
        <v/>
      </c>
      <c r="Z44" s="982">
        <f>RCinEsr*Y44^2</f>
        <v/>
      </c>
      <c r="AA44" s="1078">
        <f>Z44</f>
        <v/>
      </c>
      <c r="AB44" s="982">
        <f>SQRT(M44)*SQRT(K44^2+(N44^2)/12)</f>
        <v/>
      </c>
      <c r="AC44" s="982">
        <f>Rdson1*AB44^2</f>
        <v/>
      </c>
      <c r="AD44" s="982">
        <f>(Vin*K44/2)*Fsw*(Tr_buck+Tf_buck)</f>
        <v/>
      </c>
      <c r="AE44" s="982">
        <f>(0.5*Coss_Q1*(Vin-Q44)^2-0.5*Coss_Q2*(Vin-Q44)^2+(Qoss_Q2*(Vin-Q44)/Vin)*Vin)*Fsw</f>
        <v/>
      </c>
      <c r="AF44" s="982">
        <f>IF(K44&gt;N44/2,0,ABS(K44-N44/2)*Vsd_Q1*Deadtime*Fsw)</f>
        <v/>
      </c>
      <c r="AG44" s="982">
        <f>(AF44+AE44+AD44+AC44*(1+RdsonTopTc*Ta-RdsonTopTc*25))/(1-AC44*RdsonTopTc*ThetaJA_Q1)</f>
        <v/>
      </c>
      <c r="AH44" s="982">
        <f>SQRT((1-M44))*SQRT(K44^2+(N44^2)/12)</f>
        <v/>
      </c>
      <c r="AI44" s="982">
        <f>Rdson2*AH44^2</f>
        <v/>
      </c>
      <c r="AJ44" s="982">
        <f>IF(K44&lt;N44/2,Deadtime*Fsw*IF(VfdSky_Q2&gt;0,0,Vsd_Q2)*(K44+N44/2),2*Deadtime*Fsw*IF(VfdSky_Q2&gt;0,0,Vsd_Q2)*K44)</f>
        <v/>
      </c>
      <c r="AK44" s="982">
        <f>(AJ44+AI44*(1+RdsonBotTc*Ta-RdsonBotTc*25))/(1-AI44*RdsonBotTc*ThetaJA_Q2)</f>
        <v/>
      </c>
      <c r="AL44" s="982">
        <f>2*Deadtime*Fsw*IF(VfdSky_Q2&gt;0,VfdSky_Q2,Vsd_Q2)*K44</f>
        <v/>
      </c>
      <c r="AM44" s="982">
        <f>IF(QrrSky_Q2&gt;0,QrrSky_Q2,Qrr_Q2*K44/(Iout/Number_of_Phases))*Fsw*Vin</f>
        <v/>
      </c>
      <c r="AN44" s="982">
        <f>Rs*R44^2</f>
        <v/>
      </c>
      <c r="AO44" s="982">
        <f>Iq*Vin</f>
        <v/>
      </c>
      <c r="AP44" s="982">
        <f>IF(Ext_VCC=1, (Qg_Q1+Qg_Q2)*Fsw*VCC, (Qg_Q1+Qg_Q2)*Fsw*Vin)</f>
        <v/>
      </c>
      <c r="AQ44" s="982">
        <f>(Vin-VCC)*Fsw*(Qg_Q1+Qg_Q2)+(RdsonDRT+RdsonDRT2)*Fsw*Qg_Q1*VCC/(RdsonDRT+2*Rgate1+RdsonDRT2)+(RdsonDRB+RdsonDRB2)*Fsw*Qg_Q2*VCC/(RdsonDRB+2*Rgate2+RdsonDRB2)</f>
        <v/>
      </c>
      <c r="AR44" s="982">
        <f>(Qg_Q1+Qg_Q2)*Fsw*(Vin-VCC)</f>
        <v/>
      </c>
      <c r="AS44" s="982">
        <f>SUM(AO44:AP44)</f>
        <v/>
      </c>
      <c r="AT44" s="982">
        <f> SUM(U44,X44,AA44,AG44,AK44,AL44,AM44,AS44,AN44)</f>
        <v/>
      </c>
      <c r="AU44">
        <f>Vout*K44</f>
        <v/>
      </c>
      <c r="AV44" s="1079">
        <f>AU44/(AU44+AT44)</f>
        <v/>
      </c>
      <c r="AW44" s="1080">
        <f>ThetaJA_Q1*BC44</f>
        <v/>
      </c>
      <c r="AX44" s="1080">
        <f>ThetaJA_Q2*BD44</f>
        <v/>
      </c>
      <c r="AY44" s="9" t="n"/>
      <c r="AZ44" s="4">
        <f>AV44*100</f>
        <v/>
      </c>
      <c r="BA44" s="982">
        <f>U44</f>
        <v/>
      </c>
      <c r="BB44" s="982">
        <f>AG44+AK44+AM44</f>
        <v/>
      </c>
      <c r="BC44" s="982">
        <f>AG44+AM44*0.66</f>
        <v/>
      </c>
      <c r="BD44" s="982">
        <f>AK44+AM44*0.33</f>
        <v/>
      </c>
      <c r="BE44" s="982">
        <f>AN44</f>
        <v/>
      </c>
    </row>
    <row r="45">
      <c r="A45" s="28" t="inlineStr">
        <is>
          <t>VspTop</t>
        </is>
      </c>
      <c r="B45" s="434">
        <f>Vsp_Q1</f>
        <v/>
      </c>
      <c r="C45" s="432" t="inlineStr">
        <is>
          <t>V</t>
        </is>
      </c>
      <c r="G45" t="n">
        <v>36</v>
      </c>
      <c r="H45" s="531">
        <f>Vin</f>
        <v/>
      </c>
      <c r="I45" s="4">
        <f>MODE</f>
        <v/>
      </c>
      <c r="J45" s="982">
        <f>Iout*G45/100</f>
        <v/>
      </c>
      <c r="K45" s="982">
        <f>Iout*G45/100/Number_of_Phases</f>
        <v/>
      </c>
      <c r="L45" s="4">
        <f>Vout*K45/(Vin*Efficiency)</f>
        <v/>
      </c>
      <c r="M45" s="982">
        <f>(Vout+(Rdson2+Rs+Rdcr)*K45)/(Vin+(Rs+Rdson2-Rdson1)*K45)</f>
        <v/>
      </c>
      <c r="N45" s="4">
        <f>(Vin-(Rdson1+Rdcr)*K45-Vout)*M45/(Fsw*Lf)</f>
        <v/>
      </c>
      <c r="O45" s="4">
        <f>K45+N45/2</f>
        <v/>
      </c>
      <c r="P45" s="4">
        <f>K45-N45/2</f>
        <v/>
      </c>
      <c r="Q45" s="4">
        <f>IF(MIN(Vin, -P45/(Coss_Q1+Coss_Q2)*0.00000002)&lt;0, 0, MIN(Vin, -P45/(Coss_Q1+Coss_Q2)*0.00000002))</f>
        <v/>
      </c>
      <c r="R45" s="4">
        <f>SQRT(K45^2+(N45^2)/12)</f>
        <v/>
      </c>
      <c r="S45" s="982">
        <f>R45^2*Rdcr</f>
        <v/>
      </c>
      <c r="T45" s="982">
        <f>Core_Loss_Ch1</f>
        <v/>
      </c>
      <c r="U45" s="982">
        <f>(T45+S45*(1+Ltc*(Ta-25)))/(1-S45*Ltc*ThetaCa)</f>
        <v/>
      </c>
      <c r="V45" s="4">
        <f>N45/SQRT(12)</f>
        <v/>
      </c>
      <c r="W45" s="982">
        <f>RCoutEsr*V45^2</f>
        <v/>
      </c>
      <c r="X45" s="982">
        <f>W45</f>
        <v/>
      </c>
      <c r="Y45" s="4">
        <f>SQRT(M45*(1-M45))*SQRT(K45^2+(N45^2)/12)</f>
        <v/>
      </c>
      <c r="Z45" s="982">
        <f>RCinEsr*Y45^2</f>
        <v/>
      </c>
      <c r="AA45" s="1078">
        <f>Z45</f>
        <v/>
      </c>
      <c r="AB45" s="982">
        <f>SQRT(M45)*SQRT(K45^2+(N45^2)/12)</f>
        <v/>
      </c>
      <c r="AC45" s="982">
        <f>Rdson1*AB45^2</f>
        <v/>
      </c>
      <c r="AD45" s="982">
        <f>(Vin*K45/2)*Fsw*(Tr_buck+Tf_buck)</f>
        <v/>
      </c>
      <c r="AE45" s="982">
        <f>(0.5*Coss_Q1*(Vin-Q45)^2-0.5*Coss_Q2*(Vin-Q45)^2+(Qoss_Q2*(Vin-Q45)/Vin)*Vin)*Fsw</f>
        <v/>
      </c>
      <c r="AF45" s="982">
        <f>IF(K45&gt;N45/2,0,ABS(K45-N45/2)*Vsd_Q1*Deadtime*Fsw)</f>
        <v/>
      </c>
      <c r="AG45" s="982">
        <f>(AF45+AE45+AD45+AC45*(1+RdsonTopTc*Ta-RdsonTopTc*25))/(1-AC45*RdsonTopTc*ThetaJA_Q1)</f>
        <v/>
      </c>
      <c r="AH45" s="982">
        <f>SQRT((1-M45))*SQRT(K45^2+(N45^2)/12)</f>
        <v/>
      </c>
      <c r="AI45" s="982">
        <f>Rdson2*AH45^2</f>
        <v/>
      </c>
      <c r="AJ45" s="982">
        <f>IF(K45&lt;N45/2,Deadtime*Fsw*IF(VfdSky_Q2&gt;0,0,Vsd_Q2)*(K45+N45/2),2*Deadtime*Fsw*IF(VfdSky_Q2&gt;0,0,Vsd_Q2)*K45)</f>
        <v/>
      </c>
      <c r="AK45" s="982">
        <f>(AJ45+AI45*(1+RdsonBotTc*Ta-RdsonBotTc*25))/(1-AI45*RdsonBotTc*ThetaJA_Q2)</f>
        <v/>
      </c>
      <c r="AL45" s="982">
        <f>2*Deadtime*Fsw*IF(VfdSky_Q2&gt;0,VfdSky_Q2,Vsd_Q2)*K45</f>
        <v/>
      </c>
      <c r="AM45" s="982">
        <f>IF(QrrSky_Q2&gt;0,QrrSky_Q2,Qrr_Q2*K45/(Iout/Number_of_Phases))*Fsw*Vin</f>
        <v/>
      </c>
      <c r="AN45" s="982">
        <f>Rs*R45^2</f>
        <v/>
      </c>
      <c r="AO45" s="982">
        <f>Iq*Vin</f>
        <v/>
      </c>
      <c r="AP45" s="982">
        <f>IF(Ext_VCC=1, (Qg_Q1+Qg_Q2)*Fsw*VCC, (Qg_Q1+Qg_Q2)*Fsw*Vin)</f>
        <v/>
      </c>
      <c r="AQ45" s="982">
        <f>(Vin-VCC)*Fsw*(Qg_Q1+Qg_Q2)+(RdsonDRT+RdsonDRT2)*Fsw*Qg_Q1*VCC/(RdsonDRT+2*Rgate1+RdsonDRT2)+(RdsonDRB+RdsonDRB2)*Fsw*Qg_Q2*VCC/(RdsonDRB+2*Rgate2+RdsonDRB2)</f>
        <v/>
      </c>
      <c r="AR45" s="982">
        <f>(Qg_Q1+Qg_Q2)*Fsw*(Vin-VCC)</f>
        <v/>
      </c>
      <c r="AS45" s="982">
        <f>SUM(AO45:AP45)</f>
        <v/>
      </c>
      <c r="AT45" s="982">
        <f> SUM(U45,X45,AA45,AG45,AK45,AL45,AM45,AS45,AN45)</f>
        <v/>
      </c>
      <c r="AU45">
        <f>Vout*K45</f>
        <v/>
      </c>
      <c r="AV45" s="1079">
        <f>AU45/(AU45+AT45)</f>
        <v/>
      </c>
      <c r="AW45" s="1080">
        <f>ThetaJA_Q1*BC45</f>
        <v/>
      </c>
      <c r="AX45" s="1080">
        <f>ThetaJA_Q2*BD45</f>
        <v/>
      </c>
      <c r="AY45" s="9" t="n"/>
      <c r="AZ45" s="4">
        <f>AV45*100</f>
        <v/>
      </c>
      <c r="BA45" s="982">
        <f>U45</f>
        <v/>
      </c>
      <c r="BB45" s="982">
        <f>AG45+AK45+AM45</f>
        <v/>
      </c>
      <c r="BC45" s="982">
        <f>AG45+AM45*0.66</f>
        <v/>
      </c>
      <c r="BD45" s="982">
        <f>AK45+AM45*0.33</f>
        <v/>
      </c>
      <c r="BE45" s="982">
        <f>AN45</f>
        <v/>
      </c>
    </row>
    <row r="46">
      <c r="A46" s="77" t="inlineStr">
        <is>
          <t>VsdTop</t>
        </is>
      </c>
      <c r="B46" s="5">
        <f>Vsd_Q1</f>
        <v/>
      </c>
      <c r="C46" s="432" t="inlineStr">
        <is>
          <t>V</t>
        </is>
      </c>
      <c r="G46" t="n">
        <v>37</v>
      </c>
      <c r="H46" s="531">
        <f>Vin</f>
        <v/>
      </c>
      <c r="I46" s="4">
        <f>MODE</f>
        <v/>
      </c>
      <c r="J46" s="982">
        <f>Iout*G46/100</f>
        <v/>
      </c>
      <c r="K46" s="982">
        <f>Iout*G46/100/Number_of_Phases</f>
        <v/>
      </c>
      <c r="L46" s="4">
        <f>Vout*K46/(Vin*Efficiency)</f>
        <v/>
      </c>
      <c r="M46" s="982">
        <f>(Vout+(Rdson2+Rs+Rdcr)*K46)/(Vin+(Rs+Rdson2-Rdson1)*K46)</f>
        <v/>
      </c>
      <c r="N46" s="4">
        <f>(Vin-(Rdson1+Rdcr)*K46-Vout)*M46/(Fsw*Lf)</f>
        <v/>
      </c>
      <c r="O46" s="4">
        <f>K46+N46/2</f>
        <v/>
      </c>
      <c r="P46" s="4">
        <f>K46-N46/2</f>
        <v/>
      </c>
      <c r="Q46" s="4">
        <f>IF(MIN(Vin, -P46/(Coss_Q1+Coss_Q2)*0.00000002)&lt;0, 0, MIN(Vin, -P46/(Coss_Q1+Coss_Q2)*0.00000002))</f>
        <v/>
      </c>
      <c r="R46" s="4">
        <f>SQRT(K46^2+(N46^2)/12)</f>
        <v/>
      </c>
      <c r="S46" s="982">
        <f>R46^2*Rdcr</f>
        <v/>
      </c>
      <c r="T46" s="982">
        <f>Core_Loss_Ch1</f>
        <v/>
      </c>
      <c r="U46" s="982">
        <f>(T46+S46*(1+Ltc*(Ta-25)))/(1-S46*Ltc*ThetaCa)</f>
        <v/>
      </c>
      <c r="V46" s="4">
        <f>N46/SQRT(12)</f>
        <v/>
      </c>
      <c r="W46" s="982">
        <f>RCoutEsr*V46^2</f>
        <v/>
      </c>
      <c r="X46" s="982">
        <f>W46</f>
        <v/>
      </c>
      <c r="Y46" s="4">
        <f>SQRT(M46*(1-M46))*SQRT(K46^2+(N46^2)/12)</f>
        <v/>
      </c>
      <c r="Z46" s="982">
        <f>RCinEsr*Y46^2</f>
        <v/>
      </c>
      <c r="AA46" s="1078">
        <f>Z46</f>
        <v/>
      </c>
      <c r="AB46" s="982">
        <f>SQRT(M46)*SQRT(K46^2+(N46^2)/12)</f>
        <v/>
      </c>
      <c r="AC46" s="982">
        <f>Rdson1*AB46^2</f>
        <v/>
      </c>
      <c r="AD46" s="982">
        <f>(Vin*K46/2)*Fsw*(Tr_buck+Tf_buck)</f>
        <v/>
      </c>
      <c r="AE46" s="982">
        <f>(0.5*Coss_Q1*(Vin-Q46)^2-0.5*Coss_Q2*(Vin-Q46)^2+(Qoss_Q2*(Vin-Q46)/Vin)*Vin)*Fsw</f>
        <v/>
      </c>
      <c r="AF46" s="982">
        <f>IF(K46&gt;N46/2,0,ABS(K46-N46/2)*Vsd_Q1*Deadtime*Fsw)</f>
        <v/>
      </c>
      <c r="AG46" s="982">
        <f>(AF46+AE46+AD46+AC46*(1+RdsonTopTc*Ta-RdsonTopTc*25))/(1-AC46*RdsonTopTc*ThetaJA_Q1)</f>
        <v/>
      </c>
      <c r="AH46" s="982">
        <f>SQRT((1-M46))*SQRT(K46^2+(N46^2)/12)</f>
        <v/>
      </c>
      <c r="AI46" s="982">
        <f>Rdson2*AH46^2</f>
        <v/>
      </c>
      <c r="AJ46" s="982">
        <f>IF(K46&lt;N46/2,Deadtime*Fsw*IF(VfdSky_Q2&gt;0,0,Vsd_Q2)*(K46+N46/2),2*Deadtime*Fsw*IF(VfdSky_Q2&gt;0,0,Vsd_Q2)*K46)</f>
        <v/>
      </c>
      <c r="AK46" s="982">
        <f>(AJ46+AI46*(1+RdsonBotTc*Ta-RdsonBotTc*25))/(1-AI46*RdsonBotTc*ThetaJA_Q2)</f>
        <v/>
      </c>
      <c r="AL46" s="982">
        <f>2*Deadtime*Fsw*IF(VfdSky_Q2&gt;0,VfdSky_Q2,Vsd_Q2)*K46</f>
        <v/>
      </c>
      <c r="AM46" s="982">
        <f>IF(QrrSky_Q2&gt;0,QrrSky_Q2,Qrr_Q2*K46/(Iout/Number_of_Phases))*Fsw*Vin</f>
        <v/>
      </c>
      <c r="AN46" s="982">
        <f>Rs*R46^2</f>
        <v/>
      </c>
      <c r="AO46" s="982">
        <f>Iq*Vin</f>
        <v/>
      </c>
      <c r="AP46" s="982">
        <f>IF(Ext_VCC=1, (Qg_Q1+Qg_Q2)*Fsw*VCC, (Qg_Q1+Qg_Q2)*Fsw*Vin)</f>
        <v/>
      </c>
      <c r="AQ46" s="982">
        <f>(Vin-VCC)*Fsw*(Qg_Q1+Qg_Q2)+(RdsonDRT+RdsonDRT2)*Fsw*Qg_Q1*VCC/(RdsonDRT+2*Rgate1+RdsonDRT2)+(RdsonDRB+RdsonDRB2)*Fsw*Qg_Q2*VCC/(RdsonDRB+2*Rgate2+RdsonDRB2)</f>
        <v/>
      </c>
      <c r="AR46" s="982">
        <f>(Qg_Q1+Qg_Q2)*Fsw*(Vin-VCC)</f>
        <v/>
      </c>
      <c r="AS46" s="982">
        <f>SUM(AO46:AP46)</f>
        <v/>
      </c>
      <c r="AT46" s="982">
        <f> SUM(U46,X46,AA46,AG46,AK46,AL46,AM46,AS46,AN46)</f>
        <v/>
      </c>
      <c r="AU46">
        <f>Vout*K46</f>
        <v/>
      </c>
      <c r="AV46" s="1079">
        <f>AU46/(AU46+AT46)</f>
        <v/>
      </c>
      <c r="AW46" s="1080">
        <f>ThetaJA_Q1*BC46</f>
        <v/>
      </c>
      <c r="AX46" s="1080">
        <f>ThetaJA_Q2*BD46</f>
        <v/>
      </c>
      <c r="AY46" s="9" t="n"/>
      <c r="AZ46" s="4">
        <f>AV46*100</f>
        <v/>
      </c>
      <c r="BA46" s="982">
        <f>U46</f>
        <v/>
      </c>
      <c r="BB46" s="982">
        <f>AG46+AK46+AM46</f>
        <v/>
      </c>
      <c r="BC46" s="982">
        <f>AG46+AM46*0.66</f>
        <v/>
      </c>
      <c r="BD46" s="982">
        <f>AK46+AM46*0.33</f>
        <v/>
      </c>
      <c r="BE46" s="982">
        <f>AN46</f>
        <v/>
      </c>
    </row>
    <row r="47" ht="15.75" customHeight="1">
      <c r="A47" s="433" t="inlineStr">
        <is>
          <t>θJATop</t>
        </is>
      </c>
      <c r="B47" s="5">
        <f>ThetaJA_Q1</f>
        <v/>
      </c>
      <c r="C47" s="428" t="inlineStr">
        <is>
          <t>°C/W</t>
        </is>
      </c>
      <c r="D47" s="21" t="inlineStr">
        <is>
          <t>Junction to Ambient Resistance</t>
        </is>
      </c>
      <c r="G47" t="n">
        <v>38</v>
      </c>
      <c r="H47" s="531">
        <f>Vin</f>
        <v/>
      </c>
      <c r="I47" s="4">
        <f>MODE</f>
        <v/>
      </c>
      <c r="J47" s="982">
        <f>Iout*G47/100</f>
        <v/>
      </c>
      <c r="K47" s="982">
        <f>Iout*G47/100/Number_of_Phases</f>
        <v/>
      </c>
      <c r="L47" s="4">
        <f>Vout*K47/(Vin*Efficiency)</f>
        <v/>
      </c>
      <c r="M47" s="982">
        <f>(Vout+(Rdson2+Rs+Rdcr)*K47)/(Vin+(Rs+Rdson2-Rdson1)*K47)</f>
        <v/>
      </c>
      <c r="N47" s="4">
        <f>(Vin-(Rdson1+Rdcr)*K47-Vout)*M47/(Fsw*Lf)</f>
        <v/>
      </c>
      <c r="O47" s="4">
        <f>K47+N47/2</f>
        <v/>
      </c>
      <c r="P47" s="4">
        <f>K47-N47/2</f>
        <v/>
      </c>
      <c r="Q47" s="4">
        <f>IF(MIN(Vin, -P47/(Coss_Q1+Coss_Q2)*0.00000002)&lt;0, 0, MIN(Vin, -P47/(Coss_Q1+Coss_Q2)*0.00000002))</f>
        <v/>
      </c>
      <c r="R47" s="4">
        <f>SQRT(K47^2+(N47^2)/12)</f>
        <v/>
      </c>
      <c r="S47" s="982">
        <f>R47^2*Rdcr</f>
        <v/>
      </c>
      <c r="T47" s="982">
        <f>Core_Loss_Ch1</f>
        <v/>
      </c>
      <c r="U47" s="982">
        <f>(T47+S47*(1+Ltc*(Ta-25)))/(1-S47*Ltc*ThetaCa)</f>
        <v/>
      </c>
      <c r="V47" s="4">
        <f>N47/SQRT(12)</f>
        <v/>
      </c>
      <c r="W47" s="982">
        <f>RCoutEsr*V47^2</f>
        <v/>
      </c>
      <c r="X47" s="982">
        <f>W47</f>
        <v/>
      </c>
      <c r="Y47" s="4">
        <f>SQRT(M47*(1-M47))*SQRT(K47^2+(N47^2)/12)</f>
        <v/>
      </c>
      <c r="Z47" s="982">
        <f>RCinEsr*Y47^2</f>
        <v/>
      </c>
      <c r="AA47" s="1078">
        <f>Z47</f>
        <v/>
      </c>
      <c r="AB47" s="982">
        <f>SQRT(M47)*SQRT(K47^2+(N47^2)/12)</f>
        <v/>
      </c>
      <c r="AC47" s="982">
        <f>Rdson1*AB47^2</f>
        <v/>
      </c>
      <c r="AD47" s="982">
        <f>(Vin*K47/2)*Fsw*(Tr_buck+Tf_buck)</f>
        <v/>
      </c>
      <c r="AE47" s="982">
        <f>(0.5*Coss_Q1*(Vin-Q47)^2-0.5*Coss_Q2*(Vin-Q47)^2+(Qoss_Q2*(Vin-Q47)/Vin)*Vin)*Fsw</f>
        <v/>
      </c>
      <c r="AF47" s="982">
        <f>IF(K47&gt;N47/2,0,ABS(K47-N47/2)*Vsd_Q1*Deadtime*Fsw)</f>
        <v/>
      </c>
      <c r="AG47" s="982">
        <f>(AF47+AE47+AD47+AC47*(1+RdsonTopTc*Ta-RdsonTopTc*25))/(1-AC47*RdsonTopTc*ThetaJA_Q1)</f>
        <v/>
      </c>
      <c r="AH47" s="982">
        <f>SQRT((1-M47))*SQRT(K47^2+(N47^2)/12)</f>
        <v/>
      </c>
      <c r="AI47" s="982">
        <f>Rdson2*AH47^2</f>
        <v/>
      </c>
      <c r="AJ47" s="982">
        <f>IF(K47&lt;N47/2,Deadtime*Fsw*IF(VfdSky_Q2&gt;0,0,Vsd_Q2)*(K47+N47/2),2*Deadtime*Fsw*IF(VfdSky_Q2&gt;0,0,Vsd_Q2)*K47)</f>
        <v/>
      </c>
      <c r="AK47" s="982">
        <f>(AJ47+AI47*(1+RdsonBotTc*Ta-RdsonBotTc*25))/(1-AI47*RdsonBotTc*ThetaJA_Q2)</f>
        <v/>
      </c>
      <c r="AL47" s="982">
        <f>2*Deadtime*Fsw*IF(VfdSky_Q2&gt;0,VfdSky_Q2,Vsd_Q2)*K47</f>
        <v/>
      </c>
      <c r="AM47" s="982">
        <f>IF(QrrSky_Q2&gt;0,QrrSky_Q2,Qrr_Q2*K47/(Iout/Number_of_Phases))*Fsw*Vin</f>
        <v/>
      </c>
      <c r="AN47" s="982">
        <f>Rs*R47^2</f>
        <v/>
      </c>
      <c r="AO47" s="982">
        <f>Iq*Vin</f>
        <v/>
      </c>
      <c r="AP47" s="982">
        <f>IF(Ext_VCC=1, (Qg_Q1+Qg_Q2)*Fsw*VCC, (Qg_Q1+Qg_Q2)*Fsw*Vin)</f>
        <v/>
      </c>
      <c r="AQ47" s="982">
        <f>(Vin-VCC)*Fsw*(Qg_Q1+Qg_Q2)+(RdsonDRT+RdsonDRT2)*Fsw*Qg_Q1*VCC/(RdsonDRT+2*Rgate1+RdsonDRT2)+(RdsonDRB+RdsonDRB2)*Fsw*Qg_Q2*VCC/(RdsonDRB+2*Rgate2+RdsonDRB2)</f>
        <v/>
      </c>
      <c r="AR47" s="982">
        <f>(Qg_Q1+Qg_Q2)*Fsw*(Vin-VCC)</f>
        <v/>
      </c>
      <c r="AS47" s="982">
        <f>SUM(AO47:AP47)</f>
        <v/>
      </c>
      <c r="AT47" s="982">
        <f> SUM(U47,X47,AA47,AG47,AK47,AL47,AM47,AS47,AN47)</f>
        <v/>
      </c>
      <c r="AU47">
        <f>Vout*K47</f>
        <v/>
      </c>
      <c r="AV47" s="1079">
        <f>AU47/(AU47+AT47)</f>
        <v/>
      </c>
      <c r="AW47" s="1080">
        <f>ThetaJA_Q1*BC47</f>
        <v/>
      </c>
      <c r="AX47" s="1080">
        <f>ThetaJA_Q2*BD47</f>
        <v/>
      </c>
      <c r="AY47" s="9" t="n"/>
      <c r="AZ47" s="4">
        <f>AV47*100</f>
        <v/>
      </c>
      <c r="BA47" s="982">
        <f>U47</f>
        <v/>
      </c>
      <c r="BB47" s="982">
        <f>AG47+AK47+AM47</f>
        <v/>
      </c>
      <c r="BC47" s="982">
        <f>AG47+AM47*0.66</f>
        <v/>
      </c>
      <c r="BD47" s="982">
        <f>AK47+AM47*0.33</f>
        <v/>
      </c>
      <c r="BE47" s="982">
        <f>AN47</f>
        <v/>
      </c>
    </row>
    <row r="48">
      <c r="A48" s="24" t="inlineStr">
        <is>
          <t>Low-side FET</t>
        </is>
      </c>
      <c r="B48" s="15" t="inlineStr">
        <is>
          <t>Input Value</t>
        </is>
      </c>
      <c r="C48" s="24" t="inlineStr">
        <is>
          <t>Units</t>
        </is>
      </c>
      <c r="D48" s="17" t="inlineStr">
        <is>
          <t>Description</t>
        </is>
      </c>
      <c r="G48" t="n">
        <v>39</v>
      </c>
      <c r="H48" s="531">
        <f>Vin</f>
        <v/>
      </c>
      <c r="I48" s="4">
        <f>MODE</f>
        <v/>
      </c>
      <c r="J48" s="982">
        <f>Iout*G48/100</f>
        <v/>
      </c>
      <c r="K48" s="982">
        <f>Iout*G48/100/Number_of_Phases</f>
        <v/>
      </c>
      <c r="L48" s="4">
        <f>Vout*K48/(Vin*Efficiency)</f>
        <v/>
      </c>
      <c r="M48" s="982">
        <f>(Vout+(Rdson2+Rs+Rdcr)*K48)/(Vin+(Rs+Rdson2-Rdson1)*K48)</f>
        <v/>
      </c>
      <c r="N48" s="4">
        <f>(Vin-(Rdson1+Rdcr)*K48-Vout)*M48/(Fsw*Lf)</f>
        <v/>
      </c>
      <c r="O48" s="4">
        <f>K48+N48/2</f>
        <v/>
      </c>
      <c r="P48" s="4">
        <f>K48-N48/2</f>
        <v/>
      </c>
      <c r="Q48" s="4">
        <f>IF(MIN(Vin, -P48/(Coss_Q1+Coss_Q2)*0.00000002)&lt;0, 0, MIN(Vin, -P48/(Coss_Q1+Coss_Q2)*0.00000002))</f>
        <v/>
      </c>
      <c r="R48" s="4">
        <f>SQRT(K48^2+(N48^2)/12)</f>
        <v/>
      </c>
      <c r="S48" s="982">
        <f>R48^2*Rdcr</f>
        <v/>
      </c>
      <c r="T48" s="982">
        <f>Core_Loss_Ch1</f>
        <v/>
      </c>
      <c r="U48" s="982">
        <f>(T48+S48*(1+Ltc*(Ta-25)))/(1-S48*Ltc*ThetaCa)</f>
        <v/>
      </c>
      <c r="V48" s="4">
        <f>N48/SQRT(12)</f>
        <v/>
      </c>
      <c r="W48" s="982">
        <f>RCoutEsr*V48^2</f>
        <v/>
      </c>
      <c r="X48" s="982">
        <f>W48</f>
        <v/>
      </c>
      <c r="Y48" s="4">
        <f>SQRT(M48*(1-M48))*SQRT(K48^2+(N48^2)/12)</f>
        <v/>
      </c>
      <c r="Z48" s="982">
        <f>RCinEsr*Y48^2</f>
        <v/>
      </c>
      <c r="AA48" s="1078">
        <f>Z48</f>
        <v/>
      </c>
      <c r="AB48" s="982">
        <f>SQRT(M48)*SQRT(K48^2+(N48^2)/12)</f>
        <v/>
      </c>
      <c r="AC48" s="982">
        <f>Rdson1*AB48^2</f>
        <v/>
      </c>
      <c r="AD48" s="982">
        <f>(Vin*K48/2)*Fsw*(Tr_buck+Tf_buck)</f>
        <v/>
      </c>
      <c r="AE48" s="982">
        <f>(0.5*Coss_Q1*(Vin-Q48)^2-0.5*Coss_Q2*(Vin-Q48)^2+(Qoss_Q2*(Vin-Q48)/Vin)*Vin)*Fsw</f>
        <v/>
      </c>
      <c r="AF48" s="982">
        <f>IF(K48&gt;N48/2,0,ABS(K48-N48/2)*Vsd_Q1*Deadtime*Fsw)</f>
        <v/>
      </c>
      <c r="AG48" s="982">
        <f>(AF48+AE48+AD48+AC48*(1+RdsonTopTc*Ta-RdsonTopTc*25))/(1-AC48*RdsonTopTc*ThetaJA_Q1)</f>
        <v/>
      </c>
      <c r="AH48" s="982">
        <f>SQRT((1-M48))*SQRT(K48^2+(N48^2)/12)</f>
        <v/>
      </c>
      <c r="AI48" s="982">
        <f>Rdson2*AH48^2</f>
        <v/>
      </c>
      <c r="AJ48" s="982">
        <f>IF(K48&lt;N48/2,Deadtime*Fsw*IF(VfdSky_Q2&gt;0,0,Vsd_Q2)*(K48+N48/2),2*Deadtime*Fsw*IF(VfdSky_Q2&gt;0,0,Vsd_Q2)*K48)</f>
        <v/>
      </c>
      <c r="AK48" s="982">
        <f>(AJ48+AI48*(1+RdsonBotTc*Ta-RdsonBotTc*25))/(1-AI48*RdsonBotTc*ThetaJA_Q2)</f>
        <v/>
      </c>
      <c r="AL48" s="982">
        <f>2*Deadtime*Fsw*IF(VfdSky_Q2&gt;0,VfdSky_Q2,Vsd_Q2)*K48</f>
        <v/>
      </c>
      <c r="AM48" s="982">
        <f>IF(QrrSky_Q2&gt;0,QrrSky_Q2,Qrr_Q2*K48/(Iout/Number_of_Phases))*Fsw*Vin</f>
        <v/>
      </c>
      <c r="AN48" s="982">
        <f>Rs*R48^2</f>
        <v/>
      </c>
      <c r="AO48" s="982">
        <f>Iq*Vin</f>
        <v/>
      </c>
      <c r="AP48" s="982">
        <f>IF(Ext_VCC=1, (Qg_Q1+Qg_Q2)*Fsw*VCC, (Qg_Q1+Qg_Q2)*Fsw*Vin)</f>
        <v/>
      </c>
      <c r="AQ48" s="982">
        <f>(Vin-VCC)*Fsw*(Qg_Q1+Qg_Q2)+(RdsonDRT+RdsonDRT2)*Fsw*Qg_Q1*VCC/(RdsonDRT+2*Rgate1+RdsonDRT2)+(RdsonDRB+RdsonDRB2)*Fsw*Qg_Q2*VCC/(RdsonDRB+2*Rgate2+RdsonDRB2)</f>
        <v/>
      </c>
      <c r="AR48" s="982">
        <f>(Qg_Q1+Qg_Q2)*Fsw*(Vin-VCC)</f>
        <v/>
      </c>
      <c r="AS48" s="982">
        <f>SUM(AO48:AP48)</f>
        <v/>
      </c>
      <c r="AT48" s="982">
        <f> SUM(U48,X48,AA48,AG48,AK48,AL48,AM48,AS48,AN48)</f>
        <v/>
      </c>
      <c r="AU48">
        <f>Vout*K48</f>
        <v/>
      </c>
      <c r="AV48" s="1079">
        <f>AU48/(AU48+AT48)</f>
        <v/>
      </c>
      <c r="AW48" s="1080">
        <f>ThetaJA_Q1*BC48</f>
        <v/>
      </c>
      <c r="AX48" s="1080">
        <f>ThetaJA_Q2*BD48</f>
        <v/>
      </c>
      <c r="AY48" s="9" t="n"/>
      <c r="AZ48" s="4">
        <f>AV48*100</f>
        <v/>
      </c>
      <c r="BA48" s="982">
        <f>U48</f>
        <v/>
      </c>
      <c r="BB48" s="982">
        <f>AG48+AK48+AM48</f>
        <v/>
      </c>
      <c r="BC48" s="982">
        <f>AG48+AM48*0.66</f>
        <v/>
      </c>
      <c r="BD48" s="982">
        <f>AK48+AM48*0.33</f>
        <v/>
      </c>
      <c r="BE48" s="982">
        <f>AN48</f>
        <v/>
      </c>
    </row>
    <row r="49">
      <c r="A49" s="23" t="inlineStr">
        <is>
          <t>RdsonBot</t>
        </is>
      </c>
      <c r="B49" s="5">
        <f>Rdson2*1000</f>
        <v/>
      </c>
      <c r="C49" s="429" t="inlineStr">
        <is>
          <t>mW</t>
        </is>
      </c>
      <c r="D49" s="427" t="inlineStr">
        <is>
          <t>Drain-Source Resistance of Low-side FET</t>
        </is>
      </c>
      <c r="G49" t="n">
        <v>40</v>
      </c>
      <c r="H49" s="531">
        <f>Vin</f>
        <v/>
      </c>
      <c r="I49" s="4">
        <f>MODE</f>
        <v/>
      </c>
      <c r="J49" s="982">
        <f>Iout*G49/100</f>
        <v/>
      </c>
      <c r="K49" s="982">
        <f>Iout*G49/100/Number_of_Phases</f>
        <v/>
      </c>
      <c r="L49" s="4">
        <f>Vout*K49/(Vin*Efficiency)</f>
        <v/>
      </c>
      <c r="M49" s="982">
        <f>(Vout+(Rdson2+Rs+Rdcr)*K49)/(Vin+(Rs+Rdson2-Rdson1)*K49)</f>
        <v/>
      </c>
      <c r="N49" s="4">
        <f>(Vin-(Rdson1+Rdcr)*K49-Vout)*M49/(Fsw*Lf)</f>
        <v/>
      </c>
      <c r="O49" s="4">
        <f>K49+N49/2</f>
        <v/>
      </c>
      <c r="P49" s="4">
        <f>K49-N49/2</f>
        <v/>
      </c>
      <c r="Q49" s="4">
        <f>IF(MIN(Vin, -P49/(Coss_Q1+Coss_Q2)*0.00000002)&lt;0, 0, MIN(Vin, -P49/(Coss_Q1+Coss_Q2)*0.00000002))</f>
        <v/>
      </c>
      <c r="R49" s="4">
        <f>SQRT(K49^2+(N49^2)/12)</f>
        <v/>
      </c>
      <c r="S49" s="982">
        <f>R49^2*Rdcr</f>
        <v/>
      </c>
      <c r="T49" s="982">
        <f>Core_Loss_Ch1</f>
        <v/>
      </c>
      <c r="U49" s="982">
        <f>(T49+S49*(1+Ltc*(Ta-25)))/(1-S49*Ltc*ThetaCa)</f>
        <v/>
      </c>
      <c r="V49" s="4">
        <f>N49/SQRT(12)</f>
        <v/>
      </c>
      <c r="W49" s="982">
        <f>RCoutEsr*V49^2</f>
        <v/>
      </c>
      <c r="X49" s="982">
        <f>W49</f>
        <v/>
      </c>
      <c r="Y49" s="4">
        <f>SQRT(M49*(1-M49))*SQRT(K49^2+(N49^2)/12)</f>
        <v/>
      </c>
      <c r="Z49" s="982">
        <f>RCinEsr*Y49^2</f>
        <v/>
      </c>
      <c r="AA49" s="1078">
        <f>Z49</f>
        <v/>
      </c>
      <c r="AB49" s="982">
        <f>SQRT(M49)*SQRT(K49^2+(N49^2)/12)</f>
        <v/>
      </c>
      <c r="AC49" s="982">
        <f>Rdson1*AB49^2</f>
        <v/>
      </c>
      <c r="AD49" s="982">
        <f>(Vin*K49/2)*Fsw*(Tr_buck+Tf_buck)</f>
        <v/>
      </c>
      <c r="AE49" s="982">
        <f>(0.5*Coss_Q1*(Vin-Q49)^2-0.5*Coss_Q2*(Vin-Q49)^2+(Qoss_Q2*(Vin-Q49)/Vin)*Vin)*Fsw</f>
        <v/>
      </c>
      <c r="AF49" s="982">
        <f>IF(K49&gt;N49/2,0,ABS(K49-N49/2)*Vsd_Q1*Deadtime*Fsw)</f>
        <v/>
      </c>
      <c r="AG49" s="982">
        <f>(AF49+AE49+AD49+AC49*(1+RdsonTopTc*Ta-RdsonTopTc*25))/(1-AC49*RdsonTopTc*ThetaJA_Q1)</f>
        <v/>
      </c>
      <c r="AH49" s="982">
        <f>SQRT((1-M49))*SQRT(K49^2+(N49^2)/12)</f>
        <v/>
      </c>
      <c r="AI49" s="982">
        <f>Rdson2*AH49^2</f>
        <v/>
      </c>
      <c r="AJ49" s="982">
        <f>IF(K49&lt;N49/2,Deadtime*Fsw*IF(VfdSky_Q2&gt;0,0,Vsd_Q2)*(K49+N49/2),2*Deadtime*Fsw*IF(VfdSky_Q2&gt;0,0,Vsd_Q2)*K49)</f>
        <v/>
      </c>
      <c r="AK49" s="982">
        <f>(AJ49+AI49*(1+RdsonBotTc*Ta-RdsonBotTc*25))/(1-AI49*RdsonBotTc*ThetaJA_Q2)</f>
        <v/>
      </c>
      <c r="AL49" s="982">
        <f>2*Deadtime*Fsw*IF(VfdSky_Q2&gt;0,VfdSky_Q2,Vsd_Q2)*K49</f>
        <v/>
      </c>
      <c r="AM49" s="982">
        <f>IF(QrrSky_Q2&gt;0,QrrSky_Q2,Qrr_Q2*K49/(Iout/Number_of_Phases))*Fsw*Vin</f>
        <v/>
      </c>
      <c r="AN49" s="982">
        <f>Rs*R49^2</f>
        <v/>
      </c>
      <c r="AO49" s="982">
        <f>Iq*Vin</f>
        <v/>
      </c>
      <c r="AP49" s="982">
        <f>IF(Ext_VCC=1, (Qg_Q1+Qg_Q2)*Fsw*VCC, (Qg_Q1+Qg_Q2)*Fsw*Vin)</f>
        <v/>
      </c>
      <c r="AQ49" s="982">
        <f>(Vin-VCC)*Fsw*(Qg_Q1+Qg_Q2)+(RdsonDRT+RdsonDRT2)*Fsw*Qg_Q1*VCC/(RdsonDRT+2*Rgate1+RdsonDRT2)+(RdsonDRB+RdsonDRB2)*Fsw*Qg_Q2*VCC/(RdsonDRB+2*Rgate2+RdsonDRB2)</f>
        <v/>
      </c>
      <c r="AR49" s="982">
        <f>(Qg_Q1+Qg_Q2)*Fsw*(Vin-VCC)</f>
        <v/>
      </c>
      <c r="AS49" s="982">
        <f>SUM(AO49:AP49)</f>
        <v/>
      </c>
      <c r="AT49" s="982">
        <f> SUM(U49,X49,AA49,AG49,AK49,AL49,AM49,AS49,AN49)</f>
        <v/>
      </c>
      <c r="AU49">
        <f>Vout*K49</f>
        <v/>
      </c>
      <c r="AV49" s="1079">
        <f>AU49/(AU49+AT49)</f>
        <v/>
      </c>
      <c r="AW49" s="1080">
        <f>ThetaJA_Q1*BC49</f>
        <v/>
      </c>
      <c r="AX49" s="1080">
        <f>ThetaJA_Q2*BD49</f>
        <v/>
      </c>
      <c r="AY49" s="9" t="n"/>
      <c r="AZ49" s="4">
        <f>AV49*100</f>
        <v/>
      </c>
      <c r="BA49" s="982">
        <f>U49</f>
        <v/>
      </c>
      <c r="BB49" s="982">
        <f>AG49+AK49+AM49</f>
        <v/>
      </c>
      <c r="BC49" s="982">
        <f>AG49+AM49*0.66</f>
        <v/>
      </c>
      <c r="BD49" s="982">
        <f>AK49+AM49*0.33</f>
        <v/>
      </c>
      <c r="BE49" s="982">
        <f>AN49</f>
        <v/>
      </c>
    </row>
    <row r="50">
      <c r="A50" s="23" t="inlineStr">
        <is>
          <t>RdsonBotTc</t>
        </is>
      </c>
      <c r="B50" s="5">
        <f>RdsonBotTc*1000000</f>
        <v/>
      </c>
      <c r="C50" s="427" t="inlineStr">
        <is>
          <t>ppm</t>
        </is>
      </c>
      <c r="D50" s="21" t="inlineStr">
        <is>
          <t>Drain To Source Resitance Temp Co</t>
        </is>
      </c>
      <c r="G50" t="n">
        <v>41</v>
      </c>
      <c r="H50" s="531">
        <f>Vin</f>
        <v/>
      </c>
      <c r="I50" s="4">
        <f>MODE</f>
        <v/>
      </c>
      <c r="J50" s="982">
        <f>Iout*G50/100</f>
        <v/>
      </c>
      <c r="K50" s="982">
        <f>Iout*G50/100/Number_of_Phases</f>
        <v/>
      </c>
      <c r="L50" s="4">
        <f>Vout*K50/(Vin*Efficiency)</f>
        <v/>
      </c>
      <c r="M50" s="982">
        <f>(Vout+(Rdson2+Rs+Rdcr)*K50)/(Vin+(Rs+Rdson2-Rdson1)*K50)</f>
        <v/>
      </c>
      <c r="N50" s="4">
        <f>(Vin-(Rdson1+Rdcr)*K50-Vout)*M50/(Fsw*Lf)</f>
        <v/>
      </c>
      <c r="O50" s="4">
        <f>K50+N50/2</f>
        <v/>
      </c>
      <c r="P50" s="4">
        <f>K50-N50/2</f>
        <v/>
      </c>
      <c r="Q50" s="4">
        <f>IF(MIN(Vin, -P50/(Coss_Q1+Coss_Q2)*0.00000002)&lt;0, 0, MIN(Vin, -P50/(Coss_Q1+Coss_Q2)*0.00000002))</f>
        <v/>
      </c>
      <c r="R50" s="4">
        <f>SQRT(K50^2+(N50^2)/12)</f>
        <v/>
      </c>
      <c r="S50" s="982">
        <f>R50^2*Rdcr</f>
        <v/>
      </c>
      <c r="T50" s="982">
        <f>Core_Loss_Ch1</f>
        <v/>
      </c>
      <c r="U50" s="982">
        <f>(T50+S50*(1+Ltc*(Ta-25)))/(1-S50*Ltc*ThetaCa)</f>
        <v/>
      </c>
      <c r="V50" s="4">
        <f>N50/SQRT(12)</f>
        <v/>
      </c>
      <c r="W50" s="982">
        <f>RCoutEsr*V50^2</f>
        <v/>
      </c>
      <c r="X50" s="982">
        <f>W50</f>
        <v/>
      </c>
      <c r="Y50" s="4">
        <f>SQRT(M50*(1-M50))*SQRT(K50^2+(N50^2)/12)</f>
        <v/>
      </c>
      <c r="Z50" s="982">
        <f>RCinEsr*Y50^2</f>
        <v/>
      </c>
      <c r="AA50" s="1078">
        <f>Z50</f>
        <v/>
      </c>
      <c r="AB50" s="982">
        <f>SQRT(M50)*SQRT(K50^2+(N50^2)/12)</f>
        <v/>
      </c>
      <c r="AC50" s="982">
        <f>Rdson1*AB50^2</f>
        <v/>
      </c>
      <c r="AD50" s="982">
        <f>(Vin*K50/2)*Fsw*(Tr_buck+Tf_buck)</f>
        <v/>
      </c>
      <c r="AE50" s="982">
        <f>(0.5*Coss_Q1*(Vin-Q50)^2-0.5*Coss_Q2*(Vin-Q50)^2+(Qoss_Q2*(Vin-Q50)/Vin)*Vin)*Fsw</f>
        <v/>
      </c>
      <c r="AF50" s="982">
        <f>IF(K50&gt;N50/2,0,ABS(K50-N50/2)*Vsd_Q1*Deadtime*Fsw)</f>
        <v/>
      </c>
      <c r="AG50" s="982">
        <f>(AF50+AE50+AD50+AC50*(1+RdsonTopTc*Ta-RdsonTopTc*25))/(1-AC50*RdsonTopTc*ThetaJA_Q1)</f>
        <v/>
      </c>
      <c r="AH50" s="982">
        <f>SQRT((1-M50))*SQRT(K50^2+(N50^2)/12)</f>
        <v/>
      </c>
      <c r="AI50" s="982">
        <f>Rdson2*AH50^2</f>
        <v/>
      </c>
      <c r="AJ50" s="982">
        <f>IF(K50&lt;N50/2,Deadtime*Fsw*IF(VfdSky_Q2&gt;0,0,Vsd_Q2)*(K50+N50/2),2*Deadtime*Fsw*IF(VfdSky_Q2&gt;0,0,Vsd_Q2)*K50)</f>
        <v/>
      </c>
      <c r="AK50" s="982">
        <f>(AJ50+AI50*(1+RdsonBotTc*Ta-RdsonBotTc*25))/(1-AI50*RdsonBotTc*ThetaJA_Q2)</f>
        <v/>
      </c>
      <c r="AL50" s="982">
        <f>2*Deadtime*Fsw*IF(VfdSky_Q2&gt;0,VfdSky_Q2,Vsd_Q2)*K50</f>
        <v/>
      </c>
      <c r="AM50" s="982">
        <f>IF(QrrSky_Q2&gt;0,QrrSky_Q2,Qrr_Q2*K50/(Iout/Number_of_Phases))*Fsw*Vin</f>
        <v/>
      </c>
      <c r="AN50" s="982">
        <f>Rs*R50^2</f>
        <v/>
      </c>
      <c r="AO50" s="982">
        <f>Iq*Vin</f>
        <v/>
      </c>
      <c r="AP50" s="982">
        <f>IF(Ext_VCC=1, (Qg_Q1+Qg_Q2)*Fsw*VCC, (Qg_Q1+Qg_Q2)*Fsw*Vin)</f>
        <v/>
      </c>
      <c r="AQ50" s="982">
        <f>(Vin-VCC)*Fsw*(Qg_Q1+Qg_Q2)+(RdsonDRT+RdsonDRT2)*Fsw*Qg_Q1*VCC/(RdsonDRT+2*Rgate1+RdsonDRT2)+(RdsonDRB+RdsonDRB2)*Fsw*Qg_Q2*VCC/(RdsonDRB+2*Rgate2+RdsonDRB2)</f>
        <v/>
      </c>
      <c r="AR50" s="982">
        <f>(Qg_Q1+Qg_Q2)*Fsw*(Vin-VCC)</f>
        <v/>
      </c>
      <c r="AS50" s="982">
        <f>SUM(AO50:AP50)</f>
        <v/>
      </c>
      <c r="AT50" s="982">
        <f> SUM(U50,X50,AA50,AG50,AK50,AL50,AM50,AS50,AN50)</f>
        <v/>
      </c>
      <c r="AU50">
        <f>Vout*K50</f>
        <v/>
      </c>
      <c r="AV50" s="1079">
        <f>AU50/(AU50+AT50)</f>
        <v/>
      </c>
      <c r="AW50" s="1080">
        <f>ThetaJA_Q1*BC50</f>
        <v/>
      </c>
      <c r="AX50" s="1080">
        <f>ThetaJA_Q2*BD50</f>
        <v/>
      </c>
      <c r="AY50" s="9" t="n"/>
      <c r="AZ50" s="4">
        <f>AV50*100</f>
        <v/>
      </c>
      <c r="BA50" s="982">
        <f>U50</f>
        <v/>
      </c>
      <c r="BB50" s="982">
        <f>AG50+AK50+AM50</f>
        <v/>
      </c>
      <c r="BC50" s="982">
        <f>AG50+AM50*0.66</f>
        <v/>
      </c>
      <c r="BD50" s="982">
        <f>AK50+AM50*0.33</f>
        <v/>
      </c>
      <c r="BE50" s="982">
        <f>AN50</f>
        <v/>
      </c>
    </row>
    <row r="51">
      <c r="A51" s="23" t="inlineStr">
        <is>
          <t>QgBot</t>
        </is>
      </c>
      <c r="B51" s="5">
        <f>Qg_Q2*1000000000</f>
        <v/>
      </c>
      <c r="C51" s="427" t="inlineStr">
        <is>
          <t>nC</t>
        </is>
      </c>
      <c r="D51" s="21" t="inlineStr">
        <is>
          <t>Gate Charge Of Top FET</t>
        </is>
      </c>
      <c r="G51" t="n">
        <v>42</v>
      </c>
      <c r="H51" s="531">
        <f>Vin</f>
        <v/>
      </c>
      <c r="I51" s="4">
        <f>MODE</f>
        <v/>
      </c>
      <c r="J51" s="982">
        <f>Iout*G51/100</f>
        <v/>
      </c>
      <c r="K51" s="982">
        <f>Iout*G51/100/Number_of_Phases</f>
        <v/>
      </c>
      <c r="L51" s="4">
        <f>Vout*K51/(Vin*Efficiency)</f>
        <v/>
      </c>
      <c r="M51" s="982">
        <f>(Vout+(Rdson2+Rs+Rdcr)*K51)/(Vin+(Rs+Rdson2-Rdson1)*K51)</f>
        <v/>
      </c>
      <c r="N51" s="4">
        <f>(Vin-(Rdson1+Rdcr)*K51-Vout)*M51/(Fsw*Lf)</f>
        <v/>
      </c>
      <c r="O51" s="4">
        <f>K51+N51/2</f>
        <v/>
      </c>
      <c r="P51" s="4">
        <f>K51-N51/2</f>
        <v/>
      </c>
      <c r="Q51" s="4">
        <f>IF(MIN(Vin, -P51/(Coss_Q1+Coss_Q2)*0.00000002)&lt;0, 0, MIN(Vin, -P51/(Coss_Q1+Coss_Q2)*0.00000002))</f>
        <v/>
      </c>
      <c r="R51" s="4">
        <f>SQRT(K51^2+(N51^2)/12)</f>
        <v/>
      </c>
      <c r="S51" s="982">
        <f>R51^2*Rdcr</f>
        <v/>
      </c>
      <c r="T51" s="982">
        <f>Core_Loss_Ch1</f>
        <v/>
      </c>
      <c r="U51" s="982">
        <f>(T51+S51*(1+Ltc*(Ta-25)))/(1-S51*Ltc*ThetaCa)</f>
        <v/>
      </c>
      <c r="V51" s="4">
        <f>N51/SQRT(12)</f>
        <v/>
      </c>
      <c r="W51" s="982">
        <f>RCoutEsr*V51^2</f>
        <v/>
      </c>
      <c r="X51" s="982">
        <f>W51</f>
        <v/>
      </c>
      <c r="Y51" s="4">
        <f>SQRT(M51*(1-M51))*SQRT(K51^2+(N51^2)/12)</f>
        <v/>
      </c>
      <c r="Z51" s="982">
        <f>RCinEsr*Y51^2</f>
        <v/>
      </c>
      <c r="AA51" s="1078">
        <f>Z51</f>
        <v/>
      </c>
      <c r="AB51" s="982">
        <f>SQRT(M51)*SQRT(K51^2+(N51^2)/12)</f>
        <v/>
      </c>
      <c r="AC51" s="982">
        <f>Rdson1*AB51^2</f>
        <v/>
      </c>
      <c r="AD51" s="982">
        <f>(Vin*K51/2)*Fsw*(Tr_buck+Tf_buck)</f>
        <v/>
      </c>
      <c r="AE51" s="982">
        <f>(0.5*Coss_Q1*(Vin-Q51)^2-0.5*Coss_Q2*(Vin-Q51)^2+(Qoss_Q2*(Vin-Q51)/Vin)*Vin)*Fsw</f>
        <v/>
      </c>
      <c r="AF51" s="982">
        <f>IF(K51&gt;N51/2,0,ABS(K51-N51/2)*Vsd_Q1*Deadtime*Fsw)</f>
        <v/>
      </c>
      <c r="AG51" s="982">
        <f>(AF51+AE51+AD51+AC51*(1+RdsonTopTc*Ta-RdsonTopTc*25))/(1-AC51*RdsonTopTc*ThetaJA_Q1)</f>
        <v/>
      </c>
      <c r="AH51" s="982">
        <f>SQRT((1-M51))*SQRT(K51^2+(N51^2)/12)</f>
        <v/>
      </c>
      <c r="AI51" s="982">
        <f>Rdson2*AH51^2</f>
        <v/>
      </c>
      <c r="AJ51" s="982">
        <f>IF(K51&lt;N51/2,Deadtime*Fsw*IF(VfdSky_Q2&gt;0,0,Vsd_Q2)*(K51+N51/2),2*Deadtime*Fsw*IF(VfdSky_Q2&gt;0,0,Vsd_Q2)*K51)</f>
        <v/>
      </c>
      <c r="AK51" s="982">
        <f>(AJ51+AI51*(1+RdsonBotTc*Ta-RdsonBotTc*25))/(1-AI51*RdsonBotTc*ThetaJA_Q2)</f>
        <v/>
      </c>
      <c r="AL51" s="982">
        <f>2*Deadtime*Fsw*IF(VfdSky_Q2&gt;0,VfdSky_Q2,Vsd_Q2)*K51</f>
        <v/>
      </c>
      <c r="AM51" s="982">
        <f>IF(QrrSky_Q2&gt;0,QrrSky_Q2,Qrr_Q2*K51/(Iout/Number_of_Phases))*Fsw*Vin</f>
        <v/>
      </c>
      <c r="AN51" s="982">
        <f>Rs*R51^2</f>
        <v/>
      </c>
      <c r="AO51" s="982">
        <f>Iq*Vin</f>
        <v/>
      </c>
      <c r="AP51" s="982">
        <f>IF(Ext_VCC=1, (Qg_Q1+Qg_Q2)*Fsw*VCC, (Qg_Q1+Qg_Q2)*Fsw*Vin)</f>
        <v/>
      </c>
      <c r="AQ51" s="982">
        <f>(Vin-VCC)*Fsw*(Qg_Q1+Qg_Q2)+(RdsonDRT+RdsonDRT2)*Fsw*Qg_Q1*VCC/(RdsonDRT+2*Rgate1+RdsonDRT2)+(RdsonDRB+RdsonDRB2)*Fsw*Qg_Q2*VCC/(RdsonDRB+2*Rgate2+RdsonDRB2)</f>
        <v/>
      </c>
      <c r="AR51" s="982">
        <f>(Qg_Q1+Qg_Q2)*Fsw*(Vin-VCC)</f>
        <v/>
      </c>
      <c r="AS51" s="982">
        <f>SUM(AO51:AP51)</f>
        <v/>
      </c>
      <c r="AT51" s="982">
        <f> SUM(U51,X51,AA51,AG51,AK51,AL51,AM51,AS51,AN51)</f>
        <v/>
      </c>
      <c r="AU51">
        <f>Vout*K51</f>
        <v/>
      </c>
      <c r="AV51" s="1079">
        <f>AU51/(AU51+AT51)</f>
        <v/>
      </c>
      <c r="AW51" s="1080">
        <f>ThetaJA_Q1*BC51</f>
        <v/>
      </c>
      <c r="AX51" s="1080">
        <f>ThetaJA_Q2*BD51</f>
        <v/>
      </c>
      <c r="AY51" s="9" t="n"/>
      <c r="AZ51" s="4">
        <f>AV51*100</f>
        <v/>
      </c>
      <c r="BA51" s="982">
        <f>U51</f>
        <v/>
      </c>
      <c r="BB51" s="982">
        <f>AG51+AK51+AM51</f>
        <v/>
      </c>
      <c r="BC51" s="982">
        <f>AG51+AM51*0.66</f>
        <v/>
      </c>
      <c r="BD51" s="982">
        <f>AK51+AM51*0.33</f>
        <v/>
      </c>
      <c r="BE51" s="982">
        <f>AN51</f>
        <v/>
      </c>
    </row>
    <row r="52">
      <c r="A52" s="23" t="inlineStr">
        <is>
          <t>RGateBot</t>
        </is>
      </c>
      <c r="B52" s="5">
        <f>Rgate2</f>
        <v/>
      </c>
      <c r="C52" s="431" t="inlineStr">
        <is>
          <t>W</t>
        </is>
      </c>
      <c r="D52" s="21" t="inlineStr">
        <is>
          <t>Gate Resistance</t>
        </is>
      </c>
      <c r="G52" t="n">
        <v>43</v>
      </c>
      <c r="H52" s="531">
        <f>Vin</f>
        <v/>
      </c>
      <c r="I52" s="4">
        <f>MODE</f>
        <v/>
      </c>
      <c r="J52" s="982">
        <f>Iout*G52/100</f>
        <v/>
      </c>
      <c r="K52" s="982">
        <f>Iout*G52/100/Number_of_Phases</f>
        <v/>
      </c>
      <c r="L52" s="4">
        <f>Vout*K52/(Vin*Efficiency)</f>
        <v/>
      </c>
      <c r="M52" s="982">
        <f>(Vout+(Rdson2+Rs+Rdcr)*K52)/(Vin+(Rs+Rdson2-Rdson1)*K52)</f>
        <v/>
      </c>
      <c r="N52" s="4">
        <f>(Vin-(Rdson1+Rdcr)*K52-Vout)*M52/(Fsw*Lf)</f>
        <v/>
      </c>
      <c r="O52" s="4">
        <f>K52+N52/2</f>
        <v/>
      </c>
      <c r="P52" s="4">
        <f>K52-N52/2</f>
        <v/>
      </c>
      <c r="Q52" s="4">
        <f>IF(MIN(Vin, -P52/(Coss_Q1+Coss_Q2)*0.00000002)&lt;0, 0, MIN(Vin, -P52/(Coss_Q1+Coss_Q2)*0.00000002))</f>
        <v/>
      </c>
      <c r="R52" s="4">
        <f>SQRT(K52^2+(N52^2)/12)</f>
        <v/>
      </c>
      <c r="S52" s="982">
        <f>R52^2*Rdcr</f>
        <v/>
      </c>
      <c r="T52" s="982">
        <f>Core_Loss_Ch1</f>
        <v/>
      </c>
      <c r="U52" s="982">
        <f>(T52+S52*(1+Ltc*(Ta-25)))/(1-S52*Ltc*ThetaCa)</f>
        <v/>
      </c>
      <c r="V52" s="4">
        <f>N52/SQRT(12)</f>
        <v/>
      </c>
      <c r="W52" s="982">
        <f>RCoutEsr*V52^2</f>
        <v/>
      </c>
      <c r="X52" s="982">
        <f>W52</f>
        <v/>
      </c>
      <c r="Y52" s="4">
        <f>SQRT(M52*(1-M52))*SQRT(K52^2+(N52^2)/12)</f>
        <v/>
      </c>
      <c r="Z52" s="982">
        <f>RCinEsr*Y52^2</f>
        <v/>
      </c>
      <c r="AA52" s="1078">
        <f>Z52</f>
        <v/>
      </c>
      <c r="AB52" s="982">
        <f>SQRT(M52)*SQRT(K52^2+(N52^2)/12)</f>
        <v/>
      </c>
      <c r="AC52" s="982">
        <f>Rdson1*AB52^2</f>
        <v/>
      </c>
      <c r="AD52" s="982">
        <f>(Vin*K52/2)*Fsw*(Tr_buck+Tf_buck)</f>
        <v/>
      </c>
      <c r="AE52" s="982">
        <f>(0.5*Coss_Q1*(Vin-Q52)^2-0.5*Coss_Q2*(Vin-Q52)^2+(Qoss_Q2*(Vin-Q52)/Vin)*Vin)*Fsw</f>
        <v/>
      </c>
      <c r="AF52" s="982">
        <f>IF(K52&gt;N52/2,0,ABS(K52-N52/2)*Vsd_Q1*Deadtime*Fsw)</f>
        <v/>
      </c>
      <c r="AG52" s="982">
        <f>(AF52+AE52+AD52+AC52*(1+RdsonTopTc*Ta-RdsonTopTc*25))/(1-AC52*RdsonTopTc*ThetaJA_Q1)</f>
        <v/>
      </c>
      <c r="AH52" s="982">
        <f>SQRT((1-M52))*SQRT(K52^2+(N52^2)/12)</f>
        <v/>
      </c>
      <c r="AI52" s="982">
        <f>Rdson2*AH52^2</f>
        <v/>
      </c>
      <c r="AJ52" s="982">
        <f>IF(K52&lt;N52/2,Deadtime*Fsw*IF(VfdSky_Q2&gt;0,0,Vsd_Q2)*(K52+N52/2),2*Deadtime*Fsw*IF(VfdSky_Q2&gt;0,0,Vsd_Q2)*K52)</f>
        <v/>
      </c>
      <c r="AK52" s="982">
        <f>(AJ52+AI52*(1+RdsonBotTc*Ta-RdsonBotTc*25))/(1-AI52*RdsonBotTc*ThetaJA_Q2)</f>
        <v/>
      </c>
      <c r="AL52" s="982">
        <f>2*Deadtime*Fsw*IF(VfdSky_Q2&gt;0,VfdSky_Q2,Vsd_Q2)*K52</f>
        <v/>
      </c>
      <c r="AM52" s="982">
        <f>IF(QrrSky_Q2&gt;0,QrrSky_Q2,Qrr_Q2*K52/(Iout/Number_of_Phases))*Fsw*Vin</f>
        <v/>
      </c>
      <c r="AN52" s="982">
        <f>Rs*R52^2</f>
        <v/>
      </c>
      <c r="AO52" s="982">
        <f>Iq*Vin</f>
        <v/>
      </c>
      <c r="AP52" s="982">
        <f>IF(Ext_VCC=1, (Qg_Q1+Qg_Q2)*Fsw*VCC, (Qg_Q1+Qg_Q2)*Fsw*Vin)</f>
        <v/>
      </c>
      <c r="AQ52" s="982">
        <f>(Vin-VCC)*Fsw*(Qg_Q1+Qg_Q2)+(RdsonDRT+RdsonDRT2)*Fsw*Qg_Q1*VCC/(RdsonDRT+2*Rgate1+RdsonDRT2)+(RdsonDRB+RdsonDRB2)*Fsw*Qg_Q2*VCC/(RdsonDRB+2*Rgate2+RdsonDRB2)</f>
        <v/>
      </c>
      <c r="AR52" s="982">
        <f>(Qg_Q1+Qg_Q2)*Fsw*(Vin-VCC)</f>
        <v/>
      </c>
      <c r="AS52" s="982">
        <f>SUM(AO52:AP52)</f>
        <v/>
      </c>
      <c r="AT52" s="982">
        <f> SUM(U52,X52,AA52,AG52,AK52,AL52,AM52,AS52,AN52)</f>
        <v/>
      </c>
      <c r="AU52">
        <f>Vout*K52</f>
        <v/>
      </c>
      <c r="AV52" s="1079">
        <f>AU52/(AU52+AT52)</f>
        <v/>
      </c>
      <c r="AW52" s="1080">
        <f>ThetaJA_Q1*BC52</f>
        <v/>
      </c>
      <c r="AX52" s="1080">
        <f>ThetaJA_Q2*BD52</f>
        <v/>
      </c>
      <c r="AY52" s="9" t="n"/>
      <c r="AZ52" s="4">
        <f>AV52*100</f>
        <v/>
      </c>
      <c r="BA52" s="982">
        <f>U52</f>
        <v/>
      </c>
      <c r="BB52" s="982">
        <f>AG52+AK52+AM52</f>
        <v/>
      </c>
      <c r="BC52" s="982">
        <f>AG52+AM52*0.66</f>
        <v/>
      </c>
      <c r="BD52" s="982">
        <f>AK52+AM52*0.33</f>
        <v/>
      </c>
      <c r="BE52" s="982">
        <f>AN52</f>
        <v/>
      </c>
    </row>
    <row r="53">
      <c r="A53" s="23" t="inlineStr">
        <is>
          <t>VsdBot</t>
        </is>
      </c>
      <c r="B53" s="5">
        <f>Vsd_Q2</f>
        <v/>
      </c>
      <c r="C53" s="427" t="inlineStr">
        <is>
          <t>V</t>
        </is>
      </c>
      <c r="D53" s="21" t="inlineStr">
        <is>
          <t>Diode Forward Voltage of Bottom FET Body Diode</t>
        </is>
      </c>
      <c r="G53" t="n">
        <v>44</v>
      </c>
      <c r="H53" s="531">
        <f>Vin</f>
        <v/>
      </c>
      <c r="I53" s="4">
        <f>MODE</f>
        <v/>
      </c>
      <c r="J53" s="982">
        <f>Iout*G53/100</f>
        <v/>
      </c>
      <c r="K53" s="982">
        <f>Iout*G53/100/Number_of_Phases</f>
        <v/>
      </c>
      <c r="L53" s="4">
        <f>Vout*K53/(Vin*Efficiency)</f>
        <v/>
      </c>
      <c r="M53" s="982">
        <f>(Vout+(Rdson2+Rs+Rdcr)*K53)/(Vin+(Rs+Rdson2-Rdson1)*K53)</f>
        <v/>
      </c>
      <c r="N53" s="4">
        <f>(Vin-(Rdson1+Rdcr)*K53-Vout)*M53/(Fsw*Lf)</f>
        <v/>
      </c>
      <c r="O53" s="4">
        <f>K53+N53/2</f>
        <v/>
      </c>
      <c r="P53" s="4">
        <f>K53-N53/2</f>
        <v/>
      </c>
      <c r="Q53" s="4">
        <f>IF(MIN(Vin, -P53/(Coss_Q1+Coss_Q2)*0.00000002)&lt;0, 0, MIN(Vin, -P53/(Coss_Q1+Coss_Q2)*0.00000002))</f>
        <v/>
      </c>
      <c r="R53" s="4">
        <f>SQRT(K53^2+(N53^2)/12)</f>
        <v/>
      </c>
      <c r="S53" s="982">
        <f>R53^2*Rdcr</f>
        <v/>
      </c>
      <c r="T53" s="982">
        <f>Core_Loss_Ch1</f>
        <v/>
      </c>
      <c r="U53" s="982">
        <f>(T53+S53*(1+Ltc*(Ta-25)))/(1-S53*Ltc*ThetaCa)</f>
        <v/>
      </c>
      <c r="V53" s="4">
        <f>N53/SQRT(12)</f>
        <v/>
      </c>
      <c r="W53" s="982">
        <f>RCoutEsr*V53^2</f>
        <v/>
      </c>
      <c r="X53" s="982">
        <f>W53</f>
        <v/>
      </c>
      <c r="Y53" s="4">
        <f>SQRT(M53*(1-M53))*SQRT(K53^2+(N53^2)/12)</f>
        <v/>
      </c>
      <c r="Z53" s="982">
        <f>RCinEsr*Y53^2</f>
        <v/>
      </c>
      <c r="AA53" s="1078">
        <f>Z53</f>
        <v/>
      </c>
      <c r="AB53" s="982">
        <f>SQRT(M53)*SQRT(K53^2+(N53^2)/12)</f>
        <v/>
      </c>
      <c r="AC53" s="982">
        <f>Rdson1*AB53^2</f>
        <v/>
      </c>
      <c r="AD53" s="982">
        <f>(Vin*K53/2)*Fsw*(Tr_buck+Tf_buck)</f>
        <v/>
      </c>
      <c r="AE53" s="982">
        <f>(0.5*Coss_Q1*(Vin-Q53)^2-0.5*Coss_Q2*(Vin-Q53)^2+(Qoss_Q2*(Vin-Q53)/Vin)*Vin)*Fsw</f>
        <v/>
      </c>
      <c r="AF53" s="982">
        <f>IF(K53&gt;N53/2,0,ABS(K53-N53/2)*Vsd_Q1*Deadtime*Fsw)</f>
        <v/>
      </c>
      <c r="AG53" s="982">
        <f>(AF53+AE53+AD53+AC53*(1+RdsonTopTc*Ta-RdsonTopTc*25))/(1-AC53*RdsonTopTc*ThetaJA_Q1)</f>
        <v/>
      </c>
      <c r="AH53" s="982">
        <f>SQRT((1-M53))*SQRT(K53^2+(N53^2)/12)</f>
        <v/>
      </c>
      <c r="AI53" s="982">
        <f>Rdson2*AH53^2</f>
        <v/>
      </c>
      <c r="AJ53" s="982">
        <f>IF(K53&lt;N53/2,Deadtime*Fsw*IF(VfdSky_Q2&gt;0,0,Vsd_Q2)*(K53+N53/2),2*Deadtime*Fsw*IF(VfdSky_Q2&gt;0,0,Vsd_Q2)*K53)</f>
        <v/>
      </c>
      <c r="AK53" s="982">
        <f>(AJ53+AI53*(1+RdsonBotTc*Ta-RdsonBotTc*25))/(1-AI53*RdsonBotTc*ThetaJA_Q2)</f>
        <v/>
      </c>
      <c r="AL53" s="982">
        <f>2*Deadtime*Fsw*IF(VfdSky_Q2&gt;0,VfdSky_Q2,Vsd_Q2)*K53</f>
        <v/>
      </c>
      <c r="AM53" s="982">
        <f>IF(QrrSky_Q2&gt;0,QrrSky_Q2,Qrr_Q2*K53/(Iout/Number_of_Phases))*Fsw*Vin</f>
        <v/>
      </c>
      <c r="AN53" s="982">
        <f>Rs*R53^2</f>
        <v/>
      </c>
      <c r="AO53" s="982">
        <f>Iq*Vin</f>
        <v/>
      </c>
      <c r="AP53" s="982">
        <f>IF(Ext_VCC=1, (Qg_Q1+Qg_Q2)*Fsw*VCC, (Qg_Q1+Qg_Q2)*Fsw*Vin)</f>
        <v/>
      </c>
      <c r="AQ53" s="982">
        <f>(Vin-VCC)*Fsw*(Qg_Q1+Qg_Q2)+(RdsonDRT+RdsonDRT2)*Fsw*Qg_Q1*VCC/(RdsonDRT+2*Rgate1+RdsonDRT2)+(RdsonDRB+RdsonDRB2)*Fsw*Qg_Q2*VCC/(RdsonDRB+2*Rgate2+RdsonDRB2)</f>
        <v/>
      </c>
      <c r="AR53" s="982">
        <f>(Qg_Q1+Qg_Q2)*Fsw*(Vin-VCC)</f>
        <v/>
      </c>
      <c r="AS53" s="982">
        <f>SUM(AO53:AP53)</f>
        <v/>
      </c>
      <c r="AT53" s="982">
        <f> SUM(U53,X53,AA53,AG53,AK53,AL53,AM53,AS53,AN53)</f>
        <v/>
      </c>
      <c r="AU53">
        <f>Vout*K53</f>
        <v/>
      </c>
      <c r="AV53" s="1079">
        <f>AU53/(AU53+AT53)</f>
        <v/>
      </c>
      <c r="AW53" s="1080">
        <f>ThetaJA_Q1*BC53</f>
        <v/>
      </c>
      <c r="AX53" s="1080">
        <f>ThetaJA_Q2*BD53</f>
        <v/>
      </c>
      <c r="AY53" s="9" t="n"/>
      <c r="AZ53" s="4">
        <f>AV53*100</f>
        <v/>
      </c>
      <c r="BA53" s="982">
        <f>U53</f>
        <v/>
      </c>
      <c r="BB53" s="982">
        <f>AG53+AK53+AM53</f>
        <v/>
      </c>
      <c r="BC53" s="982">
        <f>AG53+AM53*0.66</f>
        <v/>
      </c>
      <c r="BD53" s="982">
        <f>AK53+AM53*0.33</f>
        <v/>
      </c>
      <c r="BE53" s="982">
        <f>AN53</f>
        <v/>
      </c>
    </row>
    <row r="54">
      <c r="A54" s="23" t="inlineStr">
        <is>
          <t>QrrBot</t>
        </is>
      </c>
      <c r="B54" s="5">
        <f>Qrr_Q2*1000000000</f>
        <v/>
      </c>
      <c r="C54" s="427" t="inlineStr">
        <is>
          <t>nC</t>
        </is>
      </c>
      <c r="D54" s="21" t="inlineStr">
        <is>
          <t>Reverse Recovery Charge of Body Diode</t>
        </is>
      </c>
      <c r="G54" t="n">
        <v>45</v>
      </c>
      <c r="H54" s="531">
        <f>Vin</f>
        <v/>
      </c>
      <c r="I54" s="4">
        <f>MODE</f>
        <v/>
      </c>
      <c r="J54" s="982">
        <f>Iout*G54/100</f>
        <v/>
      </c>
      <c r="K54" s="982">
        <f>Iout*G54/100/Number_of_Phases</f>
        <v/>
      </c>
      <c r="L54" s="4">
        <f>Vout*K54/(Vin*Efficiency)</f>
        <v/>
      </c>
      <c r="M54" s="982">
        <f>(Vout+(Rdson2+Rs+Rdcr)*K54)/(Vin+(Rs+Rdson2-Rdson1)*K54)</f>
        <v/>
      </c>
      <c r="N54" s="4">
        <f>(Vin-(Rdson1+Rdcr)*K54-Vout)*M54/(Fsw*Lf)</f>
        <v/>
      </c>
      <c r="O54" s="4">
        <f>K54+N54/2</f>
        <v/>
      </c>
      <c r="P54" s="4">
        <f>K54-N54/2</f>
        <v/>
      </c>
      <c r="Q54" s="4">
        <f>IF(MIN(Vin, -P54/(Coss_Q1+Coss_Q2)*0.00000002)&lt;0, 0, MIN(Vin, -P54/(Coss_Q1+Coss_Q2)*0.00000002))</f>
        <v/>
      </c>
      <c r="R54" s="4">
        <f>SQRT(K54^2+(N54^2)/12)</f>
        <v/>
      </c>
      <c r="S54" s="982">
        <f>R54^2*Rdcr</f>
        <v/>
      </c>
      <c r="T54" s="982">
        <f>Core_Loss_Ch1</f>
        <v/>
      </c>
      <c r="U54" s="982">
        <f>(T54+S54*(1+Ltc*(Ta-25)))/(1-S54*Ltc*ThetaCa)</f>
        <v/>
      </c>
      <c r="V54" s="4">
        <f>N54/SQRT(12)</f>
        <v/>
      </c>
      <c r="W54" s="982">
        <f>RCoutEsr*V54^2</f>
        <v/>
      </c>
      <c r="X54" s="982">
        <f>W54</f>
        <v/>
      </c>
      <c r="Y54" s="4">
        <f>SQRT(M54*(1-M54))*SQRT(K54^2+(N54^2)/12)</f>
        <v/>
      </c>
      <c r="Z54" s="982">
        <f>RCinEsr*Y54^2</f>
        <v/>
      </c>
      <c r="AA54" s="1078">
        <f>Z54</f>
        <v/>
      </c>
      <c r="AB54" s="982">
        <f>SQRT(M54)*SQRT(K54^2+(N54^2)/12)</f>
        <v/>
      </c>
      <c r="AC54" s="982">
        <f>Rdson1*AB54^2</f>
        <v/>
      </c>
      <c r="AD54" s="982">
        <f>(Vin*K54/2)*Fsw*(Tr_buck+Tf_buck)</f>
        <v/>
      </c>
      <c r="AE54" s="982">
        <f>(0.5*Coss_Q1*(Vin-Q54)^2-0.5*Coss_Q2*(Vin-Q54)^2+(Qoss_Q2*(Vin-Q54)/Vin)*Vin)*Fsw</f>
        <v/>
      </c>
      <c r="AF54" s="982">
        <f>IF(K54&gt;N54/2,0,ABS(K54-N54/2)*Vsd_Q1*Deadtime*Fsw)</f>
        <v/>
      </c>
      <c r="AG54" s="982">
        <f>(AF54+AE54+AD54+AC54*(1+RdsonTopTc*Ta-RdsonTopTc*25))/(1-AC54*RdsonTopTc*ThetaJA_Q1)</f>
        <v/>
      </c>
      <c r="AH54" s="982">
        <f>SQRT((1-M54))*SQRT(K54^2+(N54^2)/12)</f>
        <v/>
      </c>
      <c r="AI54" s="982">
        <f>Rdson2*AH54^2</f>
        <v/>
      </c>
      <c r="AJ54" s="982">
        <f>IF(K54&lt;N54/2,Deadtime*Fsw*IF(VfdSky_Q2&gt;0,0,Vsd_Q2)*(K54+N54/2),2*Deadtime*Fsw*IF(VfdSky_Q2&gt;0,0,Vsd_Q2)*K54)</f>
        <v/>
      </c>
      <c r="AK54" s="982">
        <f>(AJ54+AI54*(1+RdsonBotTc*Ta-RdsonBotTc*25))/(1-AI54*RdsonBotTc*ThetaJA_Q2)</f>
        <v/>
      </c>
      <c r="AL54" s="982">
        <f>2*Deadtime*Fsw*IF(VfdSky_Q2&gt;0,VfdSky_Q2,Vsd_Q2)*K54</f>
        <v/>
      </c>
      <c r="AM54" s="982">
        <f>IF(QrrSky_Q2&gt;0,QrrSky_Q2,Qrr_Q2*K54/(Iout/Number_of_Phases))*Fsw*Vin</f>
        <v/>
      </c>
      <c r="AN54" s="982">
        <f>Rs*R54^2</f>
        <v/>
      </c>
      <c r="AO54" s="982">
        <f>Iq*Vin</f>
        <v/>
      </c>
      <c r="AP54" s="982">
        <f>IF(Ext_VCC=1, (Qg_Q1+Qg_Q2)*Fsw*VCC, (Qg_Q1+Qg_Q2)*Fsw*Vin)</f>
        <v/>
      </c>
      <c r="AQ54" s="982">
        <f>(Vin-VCC)*Fsw*(Qg_Q1+Qg_Q2)+(RdsonDRT+RdsonDRT2)*Fsw*Qg_Q1*VCC/(RdsonDRT+2*Rgate1+RdsonDRT2)+(RdsonDRB+RdsonDRB2)*Fsw*Qg_Q2*VCC/(RdsonDRB+2*Rgate2+RdsonDRB2)</f>
        <v/>
      </c>
      <c r="AR54" s="982">
        <f>(Qg_Q1+Qg_Q2)*Fsw*(Vin-VCC)</f>
        <v/>
      </c>
      <c r="AS54" s="982">
        <f>SUM(AO54:AP54)</f>
        <v/>
      </c>
      <c r="AT54" s="982">
        <f> SUM(U54,X54,AA54,AG54,AK54,AL54,AM54,AS54,AN54)</f>
        <v/>
      </c>
      <c r="AU54">
        <f>Vout*K54</f>
        <v/>
      </c>
      <c r="AV54" s="1079">
        <f>AU54/(AU54+AT54)</f>
        <v/>
      </c>
      <c r="AW54" s="1080">
        <f>ThetaJA_Q1*BC54</f>
        <v/>
      </c>
      <c r="AX54" s="1080">
        <f>ThetaJA_Q2*BD54</f>
        <v/>
      </c>
      <c r="AY54" s="9" t="n"/>
      <c r="AZ54" s="4">
        <f>AV54*100</f>
        <v/>
      </c>
      <c r="BA54" s="982">
        <f>U54</f>
        <v/>
      </c>
      <c r="BB54" s="982">
        <f>AG54+AK54+AM54</f>
        <v/>
      </c>
      <c r="BC54" s="982">
        <f>AG54+AM54*0.66</f>
        <v/>
      </c>
      <c r="BD54" s="982">
        <f>AK54+AM54*0.33</f>
        <v/>
      </c>
      <c r="BE54" s="982">
        <f>AN54</f>
        <v/>
      </c>
    </row>
    <row r="55">
      <c r="A55" s="23" t="inlineStr">
        <is>
          <t>TrrBot</t>
        </is>
      </c>
      <c r="B55" s="5">
        <f>Trr_Q2*1000000000</f>
        <v/>
      </c>
      <c r="C55" s="427" t="inlineStr">
        <is>
          <t>ns</t>
        </is>
      </c>
      <c r="D55" s="76" t="inlineStr">
        <is>
          <t>Reverse Recovery Time of Body Diode</t>
        </is>
      </c>
      <c r="G55" t="n">
        <v>46</v>
      </c>
      <c r="H55" s="531">
        <f>Vin</f>
        <v/>
      </c>
      <c r="I55" s="4">
        <f>MODE</f>
        <v/>
      </c>
      <c r="J55" s="982">
        <f>Iout*G55/100</f>
        <v/>
      </c>
      <c r="K55" s="982">
        <f>Iout*G55/100/Number_of_Phases</f>
        <v/>
      </c>
      <c r="L55" s="4">
        <f>Vout*K55/(Vin*Efficiency)</f>
        <v/>
      </c>
      <c r="M55" s="982">
        <f>(Vout+(Rdson2+Rs+Rdcr)*K55)/(Vin+(Rs+Rdson2-Rdson1)*K55)</f>
        <v/>
      </c>
      <c r="N55" s="4">
        <f>(Vin-(Rdson1+Rdcr)*K55-Vout)*M55/(Fsw*Lf)</f>
        <v/>
      </c>
      <c r="O55" s="4">
        <f>K55+N55/2</f>
        <v/>
      </c>
      <c r="P55" s="4">
        <f>K55-N55/2</f>
        <v/>
      </c>
      <c r="Q55" s="4">
        <f>IF(MIN(Vin, -P55/(Coss_Q1+Coss_Q2)*0.00000002)&lt;0, 0, MIN(Vin, -P55/(Coss_Q1+Coss_Q2)*0.00000002))</f>
        <v/>
      </c>
      <c r="R55" s="4">
        <f>SQRT(K55^2+(N55^2)/12)</f>
        <v/>
      </c>
      <c r="S55" s="982">
        <f>R55^2*Rdcr</f>
        <v/>
      </c>
      <c r="T55" s="982">
        <f>Core_Loss_Ch1</f>
        <v/>
      </c>
      <c r="U55" s="982">
        <f>(T55+S55*(1+Ltc*(Ta-25)))/(1-S55*Ltc*ThetaCa)</f>
        <v/>
      </c>
      <c r="V55" s="4">
        <f>N55/SQRT(12)</f>
        <v/>
      </c>
      <c r="W55" s="982">
        <f>RCoutEsr*V55^2</f>
        <v/>
      </c>
      <c r="X55" s="982">
        <f>W55</f>
        <v/>
      </c>
      <c r="Y55" s="4">
        <f>SQRT(M55*(1-M55))*SQRT(K55^2+(N55^2)/12)</f>
        <v/>
      </c>
      <c r="Z55" s="982">
        <f>RCinEsr*Y55^2</f>
        <v/>
      </c>
      <c r="AA55" s="1078">
        <f>Z55</f>
        <v/>
      </c>
      <c r="AB55" s="982">
        <f>SQRT(M55)*SQRT(K55^2+(N55^2)/12)</f>
        <v/>
      </c>
      <c r="AC55" s="982">
        <f>Rdson1*AB55^2</f>
        <v/>
      </c>
      <c r="AD55" s="982">
        <f>(Vin*K55/2)*Fsw*(Tr_buck+Tf_buck)</f>
        <v/>
      </c>
      <c r="AE55" s="982">
        <f>(0.5*Coss_Q1*(Vin-Q55)^2-0.5*Coss_Q2*(Vin-Q55)^2+(Qoss_Q2*(Vin-Q55)/Vin)*Vin)*Fsw</f>
        <v/>
      </c>
      <c r="AF55" s="982">
        <f>IF(K55&gt;N55/2,0,ABS(K55-N55/2)*Vsd_Q1*Deadtime*Fsw)</f>
        <v/>
      </c>
      <c r="AG55" s="982">
        <f>(AF55+AE55+AD55+AC55*(1+RdsonTopTc*Ta-RdsonTopTc*25))/(1-AC55*RdsonTopTc*ThetaJA_Q1)</f>
        <v/>
      </c>
      <c r="AH55" s="982">
        <f>SQRT((1-M55))*SQRT(K55^2+(N55^2)/12)</f>
        <v/>
      </c>
      <c r="AI55" s="982">
        <f>Rdson2*AH55^2</f>
        <v/>
      </c>
      <c r="AJ55" s="982">
        <f>IF(K55&lt;N55/2,Deadtime*Fsw*IF(VfdSky_Q2&gt;0,0,Vsd_Q2)*(K55+N55/2),2*Deadtime*Fsw*IF(VfdSky_Q2&gt;0,0,Vsd_Q2)*K55)</f>
        <v/>
      </c>
      <c r="AK55" s="982">
        <f>(AJ55+AI55*(1+RdsonBotTc*Ta-RdsonBotTc*25))/(1-AI55*RdsonBotTc*ThetaJA_Q2)</f>
        <v/>
      </c>
      <c r="AL55" s="982">
        <f>2*Deadtime*Fsw*IF(VfdSky_Q2&gt;0,VfdSky_Q2,Vsd_Q2)*K55</f>
        <v/>
      </c>
      <c r="AM55" s="982">
        <f>IF(QrrSky_Q2&gt;0,QrrSky_Q2,Qrr_Q2*K55/(Iout/Number_of_Phases))*Fsw*Vin</f>
        <v/>
      </c>
      <c r="AN55" s="982">
        <f>Rs*R55^2</f>
        <v/>
      </c>
      <c r="AO55" s="982">
        <f>Iq*Vin</f>
        <v/>
      </c>
      <c r="AP55" s="982">
        <f>IF(Ext_VCC=1, (Qg_Q1+Qg_Q2)*Fsw*VCC, (Qg_Q1+Qg_Q2)*Fsw*Vin)</f>
        <v/>
      </c>
      <c r="AQ55" s="982">
        <f>(Vin-VCC)*Fsw*(Qg_Q1+Qg_Q2)+(RdsonDRT+RdsonDRT2)*Fsw*Qg_Q1*VCC/(RdsonDRT+2*Rgate1+RdsonDRT2)+(RdsonDRB+RdsonDRB2)*Fsw*Qg_Q2*VCC/(RdsonDRB+2*Rgate2+RdsonDRB2)</f>
        <v/>
      </c>
      <c r="AR55" s="982">
        <f>(Qg_Q1+Qg_Q2)*Fsw*(Vin-VCC)</f>
        <v/>
      </c>
      <c r="AS55" s="982">
        <f>SUM(AO55:AP55)</f>
        <v/>
      </c>
      <c r="AT55" s="982">
        <f> SUM(U55,X55,AA55,AG55,AK55,AL55,AM55,AS55,AN55)</f>
        <v/>
      </c>
      <c r="AU55">
        <f>Vout*K55</f>
        <v/>
      </c>
      <c r="AV55" s="1079">
        <f>AU55/(AU55+AT55)</f>
        <v/>
      </c>
      <c r="AW55" s="1080">
        <f>ThetaJA_Q1*BC55</f>
        <v/>
      </c>
      <c r="AX55" s="1080">
        <f>ThetaJA_Q2*BD55</f>
        <v/>
      </c>
      <c r="AY55" s="9" t="n"/>
      <c r="AZ55" s="4">
        <f>AV55*100</f>
        <v/>
      </c>
      <c r="BA55" s="982">
        <f>U55</f>
        <v/>
      </c>
      <c r="BB55" s="982">
        <f>AG55+AK55+AM55</f>
        <v/>
      </c>
      <c r="BC55" s="982">
        <f>AG55+AM55*0.66</f>
        <v/>
      </c>
      <c r="BD55" s="982">
        <f>AK55+AM55*0.33</f>
        <v/>
      </c>
      <c r="BE55" s="982">
        <f>AN55</f>
        <v/>
      </c>
    </row>
    <row r="56" ht="15.75" customHeight="1">
      <c r="A56" s="433" t="inlineStr">
        <is>
          <t>θJABot</t>
        </is>
      </c>
      <c r="B56" s="5">
        <f>ThetaJA_Q2</f>
        <v/>
      </c>
      <c r="C56" s="428" t="inlineStr">
        <is>
          <t>°C/W</t>
        </is>
      </c>
      <c r="D56" s="76" t="inlineStr">
        <is>
          <t>Junction to Ambient Resistance</t>
        </is>
      </c>
      <c r="E56" s="2" t="n"/>
      <c r="G56" t="n">
        <v>47</v>
      </c>
      <c r="H56" s="531">
        <f>Vin</f>
        <v/>
      </c>
      <c r="I56" s="4">
        <f>MODE</f>
        <v/>
      </c>
      <c r="J56" s="982">
        <f>Iout*G56/100</f>
        <v/>
      </c>
      <c r="K56" s="982">
        <f>Iout*G56/100/Number_of_Phases</f>
        <v/>
      </c>
      <c r="L56" s="4">
        <f>Vout*K56/(Vin*Efficiency)</f>
        <v/>
      </c>
      <c r="M56" s="982">
        <f>(Vout+(Rdson2+Rs+Rdcr)*K56)/(Vin+(Rs+Rdson2-Rdson1)*K56)</f>
        <v/>
      </c>
      <c r="N56" s="4">
        <f>(Vin-(Rdson1+Rdcr)*K56-Vout)*M56/(Fsw*Lf)</f>
        <v/>
      </c>
      <c r="O56" s="4">
        <f>K56+N56/2</f>
        <v/>
      </c>
      <c r="P56" s="4">
        <f>K56-N56/2</f>
        <v/>
      </c>
      <c r="Q56" s="4">
        <f>IF(MIN(Vin, -P56/(Coss_Q1+Coss_Q2)*0.00000002)&lt;0, 0, MIN(Vin, -P56/(Coss_Q1+Coss_Q2)*0.00000002))</f>
        <v/>
      </c>
      <c r="R56" s="4">
        <f>SQRT(K56^2+(N56^2)/12)</f>
        <v/>
      </c>
      <c r="S56" s="982">
        <f>R56^2*Rdcr</f>
        <v/>
      </c>
      <c r="T56" s="982">
        <f>Core_Loss_Ch1</f>
        <v/>
      </c>
      <c r="U56" s="982">
        <f>(T56+S56*(1+Ltc*(Ta-25)))/(1-S56*Ltc*ThetaCa)</f>
        <v/>
      </c>
      <c r="V56" s="4">
        <f>N56/SQRT(12)</f>
        <v/>
      </c>
      <c r="W56" s="982">
        <f>RCoutEsr*V56^2</f>
        <v/>
      </c>
      <c r="X56" s="982">
        <f>W56</f>
        <v/>
      </c>
      <c r="Y56" s="4">
        <f>SQRT(M56*(1-M56))*SQRT(K56^2+(N56^2)/12)</f>
        <v/>
      </c>
      <c r="Z56" s="982">
        <f>RCinEsr*Y56^2</f>
        <v/>
      </c>
      <c r="AA56" s="1078">
        <f>Z56</f>
        <v/>
      </c>
      <c r="AB56" s="982">
        <f>SQRT(M56)*SQRT(K56^2+(N56^2)/12)</f>
        <v/>
      </c>
      <c r="AC56" s="982">
        <f>Rdson1*AB56^2</f>
        <v/>
      </c>
      <c r="AD56" s="982">
        <f>(Vin*K56/2)*Fsw*(Tr_buck+Tf_buck)</f>
        <v/>
      </c>
      <c r="AE56" s="982">
        <f>(0.5*Coss_Q1*(Vin-Q56)^2-0.5*Coss_Q2*(Vin-Q56)^2+(Qoss_Q2*(Vin-Q56)/Vin)*Vin)*Fsw</f>
        <v/>
      </c>
      <c r="AF56" s="982">
        <f>IF(K56&gt;N56/2,0,ABS(K56-N56/2)*Vsd_Q1*Deadtime*Fsw)</f>
        <v/>
      </c>
      <c r="AG56" s="982">
        <f>(AF56+AE56+AD56+AC56*(1+RdsonTopTc*Ta-RdsonTopTc*25))/(1-AC56*RdsonTopTc*ThetaJA_Q1)</f>
        <v/>
      </c>
      <c r="AH56" s="982">
        <f>SQRT((1-M56))*SQRT(K56^2+(N56^2)/12)</f>
        <v/>
      </c>
      <c r="AI56" s="982">
        <f>Rdson2*AH56^2</f>
        <v/>
      </c>
      <c r="AJ56" s="982">
        <f>IF(K56&lt;N56/2,Deadtime*Fsw*IF(VfdSky_Q2&gt;0,0,Vsd_Q2)*(K56+N56/2),2*Deadtime*Fsw*IF(VfdSky_Q2&gt;0,0,Vsd_Q2)*K56)</f>
        <v/>
      </c>
      <c r="AK56" s="982">
        <f>(AJ56+AI56*(1+RdsonBotTc*Ta-RdsonBotTc*25))/(1-AI56*RdsonBotTc*ThetaJA_Q2)</f>
        <v/>
      </c>
      <c r="AL56" s="982">
        <f>2*Deadtime*Fsw*IF(VfdSky_Q2&gt;0,VfdSky_Q2,Vsd_Q2)*K56</f>
        <v/>
      </c>
      <c r="AM56" s="982">
        <f>IF(QrrSky_Q2&gt;0,QrrSky_Q2,Qrr_Q2*K56/(Iout/Number_of_Phases))*Fsw*Vin</f>
        <v/>
      </c>
      <c r="AN56" s="982">
        <f>Rs*R56^2</f>
        <v/>
      </c>
      <c r="AO56" s="982">
        <f>Iq*Vin</f>
        <v/>
      </c>
      <c r="AP56" s="982">
        <f>IF(Ext_VCC=1, (Qg_Q1+Qg_Q2)*Fsw*VCC, (Qg_Q1+Qg_Q2)*Fsw*Vin)</f>
        <v/>
      </c>
      <c r="AQ56" s="982">
        <f>(Vin-VCC)*Fsw*(Qg_Q1+Qg_Q2)+(RdsonDRT+RdsonDRT2)*Fsw*Qg_Q1*VCC/(RdsonDRT+2*Rgate1+RdsonDRT2)+(RdsonDRB+RdsonDRB2)*Fsw*Qg_Q2*VCC/(RdsonDRB+2*Rgate2+RdsonDRB2)</f>
        <v/>
      </c>
      <c r="AR56" s="982">
        <f>(Qg_Q1+Qg_Q2)*Fsw*(Vin-VCC)</f>
        <v/>
      </c>
      <c r="AS56" s="982">
        <f>SUM(AO56:AP56)</f>
        <v/>
      </c>
      <c r="AT56" s="982">
        <f> SUM(U56,X56,AA56,AG56,AK56,AL56,AM56,AS56,AN56)</f>
        <v/>
      </c>
      <c r="AU56">
        <f>Vout*K56</f>
        <v/>
      </c>
      <c r="AV56" s="1079">
        <f>AU56/(AU56+AT56)</f>
        <v/>
      </c>
      <c r="AW56" s="1080">
        <f>ThetaJA_Q1*BC56</f>
        <v/>
      </c>
      <c r="AX56" s="1080">
        <f>ThetaJA_Q2*BD56</f>
        <v/>
      </c>
      <c r="AY56" s="9" t="n"/>
      <c r="AZ56" s="4">
        <f>AV56*100</f>
        <v/>
      </c>
      <c r="BA56" s="982">
        <f>U56</f>
        <v/>
      </c>
      <c r="BB56" s="982">
        <f>AG56+AK56+AM56</f>
        <v/>
      </c>
      <c r="BC56" s="982">
        <f>AG56+AM56*0.66</f>
        <v/>
      </c>
      <c r="BD56" s="982">
        <f>AK56+AM56*0.33</f>
        <v/>
      </c>
      <c r="BE56" s="982">
        <f>AN56</f>
        <v/>
      </c>
      <c r="BK56" s="18" t="n"/>
      <c r="BL56" s="19" t="n"/>
    </row>
    <row r="57">
      <c r="A57" s="24" t="inlineStr">
        <is>
          <t>Bottom Schottky</t>
        </is>
      </c>
      <c r="B57" s="15" t="inlineStr">
        <is>
          <t>Input Value</t>
        </is>
      </c>
      <c r="C57" s="24" t="inlineStr">
        <is>
          <t>Units</t>
        </is>
      </c>
      <c r="D57" s="24" t="inlineStr">
        <is>
          <t>Std Units</t>
        </is>
      </c>
      <c r="G57" t="n">
        <v>48</v>
      </c>
      <c r="H57" s="531">
        <f>Vin</f>
        <v/>
      </c>
      <c r="I57" s="4">
        <f>MODE</f>
        <v/>
      </c>
      <c r="J57" s="982">
        <f>Iout*G57/100</f>
        <v/>
      </c>
      <c r="K57" s="982">
        <f>Iout*G57/100/Number_of_Phases</f>
        <v/>
      </c>
      <c r="L57" s="4">
        <f>Vout*K57/(Vin*Efficiency)</f>
        <v/>
      </c>
      <c r="M57" s="982">
        <f>(Vout+(Rdson2+Rs+Rdcr)*K57)/(Vin+(Rs+Rdson2-Rdson1)*K57)</f>
        <v/>
      </c>
      <c r="N57" s="4">
        <f>(Vin-(Rdson1+Rdcr)*K57-Vout)*M57/(Fsw*Lf)</f>
        <v/>
      </c>
      <c r="O57" s="4">
        <f>K57+N57/2</f>
        <v/>
      </c>
      <c r="P57" s="4">
        <f>K57-N57/2</f>
        <v/>
      </c>
      <c r="Q57" s="4">
        <f>IF(MIN(Vin, -P57/(Coss_Q1+Coss_Q2)*0.00000002)&lt;0, 0, MIN(Vin, -P57/(Coss_Q1+Coss_Q2)*0.00000002))</f>
        <v/>
      </c>
      <c r="R57" s="4">
        <f>SQRT(K57^2+(N57^2)/12)</f>
        <v/>
      </c>
      <c r="S57" s="982">
        <f>R57^2*Rdcr</f>
        <v/>
      </c>
      <c r="T57" s="982">
        <f>Core_Loss_Ch1</f>
        <v/>
      </c>
      <c r="U57" s="982">
        <f>(T57+S57*(1+Ltc*(Ta-25)))/(1-S57*Ltc*ThetaCa)</f>
        <v/>
      </c>
      <c r="V57" s="4">
        <f>N57/SQRT(12)</f>
        <v/>
      </c>
      <c r="W57" s="982">
        <f>RCoutEsr*V57^2</f>
        <v/>
      </c>
      <c r="X57" s="982">
        <f>W57</f>
        <v/>
      </c>
      <c r="Y57" s="4">
        <f>SQRT(M57*(1-M57))*SQRT(K57^2+(N57^2)/12)</f>
        <v/>
      </c>
      <c r="Z57" s="982">
        <f>RCinEsr*Y57^2</f>
        <v/>
      </c>
      <c r="AA57" s="1078">
        <f>Z57</f>
        <v/>
      </c>
      <c r="AB57" s="982">
        <f>SQRT(M57)*SQRT(K57^2+(N57^2)/12)</f>
        <v/>
      </c>
      <c r="AC57" s="982">
        <f>Rdson1*AB57^2</f>
        <v/>
      </c>
      <c r="AD57" s="982">
        <f>(Vin*K57/2)*Fsw*(Tr_buck+Tf_buck)</f>
        <v/>
      </c>
      <c r="AE57" s="982">
        <f>(0.5*Coss_Q1*(Vin-Q57)^2-0.5*Coss_Q2*(Vin-Q57)^2+(Qoss_Q2*(Vin-Q57)/Vin)*Vin)*Fsw</f>
        <v/>
      </c>
      <c r="AF57" s="982">
        <f>IF(K57&gt;N57/2,0,ABS(K57-N57/2)*Vsd_Q1*Deadtime*Fsw)</f>
        <v/>
      </c>
      <c r="AG57" s="982">
        <f>(AF57+AE57+AD57+AC57*(1+RdsonTopTc*Ta-RdsonTopTc*25))/(1-AC57*RdsonTopTc*ThetaJA_Q1)</f>
        <v/>
      </c>
      <c r="AH57" s="982">
        <f>SQRT((1-M57))*SQRT(K57^2+(N57^2)/12)</f>
        <v/>
      </c>
      <c r="AI57" s="982">
        <f>Rdson2*AH57^2</f>
        <v/>
      </c>
      <c r="AJ57" s="982">
        <f>IF(K57&lt;N57/2,Deadtime*Fsw*IF(VfdSky_Q2&gt;0,0,Vsd_Q2)*(K57+N57/2),2*Deadtime*Fsw*IF(VfdSky_Q2&gt;0,0,Vsd_Q2)*K57)</f>
        <v/>
      </c>
      <c r="AK57" s="982">
        <f>(AJ57+AI57*(1+RdsonBotTc*Ta-RdsonBotTc*25))/(1-AI57*RdsonBotTc*ThetaJA_Q2)</f>
        <v/>
      </c>
      <c r="AL57" s="982">
        <f>2*Deadtime*Fsw*IF(VfdSky_Q2&gt;0,VfdSky_Q2,Vsd_Q2)*K57</f>
        <v/>
      </c>
      <c r="AM57" s="982">
        <f>IF(QrrSky_Q2&gt;0,QrrSky_Q2,Qrr_Q2*K57/(Iout/Number_of_Phases))*Fsw*Vin</f>
        <v/>
      </c>
      <c r="AN57" s="982">
        <f>Rs*R57^2</f>
        <v/>
      </c>
      <c r="AO57" s="982">
        <f>Iq*Vin</f>
        <v/>
      </c>
      <c r="AP57" s="982">
        <f>IF(Ext_VCC=1, (Qg_Q1+Qg_Q2)*Fsw*VCC, (Qg_Q1+Qg_Q2)*Fsw*Vin)</f>
        <v/>
      </c>
      <c r="AQ57" s="982">
        <f>(Vin-VCC)*Fsw*(Qg_Q1+Qg_Q2)+(RdsonDRT+RdsonDRT2)*Fsw*Qg_Q1*VCC/(RdsonDRT+2*Rgate1+RdsonDRT2)+(RdsonDRB+RdsonDRB2)*Fsw*Qg_Q2*VCC/(RdsonDRB+2*Rgate2+RdsonDRB2)</f>
        <v/>
      </c>
      <c r="AR57" s="982">
        <f>(Qg_Q1+Qg_Q2)*Fsw*(Vin-VCC)</f>
        <v/>
      </c>
      <c r="AS57" s="982">
        <f>SUM(AO57:AP57)</f>
        <v/>
      </c>
      <c r="AT57" s="982">
        <f> SUM(U57,X57,AA57,AG57,AK57,AL57,AM57,AS57,AN57)</f>
        <v/>
      </c>
      <c r="AU57">
        <f>Vout*K57</f>
        <v/>
      </c>
      <c r="AV57" s="1079">
        <f>AU57/(AU57+AT57)</f>
        <v/>
      </c>
      <c r="AW57" s="1080">
        <f>ThetaJA_Q1*BC57</f>
        <v/>
      </c>
      <c r="AX57" s="1080">
        <f>ThetaJA_Q2*BD57</f>
        <v/>
      </c>
      <c r="AY57" s="9" t="n"/>
      <c r="AZ57" s="4">
        <f>AV57*100</f>
        <v/>
      </c>
      <c r="BA57" s="982">
        <f>U57</f>
        <v/>
      </c>
      <c r="BB57" s="982">
        <f>AG57+AK57+AM57</f>
        <v/>
      </c>
      <c r="BC57" s="982">
        <f>AG57+AM57*0.66</f>
        <v/>
      </c>
      <c r="BD57" s="982">
        <f>AK57+AM57*0.33</f>
        <v/>
      </c>
      <c r="BE57" s="982">
        <f>AN57</f>
        <v/>
      </c>
      <c r="BK57" s="18" t="n"/>
      <c r="BL57" s="19" t="n"/>
    </row>
    <row r="58">
      <c r="A58" s="23" t="inlineStr">
        <is>
          <t>VfdSky</t>
        </is>
      </c>
      <c r="B58" s="73">
        <f>VfdSky_Q2</f>
        <v/>
      </c>
      <c r="C58" s="427" t="inlineStr">
        <is>
          <t>V</t>
        </is>
      </c>
      <c r="D58" s="76" t="inlineStr">
        <is>
          <t>Diode Forward Voltage</t>
        </is>
      </c>
      <c r="G58" t="n">
        <v>49</v>
      </c>
      <c r="H58" s="531">
        <f>Vin</f>
        <v/>
      </c>
      <c r="I58" s="4">
        <f>MODE</f>
        <v/>
      </c>
      <c r="J58" s="982">
        <f>Iout*G58/100</f>
        <v/>
      </c>
      <c r="K58" s="982">
        <f>Iout*G58/100/Number_of_Phases</f>
        <v/>
      </c>
      <c r="L58" s="4">
        <f>Vout*K58/(Vin*Efficiency)</f>
        <v/>
      </c>
      <c r="M58" s="982">
        <f>(Vout+(Rdson2+Rs+Rdcr)*K58)/(Vin+(Rs+Rdson2-Rdson1)*K58)</f>
        <v/>
      </c>
      <c r="N58" s="4">
        <f>(Vin-(Rdson1+Rdcr)*K58-Vout)*M58/(Fsw*Lf)</f>
        <v/>
      </c>
      <c r="O58" s="4">
        <f>K58+N58/2</f>
        <v/>
      </c>
      <c r="P58" s="4">
        <f>K58-N58/2</f>
        <v/>
      </c>
      <c r="Q58" s="4">
        <f>IF(MIN(Vin, -P58/(Coss_Q1+Coss_Q2)*0.00000002)&lt;0, 0, MIN(Vin, -P58/(Coss_Q1+Coss_Q2)*0.00000002))</f>
        <v/>
      </c>
      <c r="R58" s="4">
        <f>SQRT(K58^2+(N58^2)/12)</f>
        <v/>
      </c>
      <c r="S58" s="982">
        <f>R58^2*Rdcr</f>
        <v/>
      </c>
      <c r="T58" s="982">
        <f>Core_Loss_Ch1</f>
        <v/>
      </c>
      <c r="U58" s="982">
        <f>(T58+S58*(1+Ltc*(Ta-25)))/(1-S58*Ltc*ThetaCa)</f>
        <v/>
      </c>
      <c r="V58" s="4">
        <f>N58/SQRT(12)</f>
        <v/>
      </c>
      <c r="W58" s="982">
        <f>RCoutEsr*V58^2</f>
        <v/>
      </c>
      <c r="X58" s="982">
        <f>W58</f>
        <v/>
      </c>
      <c r="Y58" s="4">
        <f>SQRT(M58*(1-M58))*SQRT(K58^2+(N58^2)/12)</f>
        <v/>
      </c>
      <c r="Z58" s="982">
        <f>RCinEsr*Y58^2</f>
        <v/>
      </c>
      <c r="AA58" s="1078">
        <f>Z58</f>
        <v/>
      </c>
      <c r="AB58" s="982">
        <f>SQRT(M58)*SQRT(K58^2+(N58^2)/12)</f>
        <v/>
      </c>
      <c r="AC58" s="982">
        <f>Rdson1*AB58^2</f>
        <v/>
      </c>
      <c r="AD58" s="982">
        <f>(Vin*K58/2)*Fsw*(Tr_buck+Tf_buck)</f>
        <v/>
      </c>
      <c r="AE58" s="982">
        <f>(0.5*Coss_Q1*(Vin-Q58)^2-0.5*Coss_Q2*(Vin-Q58)^2+(Qoss_Q2*(Vin-Q58)/Vin)*Vin)*Fsw</f>
        <v/>
      </c>
      <c r="AF58" s="982">
        <f>IF(K58&gt;N58/2,0,ABS(K58-N58/2)*Vsd_Q1*Deadtime*Fsw)</f>
        <v/>
      </c>
      <c r="AG58" s="982">
        <f>(AF58+AE58+AD58+AC58*(1+RdsonTopTc*Ta-RdsonTopTc*25))/(1-AC58*RdsonTopTc*ThetaJA_Q1)</f>
        <v/>
      </c>
      <c r="AH58" s="982">
        <f>SQRT((1-M58))*SQRT(K58^2+(N58^2)/12)</f>
        <v/>
      </c>
      <c r="AI58" s="982">
        <f>Rdson2*AH58^2</f>
        <v/>
      </c>
      <c r="AJ58" s="982">
        <f>IF(K58&lt;N58/2,Deadtime*Fsw*IF(VfdSky_Q2&gt;0,0,Vsd_Q2)*(K58+N58/2),2*Deadtime*Fsw*IF(VfdSky_Q2&gt;0,0,Vsd_Q2)*K58)</f>
        <v/>
      </c>
      <c r="AK58" s="982">
        <f>(AJ58+AI58*(1+RdsonBotTc*Ta-RdsonBotTc*25))/(1-AI58*RdsonBotTc*ThetaJA_Q2)</f>
        <v/>
      </c>
      <c r="AL58" s="982">
        <f>2*Deadtime*Fsw*IF(VfdSky_Q2&gt;0,VfdSky_Q2,Vsd_Q2)*K58</f>
        <v/>
      </c>
      <c r="AM58" s="982">
        <f>IF(QrrSky_Q2&gt;0,QrrSky_Q2,Qrr_Q2*K58/(Iout/Number_of_Phases))*Fsw*Vin</f>
        <v/>
      </c>
      <c r="AN58" s="982">
        <f>Rs*R58^2</f>
        <v/>
      </c>
      <c r="AO58" s="982">
        <f>Iq*Vin</f>
        <v/>
      </c>
      <c r="AP58" s="982">
        <f>IF(Ext_VCC=1, (Qg_Q1+Qg_Q2)*Fsw*VCC, (Qg_Q1+Qg_Q2)*Fsw*Vin)</f>
        <v/>
      </c>
      <c r="AQ58" s="982">
        <f>(Vin-VCC)*Fsw*(Qg_Q1+Qg_Q2)+(RdsonDRT+RdsonDRT2)*Fsw*Qg_Q1*VCC/(RdsonDRT+2*Rgate1+RdsonDRT2)+(RdsonDRB+RdsonDRB2)*Fsw*Qg_Q2*VCC/(RdsonDRB+2*Rgate2+RdsonDRB2)</f>
        <v/>
      </c>
      <c r="AR58" s="982">
        <f>(Qg_Q1+Qg_Q2)*Fsw*(Vin-VCC)</f>
        <v/>
      </c>
      <c r="AS58" s="982">
        <f>SUM(AO58:AP58)</f>
        <v/>
      </c>
      <c r="AT58" s="982">
        <f> SUM(U58,X58,AA58,AG58,AK58,AL58,AM58,AS58,AN58)</f>
        <v/>
      </c>
      <c r="AU58">
        <f>Vout*K58</f>
        <v/>
      </c>
      <c r="AV58" s="1079">
        <f>AU58/(AU58+AT58)</f>
        <v/>
      </c>
      <c r="AW58" s="1080">
        <f>ThetaJA_Q1*BC58</f>
        <v/>
      </c>
      <c r="AX58" s="1080">
        <f>ThetaJA_Q2*BD58</f>
        <v/>
      </c>
      <c r="AY58" s="9" t="n"/>
      <c r="AZ58" s="4">
        <f>AV58*100</f>
        <v/>
      </c>
      <c r="BA58" s="982">
        <f>U58</f>
        <v/>
      </c>
      <c r="BB58" s="982">
        <f>AG58+AK58+AM58</f>
        <v/>
      </c>
      <c r="BC58" s="982">
        <f>AG58+AM58*0.66</f>
        <v/>
      </c>
      <c r="BD58" s="982">
        <f>AK58+AM58*0.33</f>
        <v/>
      </c>
      <c r="BE58" s="982">
        <f>AN58</f>
        <v/>
      </c>
      <c r="BK58" s="18" t="n"/>
      <c r="BL58" s="19" t="n"/>
    </row>
    <row r="59">
      <c r="A59" s="23" t="inlineStr">
        <is>
          <t>QrrSky</t>
        </is>
      </c>
      <c r="B59" s="73">
        <f>QrrSky_Q2*1000000000</f>
        <v/>
      </c>
      <c r="C59" s="427" t="inlineStr">
        <is>
          <t>nC</t>
        </is>
      </c>
      <c r="D59" s="76" t="inlineStr">
        <is>
          <t>Diode Reverse Recovery Charge</t>
        </is>
      </c>
      <c r="G59" t="n">
        <v>50</v>
      </c>
      <c r="H59" s="531">
        <f>Vin</f>
        <v/>
      </c>
      <c r="I59" s="4">
        <f>MODE</f>
        <v/>
      </c>
      <c r="J59" s="982">
        <f>Iout*G59/100</f>
        <v/>
      </c>
      <c r="K59" s="982">
        <f>Iout*G59/100/Number_of_Phases</f>
        <v/>
      </c>
      <c r="L59" s="4">
        <f>Vout*K59/(Vin*Efficiency)</f>
        <v/>
      </c>
      <c r="M59" s="982">
        <f>(Vout+(Rdson2+Rs+Rdcr)*K59)/(Vin+(Rs+Rdson2-Rdson1)*K59)</f>
        <v/>
      </c>
      <c r="N59" s="4">
        <f>(Vin-(Rdson1+Rdcr)*K59-Vout)*M59/(Fsw*Lf)</f>
        <v/>
      </c>
      <c r="O59" s="4">
        <f>K59+N59/2</f>
        <v/>
      </c>
      <c r="P59" s="4">
        <f>K59-N59/2</f>
        <v/>
      </c>
      <c r="Q59" s="4">
        <f>IF(MIN(Vin, -P59/(Coss_Q1+Coss_Q2)*0.00000002)&lt;0, 0, MIN(Vin, -P59/(Coss_Q1+Coss_Q2)*0.00000002))</f>
        <v/>
      </c>
      <c r="R59" s="4">
        <f>SQRT(K59^2+(N59^2)/12)</f>
        <v/>
      </c>
      <c r="S59" s="982">
        <f>R59^2*Rdcr</f>
        <v/>
      </c>
      <c r="T59" s="982">
        <f>Core_Loss_Ch1</f>
        <v/>
      </c>
      <c r="U59" s="982">
        <f>(T59+S59*(1+Ltc*(Ta-25)))/(1-S59*Ltc*ThetaCa)</f>
        <v/>
      </c>
      <c r="V59" s="4">
        <f>N59/SQRT(12)</f>
        <v/>
      </c>
      <c r="W59" s="982">
        <f>RCoutEsr*V59^2</f>
        <v/>
      </c>
      <c r="X59" s="982">
        <f>W59</f>
        <v/>
      </c>
      <c r="Y59" s="4">
        <f>SQRT(M59*(1-M59))*SQRT(K59^2+(N59^2)/12)</f>
        <v/>
      </c>
      <c r="Z59" s="982">
        <f>RCinEsr*Y59^2</f>
        <v/>
      </c>
      <c r="AA59" s="1078">
        <f>Z59</f>
        <v/>
      </c>
      <c r="AB59" s="982">
        <f>SQRT(M59)*SQRT(K59^2+(N59^2)/12)</f>
        <v/>
      </c>
      <c r="AC59" s="982">
        <f>Rdson1*AB59^2</f>
        <v/>
      </c>
      <c r="AD59" s="982">
        <f>(Vin*K59/2)*Fsw*(Tr_buck+Tf_buck)</f>
        <v/>
      </c>
      <c r="AE59" s="982">
        <f>(0.5*Coss_Q1*(Vin-Q59)^2-0.5*Coss_Q2*(Vin-Q59)^2+(Qoss_Q2*(Vin-Q59)/Vin)*Vin)*Fsw</f>
        <v/>
      </c>
      <c r="AF59" s="982">
        <f>IF(K59&gt;N59/2,0,ABS(K59-N59/2)*Vsd_Q1*Deadtime*Fsw)</f>
        <v/>
      </c>
      <c r="AG59" s="982">
        <f>(AF59+AE59+AD59+AC59*(1+RdsonTopTc*Ta-RdsonTopTc*25))/(1-AC59*RdsonTopTc*ThetaJA_Q1)</f>
        <v/>
      </c>
      <c r="AH59" s="982">
        <f>SQRT((1-M59))*SQRT(K59^2+(N59^2)/12)</f>
        <v/>
      </c>
      <c r="AI59" s="982">
        <f>Rdson2*AH59^2</f>
        <v/>
      </c>
      <c r="AJ59" s="982">
        <f>IF(K59&lt;N59/2,Deadtime*Fsw*IF(VfdSky_Q2&gt;0,0,Vsd_Q2)*(K59+N59/2),2*Deadtime*Fsw*IF(VfdSky_Q2&gt;0,0,Vsd_Q2)*K59)</f>
        <v/>
      </c>
      <c r="AK59" s="982">
        <f>(AJ59+AI59*(1+RdsonBotTc*Ta-RdsonBotTc*25))/(1-AI59*RdsonBotTc*ThetaJA_Q2)</f>
        <v/>
      </c>
      <c r="AL59" s="982">
        <f>2*Deadtime*Fsw*IF(VfdSky_Q2&gt;0,VfdSky_Q2,Vsd_Q2)*K59</f>
        <v/>
      </c>
      <c r="AM59" s="982">
        <f>IF(QrrSky_Q2&gt;0,QrrSky_Q2,Qrr_Q2*K59/(Iout/Number_of_Phases))*Fsw*Vin</f>
        <v/>
      </c>
      <c r="AN59" s="982">
        <f>Rs*R59^2</f>
        <v/>
      </c>
      <c r="AO59" s="982">
        <f>Iq*Vin</f>
        <v/>
      </c>
      <c r="AP59" s="982">
        <f>IF(Ext_VCC=1, (Qg_Q1+Qg_Q2)*Fsw*VCC, (Qg_Q1+Qg_Q2)*Fsw*Vin)</f>
        <v/>
      </c>
      <c r="AQ59" s="982">
        <f>(Vin-VCC)*Fsw*(Qg_Q1+Qg_Q2)+(RdsonDRT+RdsonDRT2)*Fsw*Qg_Q1*VCC/(RdsonDRT+2*Rgate1+RdsonDRT2)+(RdsonDRB+RdsonDRB2)*Fsw*Qg_Q2*VCC/(RdsonDRB+2*Rgate2+RdsonDRB2)</f>
        <v/>
      </c>
      <c r="AR59" s="982">
        <f>(Qg_Q1+Qg_Q2)*Fsw*(Vin-VCC)</f>
        <v/>
      </c>
      <c r="AS59" s="982">
        <f>SUM(AO59:AP59)</f>
        <v/>
      </c>
      <c r="AT59" s="982">
        <f> SUM(U59,X59,AA59,AG59,AK59,AL59,AM59,AS59,AN59)</f>
        <v/>
      </c>
      <c r="AU59">
        <f>Vout*K59</f>
        <v/>
      </c>
      <c r="AV59" s="1079">
        <f>AU59/(AU59+AT59)</f>
        <v/>
      </c>
      <c r="AW59" s="1080">
        <f>ThetaJA_Q1*BC59</f>
        <v/>
      </c>
      <c r="AX59" s="1080">
        <f>ThetaJA_Q2*BD59</f>
        <v/>
      </c>
      <c r="AY59" s="9" t="n"/>
      <c r="AZ59" s="4">
        <f>AV59*100</f>
        <v/>
      </c>
      <c r="BA59" s="982">
        <f>U59</f>
        <v/>
      </c>
      <c r="BB59" s="982">
        <f>AG59+AK59+AM59</f>
        <v/>
      </c>
      <c r="BC59" s="982">
        <f>AG59+AM59*0.66</f>
        <v/>
      </c>
      <c r="BD59" s="982">
        <f>AK59+AM59*0.33</f>
        <v/>
      </c>
      <c r="BE59" s="982">
        <f>AN59</f>
        <v/>
      </c>
      <c r="BK59" s="18" t="n"/>
      <c r="BL59" s="19" t="n"/>
    </row>
    <row r="60">
      <c r="A60" s="23" t="inlineStr">
        <is>
          <t>Ireverse</t>
        </is>
      </c>
      <c r="B60" s="73">
        <f>Ireverse</f>
        <v/>
      </c>
      <c r="C60" s="427" t="inlineStr">
        <is>
          <t>mA</t>
        </is>
      </c>
      <c r="D60" s="76" t="inlineStr">
        <is>
          <t>Reverse Leakage Current</t>
        </is>
      </c>
      <c r="E60" s="2" t="n"/>
      <c r="G60" t="n">
        <v>51</v>
      </c>
      <c r="H60" s="531">
        <f>Vin</f>
        <v/>
      </c>
      <c r="I60" s="4">
        <f>MODE</f>
        <v/>
      </c>
      <c r="J60" s="982">
        <f>Iout*G60/100</f>
        <v/>
      </c>
      <c r="K60" s="982">
        <f>Iout*G60/100/Number_of_Phases</f>
        <v/>
      </c>
      <c r="L60" s="4">
        <f>Vout*K60/(Vin*Efficiency)</f>
        <v/>
      </c>
      <c r="M60" s="982">
        <f>(Vout+(Rdson2+Rs+Rdcr)*K60)/(Vin+(Rs+Rdson2-Rdson1)*K60)</f>
        <v/>
      </c>
      <c r="N60" s="4">
        <f>(Vin-(Rdson1+Rdcr)*K60-Vout)*M60/(Fsw*Lf)</f>
        <v/>
      </c>
      <c r="O60" s="4">
        <f>K60+N60/2</f>
        <v/>
      </c>
      <c r="P60" s="4">
        <f>K60-N60/2</f>
        <v/>
      </c>
      <c r="Q60" s="4">
        <f>IF(MIN(Vin, -P60/(Coss_Q1+Coss_Q2)*0.00000002)&lt;0, 0, MIN(Vin, -P60/(Coss_Q1+Coss_Q2)*0.00000002))</f>
        <v/>
      </c>
      <c r="R60" s="4">
        <f>SQRT(K60^2+(N60^2)/12)</f>
        <v/>
      </c>
      <c r="S60" s="982">
        <f>R60^2*Rdcr</f>
        <v/>
      </c>
      <c r="T60" s="982">
        <f>Core_Loss_Ch1</f>
        <v/>
      </c>
      <c r="U60" s="982">
        <f>(T60+S60*(1+Ltc*(Ta-25)))/(1-S60*Ltc*ThetaCa)</f>
        <v/>
      </c>
      <c r="V60" s="4">
        <f>N60/SQRT(12)</f>
        <v/>
      </c>
      <c r="W60" s="982">
        <f>RCoutEsr*V60^2</f>
        <v/>
      </c>
      <c r="X60" s="982">
        <f>W60</f>
        <v/>
      </c>
      <c r="Y60" s="4">
        <f>SQRT(M60*(1-M60))*SQRT(K60^2+(N60^2)/12)</f>
        <v/>
      </c>
      <c r="Z60" s="982">
        <f>RCinEsr*Y60^2</f>
        <v/>
      </c>
      <c r="AA60" s="1078">
        <f>Z60</f>
        <v/>
      </c>
      <c r="AB60" s="982">
        <f>SQRT(M60)*SQRT(K60^2+(N60^2)/12)</f>
        <v/>
      </c>
      <c r="AC60" s="982">
        <f>Rdson1*AB60^2</f>
        <v/>
      </c>
      <c r="AD60" s="982">
        <f>(Vin*K60/2)*Fsw*(Tr_buck+Tf_buck)</f>
        <v/>
      </c>
      <c r="AE60" s="982">
        <f>(0.5*Coss_Q1*(Vin-Q60)^2-0.5*Coss_Q2*(Vin-Q60)^2+(Qoss_Q2*(Vin-Q60)/Vin)*Vin)*Fsw</f>
        <v/>
      </c>
      <c r="AF60" s="982">
        <f>IF(K60&gt;N60/2,0,ABS(K60-N60/2)*Vsd_Q1*Deadtime*Fsw)</f>
        <v/>
      </c>
      <c r="AG60" s="982">
        <f>(AF60+AE60+AD60+AC60*(1+RdsonTopTc*Ta-RdsonTopTc*25))/(1-AC60*RdsonTopTc*ThetaJA_Q1)</f>
        <v/>
      </c>
      <c r="AH60" s="982">
        <f>SQRT((1-M60))*SQRT(K60^2+(N60^2)/12)</f>
        <v/>
      </c>
      <c r="AI60" s="982">
        <f>Rdson2*AH60^2</f>
        <v/>
      </c>
      <c r="AJ60" s="982">
        <f>IF(K60&lt;N60/2,Deadtime*Fsw*IF(VfdSky_Q2&gt;0,0,Vsd_Q2)*(K60+N60/2),2*Deadtime*Fsw*IF(VfdSky_Q2&gt;0,0,Vsd_Q2)*K60)</f>
        <v/>
      </c>
      <c r="AK60" s="982">
        <f>(AJ60+AI60*(1+RdsonBotTc*Ta-RdsonBotTc*25))/(1-AI60*RdsonBotTc*ThetaJA_Q2)</f>
        <v/>
      </c>
      <c r="AL60" s="982">
        <f>2*Deadtime*Fsw*IF(VfdSky_Q2&gt;0,VfdSky_Q2,Vsd_Q2)*K60</f>
        <v/>
      </c>
      <c r="AM60" s="982">
        <f>IF(QrrSky_Q2&gt;0,QrrSky_Q2,Qrr_Q2*K60/(Iout/Number_of_Phases))*Fsw*Vin</f>
        <v/>
      </c>
      <c r="AN60" s="982">
        <f>Rs*R60^2</f>
        <v/>
      </c>
      <c r="AO60" s="982">
        <f>Iq*Vin</f>
        <v/>
      </c>
      <c r="AP60" s="982">
        <f>IF(Ext_VCC=1, (Qg_Q1+Qg_Q2)*Fsw*VCC, (Qg_Q1+Qg_Q2)*Fsw*Vin)</f>
        <v/>
      </c>
      <c r="AQ60" s="982">
        <f>(Vin-VCC)*Fsw*(Qg_Q1+Qg_Q2)+(RdsonDRT+RdsonDRT2)*Fsw*Qg_Q1*VCC/(RdsonDRT+2*Rgate1+RdsonDRT2)+(RdsonDRB+RdsonDRB2)*Fsw*Qg_Q2*VCC/(RdsonDRB+2*Rgate2+RdsonDRB2)</f>
        <v/>
      </c>
      <c r="AR60" s="982">
        <f>(Qg_Q1+Qg_Q2)*Fsw*(Vin-VCC)</f>
        <v/>
      </c>
      <c r="AS60" s="982">
        <f>SUM(AO60:AP60)</f>
        <v/>
      </c>
      <c r="AT60" s="982">
        <f> SUM(U60,X60,AA60,AG60,AK60,AL60,AM60,AS60,AN60)</f>
        <v/>
      </c>
      <c r="AU60">
        <f>Vout*K60</f>
        <v/>
      </c>
      <c r="AV60" s="1079">
        <f>AU60/(AU60+AT60)</f>
        <v/>
      </c>
      <c r="AW60" s="1080">
        <f>ThetaJA_Q1*BC60</f>
        <v/>
      </c>
      <c r="AX60" s="1080">
        <f>ThetaJA_Q2*BD60</f>
        <v/>
      </c>
      <c r="AY60" s="9" t="n"/>
      <c r="AZ60" s="4">
        <f>AV60*100</f>
        <v/>
      </c>
      <c r="BA60" s="982">
        <f>U60</f>
        <v/>
      </c>
      <c r="BB60" s="982">
        <f>AG60+AK60+AM60</f>
        <v/>
      </c>
      <c r="BC60" s="982">
        <f>AG60+AM60*0.66</f>
        <v/>
      </c>
      <c r="BD60" s="982">
        <f>AK60+AM60*0.33</f>
        <v/>
      </c>
      <c r="BE60" s="982">
        <f>AN60</f>
        <v/>
      </c>
      <c r="BK60" s="18" t="n"/>
      <c r="BL60" s="19" t="n"/>
    </row>
    <row r="61">
      <c r="A61" s="24" t="inlineStr">
        <is>
          <t>Controller</t>
        </is>
      </c>
      <c r="B61" s="15" t="inlineStr">
        <is>
          <t>Input Value</t>
        </is>
      </c>
      <c r="C61" s="24" t="inlineStr">
        <is>
          <t>Units</t>
        </is>
      </c>
      <c r="D61" s="24" t="inlineStr">
        <is>
          <t>Std Units</t>
        </is>
      </c>
      <c r="G61" t="n">
        <v>52</v>
      </c>
      <c r="H61" s="531">
        <f>Vin</f>
        <v/>
      </c>
      <c r="I61" s="4">
        <f>MODE</f>
        <v/>
      </c>
      <c r="J61" s="982">
        <f>Iout*G61/100</f>
        <v/>
      </c>
      <c r="K61" s="982">
        <f>Iout*G61/100/Number_of_Phases</f>
        <v/>
      </c>
      <c r="L61" s="4">
        <f>Vout*K61/(Vin*Efficiency)</f>
        <v/>
      </c>
      <c r="M61" s="982">
        <f>(Vout+(Rdson2+Rs+Rdcr)*K61)/(Vin+(Rs+Rdson2-Rdson1)*K61)</f>
        <v/>
      </c>
      <c r="N61" s="4">
        <f>(Vin-(Rdson1+Rdcr)*K61-Vout)*M61/(Fsw*Lf)</f>
        <v/>
      </c>
      <c r="O61" s="4">
        <f>K61+N61/2</f>
        <v/>
      </c>
      <c r="P61" s="4">
        <f>K61-N61/2</f>
        <v/>
      </c>
      <c r="Q61" s="4">
        <f>IF(MIN(Vin, -P61/(Coss_Q1+Coss_Q2)*0.00000002)&lt;0, 0, MIN(Vin, -P61/(Coss_Q1+Coss_Q2)*0.00000002))</f>
        <v/>
      </c>
      <c r="R61" s="4">
        <f>SQRT(K61^2+(N61^2)/12)</f>
        <v/>
      </c>
      <c r="S61" s="982">
        <f>R61^2*Rdcr</f>
        <v/>
      </c>
      <c r="T61" s="982">
        <f>Core_Loss_Ch1</f>
        <v/>
      </c>
      <c r="U61" s="982">
        <f>(T61+S61*(1+Ltc*(Ta-25)))/(1-S61*Ltc*ThetaCa)</f>
        <v/>
      </c>
      <c r="V61" s="4">
        <f>N61/SQRT(12)</f>
        <v/>
      </c>
      <c r="W61" s="982">
        <f>RCoutEsr*V61^2</f>
        <v/>
      </c>
      <c r="X61" s="982">
        <f>W61</f>
        <v/>
      </c>
      <c r="Y61" s="4">
        <f>SQRT(M61*(1-M61))*SQRT(K61^2+(N61^2)/12)</f>
        <v/>
      </c>
      <c r="Z61" s="982">
        <f>RCinEsr*Y61^2</f>
        <v/>
      </c>
      <c r="AA61" s="1078">
        <f>Z61</f>
        <v/>
      </c>
      <c r="AB61" s="982">
        <f>SQRT(M61)*SQRT(K61^2+(N61^2)/12)</f>
        <v/>
      </c>
      <c r="AC61" s="982">
        <f>Rdson1*AB61^2</f>
        <v/>
      </c>
      <c r="AD61" s="982">
        <f>(Vin*K61/2)*Fsw*(Tr_buck+Tf_buck)</f>
        <v/>
      </c>
      <c r="AE61" s="982">
        <f>(0.5*Coss_Q1*(Vin-Q61)^2-0.5*Coss_Q2*(Vin-Q61)^2+(Qoss_Q2*(Vin-Q61)/Vin)*Vin)*Fsw</f>
        <v/>
      </c>
      <c r="AF61" s="982">
        <f>IF(K61&gt;N61/2,0,ABS(K61-N61/2)*Vsd_Q1*Deadtime*Fsw)</f>
        <v/>
      </c>
      <c r="AG61" s="982">
        <f>(AF61+AE61+AD61+AC61*(1+RdsonTopTc*Ta-RdsonTopTc*25))/(1-AC61*RdsonTopTc*ThetaJA_Q1)</f>
        <v/>
      </c>
      <c r="AH61" s="982">
        <f>SQRT((1-M61))*SQRT(K61^2+(N61^2)/12)</f>
        <v/>
      </c>
      <c r="AI61" s="982">
        <f>Rdson2*AH61^2</f>
        <v/>
      </c>
      <c r="AJ61" s="982">
        <f>IF(K61&lt;N61/2,Deadtime*Fsw*IF(VfdSky_Q2&gt;0,0,Vsd_Q2)*(K61+N61/2),2*Deadtime*Fsw*IF(VfdSky_Q2&gt;0,0,Vsd_Q2)*K61)</f>
        <v/>
      </c>
      <c r="AK61" s="982">
        <f>(AJ61+AI61*(1+RdsonBotTc*Ta-RdsonBotTc*25))/(1-AI61*RdsonBotTc*ThetaJA_Q2)</f>
        <v/>
      </c>
      <c r="AL61" s="982">
        <f>2*Deadtime*Fsw*IF(VfdSky_Q2&gt;0,VfdSky_Q2,Vsd_Q2)*K61</f>
        <v/>
      </c>
      <c r="AM61" s="982">
        <f>IF(QrrSky_Q2&gt;0,QrrSky_Q2,Qrr_Q2*K61/(Iout/Number_of_Phases))*Fsw*Vin</f>
        <v/>
      </c>
      <c r="AN61" s="982">
        <f>Rs*R61^2</f>
        <v/>
      </c>
      <c r="AO61" s="982">
        <f>Iq*Vin</f>
        <v/>
      </c>
      <c r="AP61" s="982">
        <f>IF(Ext_VCC=1, (Qg_Q1+Qg_Q2)*Fsw*VCC, (Qg_Q1+Qg_Q2)*Fsw*Vin)</f>
        <v/>
      </c>
      <c r="AQ61" s="982">
        <f>(Vin-VCC)*Fsw*(Qg_Q1+Qg_Q2)+(RdsonDRT+RdsonDRT2)*Fsw*Qg_Q1*VCC/(RdsonDRT+2*Rgate1+RdsonDRT2)+(RdsonDRB+RdsonDRB2)*Fsw*Qg_Q2*VCC/(RdsonDRB+2*Rgate2+RdsonDRB2)</f>
        <v/>
      </c>
      <c r="AR61" s="982">
        <f>(Qg_Q1+Qg_Q2)*Fsw*(Vin-VCC)</f>
        <v/>
      </c>
      <c r="AS61" s="982">
        <f>SUM(AO61:AP61)</f>
        <v/>
      </c>
      <c r="AT61" s="982">
        <f> SUM(U61,X61,AA61,AG61,AK61,AL61,AM61,AS61,AN61)</f>
        <v/>
      </c>
      <c r="AU61">
        <f>Vout*K61</f>
        <v/>
      </c>
      <c r="AV61" s="1079">
        <f>AU61/(AU61+AT61)</f>
        <v/>
      </c>
      <c r="AW61" s="1080">
        <f>ThetaJA_Q1*BC61</f>
        <v/>
      </c>
      <c r="AX61" s="1080">
        <f>ThetaJA_Q2*BD61</f>
        <v/>
      </c>
      <c r="AY61" s="9" t="n"/>
      <c r="AZ61" s="4">
        <f>AV61*100</f>
        <v/>
      </c>
      <c r="BA61" s="982">
        <f>U61</f>
        <v/>
      </c>
      <c r="BB61" s="982">
        <f>AG61+AK61+AM61</f>
        <v/>
      </c>
      <c r="BC61" s="982">
        <f>AG61+AM61*0.66</f>
        <v/>
      </c>
      <c r="BD61" s="982">
        <f>AK61+AM61*0.33</f>
        <v/>
      </c>
      <c r="BE61" s="982">
        <f>AN61</f>
        <v/>
      </c>
      <c r="BK61" s="18" t="n"/>
      <c r="BL61" s="19" t="n"/>
    </row>
    <row r="62" ht="15.75" customHeight="1">
      <c r="A62" s="433" t="inlineStr">
        <is>
          <t>θJA</t>
        </is>
      </c>
      <c r="B62" s="74" t="n">
        <v>30</v>
      </c>
      <c r="C62" s="428" t="inlineStr">
        <is>
          <t>°C/W</t>
        </is>
      </c>
      <c r="D62" s="76" t="inlineStr">
        <is>
          <t>Junction to Ambient Resistance</t>
        </is>
      </c>
      <c r="G62" t="n">
        <v>53</v>
      </c>
      <c r="H62" s="531">
        <f>Vin</f>
        <v/>
      </c>
      <c r="I62" s="4">
        <f>MODE</f>
        <v/>
      </c>
      <c r="J62" s="982">
        <f>Iout*G62/100</f>
        <v/>
      </c>
      <c r="K62" s="982">
        <f>Iout*G62/100/Number_of_Phases</f>
        <v/>
      </c>
      <c r="L62" s="4">
        <f>Vout*K62/(Vin*Efficiency)</f>
        <v/>
      </c>
      <c r="M62" s="982">
        <f>(Vout+(Rdson2+Rs+Rdcr)*K62)/(Vin+(Rs+Rdson2-Rdson1)*K62)</f>
        <v/>
      </c>
      <c r="N62" s="4">
        <f>(Vin-(Rdson1+Rdcr)*K62-Vout)*M62/(Fsw*Lf)</f>
        <v/>
      </c>
      <c r="O62" s="4">
        <f>K62+N62/2</f>
        <v/>
      </c>
      <c r="P62" s="4">
        <f>K62-N62/2</f>
        <v/>
      </c>
      <c r="Q62" s="4">
        <f>IF(MIN(Vin, -P62/(Coss_Q1+Coss_Q2)*0.00000002)&lt;0, 0, MIN(Vin, -P62/(Coss_Q1+Coss_Q2)*0.00000002))</f>
        <v/>
      </c>
      <c r="R62" s="4">
        <f>SQRT(K62^2+(N62^2)/12)</f>
        <v/>
      </c>
      <c r="S62" s="982">
        <f>R62^2*Rdcr</f>
        <v/>
      </c>
      <c r="T62" s="982">
        <f>Core_Loss_Ch1</f>
        <v/>
      </c>
      <c r="U62" s="982">
        <f>(T62+S62*(1+Ltc*(Ta-25)))/(1-S62*Ltc*ThetaCa)</f>
        <v/>
      </c>
      <c r="V62" s="4">
        <f>N62/SQRT(12)</f>
        <v/>
      </c>
      <c r="W62" s="982">
        <f>RCoutEsr*V62^2</f>
        <v/>
      </c>
      <c r="X62" s="982">
        <f>W62</f>
        <v/>
      </c>
      <c r="Y62" s="4">
        <f>SQRT(M62*(1-M62))*SQRT(K62^2+(N62^2)/12)</f>
        <v/>
      </c>
      <c r="Z62" s="982">
        <f>RCinEsr*Y62^2</f>
        <v/>
      </c>
      <c r="AA62" s="1078">
        <f>Z62</f>
        <v/>
      </c>
      <c r="AB62" s="982">
        <f>SQRT(M62)*SQRT(K62^2+(N62^2)/12)</f>
        <v/>
      </c>
      <c r="AC62" s="982">
        <f>Rdson1*AB62^2</f>
        <v/>
      </c>
      <c r="AD62" s="982">
        <f>(Vin*K62/2)*Fsw*(Tr_buck+Tf_buck)</f>
        <v/>
      </c>
      <c r="AE62" s="982">
        <f>(0.5*Coss_Q1*(Vin-Q62)^2-0.5*Coss_Q2*(Vin-Q62)^2+(Qoss_Q2*(Vin-Q62)/Vin)*Vin)*Fsw</f>
        <v/>
      </c>
      <c r="AF62" s="982">
        <f>IF(K62&gt;N62/2,0,ABS(K62-N62/2)*Vsd_Q1*Deadtime*Fsw)</f>
        <v/>
      </c>
      <c r="AG62" s="982">
        <f>(AF62+AE62+AD62+AC62*(1+RdsonTopTc*Ta-RdsonTopTc*25))/(1-AC62*RdsonTopTc*ThetaJA_Q1)</f>
        <v/>
      </c>
      <c r="AH62" s="982">
        <f>SQRT((1-M62))*SQRT(K62^2+(N62^2)/12)</f>
        <v/>
      </c>
      <c r="AI62" s="982">
        <f>Rdson2*AH62^2</f>
        <v/>
      </c>
      <c r="AJ62" s="982">
        <f>IF(K62&lt;N62/2,Deadtime*Fsw*IF(VfdSky_Q2&gt;0,0,Vsd_Q2)*(K62+N62/2),2*Deadtime*Fsw*IF(VfdSky_Q2&gt;0,0,Vsd_Q2)*K62)</f>
        <v/>
      </c>
      <c r="AK62" s="982">
        <f>(AJ62+AI62*(1+RdsonBotTc*Ta-RdsonBotTc*25))/(1-AI62*RdsonBotTc*ThetaJA_Q2)</f>
        <v/>
      </c>
      <c r="AL62" s="982">
        <f>2*Deadtime*Fsw*IF(VfdSky_Q2&gt;0,VfdSky_Q2,Vsd_Q2)*K62</f>
        <v/>
      </c>
      <c r="AM62" s="982">
        <f>IF(QrrSky_Q2&gt;0,QrrSky_Q2,Qrr_Q2*K62/(Iout/Number_of_Phases))*Fsw*Vin</f>
        <v/>
      </c>
      <c r="AN62" s="982">
        <f>Rs*R62^2</f>
        <v/>
      </c>
      <c r="AO62" s="982">
        <f>Iq*Vin</f>
        <v/>
      </c>
      <c r="AP62" s="982">
        <f>IF(Ext_VCC=1, (Qg_Q1+Qg_Q2)*Fsw*VCC, (Qg_Q1+Qg_Q2)*Fsw*Vin)</f>
        <v/>
      </c>
      <c r="AQ62" s="982">
        <f>(Vin-VCC)*Fsw*(Qg_Q1+Qg_Q2)+(RdsonDRT+RdsonDRT2)*Fsw*Qg_Q1*VCC/(RdsonDRT+2*Rgate1+RdsonDRT2)+(RdsonDRB+RdsonDRB2)*Fsw*Qg_Q2*VCC/(RdsonDRB+2*Rgate2+RdsonDRB2)</f>
        <v/>
      </c>
      <c r="AR62" s="982">
        <f>(Qg_Q1+Qg_Q2)*Fsw*(Vin-VCC)</f>
        <v/>
      </c>
      <c r="AS62" s="982">
        <f>SUM(AO62:AP62)</f>
        <v/>
      </c>
      <c r="AT62" s="982">
        <f> SUM(U62,X62,AA62,AG62,AK62,AL62,AM62,AS62,AN62)</f>
        <v/>
      </c>
      <c r="AU62">
        <f>Vout*K62</f>
        <v/>
      </c>
      <c r="AV62" s="1079">
        <f>AU62/(AU62+AT62)</f>
        <v/>
      </c>
      <c r="AW62" s="1080">
        <f>ThetaJA_Q1*BC62</f>
        <v/>
      </c>
      <c r="AX62" s="1080">
        <f>ThetaJA_Q2*BD62</f>
        <v/>
      </c>
      <c r="AY62" s="9" t="n"/>
      <c r="AZ62" s="4">
        <f>AV62*100</f>
        <v/>
      </c>
      <c r="BA62" s="982">
        <f>U62</f>
        <v/>
      </c>
      <c r="BB62" s="982">
        <f>AG62+AK62+AM62</f>
        <v/>
      </c>
      <c r="BC62" s="982">
        <f>AG62+AM62*0.66</f>
        <v/>
      </c>
      <c r="BD62" s="982">
        <f>AK62+AM62*0.33</f>
        <v/>
      </c>
      <c r="BE62" s="982">
        <f>AN62</f>
        <v/>
      </c>
      <c r="BK62" s="18" t="n"/>
      <c r="BL62" s="19" t="n"/>
    </row>
    <row r="63">
      <c r="A63" s="23" t="inlineStr">
        <is>
          <t>Theta Ja</t>
        </is>
      </c>
      <c r="B63" s="74" t="n">
        <v>2</v>
      </c>
      <c r="C63" s="428" t="inlineStr">
        <is>
          <t>°C/W</t>
        </is>
      </c>
      <c r="D63" s="21" t="inlineStr">
        <is>
          <t>Junction to Ambient Resistance</t>
        </is>
      </c>
      <c r="G63" t="n">
        <v>54</v>
      </c>
      <c r="H63" s="531">
        <f>Vin</f>
        <v/>
      </c>
      <c r="I63" s="4">
        <f>MODE</f>
        <v/>
      </c>
      <c r="J63" s="982">
        <f>Iout*G63/100</f>
        <v/>
      </c>
      <c r="K63" s="982">
        <f>Iout*G63/100/Number_of_Phases</f>
        <v/>
      </c>
      <c r="L63" s="4">
        <f>Vout*K63/(Vin*Efficiency)</f>
        <v/>
      </c>
      <c r="M63" s="982">
        <f>(Vout+(Rdson2+Rs+Rdcr)*K63)/(Vin+(Rs+Rdson2-Rdson1)*K63)</f>
        <v/>
      </c>
      <c r="N63" s="4">
        <f>(Vin-(Rdson1+Rdcr)*K63-Vout)*M63/(Fsw*Lf)</f>
        <v/>
      </c>
      <c r="O63" s="4">
        <f>K63+N63/2</f>
        <v/>
      </c>
      <c r="P63" s="4">
        <f>K63-N63/2</f>
        <v/>
      </c>
      <c r="Q63" s="4">
        <f>IF(MIN(Vin, -P63/(Coss_Q1+Coss_Q2)*0.00000002)&lt;0, 0, MIN(Vin, -P63/(Coss_Q1+Coss_Q2)*0.00000002))</f>
        <v/>
      </c>
      <c r="R63" s="4">
        <f>SQRT(K63^2+(N63^2)/12)</f>
        <v/>
      </c>
      <c r="S63" s="982">
        <f>R63^2*Rdcr</f>
        <v/>
      </c>
      <c r="T63" s="982">
        <f>Core_Loss_Ch1</f>
        <v/>
      </c>
      <c r="U63" s="982">
        <f>(T63+S63*(1+Ltc*(Ta-25)))/(1-S63*Ltc*ThetaCa)</f>
        <v/>
      </c>
      <c r="V63" s="4">
        <f>N63/SQRT(12)</f>
        <v/>
      </c>
      <c r="W63" s="982">
        <f>RCoutEsr*V63^2</f>
        <v/>
      </c>
      <c r="X63" s="982">
        <f>W63</f>
        <v/>
      </c>
      <c r="Y63" s="4">
        <f>SQRT(M63*(1-M63))*SQRT(K63^2+(N63^2)/12)</f>
        <v/>
      </c>
      <c r="Z63" s="982">
        <f>RCinEsr*Y63^2</f>
        <v/>
      </c>
      <c r="AA63" s="1078">
        <f>Z63</f>
        <v/>
      </c>
      <c r="AB63" s="982">
        <f>SQRT(M63)*SQRT(K63^2+(N63^2)/12)</f>
        <v/>
      </c>
      <c r="AC63" s="982">
        <f>Rdson1*AB63^2</f>
        <v/>
      </c>
      <c r="AD63" s="982">
        <f>(Vin*K63/2)*Fsw*(Tr_buck+Tf_buck)</f>
        <v/>
      </c>
      <c r="AE63" s="982">
        <f>(0.5*Coss_Q1*(Vin-Q63)^2-0.5*Coss_Q2*(Vin-Q63)^2+(Qoss_Q2*(Vin-Q63)/Vin)*Vin)*Fsw</f>
        <v/>
      </c>
      <c r="AF63" s="982">
        <f>IF(K63&gt;N63/2,0,ABS(K63-N63/2)*Vsd_Q1*Deadtime*Fsw)</f>
        <v/>
      </c>
      <c r="AG63" s="982">
        <f>(AF63+AE63+AD63+AC63*(1+RdsonTopTc*Ta-RdsonTopTc*25))/(1-AC63*RdsonTopTc*ThetaJA_Q1)</f>
        <v/>
      </c>
      <c r="AH63" s="982">
        <f>SQRT((1-M63))*SQRT(K63^2+(N63^2)/12)</f>
        <v/>
      </c>
      <c r="AI63" s="982">
        <f>Rdson2*AH63^2</f>
        <v/>
      </c>
      <c r="AJ63" s="982">
        <f>IF(K63&lt;N63/2,Deadtime*Fsw*IF(VfdSky_Q2&gt;0,0,Vsd_Q2)*(K63+N63/2),2*Deadtime*Fsw*IF(VfdSky_Q2&gt;0,0,Vsd_Q2)*K63)</f>
        <v/>
      </c>
      <c r="AK63" s="982">
        <f>(AJ63+AI63*(1+RdsonBotTc*Ta-RdsonBotTc*25))/(1-AI63*RdsonBotTc*ThetaJA_Q2)</f>
        <v/>
      </c>
      <c r="AL63" s="982">
        <f>2*Deadtime*Fsw*IF(VfdSky_Q2&gt;0,VfdSky_Q2,Vsd_Q2)*K63</f>
        <v/>
      </c>
      <c r="AM63" s="982">
        <f>IF(QrrSky_Q2&gt;0,QrrSky_Q2,Qrr_Q2*K63/(Iout/Number_of_Phases))*Fsw*Vin</f>
        <v/>
      </c>
      <c r="AN63" s="982">
        <f>Rs*R63^2</f>
        <v/>
      </c>
      <c r="AO63" s="982">
        <f>Iq*Vin</f>
        <v/>
      </c>
      <c r="AP63" s="982">
        <f>IF(Ext_VCC=1, (Qg_Q1+Qg_Q2)*Fsw*VCC, (Qg_Q1+Qg_Q2)*Fsw*Vin)</f>
        <v/>
      </c>
      <c r="AQ63" s="982">
        <f>(Vin-VCC)*Fsw*(Qg_Q1+Qg_Q2)+(RdsonDRT+RdsonDRT2)*Fsw*Qg_Q1*VCC/(RdsonDRT+2*Rgate1+RdsonDRT2)+(RdsonDRB+RdsonDRB2)*Fsw*Qg_Q2*VCC/(RdsonDRB+2*Rgate2+RdsonDRB2)</f>
        <v/>
      </c>
      <c r="AR63" s="982">
        <f>(Qg_Q1+Qg_Q2)*Fsw*(Vin-VCC)</f>
        <v/>
      </c>
      <c r="AS63" s="982">
        <f>SUM(AO63:AP63)</f>
        <v/>
      </c>
      <c r="AT63" s="982">
        <f> SUM(U63,X63,AA63,AG63,AK63,AL63,AM63,AS63,AN63)</f>
        <v/>
      </c>
      <c r="AU63">
        <f>Vout*K63</f>
        <v/>
      </c>
      <c r="AV63" s="1079">
        <f>AU63/(AU63+AT63)</f>
        <v/>
      </c>
      <c r="AW63" s="1080">
        <f>ThetaJA_Q1*BC63</f>
        <v/>
      </c>
      <c r="AX63" s="1080">
        <f>ThetaJA_Q2*BD63</f>
        <v/>
      </c>
      <c r="AY63" s="9" t="n"/>
      <c r="AZ63" s="4">
        <f>AV63*100</f>
        <v/>
      </c>
      <c r="BA63" s="982">
        <f>U63</f>
        <v/>
      </c>
      <c r="BB63" s="982">
        <f>AG63+AK63+AM63</f>
        <v/>
      </c>
      <c r="BC63" s="982">
        <f>AG63+AM63*0.66</f>
        <v/>
      </c>
      <c r="BD63" s="982">
        <f>AK63+AM63*0.33</f>
        <v/>
      </c>
      <c r="BE63" s="982">
        <f>AN63</f>
        <v/>
      </c>
      <c r="BK63" s="18" t="n"/>
      <c r="BL63" s="19" t="n"/>
    </row>
    <row r="64">
      <c r="A64" s="75" t="n"/>
      <c r="B64" s="30" t="n"/>
      <c r="G64" t="n">
        <v>55</v>
      </c>
      <c r="H64" s="531">
        <f>Vin</f>
        <v/>
      </c>
      <c r="I64" s="4">
        <f>MODE</f>
        <v/>
      </c>
      <c r="J64" s="982">
        <f>Iout*G64/100</f>
        <v/>
      </c>
      <c r="K64" s="982">
        <f>Iout*G64/100/Number_of_Phases</f>
        <v/>
      </c>
      <c r="L64" s="4">
        <f>Vout*K64/(Vin*Efficiency)</f>
        <v/>
      </c>
      <c r="M64" s="982">
        <f>(Vout+(Rdson2+Rs+Rdcr)*K64)/(Vin+(Rs+Rdson2-Rdson1)*K64)</f>
        <v/>
      </c>
      <c r="N64" s="4">
        <f>(Vin-(Rdson1+Rdcr)*K64-Vout)*M64/(Fsw*Lf)</f>
        <v/>
      </c>
      <c r="O64" s="4">
        <f>K64+N64/2</f>
        <v/>
      </c>
      <c r="P64" s="4">
        <f>K64-N64/2</f>
        <v/>
      </c>
      <c r="Q64" s="4">
        <f>IF(MIN(Vin, -P64/(Coss_Q1+Coss_Q2)*0.00000002)&lt;0, 0, MIN(Vin, -P64/(Coss_Q1+Coss_Q2)*0.00000002))</f>
        <v/>
      </c>
      <c r="R64" s="4">
        <f>SQRT(K64^2+(N64^2)/12)</f>
        <v/>
      </c>
      <c r="S64" s="982">
        <f>R64^2*Rdcr</f>
        <v/>
      </c>
      <c r="T64" s="982">
        <f>Core_Loss_Ch1</f>
        <v/>
      </c>
      <c r="U64" s="982">
        <f>(T64+S64*(1+Ltc*(Ta-25)))/(1-S64*Ltc*ThetaCa)</f>
        <v/>
      </c>
      <c r="V64" s="4">
        <f>N64/SQRT(12)</f>
        <v/>
      </c>
      <c r="W64" s="982">
        <f>RCoutEsr*V64^2</f>
        <v/>
      </c>
      <c r="X64" s="982">
        <f>W64</f>
        <v/>
      </c>
      <c r="Y64" s="4">
        <f>SQRT(M64*(1-M64))*SQRT(K64^2+(N64^2)/12)</f>
        <v/>
      </c>
      <c r="Z64" s="982">
        <f>RCinEsr*Y64^2</f>
        <v/>
      </c>
      <c r="AA64" s="1078">
        <f>Z64</f>
        <v/>
      </c>
      <c r="AB64" s="982">
        <f>SQRT(M64)*SQRT(K64^2+(N64^2)/12)</f>
        <v/>
      </c>
      <c r="AC64" s="982">
        <f>Rdson1*AB64^2</f>
        <v/>
      </c>
      <c r="AD64" s="982">
        <f>(Vin*K64/2)*Fsw*(Tr_buck+Tf_buck)</f>
        <v/>
      </c>
      <c r="AE64" s="982">
        <f>(0.5*Coss_Q1*(Vin-Q64)^2-0.5*Coss_Q2*(Vin-Q64)^2+(Qoss_Q2*(Vin-Q64)/Vin)*Vin)*Fsw</f>
        <v/>
      </c>
      <c r="AF64" s="982">
        <f>IF(K64&gt;N64/2,0,ABS(K64-N64/2)*Vsd_Q1*Deadtime*Fsw)</f>
        <v/>
      </c>
      <c r="AG64" s="982">
        <f>(AF64+AE64+AD64+AC64*(1+RdsonTopTc*Ta-RdsonTopTc*25))/(1-AC64*RdsonTopTc*ThetaJA_Q1)</f>
        <v/>
      </c>
      <c r="AH64" s="982">
        <f>SQRT((1-M64))*SQRT(K64^2+(N64^2)/12)</f>
        <v/>
      </c>
      <c r="AI64" s="982">
        <f>Rdson2*AH64^2</f>
        <v/>
      </c>
      <c r="AJ64" s="982">
        <f>IF(K64&lt;N64/2,Deadtime*Fsw*IF(VfdSky_Q2&gt;0,0,Vsd_Q2)*(K64+N64/2),2*Deadtime*Fsw*IF(VfdSky_Q2&gt;0,0,Vsd_Q2)*K64)</f>
        <v/>
      </c>
      <c r="AK64" s="982">
        <f>(AJ64+AI64*(1+RdsonBotTc*Ta-RdsonBotTc*25))/(1-AI64*RdsonBotTc*ThetaJA_Q2)</f>
        <v/>
      </c>
      <c r="AL64" s="982">
        <f>2*Deadtime*Fsw*IF(VfdSky_Q2&gt;0,VfdSky_Q2,Vsd_Q2)*K64</f>
        <v/>
      </c>
      <c r="AM64" s="982">
        <f>IF(QrrSky_Q2&gt;0,QrrSky_Q2,Qrr_Q2*K64/(Iout/Number_of_Phases))*Fsw*Vin</f>
        <v/>
      </c>
      <c r="AN64" s="982">
        <f>Rs*R64^2</f>
        <v/>
      </c>
      <c r="AO64" s="982">
        <f>Iq*Vin</f>
        <v/>
      </c>
      <c r="AP64" s="982">
        <f>IF(Ext_VCC=1, (Qg_Q1+Qg_Q2)*Fsw*VCC, (Qg_Q1+Qg_Q2)*Fsw*Vin)</f>
        <v/>
      </c>
      <c r="AQ64" s="982">
        <f>(Vin-VCC)*Fsw*(Qg_Q1+Qg_Q2)+(RdsonDRT+RdsonDRT2)*Fsw*Qg_Q1*VCC/(RdsonDRT+2*Rgate1+RdsonDRT2)+(RdsonDRB+RdsonDRB2)*Fsw*Qg_Q2*VCC/(RdsonDRB+2*Rgate2+RdsonDRB2)</f>
        <v/>
      </c>
      <c r="AR64" s="982">
        <f>(Qg_Q1+Qg_Q2)*Fsw*(Vin-VCC)</f>
        <v/>
      </c>
      <c r="AS64" s="982">
        <f>SUM(AO64:AP64)</f>
        <v/>
      </c>
      <c r="AT64" s="982">
        <f> SUM(U64,X64,AA64,AG64,AK64,AL64,AM64,AS64,AN64)</f>
        <v/>
      </c>
      <c r="AU64">
        <f>Vout*K64</f>
        <v/>
      </c>
      <c r="AV64" s="1079">
        <f>AU64/(AU64+AT64)</f>
        <v/>
      </c>
      <c r="AW64" s="1080">
        <f>ThetaJA_Q1*BC64</f>
        <v/>
      </c>
      <c r="AX64" s="1080">
        <f>ThetaJA_Q2*BD64</f>
        <v/>
      </c>
      <c r="AY64" s="9" t="n"/>
      <c r="AZ64" s="4">
        <f>AV64*100</f>
        <v/>
      </c>
      <c r="BA64" s="982">
        <f>U64</f>
        <v/>
      </c>
      <c r="BB64" s="982">
        <f>AG64+AK64+AM64</f>
        <v/>
      </c>
      <c r="BC64" s="982">
        <f>AG64+AM64*0.66</f>
        <v/>
      </c>
      <c r="BD64" s="982">
        <f>AK64+AM64*0.33</f>
        <v/>
      </c>
      <c r="BE64" s="982">
        <f>AN64</f>
        <v/>
      </c>
      <c r="BK64" s="18" t="n"/>
      <c r="BL64" s="19" t="n"/>
    </row>
    <row r="65">
      <c r="G65" t="n">
        <v>56</v>
      </c>
      <c r="H65" s="531">
        <f>Vin</f>
        <v/>
      </c>
      <c r="I65" s="4">
        <f>MODE</f>
        <v/>
      </c>
      <c r="J65" s="982">
        <f>Iout*G65/100</f>
        <v/>
      </c>
      <c r="K65" s="982">
        <f>Iout*G65/100/Number_of_Phases</f>
        <v/>
      </c>
      <c r="L65" s="4">
        <f>Vout*K65/(Vin*Efficiency)</f>
        <v/>
      </c>
      <c r="M65" s="982">
        <f>(Vout+(Rdson2+Rs+Rdcr)*K65)/(Vin+(Rs+Rdson2-Rdson1)*K65)</f>
        <v/>
      </c>
      <c r="N65" s="4">
        <f>(Vin-(Rdson1+Rdcr)*K65-Vout)*M65/(Fsw*Lf)</f>
        <v/>
      </c>
      <c r="O65" s="4">
        <f>K65+N65/2</f>
        <v/>
      </c>
      <c r="P65" s="4">
        <f>K65-N65/2</f>
        <v/>
      </c>
      <c r="Q65" s="4">
        <f>IF(MIN(Vin, -P65/(Coss_Q1+Coss_Q2)*0.00000002)&lt;0, 0, MIN(Vin, -P65/(Coss_Q1+Coss_Q2)*0.00000002))</f>
        <v/>
      </c>
      <c r="R65" s="4">
        <f>SQRT(K65^2+(N65^2)/12)</f>
        <v/>
      </c>
      <c r="S65" s="982">
        <f>R65^2*Rdcr</f>
        <v/>
      </c>
      <c r="T65" s="982">
        <f>Core_Loss_Ch1</f>
        <v/>
      </c>
      <c r="U65" s="982">
        <f>(T65+S65*(1+Ltc*(Ta-25)))/(1-S65*Ltc*ThetaCa)</f>
        <v/>
      </c>
      <c r="V65" s="4">
        <f>N65/SQRT(12)</f>
        <v/>
      </c>
      <c r="W65" s="982">
        <f>RCoutEsr*V65^2</f>
        <v/>
      </c>
      <c r="X65" s="982">
        <f>W65</f>
        <v/>
      </c>
      <c r="Y65" s="4">
        <f>SQRT(M65*(1-M65))*SQRT(K65^2+(N65^2)/12)</f>
        <v/>
      </c>
      <c r="Z65" s="982">
        <f>RCinEsr*Y65^2</f>
        <v/>
      </c>
      <c r="AA65" s="1078">
        <f>Z65</f>
        <v/>
      </c>
      <c r="AB65" s="982">
        <f>SQRT(M65)*SQRT(K65^2+(N65^2)/12)</f>
        <v/>
      </c>
      <c r="AC65" s="982">
        <f>Rdson1*AB65^2</f>
        <v/>
      </c>
      <c r="AD65" s="982">
        <f>(Vin*K65/2)*Fsw*(Tr_buck+Tf_buck)</f>
        <v/>
      </c>
      <c r="AE65" s="982">
        <f>(0.5*Coss_Q1*(Vin-Q65)^2-0.5*Coss_Q2*(Vin-Q65)^2+(Qoss_Q2*(Vin-Q65)/Vin)*Vin)*Fsw</f>
        <v/>
      </c>
      <c r="AF65" s="982">
        <f>IF(K65&gt;N65/2,0,ABS(K65-N65/2)*Vsd_Q1*Deadtime*Fsw)</f>
        <v/>
      </c>
      <c r="AG65" s="982">
        <f>(AF65+AE65+AD65+AC65*(1+RdsonTopTc*Ta-RdsonTopTc*25))/(1-AC65*RdsonTopTc*ThetaJA_Q1)</f>
        <v/>
      </c>
      <c r="AH65" s="982">
        <f>SQRT((1-M65))*SQRT(K65^2+(N65^2)/12)</f>
        <v/>
      </c>
      <c r="AI65" s="982">
        <f>Rdson2*AH65^2</f>
        <v/>
      </c>
      <c r="AJ65" s="982">
        <f>IF(K65&lt;N65/2,Deadtime*Fsw*IF(VfdSky_Q2&gt;0,0,Vsd_Q2)*(K65+N65/2),2*Deadtime*Fsw*IF(VfdSky_Q2&gt;0,0,Vsd_Q2)*K65)</f>
        <v/>
      </c>
      <c r="AK65" s="982">
        <f>(AJ65+AI65*(1+RdsonBotTc*Ta-RdsonBotTc*25))/(1-AI65*RdsonBotTc*ThetaJA_Q2)</f>
        <v/>
      </c>
      <c r="AL65" s="982">
        <f>2*Deadtime*Fsw*IF(VfdSky_Q2&gt;0,VfdSky_Q2,Vsd_Q2)*K65</f>
        <v/>
      </c>
      <c r="AM65" s="982">
        <f>IF(QrrSky_Q2&gt;0,QrrSky_Q2,Qrr_Q2*K65/(Iout/Number_of_Phases))*Fsw*Vin</f>
        <v/>
      </c>
      <c r="AN65" s="982">
        <f>Rs*R65^2</f>
        <v/>
      </c>
      <c r="AO65" s="982">
        <f>Iq*Vin</f>
        <v/>
      </c>
      <c r="AP65" s="982">
        <f>IF(Ext_VCC=1, (Qg_Q1+Qg_Q2)*Fsw*VCC, (Qg_Q1+Qg_Q2)*Fsw*Vin)</f>
        <v/>
      </c>
      <c r="AQ65" s="982">
        <f>(Vin-VCC)*Fsw*(Qg_Q1+Qg_Q2)+(RdsonDRT+RdsonDRT2)*Fsw*Qg_Q1*VCC/(RdsonDRT+2*Rgate1+RdsonDRT2)+(RdsonDRB+RdsonDRB2)*Fsw*Qg_Q2*VCC/(RdsonDRB+2*Rgate2+RdsonDRB2)</f>
        <v/>
      </c>
      <c r="AR65" s="982">
        <f>(Qg_Q1+Qg_Q2)*Fsw*(Vin-VCC)</f>
        <v/>
      </c>
      <c r="AS65" s="982">
        <f>SUM(AO65:AP65)</f>
        <v/>
      </c>
      <c r="AT65" s="982">
        <f> SUM(U65,X65,AA65,AG65,AK65,AL65,AM65,AS65,AN65)</f>
        <v/>
      </c>
      <c r="AU65">
        <f>Vout*K65</f>
        <v/>
      </c>
      <c r="AV65" s="1079">
        <f>AU65/(AU65+AT65)</f>
        <v/>
      </c>
      <c r="AW65" s="1080">
        <f>ThetaJA_Q1*BC65</f>
        <v/>
      </c>
      <c r="AX65" s="1080">
        <f>ThetaJA_Q2*BD65</f>
        <v/>
      </c>
      <c r="AY65" s="9" t="n"/>
      <c r="AZ65" s="4">
        <f>AV65*100</f>
        <v/>
      </c>
      <c r="BA65" s="982">
        <f>U65</f>
        <v/>
      </c>
      <c r="BB65" s="982">
        <f>AG65+AK65+AM65</f>
        <v/>
      </c>
      <c r="BC65" s="982">
        <f>AG65+AM65*0.66</f>
        <v/>
      </c>
      <c r="BD65" s="982">
        <f>AK65+AM65*0.33</f>
        <v/>
      </c>
      <c r="BE65" s="982">
        <f>AN65</f>
        <v/>
      </c>
      <c r="BK65" s="18" t="n"/>
      <c r="BL65" s="19" t="n"/>
    </row>
    <row r="66">
      <c r="A66" s="11" t="inlineStr">
        <is>
          <t>Outputs</t>
        </is>
      </c>
      <c r="B66" s="31" t="n"/>
      <c r="C66" s="31" t="n"/>
      <c r="G66" t="n">
        <v>57</v>
      </c>
      <c r="H66" s="531">
        <f>Vin</f>
        <v/>
      </c>
      <c r="I66" s="4">
        <f>MODE</f>
        <v/>
      </c>
      <c r="J66" s="982">
        <f>Iout*G66/100</f>
        <v/>
      </c>
      <c r="K66" s="982">
        <f>Iout*G66/100/Number_of_Phases</f>
        <v/>
      </c>
      <c r="L66" s="4">
        <f>Vout*K66/(Vin*Efficiency)</f>
        <v/>
      </c>
      <c r="M66" s="982">
        <f>(Vout+(Rdson2+Rs+Rdcr)*K66)/(Vin+(Rs+Rdson2-Rdson1)*K66)</f>
        <v/>
      </c>
      <c r="N66" s="4">
        <f>(Vin-(Rdson1+Rdcr)*K66-Vout)*M66/(Fsw*Lf)</f>
        <v/>
      </c>
      <c r="O66" s="4">
        <f>K66+N66/2</f>
        <v/>
      </c>
      <c r="P66" s="4">
        <f>K66-N66/2</f>
        <v/>
      </c>
      <c r="Q66" s="4">
        <f>IF(MIN(Vin, -P66/(Coss_Q1+Coss_Q2)*0.00000002)&lt;0, 0, MIN(Vin, -P66/(Coss_Q1+Coss_Q2)*0.00000002))</f>
        <v/>
      </c>
      <c r="R66" s="4">
        <f>SQRT(K66^2+(N66^2)/12)</f>
        <v/>
      </c>
      <c r="S66" s="982">
        <f>R66^2*Rdcr</f>
        <v/>
      </c>
      <c r="T66" s="982">
        <f>Core_Loss_Ch1</f>
        <v/>
      </c>
      <c r="U66" s="982">
        <f>(T66+S66*(1+Ltc*(Ta-25)))/(1-S66*Ltc*ThetaCa)</f>
        <v/>
      </c>
      <c r="V66" s="4">
        <f>N66/SQRT(12)</f>
        <v/>
      </c>
      <c r="W66" s="982">
        <f>RCoutEsr*V66^2</f>
        <v/>
      </c>
      <c r="X66" s="982">
        <f>W66</f>
        <v/>
      </c>
      <c r="Y66" s="4">
        <f>SQRT(M66*(1-M66))*SQRT(K66^2+(N66^2)/12)</f>
        <v/>
      </c>
      <c r="Z66" s="982">
        <f>RCinEsr*Y66^2</f>
        <v/>
      </c>
      <c r="AA66" s="1078">
        <f>Z66</f>
        <v/>
      </c>
      <c r="AB66" s="982">
        <f>SQRT(M66)*SQRT(K66^2+(N66^2)/12)</f>
        <v/>
      </c>
      <c r="AC66" s="982">
        <f>Rdson1*AB66^2</f>
        <v/>
      </c>
      <c r="AD66" s="982">
        <f>(Vin*K66/2)*Fsw*(Tr_buck+Tf_buck)</f>
        <v/>
      </c>
      <c r="AE66" s="982">
        <f>(0.5*Coss_Q1*(Vin-Q66)^2-0.5*Coss_Q2*(Vin-Q66)^2+(Qoss_Q2*(Vin-Q66)/Vin)*Vin)*Fsw</f>
        <v/>
      </c>
      <c r="AF66" s="982">
        <f>IF(K66&gt;N66/2,0,ABS(K66-N66/2)*Vsd_Q1*Deadtime*Fsw)</f>
        <v/>
      </c>
      <c r="AG66" s="982">
        <f>(AF66+AE66+AD66+AC66*(1+RdsonTopTc*Ta-RdsonTopTc*25))/(1-AC66*RdsonTopTc*ThetaJA_Q1)</f>
        <v/>
      </c>
      <c r="AH66" s="982">
        <f>SQRT((1-M66))*SQRT(K66^2+(N66^2)/12)</f>
        <v/>
      </c>
      <c r="AI66" s="982">
        <f>Rdson2*AH66^2</f>
        <v/>
      </c>
      <c r="AJ66" s="982">
        <f>IF(K66&lt;N66/2,Deadtime*Fsw*IF(VfdSky_Q2&gt;0,0,Vsd_Q2)*(K66+N66/2),2*Deadtime*Fsw*IF(VfdSky_Q2&gt;0,0,Vsd_Q2)*K66)</f>
        <v/>
      </c>
      <c r="AK66" s="982">
        <f>(AJ66+AI66*(1+RdsonBotTc*Ta-RdsonBotTc*25))/(1-AI66*RdsonBotTc*ThetaJA_Q2)</f>
        <v/>
      </c>
      <c r="AL66" s="982">
        <f>2*Deadtime*Fsw*IF(VfdSky_Q2&gt;0,VfdSky_Q2,Vsd_Q2)*K66</f>
        <v/>
      </c>
      <c r="AM66" s="982">
        <f>IF(QrrSky_Q2&gt;0,QrrSky_Q2,Qrr_Q2*K66/(Iout/Number_of_Phases))*Fsw*Vin</f>
        <v/>
      </c>
      <c r="AN66" s="982">
        <f>Rs*R66^2</f>
        <v/>
      </c>
      <c r="AO66" s="982">
        <f>Iq*Vin</f>
        <v/>
      </c>
      <c r="AP66" s="982">
        <f>IF(Ext_VCC=1, (Qg_Q1+Qg_Q2)*Fsw*VCC, (Qg_Q1+Qg_Q2)*Fsw*Vin)</f>
        <v/>
      </c>
      <c r="AQ66" s="982">
        <f>(Vin-VCC)*Fsw*(Qg_Q1+Qg_Q2)+(RdsonDRT+RdsonDRT2)*Fsw*Qg_Q1*VCC/(RdsonDRT+2*Rgate1+RdsonDRT2)+(RdsonDRB+RdsonDRB2)*Fsw*Qg_Q2*VCC/(RdsonDRB+2*Rgate2+RdsonDRB2)</f>
        <v/>
      </c>
      <c r="AR66" s="982">
        <f>(Qg_Q1+Qg_Q2)*Fsw*(Vin-VCC)</f>
        <v/>
      </c>
      <c r="AS66" s="982">
        <f>SUM(AO66:AP66)</f>
        <v/>
      </c>
      <c r="AT66" s="982">
        <f> SUM(U66,X66,AA66,AG66,AK66,AL66,AM66,AS66,AN66)</f>
        <v/>
      </c>
      <c r="AU66">
        <f>Vout*K66</f>
        <v/>
      </c>
      <c r="AV66" s="1079">
        <f>AU66/(AU66+AT66)</f>
        <v/>
      </c>
      <c r="AW66" s="1080">
        <f>ThetaJA_Q1*BC66</f>
        <v/>
      </c>
      <c r="AX66" s="1080">
        <f>ThetaJA_Q2*BD66</f>
        <v/>
      </c>
      <c r="AY66" s="9" t="n"/>
      <c r="AZ66" s="4">
        <f>AV66*100</f>
        <v/>
      </c>
      <c r="BA66" s="982">
        <f>U66</f>
        <v/>
      </c>
      <c r="BB66" s="982">
        <f>AG66+AK66+AM66</f>
        <v/>
      </c>
      <c r="BC66" s="982">
        <f>AG66+AM66*0.66</f>
        <v/>
      </c>
      <c r="BD66" s="982">
        <f>AK66+AM66*0.33</f>
        <v/>
      </c>
      <c r="BE66" s="982">
        <f>AN66</f>
        <v/>
      </c>
      <c r="BK66" s="18" t="n"/>
      <c r="BL66" s="19" t="n"/>
    </row>
    <row r="67">
      <c r="A67" s="14" t="inlineStr">
        <is>
          <t>Design</t>
        </is>
      </c>
      <c r="B67" s="15" t="inlineStr">
        <is>
          <t>Value</t>
        </is>
      </c>
      <c r="C67" s="15" t="inlineStr">
        <is>
          <t>Units</t>
        </is>
      </c>
      <c r="G67" t="n">
        <v>58</v>
      </c>
      <c r="H67" s="531">
        <f>Vin</f>
        <v/>
      </c>
      <c r="I67" s="4">
        <f>MODE</f>
        <v/>
      </c>
      <c r="J67" s="982">
        <f>Iout*G67/100</f>
        <v/>
      </c>
      <c r="K67" s="982">
        <f>Iout*G67/100/Number_of_Phases</f>
        <v/>
      </c>
      <c r="L67" s="4">
        <f>Vout*K67/(Vin*Efficiency)</f>
        <v/>
      </c>
      <c r="M67" s="982">
        <f>(Vout+(Rdson2+Rs+Rdcr)*K67)/(Vin+(Rs+Rdson2-Rdson1)*K67)</f>
        <v/>
      </c>
      <c r="N67" s="4">
        <f>(Vin-(Rdson1+Rdcr)*K67-Vout)*M67/(Fsw*Lf)</f>
        <v/>
      </c>
      <c r="O67" s="4">
        <f>K67+N67/2</f>
        <v/>
      </c>
      <c r="P67" s="4">
        <f>K67-N67/2</f>
        <v/>
      </c>
      <c r="Q67" s="4">
        <f>IF(MIN(Vin, -P67/(Coss_Q1+Coss_Q2)*0.00000002)&lt;0, 0, MIN(Vin, -P67/(Coss_Q1+Coss_Q2)*0.00000002))</f>
        <v/>
      </c>
      <c r="R67" s="4">
        <f>SQRT(K67^2+(N67^2)/12)</f>
        <v/>
      </c>
      <c r="S67" s="982">
        <f>R67^2*Rdcr</f>
        <v/>
      </c>
      <c r="T67" s="982">
        <f>Core_Loss_Ch1</f>
        <v/>
      </c>
      <c r="U67" s="982">
        <f>(T67+S67*(1+Ltc*(Ta-25)))/(1-S67*Ltc*ThetaCa)</f>
        <v/>
      </c>
      <c r="V67" s="4">
        <f>N67/SQRT(12)</f>
        <v/>
      </c>
      <c r="W67" s="982">
        <f>RCoutEsr*V67^2</f>
        <v/>
      </c>
      <c r="X67" s="982">
        <f>W67</f>
        <v/>
      </c>
      <c r="Y67" s="4">
        <f>SQRT(M67*(1-M67))*SQRT(K67^2+(N67^2)/12)</f>
        <v/>
      </c>
      <c r="Z67" s="982">
        <f>RCinEsr*Y67^2</f>
        <v/>
      </c>
      <c r="AA67" s="1078">
        <f>Z67</f>
        <v/>
      </c>
      <c r="AB67" s="982">
        <f>SQRT(M67)*SQRT(K67^2+(N67^2)/12)</f>
        <v/>
      </c>
      <c r="AC67" s="982">
        <f>Rdson1*AB67^2</f>
        <v/>
      </c>
      <c r="AD67" s="982">
        <f>(Vin*K67/2)*Fsw*(Tr_buck+Tf_buck)</f>
        <v/>
      </c>
      <c r="AE67" s="982">
        <f>(0.5*Coss_Q1*(Vin-Q67)^2-0.5*Coss_Q2*(Vin-Q67)^2+(Qoss_Q2*(Vin-Q67)/Vin)*Vin)*Fsw</f>
        <v/>
      </c>
      <c r="AF67" s="982">
        <f>IF(K67&gt;N67/2,0,ABS(K67-N67/2)*Vsd_Q1*Deadtime*Fsw)</f>
        <v/>
      </c>
      <c r="AG67" s="982">
        <f>(AF67+AE67+AD67+AC67*(1+RdsonTopTc*Ta-RdsonTopTc*25))/(1-AC67*RdsonTopTc*ThetaJA_Q1)</f>
        <v/>
      </c>
      <c r="AH67" s="982">
        <f>SQRT((1-M67))*SQRT(K67^2+(N67^2)/12)</f>
        <v/>
      </c>
      <c r="AI67" s="982">
        <f>Rdson2*AH67^2</f>
        <v/>
      </c>
      <c r="AJ67" s="982">
        <f>IF(K67&lt;N67/2,Deadtime*Fsw*IF(VfdSky_Q2&gt;0,0,Vsd_Q2)*(K67+N67/2),2*Deadtime*Fsw*IF(VfdSky_Q2&gt;0,0,Vsd_Q2)*K67)</f>
        <v/>
      </c>
      <c r="AK67" s="982">
        <f>(AJ67+AI67*(1+RdsonBotTc*Ta-RdsonBotTc*25))/(1-AI67*RdsonBotTc*ThetaJA_Q2)</f>
        <v/>
      </c>
      <c r="AL67" s="982">
        <f>2*Deadtime*Fsw*IF(VfdSky_Q2&gt;0,VfdSky_Q2,Vsd_Q2)*K67</f>
        <v/>
      </c>
      <c r="AM67" s="982">
        <f>IF(QrrSky_Q2&gt;0,QrrSky_Q2,Qrr_Q2*K67/(Iout/Number_of_Phases))*Fsw*Vin</f>
        <v/>
      </c>
      <c r="AN67" s="982">
        <f>Rs*R67^2</f>
        <v/>
      </c>
      <c r="AO67" s="982">
        <f>Iq*Vin</f>
        <v/>
      </c>
      <c r="AP67" s="982">
        <f>IF(Ext_VCC=1, (Qg_Q1+Qg_Q2)*Fsw*VCC, (Qg_Q1+Qg_Q2)*Fsw*Vin)</f>
        <v/>
      </c>
      <c r="AQ67" s="982">
        <f>(Vin-VCC)*Fsw*(Qg_Q1+Qg_Q2)+(RdsonDRT+RdsonDRT2)*Fsw*Qg_Q1*VCC/(RdsonDRT+2*Rgate1+RdsonDRT2)+(RdsonDRB+RdsonDRB2)*Fsw*Qg_Q2*VCC/(RdsonDRB+2*Rgate2+RdsonDRB2)</f>
        <v/>
      </c>
      <c r="AR67" s="982">
        <f>(Qg_Q1+Qg_Q2)*Fsw*(Vin-VCC)</f>
        <v/>
      </c>
      <c r="AS67" s="982">
        <f>SUM(AO67:AP67)</f>
        <v/>
      </c>
      <c r="AT67" s="982">
        <f> SUM(U67,X67,AA67,AG67,AK67,AL67,AM67,AS67,AN67)</f>
        <v/>
      </c>
      <c r="AU67">
        <f>Vout*K67</f>
        <v/>
      </c>
      <c r="AV67" s="1079">
        <f>AU67/(AU67+AT67)</f>
        <v/>
      </c>
      <c r="AW67" s="1080">
        <f>ThetaJA_Q1*BC67</f>
        <v/>
      </c>
      <c r="AX67" s="1080">
        <f>ThetaJA_Q2*BD67</f>
        <v/>
      </c>
      <c r="AY67" s="9" t="n"/>
      <c r="AZ67" s="4">
        <f>AV67*100</f>
        <v/>
      </c>
      <c r="BA67" s="982">
        <f>U67</f>
        <v/>
      </c>
      <c r="BB67" s="982">
        <f>AG67+AK67+AM67</f>
        <v/>
      </c>
      <c r="BC67" s="982">
        <f>AG67+AM67*0.66</f>
        <v/>
      </c>
      <c r="BD67" s="982">
        <f>AK67+AM67*0.33</f>
        <v/>
      </c>
      <c r="BE67" s="982">
        <f>AN67</f>
        <v/>
      </c>
      <c r="BK67" s="18" t="n"/>
      <c r="BL67" s="19" t="n"/>
    </row>
    <row r="68">
      <c r="A68" s="32" t="inlineStr">
        <is>
          <t>Dmax</t>
        </is>
      </c>
      <c r="B68" s="1081">
        <f>D1_Vinmin</f>
        <v/>
      </c>
      <c r="C68" s="21" t="inlineStr">
        <is>
          <t>index</t>
        </is>
      </c>
      <c r="G68" t="n">
        <v>59</v>
      </c>
      <c r="H68" s="531">
        <f>Vin</f>
        <v/>
      </c>
      <c r="I68" s="4">
        <f>MODE</f>
        <v/>
      </c>
      <c r="J68" s="982">
        <f>Iout*G68/100</f>
        <v/>
      </c>
      <c r="K68" s="982">
        <f>Iout*G68/100/Number_of_Phases</f>
        <v/>
      </c>
      <c r="L68" s="4">
        <f>Vout*K68/(Vin*Efficiency)</f>
        <v/>
      </c>
      <c r="M68" s="982">
        <f>(Vout+(Rdson2+Rs+Rdcr)*K68)/(Vin+(Rs+Rdson2-Rdson1)*K68)</f>
        <v/>
      </c>
      <c r="N68" s="4">
        <f>(Vin-(Rdson1+Rdcr)*K68-Vout)*M68/(Fsw*Lf)</f>
        <v/>
      </c>
      <c r="O68" s="4">
        <f>K68+N68/2</f>
        <v/>
      </c>
      <c r="P68" s="4">
        <f>K68-N68/2</f>
        <v/>
      </c>
      <c r="Q68" s="4">
        <f>IF(MIN(Vin, -P68/(Coss_Q1+Coss_Q2)*0.00000002)&lt;0, 0, MIN(Vin, -P68/(Coss_Q1+Coss_Q2)*0.00000002))</f>
        <v/>
      </c>
      <c r="R68" s="4">
        <f>SQRT(K68^2+(N68^2)/12)</f>
        <v/>
      </c>
      <c r="S68" s="982">
        <f>R68^2*Rdcr</f>
        <v/>
      </c>
      <c r="T68" s="982">
        <f>Core_Loss_Ch1</f>
        <v/>
      </c>
      <c r="U68" s="982">
        <f>(T68+S68*(1+Ltc*(Ta-25)))/(1-S68*Ltc*ThetaCa)</f>
        <v/>
      </c>
      <c r="V68" s="4">
        <f>N68/SQRT(12)</f>
        <v/>
      </c>
      <c r="W68" s="982">
        <f>RCoutEsr*V68^2</f>
        <v/>
      </c>
      <c r="X68" s="982">
        <f>W68</f>
        <v/>
      </c>
      <c r="Y68" s="4">
        <f>SQRT(M68*(1-M68))*SQRT(K68^2+(N68^2)/12)</f>
        <v/>
      </c>
      <c r="Z68" s="982">
        <f>RCinEsr*Y68^2</f>
        <v/>
      </c>
      <c r="AA68" s="1078">
        <f>Z68</f>
        <v/>
      </c>
      <c r="AB68" s="982">
        <f>SQRT(M68)*SQRT(K68^2+(N68^2)/12)</f>
        <v/>
      </c>
      <c r="AC68" s="982">
        <f>Rdson1*AB68^2</f>
        <v/>
      </c>
      <c r="AD68" s="982">
        <f>(Vin*K68/2)*Fsw*(Tr_buck+Tf_buck)</f>
        <v/>
      </c>
      <c r="AE68" s="982">
        <f>(0.5*Coss_Q1*(Vin-Q68)^2-0.5*Coss_Q2*(Vin-Q68)^2+(Qoss_Q2*(Vin-Q68)/Vin)*Vin)*Fsw</f>
        <v/>
      </c>
      <c r="AF68" s="982">
        <f>IF(K68&gt;N68/2,0,ABS(K68-N68/2)*Vsd_Q1*Deadtime*Fsw)</f>
        <v/>
      </c>
      <c r="AG68" s="982">
        <f>(AF68+AE68+AD68+AC68*(1+RdsonTopTc*Ta-RdsonTopTc*25))/(1-AC68*RdsonTopTc*ThetaJA_Q1)</f>
        <v/>
      </c>
      <c r="AH68" s="982">
        <f>SQRT((1-M68))*SQRT(K68^2+(N68^2)/12)</f>
        <v/>
      </c>
      <c r="AI68" s="982">
        <f>Rdson2*AH68^2</f>
        <v/>
      </c>
      <c r="AJ68" s="982">
        <f>IF(K68&lt;N68/2,Deadtime*Fsw*IF(VfdSky_Q2&gt;0,0,Vsd_Q2)*(K68+N68/2),2*Deadtime*Fsw*IF(VfdSky_Q2&gt;0,0,Vsd_Q2)*K68)</f>
        <v/>
      </c>
      <c r="AK68" s="982">
        <f>(AJ68+AI68*(1+RdsonBotTc*Ta-RdsonBotTc*25))/(1-AI68*RdsonBotTc*ThetaJA_Q2)</f>
        <v/>
      </c>
      <c r="AL68" s="982">
        <f>2*Deadtime*Fsw*IF(VfdSky_Q2&gt;0,VfdSky_Q2,Vsd_Q2)*K68</f>
        <v/>
      </c>
      <c r="AM68" s="982">
        <f>IF(QrrSky_Q2&gt;0,QrrSky_Q2,Qrr_Q2*K68/(Iout/Number_of_Phases))*Fsw*Vin</f>
        <v/>
      </c>
      <c r="AN68" s="982">
        <f>Rs*R68^2</f>
        <v/>
      </c>
      <c r="AO68" s="982">
        <f>Iq*Vin</f>
        <v/>
      </c>
      <c r="AP68" s="982">
        <f>IF(Ext_VCC=1, (Qg_Q1+Qg_Q2)*Fsw*VCC, (Qg_Q1+Qg_Q2)*Fsw*Vin)</f>
        <v/>
      </c>
      <c r="AQ68" s="982">
        <f>(Vin-VCC)*Fsw*(Qg_Q1+Qg_Q2)+(RdsonDRT+RdsonDRT2)*Fsw*Qg_Q1*VCC/(RdsonDRT+2*Rgate1+RdsonDRT2)+(RdsonDRB+RdsonDRB2)*Fsw*Qg_Q2*VCC/(RdsonDRB+2*Rgate2+RdsonDRB2)</f>
        <v/>
      </c>
      <c r="AR68" s="982">
        <f>(Qg_Q1+Qg_Q2)*Fsw*(Vin-VCC)</f>
        <v/>
      </c>
      <c r="AS68" s="982">
        <f>SUM(AO68:AP68)</f>
        <v/>
      </c>
      <c r="AT68" s="982">
        <f> SUM(U68,X68,AA68,AG68,AK68,AL68,AM68,AS68,AN68)</f>
        <v/>
      </c>
      <c r="AU68">
        <f>Vout*K68</f>
        <v/>
      </c>
      <c r="AV68" s="1079">
        <f>AU68/(AU68+AT68)</f>
        <v/>
      </c>
      <c r="AW68" s="1080">
        <f>ThetaJA_Q1*BC68</f>
        <v/>
      </c>
      <c r="AX68" s="1080">
        <f>ThetaJA_Q2*BD68</f>
        <v/>
      </c>
      <c r="AY68" s="9" t="n"/>
      <c r="AZ68" s="4">
        <f>AV68*100</f>
        <v/>
      </c>
      <c r="BA68" s="982">
        <f>U68</f>
        <v/>
      </c>
      <c r="BB68" s="982">
        <f>AG68+AK68+AM68</f>
        <v/>
      </c>
      <c r="BC68" s="982">
        <f>AG68+AM68*0.66</f>
        <v/>
      </c>
      <c r="BD68" s="982">
        <f>AK68+AM68*0.33</f>
        <v/>
      </c>
      <c r="BE68" s="982">
        <f>AN68</f>
        <v/>
      </c>
      <c r="BK68" s="18" t="n"/>
      <c r="BL68" s="19" t="n"/>
    </row>
    <row r="69">
      <c r="A69" s="23" t="inlineStr">
        <is>
          <t>Dprime</t>
        </is>
      </c>
      <c r="B69" s="1081">
        <f>1-B68</f>
        <v/>
      </c>
      <c r="C69" s="21" t="inlineStr">
        <is>
          <t>index</t>
        </is>
      </c>
      <c r="G69" t="n">
        <v>60</v>
      </c>
      <c r="H69" s="531">
        <f>Vin</f>
        <v/>
      </c>
      <c r="I69" s="4">
        <f>MODE</f>
        <v/>
      </c>
      <c r="J69" s="982">
        <f>Iout*G69/100</f>
        <v/>
      </c>
      <c r="K69" s="982">
        <f>Iout*G69/100/Number_of_Phases</f>
        <v/>
      </c>
      <c r="L69" s="4">
        <f>Vout*K69/(Vin*Efficiency)</f>
        <v/>
      </c>
      <c r="M69" s="982">
        <f>(Vout+(Rdson2+Rs+Rdcr)*K69)/(Vin+(Rs+Rdson2-Rdson1)*K69)</f>
        <v/>
      </c>
      <c r="N69" s="4">
        <f>(Vin-(Rdson1+Rdcr)*K69-Vout)*M69/(Fsw*Lf)</f>
        <v/>
      </c>
      <c r="O69" s="4">
        <f>K69+N69/2</f>
        <v/>
      </c>
      <c r="P69" s="4">
        <f>K69-N69/2</f>
        <v/>
      </c>
      <c r="Q69" s="4">
        <f>IF(MIN(Vin, -P69/(Coss_Q1+Coss_Q2)*0.00000002)&lt;0, 0, MIN(Vin, -P69/(Coss_Q1+Coss_Q2)*0.00000002))</f>
        <v/>
      </c>
      <c r="R69" s="4">
        <f>SQRT(K69^2+(N69^2)/12)</f>
        <v/>
      </c>
      <c r="S69" s="982">
        <f>R69^2*Rdcr</f>
        <v/>
      </c>
      <c r="T69" s="982">
        <f>Core_Loss_Ch1</f>
        <v/>
      </c>
      <c r="U69" s="982">
        <f>(T69+S69*(1+Ltc*(Ta-25)))/(1-S69*Ltc*ThetaCa)</f>
        <v/>
      </c>
      <c r="V69" s="4">
        <f>N69/SQRT(12)</f>
        <v/>
      </c>
      <c r="W69" s="982">
        <f>RCoutEsr*V69^2</f>
        <v/>
      </c>
      <c r="X69" s="982">
        <f>W69</f>
        <v/>
      </c>
      <c r="Y69" s="4">
        <f>SQRT(M69*(1-M69))*SQRT(K69^2+(N69^2)/12)</f>
        <v/>
      </c>
      <c r="Z69" s="982">
        <f>RCinEsr*Y69^2</f>
        <v/>
      </c>
      <c r="AA69" s="1078">
        <f>Z69</f>
        <v/>
      </c>
      <c r="AB69" s="982">
        <f>SQRT(M69)*SQRT(K69^2+(N69^2)/12)</f>
        <v/>
      </c>
      <c r="AC69" s="982">
        <f>Rdson1*AB69^2</f>
        <v/>
      </c>
      <c r="AD69" s="982">
        <f>(Vin*K69/2)*Fsw*(Tr_buck+Tf_buck)</f>
        <v/>
      </c>
      <c r="AE69" s="982">
        <f>(0.5*Coss_Q1*(Vin-Q69)^2-0.5*Coss_Q2*(Vin-Q69)^2+(Qoss_Q2*(Vin-Q69)/Vin)*Vin)*Fsw</f>
        <v/>
      </c>
      <c r="AF69" s="982">
        <f>IF(K69&gt;N69/2,0,ABS(K69-N69/2)*Vsd_Q1*Deadtime*Fsw)</f>
        <v/>
      </c>
      <c r="AG69" s="982">
        <f>(AF69+AE69+AD69+AC69*(1+RdsonTopTc*Ta-RdsonTopTc*25))/(1-AC69*RdsonTopTc*ThetaJA_Q1)</f>
        <v/>
      </c>
      <c r="AH69" s="982">
        <f>SQRT((1-M69))*SQRT(K69^2+(N69^2)/12)</f>
        <v/>
      </c>
      <c r="AI69" s="982">
        <f>Rdson2*AH69^2</f>
        <v/>
      </c>
      <c r="AJ69" s="982">
        <f>IF(K69&lt;N69/2,Deadtime*Fsw*IF(VfdSky_Q2&gt;0,0,Vsd_Q2)*(K69+N69/2),2*Deadtime*Fsw*IF(VfdSky_Q2&gt;0,0,Vsd_Q2)*K69)</f>
        <v/>
      </c>
      <c r="AK69" s="982">
        <f>(AJ69+AI69*(1+RdsonBotTc*Ta-RdsonBotTc*25))/(1-AI69*RdsonBotTc*ThetaJA_Q2)</f>
        <v/>
      </c>
      <c r="AL69" s="982">
        <f>2*Deadtime*Fsw*IF(VfdSky_Q2&gt;0,VfdSky_Q2,Vsd_Q2)*K69</f>
        <v/>
      </c>
      <c r="AM69" s="982">
        <f>IF(QrrSky_Q2&gt;0,QrrSky_Q2,Qrr_Q2*K69/(Iout/Number_of_Phases))*Fsw*Vin</f>
        <v/>
      </c>
      <c r="AN69" s="982">
        <f>Rs*R69^2</f>
        <v/>
      </c>
      <c r="AO69" s="982">
        <f>Iq*Vin</f>
        <v/>
      </c>
      <c r="AP69" s="982">
        <f>IF(Ext_VCC=1, (Qg_Q1+Qg_Q2)*Fsw*VCC, (Qg_Q1+Qg_Q2)*Fsw*Vin)</f>
        <v/>
      </c>
      <c r="AQ69" s="982">
        <f>(Vin-VCC)*Fsw*(Qg_Q1+Qg_Q2)+(RdsonDRT+RdsonDRT2)*Fsw*Qg_Q1*VCC/(RdsonDRT+2*Rgate1+RdsonDRT2)+(RdsonDRB+RdsonDRB2)*Fsw*Qg_Q2*VCC/(RdsonDRB+2*Rgate2+RdsonDRB2)</f>
        <v/>
      </c>
      <c r="AR69" s="982">
        <f>(Qg_Q1+Qg_Q2)*Fsw*(Vin-VCC)</f>
        <v/>
      </c>
      <c r="AS69" s="982">
        <f>SUM(AO69:AP69)</f>
        <v/>
      </c>
      <c r="AT69" s="982">
        <f> SUM(U69,X69,AA69,AG69,AK69,AL69,AM69,AS69,AN69)</f>
        <v/>
      </c>
      <c r="AU69">
        <f>Vout*K69</f>
        <v/>
      </c>
      <c r="AV69" s="1079">
        <f>AU69/(AU69+AT69)</f>
        <v/>
      </c>
      <c r="AW69" s="1080">
        <f>ThetaJA_Q1*BC69</f>
        <v/>
      </c>
      <c r="AX69" s="1080">
        <f>ThetaJA_Q2*BD69</f>
        <v/>
      </c>
      <c r="AY69" s="9" t="n"/>
      <c r="AZ69" s="4">
        <f>AV69*100</f>
        <v/>
      </c>
      <c r="BA69" s="982">
        <f>U69</f>
        <v/>
      </c>
      <c r="BB69" s="982">
        <f>AG69+AK69+AM69</f>
        <v/>
      </c>
      <c r="BC69" s="982">
        <f>AG69+AM69*0.66</f>
        <v/>
      </c>
      <c r="BD69" s="982">
        <f>AK69+AM69*0.33</f>
        <v/>
      </c>
      <c r="BE69" s="982">
        <f>AN69</f>
        <v/>
      </c>
      <c r="BK69" s="18" t="n"/>
      <c r="BL69" s="19" t="n"/>
    </row>
    <row r="70">
      <c r="A70" s="33" t="inlineStr">
        <is>
          <t>Ipp</t>
        </is>
      </c>
      <c r="B70" s="1081">
        <f>Iripple_Vinnom</f>
        <v/>
      </c>
      <c r="C70" s="21" t="inlineStr">
        <is>
          <t>A</t>
        </is>
      </c>
      <c r="G70" t="n">
        <v>61</v>
      </c>
      <c r="H70" s="531">
        <f>Vin</f>
        <v/>
      </c>
      <c r="I70" s="4">
        <f>MODE</f>
        <v/>
      </c>
      <c r="J70" s="982">
        <f>Iout*G70/100</f>
        <v/>
      </c>
      <c r="K70" s="982">
        <f>Iout*G70/100/Number_of_Phases</f>
        <v/>
      </c>
      <c r="L70" s="4">
        <f>Vout*K70/(Vin*Efficiency)</f>
        <v/>
      </c>
      <c r="M70" s="982">
        <f>(Vout+(Rdson2+Rs+Rdcr)*K70)/(Vin+(Rs+Rdson2-Rdson1)*K70)</f>
        <v/>
      </c>
      <c r="N70" s="4">
        <f>(Vin-(Rdson1+Rdcr)*K70-Vout)*M70/(Fsw*Lf)</f>
        <v/>
      </c>
      <c r="O70" s="4">
        <f>K70+N70/2</f>
        <v/>
      </c>
      <c r="P70" s="4">
        <f>K70-N70/2</f>
        <v/>
      </c>
      <c r="Q70" s="4">
        <f>IF(MIN(Vin, -P70/(Coss_Q1+Coss_Q2)*0.00000002)&lt;0, 0, MIN(Vin, -P70/(Coss_Q1+Coss_Q2)*0.00000002))</f>
        <v/>
      </c>
      <c r="R70" s="4">
        <f>SQRT(K70^2+(N70^2)/12)</f>
        <v/>
      </c>
      <c r="S70" s="982">
        <f>R70^2*Rdcr</f>
        <v/>
      </c>
      <c r="T70" s="982">
        <f>Core_Loss_Ch1</f>
        <v/>
      </c>
      <c r="U70" s="982">
        <f>(T70+S70*(1+Ltc*(Ta-25)))/(1-S70*Ltc*ThetaCa)</f>
        <v/>
      </c>
      <c r="V70" s="4">
        <f>N70/SQRT(12)</f>
        <v/>
      </c>
      <c r="W70" s="982">
        <f>RCoutEsr*V70^2</f>
        <v/>
      </c>
      <c r="X70" s="982">
        <f>W70</f>
        <v/>
      </c>
      <c r="Y70" s="4">
        <f>SQRT(M70*(1-M70))*SQRT(K70^2+(N70^2)/12)</f>
        <v/>
      </c>
      <c r="Z70" s="982">
        <f>RCinEsr*Y70^2</f>
        <v/>
      </c>
      <c r="AA70" s="1078">
        <f>Z70</f>
        <v/>
      </c>
      <c r="AB70" s="982">
        <f>SQRT(M70)*SQRT(K70^2+(N70^2)/12)</f>
        <v/>
      </c>
      <c r="AC70" s="982">
        <f>Rdson1*AB70^2</f>
        <v/>
      </c>
      <c r="AD70" s="982">
        <f>(Vin*K70/2)*Fsw*(Tr_buck+Tf_buck)</f>
        <v/>
      </c>
      <c r="AE70" s="982">
        <f>(0.5*Coss_Q1*(Vin-Q70)^2-0.5*Coss_Q2*(Vin-Q70)^2+(Qoss_Q2*(Vin-Q70)/Vin)*Vin)*Fsw</f>
        <v/>
      </c>
      <c r="AF70" s="982">
        <f>IF(K70&gt;N70/2,0,ABS(K70-N70/2)*Vsd_Q1*Deadtime*Fsw)</f>
        <v/>
      </c>
      <c r="AG70" s="982">
        <f>(AF70+AE70+AD70+AC70*(1+RdsonTopTc*Ta-RdsonTopTc*25))/(1-AC70*RdsonTopTc*ThetaJA_Q1)</f>
        <v/>
      </c>
      <c r="AH70" s="982">
        <f>SQRT((1-M70))*SQRT(K70^2+(N70^2)/12)</f>
        <v/>
      </c>
      <c r="AI70" s="982">
        <f>Rdson2*AH70^2</f>
        <v/>
      </c>
      <c r="AJ70" s="982">
        <f>IF(K70&lt;N70/2,Deadtime*Fsw*IF(VfdSky_Q2&gt;0,0,Vsd_Q2)*(K70+N70/2),2*Deadtime*Fsw*IF(VfdSky_Q2&gt;0,0,Vsd_Q2)*K70)</f>
        <v/>
      </c>
      <c r="AK70" s="982">
        <f>(AJ70+AI70*(1+RdsonBotTc*Ta-RdsonBotTc*25))/(1-AI70*RdsonBotTc*ThetaJA_Q2)</f>
        <v/>
      </c>
      <c r="AL70" s="982">
        <f>2*Deadtime*Fsw*IF(VfdSky_Q2&gt;0,VfdSky_Q2,Vsd_Q2)*K70</f>
        <v/>
      </c>
      <c r="AM70" s="982">
        <f>IF(QrrSky_Q2&gt;0,QrrSky_Q2,Qrr_Q2*K70/(Iout/Number_of_Phases))*Fsw*Vin</f>
        <v/>
      </c>
      <c r="AN70" s="982">
        <f>Rs*R70^2</f>
        <v/>
      </c>
      <c r="AO70" s="982">
        <f>Iq*Vin</f>
        <v/>
      </c>
      <c r="AP70" s="982">
        <f>IF(Ext_VCC=1, (Qg_Q1+Qg_Q2)*Fsw*VCC, (Qg_Q1+Qg_Q2)*Fsw*Vin)</f>
        <v/>
      </c>
      <c r="AQ70" s="982">
        <f>(Vin-VCC)*Fsw*(Qg_Q1+Qg_Q2)+(RdsonDRT+RdsonDRT2)*Fsw*Qg_Q1*VCC/(RdsonDRT+2*Rgate1+RdsonDRT2)+(RdsonDRB+RdsonDRB2)*Fsw*Qg_Q2*VCC/(RdsonDRB+2*Rgate2+RdsonDRB2)</f>
        <v/>
      </c>
      <c r="AR70" s="982">
        <f>(Qg_Q1+Qg_Q2)*Fsw*(Vin-VCC)</f>
        <v/>
      </c>
      <c r="AS70" s="982">
        <f>SUM(AO70:AP70)</f>
        <v/>
      </c>
      <c r="AT70" s="982">
        <f> SUM(U70,X70,AA70,AG70,AK70,AL70,AM70,AS70,AN70)</f>
        <v/>
      </c>
      <c r="AU70">
        <f>Vout*K70</f>
        <v/>
      </c>
      <c r="AV70" s="1079">
        <f>AU70/(AU70+AT70)</f>
        <v/>
      </c>
      <c r="AW70" s="1080">
        <f>ThetaJA_Q1*BC70</f>
        <v/>
      </c>
      <c r="AX70" s="1080">
        <f>ThetaJA_Q2*BD70</f>
        <v/>
      </c>
      <c r="AY70" s="9" t="n"/>
      <c r="AZ70" s="4">
        <f>AV70*100</f>
        <v/>
      </c>
      <c r="BA70" s="982">
        <f>U70</f>
        <v/>
      </c>
      <c r="BB70" s="982">
        <f>AG70+AK70+AM70</f>
        <v/>
      </c>
      <c r="BC70" s="982">
        <f>AG70+AM70*0.66</f>
        <v/>
      </c>
      <c r="BD70" s="982">
        <f>AK70+AM70*0.33</f>
        <v/>
      </c>
      <c r="BE70" s="982">
        <f>AN70</f>
        <v/>
      </c>
      <c r="BK70" s="18" t="n"/>
      <c r="BL70" s="19" t="n"/>
    </row>
    <row r="71">
      <c r="A71" s="14" t="inlineStr">
        <is>
          <t>Top FET</t>
        </is>
      </c>
      <c r="B71" s="15" t="inlineStr">
        <is>
          <t>Value</t>
        </is>
      </c>
      <c r="C71" s="17" t="inlineStr">
        <is>
          <t>Units</t>
        </is>
      </c>
      <c r="G71" t="n">
        <v>62</v>
      </c>
      <c r="H71" s="531">
        <f>Vin</f>
        <v/>
      </c>
      <c r="I71" s="4">
        <f>MODE</f>
        <v/>
      </c>
      <c r="J71" s="982">
        <f>Iout*G71/100</f>
        <v/>
      </c>
      <c r="K71" s="982">
        <f>Iout*G71/100/Number_of_Phases</f>
        <v/>
      </c>
      <c r="L71" s="4">
        <f>Vout*K71/(Vin*Efficiency)</f>
        <v/>
      </c>
      <c r="M71" s="982">
        <f>(Vout+(Rdson2+Rs+Rdcr)*K71)/(Vin+(Rs+Rdson2-Rdson1)*K71)</f>
        <v/>
      </c>
      <c r="N71" s="4">
        <f>(Vin-(Rdson1+Rdcr)*K71-Vout)*M71/(Fsw*Lf)</f>
        <v/>
      </c>
      <c r="O71" s="4">
        <f>K71+N71/2</f>
        <v/>
      </c>
      <c r="P71" s="4">
        <f>K71-N71/2</f>
        <v/>
      </c>
      <c r="Q71" s="4">
        <f>IF(MIN(Vin, -P71/(Coss_Q1+Coss_Q2)*0.00000002)&lt;0, 0, MIN(Vin, -P71/(Coss_Q1+Coss_Q2)*0.00000002))</f>
        <v/>
      </c>
      <c r="R71" s="4">
        <f>SQRT(K71^2+(N71^2)/12)</f>
        <v/>
      </c>
      <c r="S71" s="982">
        <f>R71^2*Rdcr</f>
        <v/>
      </c>
      <c r="T71" s="982">
        <f>Core_Loss_Ch1</f>
        <v/>
      </c>
      <c r="U71" s="982">
        <f>(T71+S71*(1+Ltc*(Ta-25)))/(1-S71*Ltc*ThetaCa)</f>
        <v/>
      </c>
      <c r="V71" s="4">
        <f>N71/SQRT(12)</f>
        <v/>
      </c>
      <c r="W71" s="982">
        <f>RCoutEsr*V71^2</f>
        <v/>
      </c>
      <c r="X71" s="982">
        <f>W71</f>
        <v/>
      </c>
      <c r="Y71" s="4">
        <f>SQRT(M71*(1-M71))*SQRT(K71^2+(N71^2)/12)</f>
        <v/>
      </c>
      <c r="Z71" s="982">
        <f>RCinEsr*Y71^2</f>
        <v/>
      </c>
      <c r="AA71" s="1078">
        <f>Z71</f>
        <v/>
      </c>
      <c r="AB71" s="982">
        <f>SQRT(M71)*SQRT(K71^2+(N71^2)/12)</f>
        <v/>
      </c>
      <c r="AC71" s="982">
        <f>Rdson1*AB71^2</f>
        <v/>
      </c>
      <c r="AD71" s="982">
        <f>(Vin*K71/2)*Fsw*(Tr_buck+Tf_buck)</f>
        <v/>
      </c>
      <c r="AE71" s="982">
        <f>(0.5*Coss_Q1*(Vin-Q71)^2-0.5*Coss_Q2*(Vin-Q71)^2+(Qoss_Q2*(Vin-Q71)/Vin)*Vin)*Fsw</f>
        <v/>
      </c>
      <c r="AF71" s="982">
        <f>IF(K71&gt;N71/2,0,ABS(K71-N71/2)*Vsd_Q1*Deadtime*Fsw)</f>
        <v/>
      </c>
      <c r="AG71" s="982">
        <f>(AF71+AE71+AD71+AC71*(1+RdsonTopTc*Ta-RdsonTopTc*25))/(1-AC71*RdsonTopTc*ThetaJA_Q1)</f>
        <v/>
      </c>
      <c r="AH71" s="982">
        <f>SQRT((1-M71))*SQRT(K71^2+(N71^2)/12)</f>
        <v/>
      </c>
      <c r="AI71" s="982">
        <f>Rdson2*AH71^2</f>
        <v/>
      </c>
      <c r="AJ71" s="982">
        <f>IF(K71&lt;N71/2,Deadtime*Fsw*IF(VfdSky_Q2&gt;0,0,Vsd_Q2)*(K71+N71/2),2*Deadtime*Fsw*IF(VfdSky_Q2&gt;0,0,Vsd_Q2)*K71)</f>
        <v/>
      </c>
      <c r="AK71" s="982">
        <f>(AJ71+AI71*(1+RdsonBotTc*Ta-RdsonBotTc*25))/(1-AI71*RdsonBotTc*ThetaJA_Q2)</f>
        <v/>
      </c>
      <c r="AL71" s="982">
        <f>2*Deadtime*Fsw*IF(VfdSky_Q2&gt;0,VfdSky_Q2,Vsd_Q2)*K71</f>
        <v/>
      </c>
      <c r="AM71" s="982">
        <f>IF(QrrSky_Q2&gt;0,QrrSky_Q2,Qrr_Q2*K71/(Iout/Number_of_Phases))*Fsw*Vin</f>
        <v/>
      </c>
      <c r="AN71" s="982">
        <f>Rs*R71^2</f>
        <v/>
      </c>
      <c r="AO71" s="982">
        <f>Iq*Vin</f>
        <v/>
      </c>
      <c r="AP71" s="982">
        <f>IF(Ext_VCC=1, (Qg_Q1+Qg_Q2)*Fsw*VCC, (Qg_Q1+Qg_Q2)*Fsw*Vin)</f>
        <v/>
      </c>
      <c r="AQ71" s="982">
        <f>(Vin-VCC)*Fsw*(Qg_Q1+Qg_Q2)+(RdsonDRT+RdsonDRT2)*Fsw*Qg_Q1*VCC/(RdsonDRT+2*Rgate1+RdsonDRT2)+(RdsonDRB+RdsonDRB2)*Fsw*Qg_Q2*VCC/(RdsonDRB+2*Rgate2+RdsonDRB2)</f>
        <v/>
      </c>
      <c r="AR71" s="982">
        <f>(Qg_Q1+Qg_Q2)*Fsw*(Vin-VCC)</f>
        <v/>
      </c>
      <c r="AS71" s="982">
        <f>SUM(AO71:AP71)</f>
        <v/>
      </c>
      <c r="AT71" s="982">
        <f> SUM(U71,X71,AA71,AG71,AK71,AL71,AM71,AS71,AN71)</f>
        <v/>
      </c>
      <c r="AU71">
        <f>Vout*K71</f>
        <v/>
      </c>
      <c r="AV71" s="1079">
        <f>AU71/(AU71+AT71)</f>
        <v/>
      </c>
      <c r="AW71" s="1080">
        <f>ThetaJA_Q1*BC71</f>
        <v/>
      </c>
      <c r="AX71" s="1080">
        <f>ThetaJA_Q2*BD71</f>
        <v/>
      </c>
      <c r="AY71" s="9" t="n"/>
      <c r="AZ71" s="4">
        <f>AV71*100</f>
        <v/>
      </c>
      <c r="BA71" s="982">
        <f>U71</f>
        <v/>
      </c>
      <c r="BB71" s="982">
        <f>AG71+AK71+AM71</f>
        <v/>
      </c>
      <c r="BC71" s="982">
        <f>AG71+AM71*0.66</f>
        <v/>
      </c>
      <c r="BD71" s="982">
        <f>AK71+AM71*0.33</f>
        <v/>
      </c>
      <c r="BE71" s="982">
        <f>AN71</f>
        <v/>
      </c>
      <c r="BK71" s="18" t="n"/>
      <c r="BL71" s="19" t="n"/>
    </row>
    <row r="72">
      <c r="A72" s="32" t="inlineStr">
        <is>
          <t>Tr</t>
        </is>
      </c>
      <c r="B72" s="437">
        <f>(Qgd_Q1+Qgs_Q1/2)*(RdsonDRT+Rgate1)/(VCC-Vsp_Q1)*1000000000</f>
        <v/>
      </c>
      <c r="C72" s="21" t="inlineStr">
        <is>
          <t>ns</t>
        </is>
      </c>
      <c r="D72" s="113" t="inlineStr">
        <is>
          <t>Turn on of MOSFET -&gt; Rise time of current</t>
        </is>
      </c>
      <c r="G72" t="n">
        <v>63</v>
      </c>
      <c r="H72" s="531">
        <f>Vin</f>
        <v/>
      </c>
      <c r="I72" s="4">
        <f>MODE</f>
        <v/>
      </c>
      <c r="J72" s="982">
        <f>Iout*G72/100</f>
        <v/>
      </c>
      <c r="K72" s="982">
        <f>Iout*G72/100/Number_of_Phases</f>
        <v/>
      </c>
      <c r="L72" s="4">
        <f>Vout*K72/(Vin*Efficiency)</f>
        <v/>
      </c>
      <c r="M72" s="982">
        <f>(Vout+(Rdson2+Rs+Rdcr)*K72)/(Vin+(Rs+Rdson2-Rdson1)*K72)</f>
        <v/>
      </c>
      <c r="N72" s="4">
        <f>(Vin-(Rdson1+Rdcr)*K72-Vout)*M72/(Fsw*Lf)</f>
        <v/>
      </c>
      <c r="O72" s="4">
        <f>K72+N72/2</f>
        <v/>
      </c>
      <c r="P72" s="4">
        <f>K72-N72/2</f>
        <v/>
      </c>
      <c r="Q72" s="4">
        <f>IF(MIN(Vin, -P72/(Coss_Q1+Coss_Q2)*0.00000002)&lt;0, 0, MIN(Vin, -P72/(Coss_Q1+Coss_Q2)*0.00000002))</f>
        <v/>
      </c>
      <c r="R72" s="4">
        <f>SQRT(K72^2+(N72^2)/12)</f>
        <v/>
      </c>
      <c r="S72" s="982">
        <f>R72^2*Rdcr</f>
        <v/>
      </c>
      <c r="T72" s="982">
        <f>Core_Loss_Ch1</f>
        <v/>
      </c>
      <c r="U72" s="982">
        <f>(T72+S72*(1+Ltc*(Ta-25)))/(1-S72*Ltc*ThetaCa)</f>
        <v/>
      </c>
      <c r="V72" s="4">
        <f>N72/SQRT(12)</f>
        <v/>
      </c>
      <c r="W72" s="982">
        <f>RCoutEsr*V72^2</f>
        <v/>
      </c>
      <c r="X72" s="982">
        <f>W72</f>
        <v/>
      </c>
      <c r="Y72" s="4">
        <f>SQRT(M72*(1-M72))*SQRT(K72^2+(N72^2)/12)</f>
        <v/>
      </c>
      <c r="Z72" s="982">
        <f>RCinEsr*Y72^2</f>
        <v/>
      </c>
      <c r="AA72" s="1078">
        <f>Z72</f>
        <v/>
      </c>
      <c r="AB72" s="982">
        <f>SQRT(M72)*SQRT(K72^2+(N72^2)/12)</f>
        <v/>
      </c>
      <c r="AC72" s="982">
        <f>Rdson1*AB72^2</f>
        <v/>
      </c>
      <c r="AD72" s="982">
        <f>(Vin*K72/2)*Fsw*(Tr_buck+Tf_buck)</f>
        <v/>
      </c>
      <c r="AE72" s="982">
        <f>(0.5*Coss_Q1*(Vin-Q72)^2-0.5*Coss_Q2*(Vin-Q72)^2+(Qoss_Q2*(Vin-Q72)/Vin)*Vin)*Fsw</f>
        <v/>
      </c>
      <c r="AF72" s="982">
        <f>IF(K72&gt;N72/2,0,ABS(K72-N72/2)*Vsd_Q1*Deadtime*Fsw)</f>
        <v/>
      </c>
      <c r="AG72" s="982">
        <f>(AF72+AE72+AD72+AC72*(1+RdsonTopTc*Ta-RdsonTopTc*25))/(1-AC72*RdsonTopTc*ThetaJA_Q1)</f>
        <v/>
      </c>
      <c r="AH72" s="982">
        <f>SQRT((1-M72))*SQRT(K72^2+(N72^2)/12)</f>
        <v/>
      </c>
      <c r="AI72" s="982">
        <f>Rdson2*AH72^2</f>
        <v/>
      </c>
      <c r="AJ72" s="982">
        <f>IF(K72&lt;N72/2,Deadtime*Fsw*IF(VfdSky_Q2&gt;0,0,Vsd_Q2)*(K72+N72/2),2*Deadtime*Fsw*IF(VfdSky_Q2&gt;0,0,Vsd_Q2)*K72)</f>
        <v/>
      </c>
      <c r="AK72" s="982">
        <f>(AJ72+AI72*(1+RdsonBotTc*Ta-RdsonBotTc*25))/(1-AI72*RdsonBotTc*ThetaJA_Q2)</f>
        <v/>
      </c>
      <c r="AL72" s="982">
        <f>2*Deadtime*Fsw*IF(VfdSky_Q2&gt;0,VfdSky_Q2,Vsd_Q2)*K72</f>
        <v/>
      </c>
      <c r="AM72" s="982">
        <f>IF(QrrSky_Q2&gt;0,QrrSky_Q2,Qrr_Q2*K72/(Iout/Number_of_Phases))*Fsw*Vin</f>
        <v/>
      </c>
      <c r="AN72" s="982">
        <f>Rs*R72^2</f>
        <v/>
      </c>
      <c r="AO72" s="982">
        <f>Iq*Vin</f>
        <v/>
      </c>
      <c r="AP72" s="982">
        <f>IF(Ext_VCC=1, (Qg_Q1+Qg_Q2)*Fsw*VCC, (Qg_Q1+Qg_Q2)*Fsw*Vin)</f>
        <v/>
      </c>
      <c r="AQ72" s="982">
        <f>(Vin-VCC)*Fsw*(Qg_Q1+Qg_Q2)+(RdsonDRT+RdsonDRT2)*Fsw*Qg_Q1*VCC/(RdsonDRT+2*Rgate1+RdsonDRT2)+(RdsonDRB+RdsonDRB2)*Fsw*Qg_Q2*VCC/(RdsonDRB+2*Rgate2+RdsonDRB2)</f>
        <v/>
      </c>
      <c r="AR72" s="982">
        <f>(Qg_Q1+Qg_Q2)*Fsw*(Vin-VCC)</f>
        <v/>
      </c>
      <c r="AS72" s="982">
        <f>SUM(AO72:AP72)</f>
        <v/>
      </c>
      <c r="AT72" s="982">
        <f> SUM(U72,X72,AA72,AG72,AK72,AL72,AM72,AS72,AN72)</f>
        <v/>
      </c>
      <c r="AU72">
        <f>Vout*K72</f>
        <v/>
      </c>
      <c r="AV72" s="1079">
        <f>AU72/(AU72+AT72)</f>
        <v/>
      </c>
      <c r="AW72" s="1080">
        <f>ThetaJA_Q1*BC72</f>
        <v/>
      </c>
      <c r="AX72" s="1080">
        <f>ThetaJA_Q2*BD72</f>
        <v/>
      </c>
      <c r="AY72" s="9" t="n"/>
      <c r="AZ72" s="4">
        <f>AV72*100</f>
        <v/>
      </c>
      <c r="BA72" s="982">
        <f>U72</f>
        <v/>
      </c>
      <c r="BB72" s="982">
        <f>AG72+AK72+AM72</f>
        <v/>
      </c>
      <c r="BC72" s="982">
        <f>AG72+AM72*0.66</f>
        <v/>
      </c>
      <c r="BD72" s="982">
        <f>AK72+AM72*0.33</f>
        <v/>
      </c>
      <c r="BE72" s="982">
        <f>AN72</f>
        <v/>
      </c>
      <c r="BK72" s="18" t="n"/>
      <c r="BL72" s="19" t="n"/>
    </row>
    <row r="73">
      <c r="A73" s="33" t="inlineStr">
        <is>
          <t>Tf</t>
        </is>
      </c>
      <c r="B73" s="437">
        <f>(Qgd_Q1+Qgs_Q1/2)*(RdsonDRT2+Rgate1)/(Vsp_Q1)*1000000000</f>
        <v/>
      </c>
      <c r="C73" s="21" t="inlineStr">
        <is>
          <t>ns</t>
        </is>
      </c>
      <c r="D73" s="113" t="inlineStr">
        <is>
          <t>Turn off of MOSFET -&gt; Fall time of current</t>
        </is>
      </c>
      <c r="G73" t="n">
        <v>64</v>
      </c>
      <c r="H73" s="531">
        <f>Vin</f>
        <v/>
      </c>
      <c r="I73" s="4">
        <f>MODE</f>
        <v/>
      </c>
      <c r="J73" s="982">
        <f>Iout*G73/100</f>
        <v/>
      </c>
      <c r="K73" s="982">
        <f>Iout*G73/100/Number_of_Phases</f>
        <v/>
      </c>
      <c r="L73" s="4">
        <f>Vout*K73/(Vin*Efficiency)</f>
        <v/>
      </c>
      <c r="M73" s="982">
        <f>(Vout+(Rdson2+Rs+Rdcr)*K73)/(Vin+(Rs+Rdson2-Rdson1)*K73)</f>
        <v/>
      </c>
      <c r="N73" s="4">
        <f>(Vin-(Rdson1+Rdcr)*K73-Vout)*M73/(Fsw*Lf)</f>
        <v/>
      </c>
      <c r="O73" s="4">
        <f>K73+N73/2</f>
        <v/>
      </c>
      <c r="P73" s="4">
        <f>K73-N73/2</f>
        <v/>
      </c>
      <c r="Q73" s="4">
        <f>IF(MIN(Vin, -P73/(Coss_Q1+Coss_Q2)*0.00000002)&lt;0, 0, MIN(Vin, -P73/(Coss_Q1+Coss_Q2)*0.00000002))</f>
        <v/>
      </c>
      <c r="R73" s="4">
        <f>SQRT(K73^2+(N73^2)/12)</f>
        <v/>
      </c>
      <c r="S73" s="982">
        <f>R73^2*Rdcr</f>
        <v/>
      </c>
      <c r="T73" s="982">
        <f>Core_Loss_Ch1</f>
        <v/>
      </c>
      <c r="U73" s="982">
        <f>(T73+S73*(1+Ltc*(Ta-25)))/(1-S73*Ltc*ThetaCa)</f>
        <v/>
      </c>
      <c r="V73" s="4">
        <f>N73/SQRT(12)</f>
        <v/>
      </c>
      <c r="W73" s="982">
        <f>RCoutEsr*V73^2</f>
        <v/>
      </c>
      <c r="X73" s="982">
        <f>W73</f>
        <v/>
      </c>
      <c r="Y73" s="4">
        <f>SQRT(M73*(1-M73))*SQRT(K73^2+(N73^2)/12)</f>
        <v/>
      </c>
      <c r="Z73" s="982">
        <f>RCinEsr*Y73^2</f>
        <v/>
      </c>
      <c r="AA73" s="1078">
        <f>Z73</f>
        <v/>
      </c>
      <c r="AB73" s="982">
        <f>SQRT(M73)*SQRT(K73^2+(N73^2)/12)</f>
        <v/>
      </c>
      <c r="AC73" s="982">
        <f>Rdson1*AB73^2</f>
        <v/>
      </c>
      <c r="AD73" s="982">
        <f>(Vin*K73/2)*Fsw*(Tr_buck+Tf_buck)</f>
        <v/>
      </c>
      <c r="AE73" s="982">
        <f>(0.5*Coss_Q1*(Vin-Q73)^2-0.5*Coss_Q2*(Vin-Q73)^2+(Qoss_Q2*(Vin-Q73)/Vin)*Vin)*Fsw</f>
        <v/>
      </c>
      <c r="AF73" s="982">
        <f>IF(K73&gt;N73/2,0,ABS(K73-N73/2)*Vsd_Q1*Deadtime*Fsw)</f>
        <v/>
      </c>
      <c r="AG73" s="982">
        <f>(AF73+AE73+AD73+AC73*(1+RdsonTopTc*Ta-RdsonTopTc*25))/(1-AC73*RdsonTopTc*ThetaJA_Q1)</f>
        <v/>
      </c>
      <c r="AH73" s="982">
        <f>SQRT((1-M73))*SQRT(K73^2+(N73^2)/12)</f>
        <v/>
      </c>
      <c r="AI73" s="982">
        <f>Rdson2*AH73^2</f>
        <v/>
      </c>
      <c r="AJ73" s="982">
        <f>IF(K73&lt;N73/2,Deadtime*Fsw*IF(VfdSky_Q2&gt;0,0,Vsd_Q2)*(K73+N73/2),2*Deadtime*Fsw*IF(VfdSky_Q2&gt;0,0,Vsd_Q2)*K73)</f>
        <v/>
      </c>
      <c r="AK73" s="982">
        <f>(AJ73+AI73*(1+RdsonBotTc*Ta-RdsonBotTc*25))/(1-AI73*RdsonBotTc*ThetaJA_Q2)</f>
        <v/>
      </c>
      <c r="AL73" s="982">
        <f>2*Deadtime*Fsw*IF(VfdSky_Q2&gt;0,VfdSky_Q2,Vsd_Q2)*K73</f>
        <v/>
      </c>
      <c r="AM73" s="982">
        <f>IF(QrrSky_Q2&gt;0,QrrSky_Q2,Qrr_Q2*K73/(Iout/Number_of_Phases))*Fsw*Vin</f>
        <v/>
      </c>
      <c r="AN73" s="982">
        <f>Rs*R73^2</f>
        <v/>
      </c>
      <c r="AO73" s="982">
        <f>Iq*Vin</f>
        <v/>
      </c>
      <c r="AP73" s="982">
        <f>IF(Ext_VCC=1,  (Qg_Q1+Qg_Q2)*Fsw*VCC, (Qg_Q1+Qg_Q2)*Fsw*Vin)</f>
        <v/>
      </c>
      <c r="AQ73" s="982">
        <f>(Vin-VCC)*Fsw*(Qg_Q1+Qg_Q2)+(RdsonDRT+RdsonDRT2)*Fsw*Qg_Q1*VCC/(RdsonDRT+2*Rgate1+RdsonDRT2)+(RdsonDRB+RdsonDRB2)*Fsw*Qg_Q2*VCC/(RdsonDRB+2*Rgate2+RdsonDRB2)</f>
        <v/>
      </c>
      <c r="AR73" s="982">
        <f>(Qg_Q1+Qg_Q2)*Fsw*(Vin-VCC)</f>
        <v/>
      </c>
      <c r="AS73" s="982">
        <f>SUM(AO73:AP73)</f>
        <v/>
      </c>
      <c r="AT73" s="982">
        <f> SUM(U73,X73,AA73,AG73,AK73,AL73,AM73,AS73,AN73)</f>
        <v/>
      </c>
      <c r="AU73">
        <f>Vout*K73</f>
        <v/>
      </c>
      <c r="AV73" s="1079">
        <f>AU73/(AU73+AT73)</f>
        <v/>
      </c>
      <c r="AW73" s="1080">
        <f>ThetaJA_Q1*BC73</f>
        <v/>
      </c>
      <c r="AX73" s="1080">
        <f>ThetaJA_Q2*BD73</f>
        <v/>
      </c>
      <c r="AY73" s="9" t="n"/>
      <c r="AZ73" s="4">
        <f>AV73*100</f>
        <v/>
      </c>
      <c r="BA73" s="982">
        <f>U73</f>
        <v/>
      </c>
      <c r="BB73" s="982">
        <f>AG73+AK73+AM73</f>
        <v/>
      </c>
      <c r="BC73" s="982">
        <f>AG73+AM73*0.66</f>
        <v/>
      </c>
      <c r="BD73" s="982">
        <f>AK73+AM73*0.33</f>
        <v/>
      </c>
      <c r="BE73" s="982">
        <f>AN73</f>
        <v/>
      </c>
      <c r="BK73" s="18" t="n"/>
      <c r="BL73" s="19" t="n"/>
    </row>
    <row r="74">
      <c r="A74" s="14" t="inlineStr">
        <is>
          <t>Part Power</t>
        </is>
      </c>
      <c r="B74" s="15" t="inlineStr">
        <is>
          <t>Value</t>
        </is>
      </c>
      <c r="C74" s="17" t="inlineStr">
        <is>
          <t>Units</t>
        </is>
      </c>
      <c r="G74" t="n">
        <v>65</v>
      </c>
      <c r="H74" s="531">
        <f>Vin</f>
        <v/>
      </c>
      <c r="I74" s="4">
        <f>MODE</f>
        <v/>
      </c>
      <c r="J74" s="982">
        <f>Iout*G74/100</f>
        <v/>
      </c>
      <c r="K74" s="982">
        <f>Iout*G74/100/Number_of_Phases</f>
        <v/>
      </c>
      <c r="L74" s="4">
        <f>Vout*K74/(Vin*Efficiency)</f>
        <v/>
      </c>
      <c r="M74" s="982">
        <f>(Vout+(Rdson2+Rs+Rdcr)*K74)/(Vin+(Rs+Rdson2-Rdson1)*K74)</f>
        <v/>
      </c>
      <c r="N74" s="4">
        <f>(Vin-(Rdson1+Rdcr)*K74-Vout)*M74/(Fsw*Lf)</f>
        <v/>
      </c>
      <c r="O74" s="4">
        <f>K74+N74/2</f>
        <v/>
      </c>
      <c r="P74" s="4">
        <f>K74-N74/2</f>
        <v/>
      </c>
      <c r="Q74" s="4">
        <f>IF(MIN(Vin, -P74/(Coss_Q1+Coss_Q2)*0.00000002)&lt;0, 0, MIN(Vin, -P74/(Coss_Q1+Coss_Q2)*0.00000002))</f>
        <v/>
      </c>
      <c r="R74" s="4">
        <f>SQRT(K74^2+(N74^2)/12)</f>
        <v/>
      </c>
      <c r="S74" s="982">
        <f>R74^2*Rdcr</f>
        <v/>
      </c>
      <c r="T74" s="982">
        <f>Core_Loss_Ch1</f>
        <v/>
      </c>
      <c r="U74" s="982">
        <f>(T74+S74*(1+Ltc*(Ta-25)))/(1-S74*Ltc*ThetaCa)</f>
        <v/>
      </c>
      <c r="V74" s="4">
        <f>N74/SQRT(12)</f>
        <v/>
      </c>
      <c r="W74" s="982">
        <f>RCoutEsr*V74^2</f>
        <v/>
      </c>
      <c r="X74" s="982">
        <f>W74</f>
        <v/>
      </c>
      <c r="Y74" s="4">
        <f>SQRT(M74*(1-M74))*SQRT(K74^2+(N74^2)/12)</f>
        <v/>
      </c>
      <c r="Z74" s="982">
        <f>RCinEsr*Y74^2</f>
        <v/>
      </c>
      <c r="AA74" s="1078">
        <f>Z74</f>
        <v/>
      </c>
      <c r="AB74" s="982">
        <f>SQRT(M74)*SQRT(K74^2+(N74^2)/12)</f>
        <v/>
      </c>
      <c r="AC74" s="982">
        <f>Rdson1*AB74^2</f>
        <v/>
      </c>
      <c r="AD74" s="982">
        <f>(Vin*K74/2)*Fsw*(Tr_buck+Tf_buck)</f>
        <v/>
      </c>
      <c r="AE74" s="982">
        <f>(0.5*Coss_Q1*(Vin-Q74)^2-0.5*Coss_Q2*(Vin-Q74)^2+(Qoss_Q2*(Vin-Q74)/Vin)*Vin)*Fsw</f>
        <v/>
      </c>
      <c r="AF74" s="982">
        <f>IF(K74&gt;N74/2,0,ABS(K74-N74/2)*Vsd_Q1*Deadtime*Fsw)</f>
        <v/>
      </c>
      <c r="AG74" s="982">
        <f>(AF74+AE74+AD74+AC74*(1+RdsonTopTc*Ta-RdsonTopTc*25))/(1-AC74*RdsonTopTc*ThetaJA_Q1)</f>
        <v/>
      </c>
      <c r="AH74" s="982">
        <f>SQRT((1-M74))*SQRT(K74^2+(N74^2)/12)</f>
        <v/>
      </c>
      <c r="AI74" s="982">
        <f>Rdson2*AH74^2</f>
        <v/>
      </c>
      <c r="AJ74" s="982">
        <f>IF(K74&lt;N74/2,Deadtime*Fsw*IF(VfdSky_Q2&gt;0,0,Vsd_Q2)*(K74+N74/2),2*Deadtime*Fsw*IF(VfdSky_Q2&gt;0,0,Vsd_Q2)*K74)</f>
        <v/>
      </c>
      <c r="AK74" s="982">
        <f>(AJ74+AI74*(1+RdsonBotTc*Ta-RdsonBotTc*25))/(1-AI74*RdsonBotTc*ThetaJA_Q2)</f>
        <v/>
      </c>
      <c r="AL74" s="982">
        <f>2*Deadtime*Fsw*IF(VfdSky_Q2&gt;0,VfdSky_Q2,Vsd_Q2)*K74</f>
        <v/>
      </c>
      <c r="AM74" s="982">
        <f>IF(QrrSky_Q2&gt;0,QrrSky_Q2,Qrr_Q2*K74/(Iout/Number_of_Phases))*Fsw*Vin</f>
        <v/>
      </c>
      <c r="AN74" s="982">
        <f>Rs*R74^2</f>
        <v/>
      </c>
      <c r="AO74" s="982">
        <f>Iq*Vin</f>
        <v/>
      </c>
      <c r="AP74" s="982">
        <f>IF(Ext_VCC=1, (Qg_Q1+Qg_Q2)*Fsw*VCC, (Qg_Q1+Qg_Q2)*Fsw*Vin)</f>
        <v/>
      </c>
      <c r="AQ74" s="982">
        <f>(Vin-VCC)*Fsw*(Qg_Q1+Qg_Q2)+(RdsonDRT+RdsonDRT2)*Fsw*Qg_Q1*VCC/(RdsonDRT+2*Rgate1+RdsonDRT2)+(RdsonDRB+RdsonDRB2)*Fsw*Qg_Q2*VCC/(RdsonDRB+2*Rgate2+RdsonDRB2)</f>
        <v/>
      </c>
      <c r="AR74" s="982">
        <f>(Qg_Q1+Qg_Q2)*Fsw*(Vin-VCC)</f>
        <v/>
      </c>
      <c r="AS74" s="982">
        <f>SUM(AO74:AP74)</f>
        <v/>
      </c>
      <c r="AT74" s="982">
        <f> SUM(U74,X74,AA74,AG74,AK74,AL74,AM74,AS74,AN74)</f>
        <v/>
      </c>
      <c r="AU74">
        <f>Vout*K74</f>
        <v/>
      </c>
      <c r="AV74" s="1079">
        <f>AU74/(AU74+AT74)</f>
        <v/>
      </c>
      <c r="AW74" s="1080">
        <f>ThetaJA_Q1*BC74</f>
        <v/>
      </c>
      <c r="AX74" s="1080">
        <f>ThetaJA_Q2*BD74</f>
        <v/>
      </c>
      <c r="AY74" s="9" t="n"/>
      <c r="AZ74" s="4">
        <f>AV74*100</f>
        <v/>
      </c>
      <c r="BA74" s="982">
        <f>U74</f>
        <v/>
      </c>
      <c r="BB74" s="982">
        <f>AG74+AK74+AM74</f>
        <v/>
      </c>
      <c r="BC74" s="982">
        <f>AG74+AM74*0.66</f>
        <v/>
      </c>
      <c r="BD74" s="982">
        <f>AK74+AM74*0.33</f>
        <v/>
      </c>
      <c r="BE74" s="982">
        <f>AN74</f>
        <v/>
      </c>
      <c r="BK74" s="18" t="n"/>
      <c r="BL74" s="19" t="n"/>
    </row>
    <row r="75">
      <c r="A75" s="34" t="inlineStr">
        <is>
          <t>Power Dis</t>
        </is>
      </c>
      <c r="B75" s="1082">
        <f>AS9</f>
        <v/>
      </c>
      <c r="C75" s="78" t="inlineStr">
        <is>
          <t>W</t>
        </is>
      </c>
      <c r="G75" t="n">
        <v>66</v>
      </c>
      <c r="H75" s="531">
        <f>Vin</f>
        <v/>
      </c>
      <c r="I75" s="4">
        <f>MODE</f>
        <v/>
      </c>
      <c r="J75" s="982">
        <f>Iout*G75/100</f>
        <v/>
      </c>
      <c r="K75" s="982">
        <f>Iout*G75/100/Number_of_Phases</f>
        <v/>
      </c>
      <c r="L75" s="4">
        <f>Vout*K75/(Vin*Efficiency)</f>
        <v/>
      </c>
      <c r="M75" s="982">
        <f>(Vout+(Rdson2+Rs+Rdcr)*K75)/(Vin+(Rs+Rdson2-Rdson1)*K75)</f>
        <v/>
      </c>
      <c r="N75" s="4">
        <f>(Vin-(Rdson1+Rdcr)*K75-Vout)*M75/(Fsw*Lf)</f>
        <v/>
      </c>
      <c r="O75" s="4">
        <f>K75+N75/2</f>
        <v/>
      </c>
      <c r="P75" s="4">
        <f>K75-N75/2</f>
        <v/>
      </c>
      <c r="Q75" s="4">
        <f>IF(MIN(Vin, -P75/(Coss_Q1+Coss_Q2)*0.00000002)&lt;0, 0, MIN(Vin, -P75/(Coss_Q1+Coss_Q2)*0.00000002))</f>
        <v/>
      </c>
      <c r="R75" s="4">
        <f>SQRT(K75^2+(N75^2)/12)</f>
        <v/>
      </c>
      <c r="S75" s="982">
        <f>R75^2*Rdcr</f>
        <v/>
      </c>
      <c r="T75" s="982">
        <f>Core_Loss_Ch1</f>
        <v/>
      </c>
      <c r="U75" s="982">
        <f>(T75+S75*(1+Ltc*(Ta-25)))/(1-S75*Ltc*ThetaCa)</f>
        <v/>
      </c>
      <c r="V75" s="4">
        <f>N75/SQRT(12)</f>
        <v/>
      </c>
      <c r="W75" s="982">
        <f>RCoutEsr*V75^2</f>
        <v/>
      </c>
      <c r="X75" s="982">
        <f>W75</f>
        <v/>
      </c>
      <c r="Y75" s="4">
        <f>SQRT(M75*(1-M75))*SQRT(K75^2+(N75^2)/12)</f>
        <v/>
      </c>
      <c r="Z75" s="982">
        <f>RCinEsr*Y75^2</f>
        <v/>
      </c>
      <c r="AA75" s="1078">
        <f>Z75</f>
        <v/>
      </c>
      <c r="AB75" s="982">
        <f>SQRT(M75)*SQRT(K75^2+(N75^2)/12)</f>
        <v/>
      </c>
      <c r="AC75" s="982">
        <f>Rdson1*AB75^2</f>
        <v/>
      </c>
      <c r="AD75" s="982">
        <f>(Vin*K75/2)*Fsw*(Tr_buck+Tf_buck)</f>
        <v/>
      </c>
      <c r="AE75" s="982">
        <f>(0.5*Coss_Q1*(Vin-Q75)^2-0.5*Coss_Q2*(Vin-Q75)^2+(Qoss_Q2*(Vin-Q75)/Vin)*Vin)*Fsw</f>
        <v/>
      </c>
      <c r="AF75" s="982">
        <f>IF(K75&gt;N75/2,0,ABS(K75-N75/2)*Vsd_Q1*Deadtime*Fsw)</f>
        <v/>
      </c>
      <c r="AG75" s="982">
        <f>(AF75+AE75+AD75+AC75*(1+RdsonTopTc*Ta-RdsonTopTc*25))/(1-AC75*RdsonTopTc*ThetaJA_Q1)</f>
        <v/>
      </c>
      <c r="AH75" s="982">
        <f>SQRT((1-M75))*SQRT(K75^2+(N75^2)/12)</f>
        <v/>
      </c>
      <c r="AI75" s="982">
        <f>Rdson2*AH75^2</f>
        <v/>
      </c>
      <c r="AJ75" s="982">
        <f>IF(K75&lt;N75/2,Deadtime*Fsw*IF(VfdSky_Q2&gt;0,0,Vsd_Q2)*(K75+N75/2),2*Deadtime*Fsw*IF(VfdSky_Q2&gt;0,0,Vsd_Q2)*K75)</f>
        <v/>
      </c>
      <c r="AK75" s="982">
        <f>(AJ75+AI75*(1+RdsonBotTc*Ta-RdsonBotTc*25))/(1-AI75*RdsonBotTc*ThetaJA_Q2)</f>
        <v/>
      </c>
      <c r="AL75" s="982">
        <f>2*Deadtime*Fsw*IF(VfdSky_Q2&gt;0,VfdSky_Q2,Vsd_Q2)*K75</f>
        <v/>
      </c>
      <c r="AM75" s="982">
        <f>IF(QrrSky_Q2&gt;0,QrrSky_Q2,Qrr_Q2*K75/(Iout/Number_of_Phases))*Fsw*Vin</f>
        <v/>
      </c>
      <c r="AN75" s="982">
        <f>Rs*R75^2</f>
        <v/>
      </c>
      <c r="AO75" s="982">
        <f>Iq*Vin</f>
        <v/>
      </c>
      <c r="AP75" s="982">
        <f>IF(Ext_VCC=1, (Qg_Q1+Qg_Q2)*Fsw*VCC, (Qg_Q1+Qg_Q2)*Fsw*Vin)</f>
        <v/>
      </c>
      <c r="AQ75" s="982">
        <f>(Vin-VCC)*Fsw*(Qg_Q1+Qg_Q2)+(RdsonDRT+RdsonDRT2)*Fsw*Qg_Q1*VCC/(RdsonDRT+2*Rgate1+RdsonDRT2)+(RdsonDRB+RdsonDRB2)*Fsw*Qg_Q2*VCC/(RdsonDRB+2*Rgate2+RdsonDRB2)</f>
        <v/>
      </c>
      <c r="AR75" s="982">
        <f>(Qg_Q1+Qg_Q2)*Fsw*(Vin-VCC)</f>
        <v/>
      </c>
      <c r="AS75" s="982">
        <f>SUM(AO75:AP75)</f>
        <v/>
      </c>
      <c r="AT75" s="982">
        <f> SUM(U75,X75,AA75,AG75,AK75,AL75,AM75,AS75,AN75)</f>
        <v/>
      </c>
      <c r="AU75">
        <f>Vout*K75</f>
        <v/>
      </c>
      <c r="AV75" s="1079">
        <f>AU75/(AU75+AT75)</f>
        <v/>
      </c>
      <c r="AW75" s="1080">
        <f>ThetaJA_Q1*BC75</f>
        <v/>
      </c>
      <c r="AX75" s="1080">
        <f>ThetaJA_Q2*BD75</f>
        <v/>
      </c>
      <c r="AY75" s="9" t="n"/>
      <c r="AZ75" s="4">
        <f>AV75*100</f>
        <v/>
      </c>
      <c r="BA75" s="982">
        <f>U75</f>
        <v/>
      </c>
      <c r="BB75" s="982">
        <f>AG75+AK75+AM75</f>
        <v/>
      </c>
      <c r="BC75" s="982">
        <f>AG75+AM75*0.66</f>
        <v/>
      </c>
      <c r="BD75" s="982">
        <f>AK75+AM75*0.33</f>
        <v/>
      </c>
      <c r="BE75" s="982">
        <f>AN75</f>
        <v/>
      </c>
      <c r="BK75" s="18" t="n"/>
      <c r="BL75" s="19" t="n"/>
    </row>
    <row r="76">
      <c r="A76" s="34" t="inlineStr">
        <is>
          <t>Temp rise</t>
        </is>
      </c>
      <c r="B76" s="1083">
        <f>B75*B62</f>
        <v/>
      </c>
      <c r="C76" s="427" t="inlineStr">
        <is>
          <t>°C</t>
        </is>
      </c>
      <c r="G76" t="n">
        <v>67</v>
      </c>
      <c r="H76" s="531">
        <f>Vin</f>
        <v/>
      </c>
      <c r="I76" s="4">
        <f>MODE</f>
        <v/>
      </c>
      <c r="J76" s="982">
        <f>Iout*G76/100</f>
        <v/>
      </c>
      <c r="K76" s="982">
        <f>Iout*G76/100/Number_of_Phases</f>
        <v/>
      </c>
      <c r="L76" s="4">
        <f>Vout*K76/(Vin*Efficiency)</f>
        <v/>
      </c>
      <c r="M76" s="982">
        <f>(Vout+(Rdson2+Rs+Rdcr)*K76)/(Vin+(Rs+Rdson2-Rdson1)*K76)</f>
        <v/>
      </c>
      <c r="N76" s="4">
        <f>(Vin-(Rdson1+Rdcr)*K76-Vout)*M76/(Fsw*Lf)</f>
        <v/>
      </c>
      <c r="O76" s="4">
        <f>K76+N76/2</f>
        <v/>
      </c>
      <c r="P76" s="4">
        <f>K76-N76/2</f>
        <v/>
      </c>
      <c r="Q76" s="4">
        <f>IF(MIN(Vin, -P76/(Coss_Q1+Coss_Q2)*0.00000002)&lt;0, 0, MIN(Vin, -P76/(Coss_Q1+Coss_Q2)*0.00000002))</f>
        <v/>
      </c>
      <c r="R76" s="4">
        <f>SQRT(K76^2+(N76^2)/12)</f>
        <v/>
      </c>
      <c r="S76" s="982">
        <f>R76^2*Rdcr</f>
        <v/>
      </c>
      <c r="T76" s="982">
        <f>Core_Loss_Ch1</f>
        <v/>
      </c>
      <c r="U76" s="982">
        <f>(T76+S76*(1+Ltc*(Ta-25)))/(1-S76*Ltc*ThetaCa)</f>
        <v/>
      </c>
      <c r="V76" s="4">
        <f>N76/SQRT(12)</f>
        <v/>
      </c>
      <c r="W76" s="982">
        <f>RCoutEsr*V76^2</f>
        <v/>
      </c>
      <c r="X76" s="982">
        <f>W76</f>
        <v/>
      </c>
      <c r="Y76" s="4">
        <f>SQRT(M76*(1-M76))*SQRT(K76^2+(N76^2)/12)</f>
        <v/>
      </c>
      <c r="Z76" s="982">
        <f>RCinEsr*Y76^2</f>
        <v/>
      </c>
      <c r="AA76" s="1078">
        <f>Z76</f>
        <v/>
      </c>
      <c r="AB76" s="982">
        <f>SQRT(M76)*SQRT(K76^2+(N76^2)/12)</f>
        <v/>
      </c>
      <c r="AC76" s="982">
        <f>Rdson1*AB76^2</f>
        <v/>
      </c>
      <c r="AD76" s="982">
        <f>(Vin*K76/2)*Fsw*(Tr_buck+Tf_buck)</f>
        <v/>
      </c>
      <c r="AE76" s="982">
        <f>(0.5*Coss_Q1*(Vin-Q76)^2-0.5*Coss_Q2*(Vin-Q76)^2+(Qoss_Q2*(Vin-Q76)/Vin)*Vin)*Fsw</f>
        <v/>
      </c>
      <c r="AF76" s="982">
        <f>IF(K76&gt;N76/2,0,ABS(K76-N76/2)*Vsd_Q1*Deadtime*Fsw)</f>
        <v/>
      </c>
      <c r="AG76" s="982">
        <f>(AF76+AE76+AD76+AC76*(1+RdsonTopTc*Ta-RdsonTopTc*25))/(1-AC76*RdsonTopTc*ThetaJA_Q1)</f>
        <v/>
      </c>
      <c r="AH76" s="982">
        <f>SQRT((1-M76))*SQRT(K76^2+(N76^2)/12)</f>
        <v/>
      </c>
      <c r="AI76" s="982">
        <f>Rdson2*AH76^2</f>
        <v/>
      </c>
      <c r="AJ76" s="982">
        <f>IF(K76&lt;N76/2,Deadtime*Fsw*IF(VfdSky_Q2&gt;0,0,Vsd_Q2)*(K76+N76/2),2*Deadtime*Fsw*IF(VfdSky_Q2&gt;0,0,Vsd_Q2)*K76)</f>
        <v/>
      </c>
      <c r="AK76" s="982">
        <f>(AJ76+AI76*(1+RdsonBotTc*Ta-RdsonBotTc*25))/(1-AI76*RdsonBotTc*ThetaJA_Q2)</f>
        <v/>
      </c>
      <c r="AL76" s="982">
        <f>2*Deadtime*Fsw*IF(VfdSky_Q2&gt;0,VfdSky_Q2,Vsd_Q2)*K76</f>
        <v/>
      </c>
      <c r="AM76" s="982">
        <f>IF(QrrSky_Q2&gt;0,QrrSky_Q2,Qrr_Q2*K76/(Iout/Number_of_Phases))*Fsw*Vin</f>
        <v/>
      </c>
      <c r="AN76" s="982">
        <f>Rs*R76^2</f>
        <v/>
      </c>
      <c r="AO76" s="982">
        <f>Iq*Vin</f>
        <v/>
      </c>
      <c r="AP76" s="982">
        <f>IF(Ext_VCC=1, (Qg_Q1+Qg_Q2)*Fsw*VCC, (Qg_Q1+Qg_Q2)*Fsw*Vin)</f>
        <v/>
      </c>
      <c r="AQ76" s="982">
        <f>(Vin-VCC)*Fsw*(Qg_Q1+Qg_Q2)+(RdsonDRT+RdsonDRT2)*Fsw*Qg_Q1*VCC/(RdsonDRT+2*Rgate1+RdsonDRT2)+(RdsonDRB+RdsonDRB2)*Fsw*Qg_Q2*VCC/(RdsonDRB+2*Rgate2+RdsonDRB2)</f>
        <v/>
      </c>
      <c r="AR76" s="982">
        <f>(Qg_Q1+Qg_Q2)*Fsw*(Vin-VCC)</f>
        <v/>
      </c>
      <c r="AS76" s="982">
        <f>SUM(AO76:AP76)</f>
        <v/>
      </c>
      <c r="AT76" s="982">
        <f> SUM(U76,X76,AA76,AG76,AK76,AL76,AM76,AS76,AN76)</f>
        <v/>
      </c>
      <c r="AU76">
        <f>Vout*K76</f>
        <v/>
      </c>
      <c r="AV76" s="1079">
        <f>AU76/(AU76+AT76)</f>
        <v/>
      </c>
      <c r="AW76" s="1080">
        <f>ThetaJA_Q1*BC76</f>
        <v/>
      </c>
      <c r="AX76" s="1080">
        <f>ThetaJA_Q2*BD76</f>
        <v/>
      </c>
      <c r="AY76" s="9" t="n"/>
      <c r="AZ76" s="4">
        <f>AV76*100</f>
        <v/>
      </c>
      <c r="BA76" s="982">
        <f>U76</f>
        <v/>
      </c>
      <c r="BB76" s="982">
        <f>AG76+AK76+AM76</f>
        <v/>
      </c>
      <c r="BC76" s="982">
        <f>AG76+AM76*0.66</f>
        <v/>
      </c>
      <c r="BD76" s="982">
        <f>AK76+AM76*0.33</f>
        <v/>
      </c>
      <c r="BE76" s="982">
        <f>AN76</f>
        <v/>
      </c>
      <c r="BK76" s="18" t="n"/>
      <c r="BL76" s="19" t="n"/>
    </row>
    <row r="77">
      <c r="A77" s="34" t="inlineStr">
        <is>
          <t>Current (switching)</t>
        </is>
      </c>
      <c r="B77" s="1083">
        <f>(Qg_Q1+Qg_Q2)*Fsw+Iq</f>
        <v/>
      </c>
      <c r="C77" s="21" t="inlineStr">
        <is>
          <t>A</t>
        </is>
      </c>
      <c r="G77" t="n">
        <v>68</v>
      </c>
      <c r="H77" s="531">
        <f>Vin</f>
        <v/>
      </c>
      <c r="I77" s="4">
        <f>MODE</f>
        <v/>
      </c>
      <c r="J77" s="982">
        <f>Iout*G77/100</f>
        <v/>
      </c>
      <c r="K77" s="982">
        <f>Iout*G77/100/Number_of_Phases</f>
        <v/>
      </c>
      <c r="L77" s="4">
        <f>Vout*K77/(Vin*Efficiency)</f>
        <v/>
      </c>
      <c r="M77" s="982">
        <f>(Vout+(Rdson2+Rs+Rdcr)*K77)/(Vin+(Rs+Rdson2-Rdson1)*K77)</f>
        <v/>
      </c>
      <c r="N77" s="4">
        <f>(Vin-(Rdson1+Rdcr)*K77-Vout)*M77/(Fsw*Lf)</f>
        <v/>
      </c>
      <c r="O77" s="4">
        <f>K77+N77/2</f>
        <v/>
      </c>
      <c r="P77" s="4">
        <f>K77-N77/2</f>
        <v/>
      </c>
      <c r="Q77" s="4">
        <f>IF(MIN(Vin, -P77/(Coss_Q1+Coss_Q2)*0.00000002)&lt;0, 0, MIN(Vin, -P77/(Coss_Q1+Coss_Q2)*0.00000002))</f>
        <v/>
      </c>
      <c r="R77" s="4">
        <f>SQRT(K77^2+(N77^2)/12)</f>
        <v/>
      </c>
      <c r="S77" s="982">
        <f>R77^2*Rdcr</f>
        <v/>
      </c>
      <c r="T77" s="982">
        <f>Core_Loss_Ch1</f>
        <v/>
      </c>
      <c r="U77" s="982">
        <f>(T77+S77*(1+Ltc*(Ta-25)))/(1-S77*Ltc*ThetaCa)</f>
        <v/>
      </c>
      <c r="V77" s="4">
        <f>N77/SQRT(12)</f>
        <v/>
      </c>
      <c r="W77" s="982">
        <f>RCoutEsr*V77^2</f>
        <v/>
      </c>
      <c r="X77" s="982">
        <f>W77</f>
        <v/>
      </c>
      <c r="Y77" s="4">
        <f>SQRT(M77*(1-M77))*SQRT(K77^2+(N77^2)/12)</f>
        <v/>
      </c>
      <c r="Z77" s="982">
        <f>RCinEsr*Y77^2</f>
        <v/>
      </c>
      <c r="AA77" s="1078">
        <f>Z77</f>
        <v/>
      </c>
      <c r="AB77" s="982">
        <f>SQRT(M77)*SQRT(K77^2+(N77^2)/12)</f>
        <v/>
      </c>
      <c r="AC77" s="982">
        <f>Rdson1*AB77^2</f>
        <v/>
      </c>
      <c r="AD77" s="982">
        <f>(Vin*K77/2)*Fsw*(Tr_buck+Tf_buck)</f>
        <v/>
      </c>
      <c r="AE77" s="982">
        <f>(0.5*Coss_Q1*(Vin-Q77)^2-0.5*Coss_Q2*(Vin-Q77)^2+(Qoss_Q2*(Vin-Q77)/Vin)*Vin)*Fsw</f>
        <v/>
      </c>
      <c r="AF77" s="982">
        <f>IF(K77&gt;N77/2,0,ABS(K77-N77/2)*Vsd_Q1*Deadtime*Fsw)</f>
        <v/>
      </c>
      <c r="AG77" s="982">
        <f>(AF77+AE77+AD77+AC77*(1+RdsonTopTc*Ta-RdsonTopTc*25))/(1-AC77*RdsonTopTc*ThetaJA_Q1)</f>
        <v/>
      </c>
      <c r="AH77" s="982">
        <f>SQRT((1-M77))*SQRT(K77^2+(N77^2)/12)</f>
        <v/>
      </c>
      <c r="AI77" s="982">
        <f>Rdson2*AH77^2</f>
        <v/>
      </c>
      <c r="AJ77" s="982">
        <f>IF(K77&lt;N77/2,Deadtime*Fsw*IF(VfdSky_Q2&gt;0,0,Vsd_Q2)*(K77+N77/2),2*Deadtime*Fsw*IF(VfdSky_Q2&gt;0,0,Vsd_Q2)*K77)</f>
        <v/>
      </c>
      <c r="AK77" s="982">
        <f>(AJ77+AI77*(1+RdsonBotTc*Ta-RdsonBotTc*25))/(1-AI77*RdsonBotTc*ThetaJA_Q2)</f>
        <v/>
      </c>
      <c r="AL77" s="982">
        <f>2*Deadtime*Fsw*IF(VfdSky_Q2&gt;0,VfdSky_Q2,Vsd_Q2)*K77</f>
        <v/>
      </c>
      <c r="AM77" s="982">
        <f>IF(QrrSky_Q2&gt;0,QrrSky_Q2,Qrr_Q2*K77/(Iout/Number_of_Phases))*Fsw*Vin</f>
        <v/>
      </c>
      <c r="AN77" s="982">
        <f>Rs*R77^2</f>
        <v/>
      </c>
      <c r="AO77" s="982">
        <f>Iq*Vin</f>
        <v/>
      </c>
      <c r="AP77" s="982">
        <f>IF(Ext_VCC=1, (Qg_Q1+Qg_Q2)*Fsw*VCC, (Qg_Q1+Qg_Q2)*Fsw*Vin)</f>
        <v/>
      </c>
      <c r="AQ77" s="982">
        <f>(Vin-VCC)*Fsw*(Qg_Q1+Qg_Q2)+(RdsonDRT+RdsonDRT2)*Fsw*Qg_Q1*VCC/(RdsonDRT+2*Rgate1+RdsonDRT2)+(RdsonDRB+RdsonDRB2)*Fsw*Qg_Q2*VCC/(RdsonDRB+2*Rgate2+RdsonDRB2)</f>
        <v/>
      </c>
      <c r="AR77" s="982">
        <f>(Qg_Q1+Qg_Q2)*Fsw*(Vin-VCC)</f>
        <v/>
      </c>
      <c r="AS77" s="982">
        <f>SUM(AO77:AP77)</f>
        <v/>
      </c>
      <c r="AT77" s="982">
        <f> SUM(U77,X77,AA77,AG77,AK77,AL77,AM77,AS77,AN77)</f>
        <v/>
      </c>
      <c r="AU77">
        <f>Vout*K77</f>
        <v/>
      </c>
      <c r="AV77" s="1079">
        <f>AU77/(AU77+AT77)</f>
        <v/>
      </c>
      <c r="AW77" s="1080">
        <f>ThetaJA_Q1*BC77</f>
        <v/>
      </c>
      <c r="AX77" s="1080">
        <f>ThetaJA_Q2*BD77</f>
        <v/>
      </c>
      <c r="AY77" s="9" t="n"/>
      <c r="AZ77" s="4">
        <f>AV77*100</f>
        <v/>
      </c>
      <c r="BA77" s="982">
        <f>U77</f>
        <v/>
      </c>
      <c r="BB77" s="982">
        <f>AG77+AK77+AM77</f>
        <v/>
      </c>
      <c r="BC77" s="982">
        <f>AG77+AM77*0.66</f>
        <v/>
      </c>
      <c r="BD77" s="982">
        <f>AK77+AM77*0.33</f>
        <v/>
      </c>
      <c r="BE77" s="982">
        <f>AN77</f>
        <v/>
      </c>
      <c r="BK77" s="18" t="n"/>
      <c r="BL77" s="19" t="n"/>
    </row>
    <row r="78">
      <c r="A78" s="34" t="inlineStr">
        <is>
          <t>Qrr Current</t>
        </is>
      </c>
      <c r="B78" s="1084">
        <f>Qrr_Q2*Fsw</f>
        <v/>
      </c>
      <c r="C78" s="21" t="inlineStr">
        <is>
          <t>A</t>
        </is>
      </c>
      <c r="G78" t="n">
        <v>69</v>
      </c>
      <c r="H78" s="531">
        <f>Vin</f>
        <v/>
      </c>
      <c r="I78" s="4">
        <f>MODE</f>
        <v/>
      </c>
      <c r="J78" s="982">
        <f>Iout*G78/100</f>
        <v/>
      </c>
      <c r="K78" s="982">
        <f>Iout*G78/100/Number_of_Phases</f>
        <v/>
      </c>
      <c r="L78" s="4">
        <f>Vout*K78/(Vin*Efficiency)</f>
        <v/>
      </c>
      <c r="M78" s="982">
        <f>(Vout+(Rdson2+Rs+Rdcr)*K78)/(Vin+(Rs+Rdson2-Rdson1)*K78)</f>
        <v/>
      </c>
      <c r="N78" s="4">
        <f>(Vin-(Rdson1+Rdcr)*K78-Vout)*M78/(Fsw*Lf)</f>
        <v/>
      </c>
      <c r="O78" s="4">
        <f>K78+N78/2</f>
        <v/>
      </c>
      <c r="P78" s="4">
        <f>K78-N78/2</f>
        <v/>
      </c>
      <c r="Q78" s="4">
        <f>IF(MIN(Vin, -P78/(Coss_Q1+Coss_Q2)*0.00000002)&lt;0, 0, MIN(Vin, -P78/(Coss_Q1+Coss_Q2)*0.00000002))</f>
        <v/>
      </c>
      <c r="R78" s="4">
        <f>SQRT(K78^2+(N78^2)/12)</f>
        <v/>
      </c>
      <c r="S78" s="982">
        <f>R78^2*Rdcr</f>
        <v/>
      </c>
      <c r="T78" s="982">
        <f>Core_Loss_Ch1</f>
        <v/>
      </c>
      <c r="U78" s="982">
        <f>(T78+S78*(1+Ltc*(Ta-25)))/(1-S78*Ltc*ThetaCa)</f>
        <v/>
      </c>
      <c r="V78" s="4">
        <f>N78/SQRT(12)</f>
        <v/>
      </c>
      <c r="W78" s="982">
        <f>RCoutEsr*V78^2</f>
        <v/>
      </c>
      <c r="X78" s="982">
        <f>W78</f>
        <v/>
      </c>
      <c r="Y78" s="4">
        <f>SQRT(M78*(1-M78))*SQRT(K78^2+(N78^2)/12)</f>
        <v/>
      </c>
      <c r="Z78" s="982">
        <f>RCinEsr*Y78^2</f>
        <v/>
      </c>
      <c r="AA78" s="1078">
        <f>Z78</f>
        <v/>
      </c>
      <c r="AB78" s="982">
        <f>SQRT(M78)*SQRT(K78^2+(N78^2)/12)</f>
        <v/>
      </c>
      <c r="AC78" s="982">
        <f>Rdson1*AB78^2</f>
        <v/>
      </c>
      <c r="AD78" s="982">
        <f>(Vin*K78/2)*Fsw*(Tr_buck+Tf_buck)</f>
        <v/>
      </c>
      <c r="AE78" s="982">
        <f>(0.5*Coss_Q1*(Vin-Q78)^2-0.5*Coss_Q2*(Vin-Q78)^2+(Qoss_Q2*(Vin-Q78)/Vin)*Vin)*Fsw</f>
        <v/>
      </c>
      <c r="AF78" s="982">
        <f>IF(K78&gt;N78/2,0,ABS(K78-N78/2)*Vsd_Q1*Deadtime*Fsw)</f>
        <v/>
      </c>
      <c r="AG78" s="982">
        <f>(AF78+AE78+AD78+AC78*(1+RdsonTopTc*Ta-RdsonTopTc*25))/(1-AC78*RdsonTopTc*ThetaJA_Q1)</f>
        <v/>
      </c>
      <c r="AH78" s="982">
        <f>SQRT((1-M78))*SQRT(K78^2+(N78^2)/12)</f>
        <v/>
      </c>
      <c r="AI78" s="982">
        <f>Rdson2*AH78^2</f>
        <v/>
      </c>
      <c r="AJ78" s="982">
        <f>IF(K78&lt;N78/2,Deadtime*Fsw*IF(VfdSky_Q2&gt;0,0,Vsd_Q2)*(K78+N78/2),2*Deadtime*Fsw*IF(VfdSky_Q2&gt;0,0,Vsd_Q2)*K78)</f>
        <v/>
      </c>
      <c r="AK78" s="982">
        <f>(AJ78+AI78*(1+RdsonBotTc*Ta-RdsonBotTc*25))/(1-AI78*RdsonBotTc*ThetaJA_Q2)</f>
        <v/>
      </c>
      <c r="AL78" s="982">
        <f>2*Deadtime*Fsw*IF(VfdSky_Q2&gt;0,VfdSky_Q2,Vsd_Q2)*K78</f>
        <v/>
      </c>
      <c r="AM78" s="982">
        <f>IF(QrrSky_Q2&gt;0,QrrSky_Q2,Qrr_Q2*K78/(Iout/Number_of_Phases))*Fsw*Vin</f>
        <v/>
      </c>
      <c r="AN78" s="982">
        <f>Rs*R78^2</f>
        <v/>
      </c>
      <c r="AO78" s="982">
        <f>Iq*Vin</f>
        <v/>
      </c>
      <c r="AP78" s="982">
        <f>IF(Ext_VCC=1, (Qg_Q1+Qg_Q2)*Fsw*VCC, (Qg_Q1+Qg_Q2)*Fsw*Vin)</f>
        <v/>
      </c>
      <c r="AQ78" s="982">
        <f>(Vin-VCC)*Fsw*(Qg_Q1+Qg_Q2)+(RdsonDRT+RdsonDRT2)*Fsw*Qg_Q1*VCC/(RdsonDRT+2*Rgate1+RdsonDRT2)+(RdsonDRB+RdsonDRB2)*Fsw*Qg_Q2*VCC/(RdsonDRB+2*Rgate2+RdsonDRB2)</f>
        <v/>
      </c>
      <c r="AR78" s="982">
        <f>(Qg_Q1+Qg_Q2)*Fsw*(Vin-VCC)</f>
        <v/>
      </c>
      <c r="AS78" s="982">
        <f>SUM(AO78:AP78)</f>
        <v/>
      </c>
      <c r="AT78" s="982">
        <f> SUM(U78,X78,AA78,AG78,AK78,AL78,AM78,AS78,AN78)</f>
        <v/>
      </c>
      <c r="AU78">
        <f>Vout*K78</f>
        <v/>
      </c>
      <c r="AV78" s="1079">
        <f>AU78/(AU78+AT78)</f>
        <v/>
      </c>
      <c r="AW78" s="1080">
        <f>ThetaJA_Q1*BC78</f>
        <v/>
      </c>
      <c r="AX78" s="1080">
        <f>ThetaJA_Q2*BD78</f>
        <v/>
      </c>
      <c r="AY78" s="9" t="n"/>
      <c r="AZ78" s="4">
        <f>AV78*100</f>
        <v/>
      </c>
      <c r="BA78" s="982">
        <f>U78</f>
        <v/>
      </c>
      <c r="BB78" s="982">
        <f>AG78+AK78+AM78</f>
        <v/>
      </c>
      <c r="BC78" s="982">
        <f>AG78+AM78*0.66</f>
        <v/>
      </c>
      <c r="BD78" s="982">
        <f>AK78+AM78*0.33</f>
        <v/>
      </c>
      <c r="BE78" s="982">
        <f>AN78</f>
        <v/>
      </c>
      <c r="BK78" s="18" t="n"/>
      <c r="BL78" s="19" t="n"/>
    </row>
    <row r="79">
      <c r="A79" s="34" t="inlineStr">
        <is>
          <t>Diode Current</t>
        </is>
      </c>
      <c r="B79" s="1084">
        <f>Deadtime*Fsw*(Iripple_Vinnom/2)*(Vsd_Q2)/Vin</f>
        <v/>
      </c>
      <c r="C79" s="21" t="n"/>
      <c r="G79" t="n">
        <v>70</v>
      </c>
      <c r="H79" s="531">
        <f>Vin</f>
        <v/>
      </c>
      <c r="I79" s="4">
        <f>MODE</f>
        <v/>
      </c>
      <c r="J79" s="982">
        <f>Iout*G79/100</f>
        <v/>
      </c>
      <c r="K79" s="982">
        <f>Iout*G79/100/Number_of_Phases</f>
        <v/>
      </c>
      <c r="L79" s="4">
        <f>Vout*K79/(Vin*Efficiency)</f>
        <v/>
      </c>
      <c r="M79" s="982">
        <f>(Vout+(Rdson2+Rs+Rdcr)*K79)/(Vin+(Rs+Rdson2-Rdson1)*K79)</f>
        <v/>
      </c>
      <c r="N79" s="4">
        <f>(Vin-(Rdson1+Rdcr)*K79-Vout)*M79/(Fsw*Lf)</f>
        <v/>
      </c>
      <c r="O79" s="4">
        <f>K79+N79/2</f>
        <v/>
      </c>
      <c r="P79" s="4">
        <f>K79-N79/2</f>
        <v/>
      </c>
      <c r="Q79" s="4">
        <f>IF(MIN(Vin, -P79/(Coss_Q1+Coss_Q2)*0.00000002)&lt;0, 0, MIN(Vin, -P79/(Coss_Q1+Coss_Q2)*0.00000002))</f>
        <v/>
      </c>
      <c r="R79" s="4">
        <f>SQRT(K79^2+(N79^2)/12)</f>
        <v/>
      </c>
      <c r="S79" s="982">
        <f>R79^2*Rdcr</f>
        <v/>
      </c>
      <c r="T79" s="982">
        <f>Core_Loss_Ch1</f>
        <v/>
      </c>
      <c r="U79" s="982">
        <f>(T79+S79*(1+Ltc*(Ta-25)))/(1-S79*Ltc*ThetaCa)</f>
        <v/>
      </c>
      <c r="V79" s="4">
        <f>N79/SQRT(12)</f>
        <v/>
      </c>
      <c r="W79" s="982">
        <f>RCoutEsr*V79^2</f>
        <v/>
      </c>
      <c r="X79" s="982">
        <f>W79</f>
        <v/>
      </c>
      <c r="Y79" s="4">
        <f>SQRT(M79*(1-M79))*SQRT(K79^2+(N79^2)/12)</f>
        <v/>
      </c>
      <c r="Z79" s="982">
        <f>RCinEsr*Y79^2</f>
        <v/>
      </c>
      <c r="AA79" s="1078">
        <f>Z79</f>
        <v/>
      </c>
      <c r="AB79" s="982">
        <f>SQRT(M79)*SQRT(K79^2+(N79^2)/12)</f>
        <v/>
      </c>
      <c r="AC79" s="982">
        <f>Rdson1*AB79^2</f>
        <v/>
      </c>
      <c r="AD79" s="982">
        <f>(Vin*K79/2)*Fsw*(Tr_buck+Tf_buck)</f>
        <v/>
      </c>
      <c r="AE79" s="982">
        <f>(0.5*Coss_Q1*(Vin-Q79)^2-0.5*Coss_Q2*(Vin-Q79)^2+(Qoss_Q2*(Vin-Q79)/Vin)*Vin)*Fsw</f>
        <v/>
      </c>
      <c r="AF79" s="982">
        <f>IF(K79&gt;N79/2,0,ABS(K79-N79/2)*Vsd_Q1*Deadtime*Fsw)</f>
        <v/>
      </c>
      <c r="AG79" s="982">
        <f>(AF79+AE79+AD79+AC79*(1+RdsonTopTc*Ta-RdsonTopTc*25))/(1-AC79*RdsonTopTc*ThetaJA_Q1)</f>
        <v/>
      </c>
      <c r="AH79" s="982">
        <f>SQRT((1-M79))*SQRT(K79^2+(N79^2)/12)</f>
        <v/>
      </c>
      <c r="AI79" s="982">
        <f>Rdson2*AH79^2</f>
        <v/>
      </c>
      <c r="AJ79" s="982">
        <f>IF(K79&lt;N79/2,Deadtime*Fsw*IF(VfdSky_Q2&gt;0,0,Vsd_Q2)*(K79+N79/2),2*Deadtime*Fsw*IF(VfdSky_Q2&gt;0,0,Vsd_Q2)*K79)</f>
        <v/>
      </c>
      <c r="AK79" s="982">
        <f>(AJ79+AI79*(1+RdsonBotTc*Ta-RdsonBotTc*25))/(1-AI79*RdsonBotTc*ThetaJA_Q2)</f>
        <v/>
      </c>
      <c r="AL79" s="982">
        <f>2*Deadtime*Fsw*IF(VfdSky_Q2&gt;0,VfdSky_Q2,Vsd_Q2)*K79</f>
        <v/>
      </c>
      <c r="AM79" s="982">
        <f>IF(QrrSky_Q2&gt;0,QrrSky_Q2,Qrr_Q2*K79/(Iout/Number_of_Phases))*Fsw*Vin</f>
        <v/>
      </c>
      <c r="AN79" s="982">
        <f>Rs*R79^2</f>
        <v/>
      </c>
      <c r="AO79" s="982">
        <f>Iq*Vin</f>
        <v/>
      </c>
      <c r="AP79" s="982">
        <f>IF(Ext_VCC=1, (Qg_Q1+Qg_Q2)*Fsw*VCC, (Qg_Q1+Qg_Q2)*Fsw*Vin)</f>
        <v/>
      </c>
      <c r="AQ79" s="982">
        <f>(Vin-VCC)*Fsw*(Qg_Q1+Qg_Q2)+(RdsonDRT+RdsonDRT2)*Fsw*Qg_Q1*VCC/(RdsonDRT+2*Rgate1+RdsonDRT2)+(RdsonDRB+RdsonDRB2)*Fsw*Qg_Q2*VCC/(RdsonDRB+2*Rgate2+RdsonDRB2)</f>
        <v/>
      </c>
      <c r="AR79" s="982">
        <f>(Qg_Q1+Qg_Q2)*Fsw*(Vin-VCC)</f>
        <v/>
      </c>
      <c r="AS79" s="982">
        <f>SUM(AO79:AP79)</f>
        <v/>
      </c>
      <c r="AT79" s="982">
        <f> SUM(U79,X79,AA79,AG79,AK79,AL79,AM79,AS79,AN79)</f>
        <v/>
      </c>
      <c r="AU79">
        <f>Vout*K79</f>
        <v/>
      </c>
      <c r="AV79" s="1079">
        <f>AU79/(AU79+AT79)</f>
        <v/>
      </c>
      <c r="AW79" s="1080">
        <f>ThetaJA_Q1*BC79</f>
        <v/>
      </c>
      <c r="AX79" s="1080">
        <f>ThetaJA_Q2*BD79</f>
        <v/>
      </c>
      <c r="AY79" s="9" t="n"/>
      <c r="AZ79" s="4">
        <f>AV79*100</f>
        <v/>
      </c>
      <c r="BA79" s="982">
        <f>U79</f>
        <v/>
      </c>
      <c r="BB79" s="982">
        <f>AG79+AK79+AM79</f>
        <v/>
      </c>
      <c r="BC79" s="982">
        <f>AG79+AM79*0.66</f>
        <v/>
      </c>
      <c r="BD79" s="982">
        <f>AK79+AM79*0.33</f>
        <v/>
      </c>
      <c r="BE79" s="982">
        <f>AN79</f>
        <v/>
      </c>
      <c r="BK79" s="18" t="n"/>
      <c r="BL79" s="19" t="n"/>
    </row>
    <row r="80">
      <c r="A80" s="34" t="inlineStr">
        <is>
          <t>Total</t>
        </is>
      </c>
      <c r="B80" s="1084">
        <f>SUM(B77:B79)</f>
        <v/>
      </c>
      <c r="C80" s="21" t="inlineStr">
        <is>
          <t>A</t>
        </is>
      </c>
      <c r="G80" t="n">
        <v>71</v>
      </c>
      <c r="H80" s="531">
        <f>Vin</f>
        <v/>
      </c>
      <c r="I80" s="4">
        <f>MODE</f>
        <v/>
      </c>
      <c r="J80" s="982">
        <f>Iout*G80/100</f>
        <v/>
      </c>
      <c r="K80" s="982">
        <f>Iout*G80/100/Number_of_Phases</f>
        <v/>
      </c>
      <c r="L80" s="4">
        <f>Vout*K80/(Vin*Efficiency)</f>
        <v/>
      </c>
      <c r="M80" s="982">
        <f>(Vout+(Rdson2+Rs+Rdcr)*K80)/(Vin+(Rs+Rdson2-Rdson1)*K80)</f>
        <v/>
      </c>
      <c r="N80" s="4">
        <f>(Vin-(Rdson1+Rdcr)*K80-Vout)*M80/(Fsw*Lf)</f>
        <v/>
      </c>
      <c r="O80" s="4">
        <f>K80+N80/2</f>
        <v/>
      </c>
      <c r="P80" s="4">
        <f>K80-N80/2</f>
        <v/>
      </c>
      <c r="Q80" s="4">
        <f>IF(MIN(Vin, -P80/(Coss_Q1+Coss_Q2)*0.00000002)&lt;0, 0, MIN(Vin, -P80/(Coss_Q1+Coss_Q2)*0.00000002))</f>
        <v/>
      </c>
      <c r="R80" s="4">
        <f>SQRT(K80^2+(N80^2)/12)</f>
        <v/>
      </c>
      <c r="S80" s="982">
        <f>R80^2*Rdcr</f>
        <v/>
      </c>
      <c r="T80" s="982">
        <f>Core_Loss_Ch1</f>
        <v/>
      </c>
      <c r="U80" s="982">
        <f>(T80+S80*(1+Ltc*(Ta-25)))/(1-S80*Ltc*ThetaCa)</f>
        <v/>
      </c>
      <c r="V80" s="4">
        <f>N80/SQRT(12)</f>
        <v/>
      </c>
      <c r="W80" s="982">
        <f>RCoutEsr*V80^2</f>
        <v/>
      </c>
      <c r="X80" s="982">
        <f>W80</f>
        <v/>
      </c>
      <c r="Y80" s="4">
        <f>SQRT(M80*(1-M80))*SQRT(K80^2+(N80^2)/12)</f>
        <v/>
      </c>
      <c r="Z80" s="982">
        <f>RCinEsr*Y80^2</f>
        <v/>
      </c>
      <c r="AA80" s="1078">
        <f>Z80</f>
        <v/>
      </c>
      <c r="AB80" s="982">
        <f>SQRT(M80)*SQRT(K80^2+(N80^2)/12)</f>
        <v/>
      </c>
      <c r="AC80" s="982">
        <f>Rdson1*AB80^2</f>
        <v/>
      </c>
      <c r="AD80" s="982">
        <f>(Vin*K80/2)*Fsw*(Tr_buck+Tf_buck)</f>
        <v/>
      </c>
      <c r="AE80" s="982">
        <f>(0.5*Coss_Q1*(Vin-Q80)^2-0.5*Coss_Q2*(Vin-Q80)^2+(Qoss_Q2*(Vin-Q80)/Vin)*Vin)*Fsw</f>
        <v/>
      </c>
      <c r="AF80" s="982">
        <f>IF(K80&gt;N80/2,0,ABS(K80-N80/2)*Vsd_Q1*Deadtime*Fsw)</f>
        <v/>
      </c>
      <c r="AG80" s="982">
        <f>(AF80+AE80+AD80+AC80*(1+RdsonTopTc*Ta-RdsonTopTc*25))/(1-AC80*RdsonTopTc*ThetaJA_Q1)</f>
        <v/>
      </c>
      <c r="AH80" s="982">
        <f>SQRT((1-M80))*SQRT(K80^2+(N80^2)/12)</f>
        <v/>
      </c>
      <c r="AI80" s="982">
        <f>Rdson2*AH80^2</f>
        <v/>
      </c>
      <c r="AJ80" s="982">
        <f>IF(K80&lt;N80/2,Deadtime*Fsw*IF(VfdSky_Q2&gt;0,0,Vsd_Q2)*(K80+N80/2),2*Deadtime*Fsw*IF(VfdSky_Q2&gt;0,0,Vsd_Q2)*K80)</f>
        <v/>
      </c>
      <c r="AK80" s="982">
        <f>(AJ80+AI80*(1+RdsonBotTc*Ta-RdsonBotTc*25))/(1-AI80*RdsonBotTc*ThetaJA_Q2)</f>
        <v/>
      </c>
      <c r="AL80" s="982">
        <f>2*Deadtime*Fsw*IF(VfdSky_Q2&gt;0,VfdSky_Q2,Vsd_Q2)*K80</f>
        <v/>
      </c>
      <c r="AM80" s="982">
        <f>IF(QrrSky_Q2&gt;0,QrrSky_Q2,Qrr_Q2*K80/(Iout/Number_of_Phases))*Fsw*Vin</f>
        <v/>
      </c>
      <c r="AN80" s="982">
        <f>Rs*R80^2</f>
        <v/>
      </c>
      <c r="AO80" s="982">
        <f>Iq*Vin</f>
        <v/>
      </c>
      <c r="AP80" s="982">
        <f>IF(Ext_VCC=1, (Qg_Q1+Qg_Q2)*Fsw*VCC, (Qg_Q1+Qg_Q2)*Fsw*Vin)</f>
        <v/>
      </c>
      <c r="AQ80" s="982">
        <f>(Vin-VCC)*Fsw*(Qg_Q1+Qg_Q2)+(RdsonDRT+RdsonDRT2)*Fsw*Qg_Q1*VCC/(RdsonDRT+2*Rgate1+RdsonDRT2)+(RdsonDRB+RdsonDRB2)*Fsw*Qg_Q2*VCC/(RdsonDRB+2*Rgate2+RdsonDRB2)</f>
        <v/>
      </c>
      <c r="AR80" s="982">
        <f>(Qg_Q1+Qg_Q2)*Fsw*(Vin-VCC)</f>
        <v/>
      </c>
      <c r="AS80" s="982">
        <f>SUM(AO80:AP80)</f>
        <v/>
      </c>
      <c r="AT80" s="982">
        <f> SUM(U80,X80,AA80,AG80,AK80,AL80,AM80,AS80,AN80)</f>
        <v/>
      </c>
      <c r="AU80">
        <f>Vout*K80</f>
        <v/>
      </c>
      <c r="AV80" s="1079">
        <f>AU80/(AU80+AT80)</f>
        <v/>
      </c>
      <c r="AW80" s="1080">
        <f>ThetaJA_Q1*BC80</f>
        <v/>
      </c>
      <c r="AX80" s="1080">
        <f>ThetaJA_Q2*BD80</f>
        <v/>
      </c>
      <c r="AY80" s="9" t="n"/>
      <c r="AZ80" s="4">
        <f>AV80*100</f>
        <v/>
      </c>
      <c r="BA80" s="982">
        <f>U80</f>
        <v/>
      </c>
      <c r="BB80" s="982">
        <f>AG80+AK80+AM80</f>
        <v/>
      </c>
      <c r="BC80" s="982">
        <f>AG80+AM80*0.66</f>
        <v/>
      </c>
      <c r="BD80" s="982">
        <f>AK80+AM80*0.33</f>
        <v/>
      </c>
      <c r="BE80" s="982">
        <f>AN80</f>
        <v/>
      </c>
      <c r="BK80" s="18" t="n"/>
      <c r="BL80" s="19" t="n"/>
    </row>
    <row r="81">
      <c r="A81" s="2" t="n"/>
      <c r="G81" t="n">
        <v>72</v>
      </c>
      <c r="H81" s="531">
        <f>Vin</f>
        <v/>
      </c>
      <c r="I81" s="4">
        <f>MODE</f>
        <v/>
      </c>
      <c r="J81" s="982">
        <f>Iout*G81/100</f>
        <v/>
      </c>
      <c r="K81" s="982">
        <f>Iout*G81/100/Number_of_Phases</f>
        <v/>
      </c>
      <c r="L81" s="4">
        <f>Vout*K81/(Vin*Efficiency)</f>
        <v/>
      </c>
      <c r="M81" s="982">
        <f>(Vout+(Rdson2+Rs+Rdcr)*K81)/(Vin+(Rs+Rdson2-Rdson1)*K81)</f>
        <v/>
      </c>
      <c r="N81" s="4">
        <f>(Vin-(Rdson1+Rdcr)*K81-Vout)*M81/(Fsw*Lf)</f>
        <v/>
      </c>
      <c r="O81" s="4">
        <f>K81+N81/2</f>
        <v/>
      </c>
      <c r="P81" s="4">
        <f>K81-N81/2</f>
        <v/>
      </c>
      <c r="Q81" s="4">
        <f>IF(MIN(Vin, -P81/(Coss_Q1+Coss_Q2)*0.00000002)&lt;0, 0, MIN(Vin, -P81/(Coss_Q1+Coss_Q2)*0.00000002))</f>
        <v/>
      </c>
      <c r="R81" s="4">
        <f>SQRT(K81^2+(N81^2)/12)</f>
        <v/>
      </c>
      <c r="S81" s="982">
        <f>R81^2*Rdcr</f>
        <v/>
      </c>
      <c r="T81" s="982">
        <f>Core_Loss_Ch1</f>
        <v/>
      </c>
      <c r="U81" s="982">
        <f>(T81+S81*(1+Ltc*(Ta-25)))/(1-S81*Ltc*ThetaCa)</f>
        <v/>
      </c>
      <c r="V81" s="4">
        <f>N81/SQRT(12)</f>
        <v/>
      </c>
      <c r="W81" s="982">
        <f>RCoutEsr*V81^2</f>
        <v/>
      </c>
      <c r="X81" s="982">
        <f>W81</f>
        <v/>
      </c>
      <c r="Y81" s="4">
        <f>SQRT(M81*(1-M81))*SQRT(K81^2+(N81^2)/12)</f>
        <v/>
      </c>
      <c r="Z81" s="982">
        <f>RCinEsr*Y81^2</f>
        <v/>
      </c>
      <c r="AA81" s="1078">
        <f>Z81</f>
        <v/>
      </c>
      <c r="AB81" s="982">
        <f>SQRT(M81)*SQRT(K81^2+(N81^2)/12)</f>
        <v/>
      </c>
      <c r="AC81" s="982">
        <f>Rdson1*AB81^2</f>
        <v/>
      </c>
      <c r="AD81" s="982">
        <f>(Vin*K81/2)*Fsw*(Tr_buck+Tf_buck)</f>
        <v/>
      </c>
      <c r="AE81" s="982">
        <f>(0.5*Coss_Q1*(Vin-Q81)^2-0.5*Coss_Q2*(Vin-Q81)^2+(Qoss_Q2*(Vin-Q81)/Vin)*Vin)*Fsw</f>
        <v/>
      </c>
      <c r="AF81" s="982">
        <f>IF(K81&gt;N81/2,0,ABS(K81-N81/2)*Vsd_Q1*Deadtime*Fsw)</f>
        <v/>
      </c>
      <c r="AG81" s="982">
        <f>(AF81+AE81+AD81+AC81*(1+RdsonTopTc*Ta-RdsonTopTc*25))/(1-AC81*RdsonTopTc*ThetaJA_Q1)</f>
        <v/>
      </c>
      <c r="AH81" s="982">
        <f>SQRT((1-M81))*SQRT(K81^2+(N81^2)/12)</f>
        <v/>
      </c>
      <c r="AI81" s="982">
        <f>Rdson2*AH81^2</f>
        <v/>
      </c>
      <c r="AJ81" s="982">
        <f>IF(K81&lt;N81/2,Deadtime*Fsw*IF(VfdSky_Q2&gt;0,0,Vsd_Q2)*(K81+N81/2),2*Deadtime*Fsw*IF(VfdSky_Q2&gt;0,0,Vsd_Q2)*K81)</f>
        <v/>
      </c>
      <c r="AK81" s="982">
        <f>(AJ81+AI81*(1+RdsonBotTc*Ta-RdsonBotTc*25))/(1-AI81*RdsonBotTc*ThetaJA_Q2)</f>
        <v/>
      </c>
      <c r="AL81" s="982">
        <f>2*Deadtime*Fsw*IF(VfdSky_Q2&gt;0,VfdSky_Q2,Vsd_Q2)*K81</f>
        <v/>
      </c>
      <c r="AM81" s="982">
        <f>IF(QrrSky_Q2&gt;0,QrrSky_Q2,Qrr_Q2*K81/(Iout/Number_of_Phases))*Fsw*Vin</f>
        <v/>
      </c>
      <c r="AN81" s="982">
        <f>Rs*R81^2</f>
        <v/>
      </c>
      <c r="AO81" s="982">
        <f>Iq*Vin</f>
        <v/>
      </c>
      <c r="AP81" s="982">
        <f>IF(Ext_VCC=1, (Qg_Q1+Qg_Q2)*Fsw*VCC, (Qg_Q1+Qg_Q2)*Fsw*Vin)</f>
        <v/>
      </c>
      <c r="AQ81" s="982">
        <f>(Vin-VCC)*Fsw*(Qg_Q1+Qg_Q2)+(RdsonDRT+RdsonDRT2)*Fsw*Qg_Q1*VCC/(RdsonDRT+2*Rgate1+RdsonDRT2)+(RdsonDRB+RdsonDRB2)*Fsw*Qg_Q2*VCC/(RdsonDRB+2*Rgate2+RdsonDRB2)</f>
        <v/>
      </c>
      <c r="AR81" s="982">
        <f>(Qg_Q1+Qg_Q2)*Fsw*(Vin-VCC)</f>
        <v/>
      </c>
      <c r="AS81" s="982">
        <f>SUM(AO81:AP81)</f>
        <v/>
      </c>
      <c r="AT81" s="982">
        <f> SUM(U81,X81,AA81,AG81,AK81,AL81,AM81,AS81,AN81)</f>
        <v/>
      </c>
      <c r="AU81">
        <f>Vout*K81</f>
        <v/>
      </c>
      <c r="AV81" s="1079">
        <f>AU81/(AU81+AT81)</f>
        <v/>
      </c>
      <c r="AW81" s="1080">
        <f>ThetaJA_Q1*BC81</f>
        <v/>
      </c>
      <c r="AX81" s="1080">
        <f>ThetaJA_Q2*BD81</f>
        <v/>
      </c>
      <c r="AY81" s="9" t="n"/>
      <c r="AZ81" s="4">
        <f>AV81*100</f>
        <v/>
      </c>
      <c r="BA81" s="982">
        <f>U81</f>
        <v/>
      </c>
      <c r="BB81" s="982">
        <f>AG81+AK81+AM81</f>
        <v/>
      </c>
      <c r="BC81" s="982">
        <f>AG81+AM81*0.66</f>
        <v/>
      </c>
      <c r="BD81" s="982">
        <f>AK81+AM81*0.33</f>
        <v/>
      </c>
      <c r="BE81" s="982">
        <f>AN81</f>
        <v/>
      </c>
      <c r="BK81" s="18" t="n"/>
      <c r="BL81" s="19" t="n"/>
    </row>
    <row r="82">
      <c r="A82" s="2" t="n"/>
      <c r="G82" t="n">
        <v>73</v>
      </c>
      <c r="H82" s="531">
        <f>Vin</f>
        <v/>
      </c>
      <c r="I82" s="4">
        <f>MODE</f>
        <v/>
      </c>
      <c r="J82" s="982">
        <f>Iout*G82/100</f>
        <v/>
      </c>
      <c r="K82" s="982">
        <f>Iout*G82/100/Number_of_Phases</f>
        <v/>
      </c>
      <c r="L82" s="4">
        <f>Vout*K82/(Vin*Efficiency)</f>
        <v/>
      </c>
      <c r="M82" s="982">
        <f>(Vout+(Rdson2+Rs+Rdcr)*K82)/(Vin+(Rs+Rdson2-Rdson1)*K82)</f>
        <v/>
      </c>
      <c r="N82" s="4">
        <f>(Vin-(Rdson1+Rdcr)*K82-Vout)*M82/(Fsw*Lf)</f>
        <v/>
      </c>
      <c r="O82" s="4">
        <f>K82+N82/2</f>
        <v/>
      </c>
      <c r="P82" s="4">
        <f>K82-N82/2</f>
        <v/>
      </c>
      <c r="Q82" s="4">
        <f>IF(MIN(Vin, -P82/(Coss_Q1+Coss_Q2)*0.00000002)&lt;0, 0, MIN(Vin, -P82/(Coss_Q1+Coss_Q2)*0.00000002))</f>
        <v/>
      </c>
      <c r="R82" s="4">
        <f>SQRT(K82^2+(N82^2)/12)</f>
        <v/>
      </c>
      <c r="S82" s="982">
        <f>R82^2*Rdcr</f>
        <v/>
      </c>
      <c r="T82" s="982">
        <f>Core_Loss_Ch1</f>
        <v/>
      </c>
      <c r="U82" s="982">
        <f>(T82+S82*(1+Ltc*(Ta-25)))/(1-S82*Ltc*ThetaCa)</f>
        <v/>
      </c>
      <c r="V82" s="4">
        <f>N82/SQRT(12)</f>
        <v/>
      </c>
      <c r="W82" s="982">
        <f>RCoutEsr*V82^2</f>
        <v/>
      </c>
      <c r="X82" s="982">
        <f>W82</f>
        <v/>
      </c>
      <c r="Y82" s="4">
        <f>SQRT(M82*(1-M82))*SQRT(K82^2+(N82^2)/12)</f>
        <v/>
      </c>
      <c r="Z82" s="982">
        <f>RCinEsr*Y82^2</f>
        <v/>
      </c>
      <c r="AA82" s="1078">
        <f>Z82</f>
        <v/>
      </c>
      <c r="AB82" s="982">
        <f>SQRT(M82)*SQRT(K82^2+(N82^2)/12)</f>
        <v/>
      </c>
      <c r="AC82" s="982">
        <f>Rdson1*AB82^2</f>
        <v/>
      </c>
      <c r="AD82" s="982">
        <f>(Vin*K82/2)*Fsw*(Tr_buck+Tf_buck)</f>
        <v/>
      </c>
      <c r="AE82" s="982">
        <f>(0.5*Coss_Q1*(Vin-Q82)^2-0.5*Coss_Q2*(Vin-Q82)^2+(Qoss_Q2*(Vin-Q82)/Vin)*Vin)*Fsw</f>
        <v/>
      </c>
      <c r="AF82" s="982">
        <f>IF(K82&gt;N82/2,0,ABS(K82-N82/2)*Vsd_Q1*Deadtime*Fsw)</f>
        <v/>
      </c>
      <c r="AG82" s="982">
        <f>(AF82+AE82+AD82+AC82*(1+RdsonTopTc*Ta-RdsonTopTc*25))/(1-AC82*RdsonTopTc*ThetaJA_Q1)</f>
        <v/>
      </c>
      <c r="AH82" s="982">
        <f>SQRT((1-M82))*SQRT(K82^2+(N82^2)/12)</f>
        <v/>
      </c>
      <c r="AI82" s="982">
        <f>Rdson2*AH82^2</f>
        <v/>
      </c>
      <c r="AJ82" s="982">
        <f>IF(K82&lt;N82/2,Deadtime*Fsw*IF(VfdSky_Q2&gt;0,0,Vsd_Q2)*(K82+N82/2),2*Deadtime*Fsw*IF(VfdSky_Q2&gt;0,0,Vsd_Q2)*K82)</f>
        <v/>
      </c>
      <c r="AK82" s="982">
        <f>(AJ82+AI82*(1+RdsonBotTc*Ta-RdsonBotTc*25))/(1-AI82*RdsonBotTc*ThetaJA_Q2)</f>
        <v/>
      </c>
      <c r="AL82" s="982">
        <f>2*Deadtime*Fsw*IF(VfdSky_Q2&gt;0,VfdSky_Q2,Vsd_Q2)*K82</f>
        <v/>
      </c>
      <c r="AM82" s="982">
        <f>IF(QrrSky_Q2&gt;0,QrrSky_Q2,Qrr_Q2*K82/(Iout/Number_of_Phases))*Fsw*Vin</f>
        <v/>
      </c>
      <c r="AN82" s="982">
        <f>Rs*R82^2</f>
        <v/>
      </c>
      <c r="AO82" s="982">
        <f>Iq*Vin</f>
        <v/>
      </c>
      <c r="AP82" s="982">
        <f>IF(Ext_VCC=1, (Qg_Q1+Qg_Q2)*Fsw*VCC, (Qg_Q1+Qg_Q2)*Fsw*Vin)</f>
        <v/>
      </c>
      <c r="AQ82" s="982">
        <f>(Vin-VCC)*Fsw*(Qg_Q1+Qg_Q2)+(RdsonDRT+RdsonDRT2)*Fsw*Qg_Q1*VCC/(RdsonDRT+2*Rgate1+RdsonDRT2)+(RdsonDRB+RdsonDRB2)*Fsw*Qg_Q2*VCC/(RdsonDRB+2*Rgate2+RdsonDRB2)</f>
        <v/>
      </c>
      <c r="AR82" s="982">
        <f>(Qg_Q1+Qg_Q2)*Fsw*(Vin-VCC)</f>
        <v/>
      </c>
      <c r="AS82" s="982">
        <f>SUM(AO82:AP82)</f>
        <v/>
      </c>
      <c r="AT82" s="982">
        <f> SUM(U82,X82,AA82,AG82,AK82,AL82,AM82,AS82,AN82)</f>
        <v/>
      </c>
      <c r="AU82">
        <f>Vout*K82</f>
        <v/>
      </c>
      <c r="AV82" s="1079">
        <f>AU82/(AU82+AT82)</f>
        <v/>
      </c>
      <c r="AW82" s="1080">
        <f>ThetaJA_Q1*BC82</f>
        <v/>
      </c>
      <c r="AX82" s="1080">
        <f>ThetaJA_Q2*BD82</f>
        <v/>
      </c>
      <c r="AY82" s="9" t="n"/>
      <c r="AZ82" s="4">
        <f>AV82*100</f>
        <v/>
      </c>
      <c r="BA82" s="982">
        <f>U82</f>
        <v/>
      </c>
      <c r="BB82" s="982">
        <f>AG82+AK82+AM82</f>
        <v/>
      </c>
      <c r="BC82" s="982">
        <f>AG82+AM82*0.66</f>
        <v/>
      </c>
      <c r="BD82" s="982">
        <f>AK82+AM82*0.33</f>
        <v/>
      </c>
      <c r="BE82" s="982">
        <f>AN82</f>
        <v/>
      </c>
      <c r="BK82" s="18" t="n"/>
      <c r="BL82" s="19" t="n"/>
    </row>
    <row r="83">
      <c r="A83" s="2" t="n"/>
      <c r="G83" t="n">
        <v>74</v>
      </c>
      <c r="H83" s="531">
        <f>Vin</f>
        <v/>
      </c>
      <c r="I83" s="4">
        <f>MODE</f>
        <v/>
      </c>
      <c r="J83" s="982">
        <f>Iout*G83/100</f>
        <v/>
      </c>
      <c r="K83" s="982">
        <f>Iout*G83/100/Number_of_Phases</f>
        <v/>
      </c>
      <c r="L83" s="4">
        <f>Vout*K83/(Vin*Efficiency)</f>
        <v/>
      </c>
      <c r="M83" s="982">
        <f>(Vout+(Rdson2+Rs+Rdcr)*K83)/(Vin+(Rs+Rdson2-Rdson1)*K83)</f>
        <v/>
      </c>
      <c r="N83" s="4">
        <f>(Vin-(Rdson1+Rdcr)*K83-Vout)*M83/(Fsw*Lf)</f>
        <v/>
      </c>
      <c r="O83" s="4">
        <f>K83+N83/2</f>
        <v/>
      </c>
      <c r="P83" s="4">
        <f>K83-N83/2</f>
        <v/>
      </c>
      <c r="Q83" s="4">
        <f>IF(MIN(Vin, -P83/(Coss_Q1+Coss_Q2)*0.00000002)&lt;0, 0, MIN(Vin, -P83/(Coss_Q1+Coss_Q2)*0.00000002))</f>
        <v/>
      </c>
      <c r="R83" s="4">
        <f>SQRT(K83^2+(N83^2)/12)</f>
        <v/>
      </c>
      <c r="S83" s="982">
        <f>R83^2*Rdcr</f>
        <v/>
      </c>
      <c r="T83" s="982">
        <f>Core_Loss_Ch1</f>
        <v/>
      </c>
      <c r="U83" s="982">
        <f>(T83+S83*(1+Ltc*(Ta-25)))/(1-S83*Ltc*ThetaCa)</f>
        <v/>
      </c>
      <c r="V83" s="4">
        <f>N83/SQRT(12)</f>
        <v/>
      </c>
      <c r="W83" s="982">
        <f>RCoutEsr*V83^2</f>
        <v/>
      </c>
      <c r="X83" s="982">
        <f>W83</f>
        <v/>
      </c>
      <c r="Y83" s="4">
        <f>SQRT(M83*(1-M83))*SQRT(K83^2+(N83^2)/12)</f>
        <v/>
      </c>
      <c r="Z83" s="982">
        <f>RCinEsr*Y83^2</f>
        <v/>
      </c>
      <c r="AA83" s="1078">
        <f>Z83</f>
        <v/>
      </c>
      <c r="AB83" s="982">
        <f>SQRT(M83)*SQRT(K83^2+(N83^2)/12)</f>
        <v/>
      </c>
      <c r="AC83" s="982">
        <f>Rdson1*AB83^2</f>
        <v/>
      </c>
      <c r="AD83" s="982">
        <f>(Vin*K83/2)*Fsw*(Tr_buck+Tf_buck)</f>
        <v/>
      </c>
      <c r="AE83" s="982">
        <f>(0.5*Coss_Q1*(Vin-Q83)^2-0.5*Coss_Q2*(Vin-Q83)^2+(Qoss_Q2*(Vin-Q83)/Vin)*Vin)*Fsw</f>
        <v/>
      </c>
      <c r="AF83" s="982">
        <f>IF(K83&gt;N83/2,0,ABS(K83-N83/2)*Vsd_Q1*Deadtime*Fsw)</f>
        <v/>
      </c>
      <c r="AG83" s="982">
        <f>(AF83+AE83+AD83+AC83*(1+RdsonTopTc*Ta-RdsonTopTc*25))/(1-AC83*RdsonTopTc*ThetaJA_Q1)</f>
        <v/>
      </c>
      <c r="AH83" s="982">
        <f>SQRT((1-M83))*SQRT(K83^2+(N83^2)/12)</f>
        <v/>
      </c>
      <c r="AI83" s="982">
        <f>Rdson2*AH83^2</f>
        <v/>
      </c>
      <c r="AJ83" s="982">
        <f>IF(K83&lt;N83/2,Deadtime*Fsw*IF(VfdSky_Q2&gt;0,0,Vsd_Q2)*(K83+N83/2),2*Deadtime*Fsw*IF(VfdSky_Q2&gt;0,0,Vsd_Q2)*K83)</f>
        <v/>
      </c>
      <c r="AK83" s="982">
        <f>(AJ83+AI83*(1+RdsonBotTc*Ta-RdsonBotTc*25))/(1-AI83*RdsonBotTc*ThetaJA_Q2)</f>
        <v/>
      </c>
      <c r="AL83" s="982">
        <f>2*Deadtime*Fsw*IF(VfdSky_Q2&gt;0,VfdSky_Q2,Vsd_Q2)*K83</f>
        <v/>
      </c>
      <c r="AM83" s="982">
        <f>IF(QrrSky_Q2&gt;0,QrrSky_Q2,Qrr_Q2*K83/(Iout/Number_of_Phases))*Fsw*Vin</f>
        <v/>
      </c>
      <c r="AN83" s="982">
        <f>Rs*R83^2</f>
        <v/>
      </c>
      <c r="AO83" s="982">
        <f>Iq*Vin</f>
        <v/>
      </c>
      <c r="AP83" s="982">
        <f>IF(Ext_VCC=1, (Qg_Q1+Qg_Q2)*Fsw*VCC, (Qg_Q1+Qg_Q2)*Fsw*Vin)</f>
        <v/>
      </c>
      <c r="AQ83" s="982">
        <f>(Vin-VCC)*Fsw*(Qg_Q1+Qg_Q2)+(RdsonDRT+RdsonDRT2)*Fsw*Qg_Q1*VCC/(RdsonDRT+2*Rgate1+RdsonDRT2)+(RdsonDRB+RdsonDRB2)*Fsw*Qg_Q2*VCC/(RdsonDRB+2*Rgate2+RdsonDRB2)</f>
        <v/>
      </c>
      <c r="AR83" s="982">
        <f>(Qg_Q1+Qg_Q2)*Fsw*(Vin-VCC)</f>
        <v/>
      </c>
      <c r="AS83" s="982">
        <f>SUM(AO83:AP83)</f>
        <v/>
      </c>
      <c r="AT83" s="982">
        <f> SUM(U83,X83,AA83,AG83,AK83,AL83,AM83,AS83,AN83)</f>
        <v/>
      </c>
      <c r="AU83">
        <f>Vout*K83</f>
        <v/>
      </c>
      <c r="AV83" s="1079">
        <f>AU83/(AU83+AT83)</f>
        <v/>
      </c>
      <c r="AW83" s="1080">
        <f>ThetaJA_Q1*BC83</f>
        <v/>
      </c>
      <c r="AX83" s="1080">
        <f>ThetaJA_Q2*BD83</f>
        <v/>
      </c>
      <c r="AY83" s="9" t="n"/>
      <c r="AZ83" s="4">
        <f>AV83*100</f>
        <v/>
      </c>
      <c r="BA83" s="982">
        <f>U83</f>
        <v/>
      </c>
      <c r="BB83" s="982">
        <f>AG83+AK83+AM83</f>
        <v/>
      </c>
      <c r="BC83" s="982">
        <f>AG83+AM83*0.66</f>
        <v/>
      </c>
      <c r="BD83" s="982">
        <f>AK83+AM83*0.33</f>
        <v/>
      </c>
      <c r="BE83" s="982">
        <f>AN83</f>
        <v/>
      </c>
      <c r="BK83" s="18" t="n"/>
      <c r="BL83" s="19" t="n"/>
    </row>
    <row r="84">
      <c r="G84" t="n">
        <v>75</v>
      </c>
      <c r="H84" s="531">
        <f>Vin</f>
        <v/>
      </c>
      <c r="I84" s="4">
        <f>MODE</f>
        <v/>
      </c>
      <c r="J84" s="982">
        <f>Iout*G84/100</f>
        <v/>
      </c>
      <c r="K84" s="982">
        <f>Iout*G84/100/Number_of_Phases</f>
        <v/>
      </c>
      <c r="L84" s="4">
        <f>Vout*K84/(Vin*Efficiency)</f>
        <v/>
      </c>
      <c r="M84" s="982">
        <f>(Vout+(Rdson2+Rs+Rdcr)*K84)/(Vin+(Rs+Rdson2-Rdson1)*K84)</f>
        <v/>
      </c>
      <c r="N84" s="4">
        <f>(Vin-(Rdson1+Rdcr)*K84-Vout)*M84/(Fsw*Lf)</f>
        <v/>
      </c>
      <c r="O84" s="4">
        <f>K84+N84/2</f>
        <v/>
      </c>
      <c r="P84" s="4">
        <f>K84-N84/2</f>
        <v/>
      </c>
      <c r="Q84" s="4">
        <f>IF(MIN(Vin, -P84/(Coss_Q1+Coss_Q2)*0.00000002)&lt;0, 0, MIN(Vin, -P84/(Coss_Q1+Coss_Q2)*0.00000002))</f>
        <v/>
      </c>
      <c r="R84" s="4">
        <f>SQRT(K84^2+(N84^2)/12)</f>
        <v/>
      </c>
      <c r="S84" s="982">
        <f>R84^2*Rdcr</f>
        <v/>
      </c>
      <c r="T84" s="982">
        <f>Core_Loss_Ch1</f>
        <v/>
      </c>
      <c r="U84" s="982">
        <f>(T84+S84*(1+Ltc*(Ta-25)))/(1-S84*Ltc*ThetaCa)</f>
        <v/>
      </c>
      <c r="V84" s="4">
        <f>N84/SQRT(12)</f>
        <v/>
      </c>
      <c r="W84" s="982">
        <f>RCoutEsr*V84^2</f>
        <v/>
      </c>
      <c r="X84" s="982">
        <f>W84</f>
        <v/>
      </c>
      <c r="Y84" s="4">
        <f>SQRT(M84*(1-M84))*SQRT(K84^2+(N84^2)/12)</f>
        <v/>
      </c>
      <c r="Z84" s="982">
        <f>RCinEsr*Y84^2</f>
        <v/>
      </c>
      <c r="AA84" s="1078">
        <f>Z84</f>
        <v/>
      </c>
      <c r="AB84" s="982">
        <f>SQRT(M84)*SQRT(K84^2+(N84^2)/12)</f>
        <v/>
      </c>
      <c r="AC84" s="982">
        <f>Rdson1*AB84^2</f>
        <v/>
      </c>
      <c r="AD84" s="982">
        <f>(Vin*K84/2)*Fsw*(Tr_buck+Tf_buck)</f>
        <v/>
      </c>
      <c r="AE84" s="982">
        <f>(0.5*Coss_Q1*(Vin-Q84)^2-0.5*Coss_Q2*(Vin-Q84)^2+(Qoss_Q2*(Vin-Q84)/Vin)*Vin)*Fsw</f>
        <v/>
      </c>
      <c r="AF84" s="982">
        <f>IF(K84&gt;N84/2,0,ABS(K84-N84/2)*Vsd_Q1*Deadtime*Fsw)</f>
        <v/>
      </c>
      <c r="AG84" s="982">
        <f>(AF84+AE84+AD84+AC84*(1+RdsonTopTc*Ta-RdsonTopTc*25))/(1-AC84*RdsonTopTc*ThetaJA_Q1)</f>
        <v/>
      </c>
      <c r="AH84" s="982">
        <f>SQRT((1-M84))*SQRT(K84^2+(N84^2)/12)</f>
        <v/>
      </c>
      <c r="AI84" s="982">
        <f>Rdson2*AH84^2</f>
        <v/>
      </c>
      <c r="AJ84" s="982">
        <f>IF(K84&lt;N84/2,Deadtime*Fsw*IF(VfdSky_Q2&gt;0,0,Vsd_Q2)*(K84+N84/2),2*Deadtime*Fsw*IF(VfdSky_Q2&gt;0,0,Vsd_Q2)*K84)</f>
        <v/>
      </c>
      <c r="AK84" s="982">
        <f>(AJ84+AI84*(1+RdsonBotTc*Ta-RdsonBotTc*25))/(1-AI84*RdsonBotTc*ThetaJA_Q2)</f>
        <v/>
      </c>
      <c r="AL84" s="982">
        <f>2*Deadtime*Fsw*IF(VfdSky_Q2&gt;0,VfdSky_Q2,Vsd_Q2)*K84</f>
        <v/>
      </c>
      <c r="AM84" s="982">
        <f>IF(QrrSky_Q2&gt;0,QrrSky_Q2,Qrr_Q2*K84/(Iout/Number_of_Phases))*Fsw*Vin</f>
        <v/>
      </c>
      <c r="AN84" s="982">
        <f>Rs*R84^2</f>
        <v/>
      </c>
      <c r="AO84" s="982">
        <f>Iq*Vin</f>
        <v/>
      </c>
      <c r="AP84" s="982">
        <f>IF(Ext_VCC=1, (Qg_Q1+Qg_Q2)*Fsw*VCC, (Qg_Q1+Qg_Q2)*Fsw*Vin)</f>
        <v/>
      </c>
      <c r="AQ84" s="982">
        <f>(Vin-VCC)*Fsw*(Qg_Q1+Qg_Q2)+(RdsonDRT+RdsonDRT2)*Fsw*Qg_Q1*VCC/(RdsonDRT+2*Rgate1+RdsonDRT2)+(RdsonDRB+RdsonDRB2)*Fsw*Qg_Q2*VCC/(RdsonDRB+2*Rgate2+RdsonDRB2)</f>
        <v/>
      </c>
      <c r="AR84" s="982">
        <f>(Qg_Q1+Qg_Q2)*Fsw*(Vin-VCC)</f>
        <v/>
      </c>
      <c r="AS84" s="982">
        <f>SUM(AO84:AP84)</f>
        <v/>
      </c>
      <c r="AT84" s="982">
        <f> SUM(U84,X84,AA84,AG84,AK84,AL84,AM84,AS84,AN84)</f>
        <v/>
      </c>
      <c r="AU84">
        <f>Vout*K84</f>
        <v/>
      </c>
      <c r="AV84" s="1079">
        <f>AU84/(AU84+AT84)</f>
        <v/>
      </c>
      <c r="AW84" s="1080">
        <f>ThetaJA_Q1*BC84</f>
        <v/>
      </c>
      <c r="AX84" s="1080">
        <f>ThetaJA_Q2*BD84</f>
        <v/>
      </c>
      <c r="AY84" s="9" t="n"/>
      <c r="AZ84" s="4">
        <f>AV84*100</f>
        <v/>
      </c>
      <c r="BA84" s="982">
        <f>U84</f>
        <v/>
      </c>
      <c r="BB84" s="982">
        <f>AG84+AK84+AM84</f>
        <v/>
      </c>
      <c r="BC84" s="982">
        <f>AG84+AM84*0.66</f>
        <v/>
      </c>
      <c r="BD84" s="982">
        <f>AK84+AM84*0.33</f>
        <v/>
      </c>
      <c r="BE84" s="982">
        <f>AN84</f>
        <v/>
      </c>
      <c r="BK84" s="18" t="n"/>
      <c r="BL84" s="19" t="n"/>
    </row>
    <row r="85">
      <c r="G85" t="n">
        <v>76</v>
      </c>
      <c r="H85" s="531">
        <f>Vin</f>
        <v/>
      </c>
      <c r="I85" s="4">
        <f>MODE</f>
        <v/>
      </c>
      <c r="J85" s="982">
        <f>Iout*G85/100</f>
        <v/>
      </c>
      <c r="K85" s="982">
        <f>Iout*G85/100/Number_of_Phases</f>
        <v/>
      </c>
      <c r="L85" s="4">
        <f>Vout*K85/(Vin*Efficiency)</f>
        <v/>
      </c>
      <c r="M85" s="982">
        <f>(Vout+(Rdson2+Rs+Rdcr)*K85)/(Vin+(Rs+Rdson2-Rdson1)*K85)</f>
        <v/>
      </c>
      <c r="N85" s="4">
        <f>(Vin-(Rdson1+Rdcr)*K85-Vout)*M85/(Fsw*Lf)</f>
        <v/>
      </c>
      <c r="O85" s="4">
        <f>K85+N85/2</f>
        <v/>
      </c>
      <c r="P85" s="4">
        <f>K85-N85/2</f>
        <v/>
      </c>
      <c r="Q85" s="4">
        <f>IF(MIN(Vin, -P85/(Coss_Q1+Coss_Q2)*0.00000002)&lt;0, 0, MIN(Vin, -P85/(Coss_Q1+Coss_Q2)*0.00000002))</f>
        <v/>
      </c>
      <c r="R85" s="4">
        <f>SQRT(K85^2+(N85^2)/12)</f>
        <v/>
      </c>
      <c r="S85" s="982">
        <f>R85^2*Rdcr</f>
        <v/>
      </c>
      <c r="T85" s="982">
        <f>Core_Loss_Ch1</f>
        <v/>
      </c>
      <c r="U85" s="982">
        <f>(T85+S85*(1+Ltc*(Ta-25)))/(1-S85*Ltc*ThetaCa)</f>
        <v/>
      </c>
      <c r="V85" s="4">
        <f>N85/SQRT(12)</f>
        <v/>
      </c>
      <c r="W85" s="982">
        <f>RCoutEsr*V85^2</f>
        <v/>
      </c>
      <c r="X85" s="982">
        <f>W85</f>
        <v/>
      </c>
      <c r="Y85" s="4">
        <f>SQRT(M85*(1-M85))*SQRT(K85^2+(N85^2)/12)</f>
        <v/>
      </c>
      <c r="Z85" s="982">
        <f>RCinEsr*Y85^2</f>
        <v/>
      </c>
      <c r="AA85" s="1078">
        <f>Z85</f>
        <v/>
      </c>
      <c r="AB85" s="982">
        <f>SQRT(M85)*SQRT(K85^2+(N85^2)/12)</f>
        <v/>
      </c>
      <c r="AC85" s="982">
        <f>Rdson1*AB85^2</f>
        <v/>
      </c>
      <c r="AD85" s="982">
        <f>(Vin*K85/2)*Fsw*(Tr_buck+Tf_buck)</f>
        <v/>
      </c>
      <c r="AE85" s="982">
        <f>(0.5*Coss_Q1*(Vin-Q85)^2-0.5*Coss_Q2*(Vin-Q85)^2+(Qoss_Q2*(Vin-Q85)/Vin)*Vin)*Fsw</f>
        <v/>
      </c>
      <c r="AF85" s="982">
        <f>IF(K85&gt;N85/2,0,ABS(K85-N85/2)*Vsd_Q1*Deadtime*Fsw)</f>
        <v/>
      </c>
      <c r="AG85" s="982">
        <f>(AF85+AE85+AD85+AC85*(1+RdsonTopTc*Ta-RdsonTopTc*25))/(1-AC85*RdsonTopTc*ThetaJA_Q1)</f>
        <v/>
      </c>
      <c r="AH85" s="982">
        <f>SQRT((1-M85))*SQRT(K85^2+(N85^2)/12)</f>
        <v/>
      </c>
      <c r="AI85" s="982">
        <f>Rdson2*AH85^2</f>
        <v/>
      </c>
      <c r="AJ85" s="982">
        <f>IF(K85&lt;N85/2,Deadtime*Fsw*IF(VfdSky_Q2&gt;0,0,Vsd_Q2)*(K85+N85/2),2*Deadtime*Fsw*IF(VfdSky_Q2&gt;0,0,Vsd_Q2)*K85)</f>
        <v/>
      </c>
      <c r="AK85" s="982">
        <f>(AJ85+AI85*(1+RdsonBotTc*Ta-RdsonBotTc*25))/(1-AI85*RdsonBotTc*ThetaJA_Q2)</f>
        <v/>
      </c>
      <c r="AL85" s="982">
        <f>2*Deadtime*Fsw*IF(VfdSky_Q2&gt;0,VfdSky_Q2,Vsd_Q2)*K85</f>
        <v/>
      </c>
      <c r="AM85" s="982">
        <f>IF(QrrSky_Q2&gt;0,QrrSky_Q2,Qrr_Q2*K85/(Iout/Number_of_Phases))*Fsw*Vin</f>
        <v/>
      </c>
      <c r="AN85" s="982">
        <f>Rs*R85^2</f>
        <v/>
      </c>
      <c r="AO85" s="982">
        <f>Iq*Vin</f>
        <v/>
      </c>
      <c r="AP85" s="982">
        <f>IF(Ext_VCC=1, (Qg_Q1+Qg_Q2)*Fsw*VCC, (Qg_Q1+Qg_Q2)*Fsw*Vin)</f>
        <v/>
      </c>
      <c r="AQ85" s="982">
        <f>(Vin-VCC)*Fsw*(Qg_Q1+Qg_Q2)+(RdsonDRT+RdsonDRT2)*Fsw*Qg_Q1*VCC/(RdsonDRT+2*Rgate1+RdsonDRT2)+(RdsonDRB+RdsonDRB2)*Fsw*Qg_Q2*VCC/(RdsonDRB+2*Rgate2+RdsonDRB2)</f>
        <v/>
      </c>
      <c r="AR85" s="982">
        <f>(Qg_Q1+Qg_Q2)*Fsw*(Vin-VCC)</f>
        <v/>
      </c>
      <c r="AS85" s="982">
        <f>SUM(AO85:AP85)</f>
        <v/>
      </c>
      <c r="AT85" s="982">
        <f> SUM(U85,X85,AA85,AG85,AK85,AL85,AM85,AS85,AN85)</f>
        <v/>
      </c>
      <c r="AU85">
        <f>Vout*K85</f>
        <v/>
      </c>
      <c r="AV85" s="1079">
        <f>AU85/(AU85+AT85)</f>
        <v/>
      </c>
      <c r="AW85" s="1080">
        <f>ThetaJA_Q1*BC85</f>
        <v/>
      </c>
      <c r="AX85" s="1080">
        <f>ThetaJA_Q2*BD85</f>
        <v/>
      </c>
      <c r="AY85" s="9" t="n"/>
      <c r="AZ85" s="4">
        <f>AV85*100</f>
        <v/>
      </c>
      <c r="BA85" s="982">
        <f>U85</f>
        <v/>
      </c>
      <c r="BB85" s="982">
        <f>AG85+AK85+AM85</f>
        <v/>
      </c>
      <c r="BC85" s="982">
        <f>AG85+AM85*0.66</f>
        <v/>
      </c>
      <c r="BD85" s="982">
        <f>AK85+AM85*0.33</f>
        <v/>
      </c>
      <c r="BE85" s="982">
        <f>AN85</f>
        <v/>
      </c>
      <c r="BK85" s="18" t="n"/>
      <c r="BL85" s="19" t="n"/>
    </row>
    <row r="86">
      <c r="G86" t="n">
        <v>77</v>
      </c>
      <c r="H86" s="531">
        <f>Vin</f>
        <v/>
      </c>
      <c r="I86" s="4">
        <f>MODE</f>
        <v/>
      </c>
      <c r="J86" s="982">
        <f>Iout*G86/100</f>
        <v/>
      </c>
      <c r="K86" s="982">
        <f>Iout*G86/100/Number_of_Phases</f>
        <v/>
      </c>
      <c r="L86" s="4">
        <f>Vout*K86/(Vin*Efficiency)</f>
        <v/>
      </c>
      <c r="M86" s="982">
        <f>(Vout+(Rdson2+Rs+Rdcr)*K86)/(Vin+(Rs+Rdson2-Rdson1)*K86)</f>
        <v/>
      </c>
      <c r="N86" s="4">
        <f>(Vin-(Rdson1+Rdcr)*K86-Vout)*M86/(Fsw*Lf)</f>
        <v/>
      </c>
      <c r="O86" s="4">
        <f>K86+N86/2</f>
        <v/>
      </c>
      <c r="P86" s="4">
        <f>K86-N86/2</f>
        <v/>
      </c>
      <c r="Q86" s="4">
        <f>IF(MIN(Vin, -P86/(Coss_Q1+Coss_Q2)*0.00000002)&lt;0, 0, MIN(Vin, -P86/(Coss_Q1+Coss_Q2)*0.00000002))</f>
        <v/>
      </c>
      <c r="R86" s="4">
        <f>SQRT(K86^2+(N86^2)/12)</f>
        <v/>
      </c>
      <c r="S86" s="982">
        <f>R86^2*Rdcr</f>
        <v/>
      </c>
      <c r="T86" s="982">
        <f>Core_Loss_Ch1</f>
        <v/>
      </c>
      <c r="U86" s="982">
        <f>(T86+S86*(1+Ltc*(Ta-25)))/(1-S86*Ltc*ThetaCa)</f>
        <v/>
      </c>
      <c r="V86" s="4">
        <f>N86/SQRT(12)</f>
        <v/>
      </c>
      <c r="W86" s="982">
        <f>RCoutEsr*V86^2</f>
        <v/>
      </c>
      <c r="X86" s="982">
        <f>W86</f>
        <v/>
      </c>
      <c r="Y86" s="4">
        <f>SQRT(M86*(1-M86))*SQRT(K86^2+(N86^2)/12)</f>
        <v/>
      </c>
      <c r="Z86" s="982">
        <f>RCinEsr*Y86^2</f>
        <v/>
      </c>
      <c r="AA86" s="1078">
        <f>Z86</f>
        <v/>
      </c>
      <c r="AB86" s="982">
        <f>SQRT(M86)*SQRT(K86^2+(N86^2)/12)</f>
        <v/>
      </c>
      <c r="AC86" s="982">
        <f>Rdson1*AB86^2</f>
        <v/>
      </c>
      <c r="AD86" s="982">
        <f>(Vin*K86/2)*Fsw*(Tr_buck+Tf_buck)</f>
        <v/>
      </c>
      <c r="AE86" s="982">
        <f>(0.5*Coss_Q1*(Vin-Q86)^2-0.5*Coss_Q2*(Vin-Q86)^2+(Qoss_Q2*(Vin-Q86)/Vin)*Vin)*Fsw</f>
        <v/>
      </c>
      <c r="AF86" s="982">
        <f>IF(K86&gt;N86/2,0,ABS(K86-N86/2)*Vsd_Q1*Deadtime*Fsw)</f>
        <v/>
      </c>
      <c r="AG86" s="982">
        <f>(AF86+AE86+AD86+AC86*(1+RdsonTopTc*Ta-RdsonTopTc*25))/(1-AC86*RdsonTopTc*ThetaJA_Q1)</f>
        <v/>
      </c>
      <c r="AH86" s="982">
        <f>SQRT((1-M86))*SQRT(K86^2+(N86^2)/12)</f>
        <v/>
      </c>
      <c r="AI86" s="982">
        <f>Rdson2*AH86^2</f>
        <v/>
      </c>
      <c r="AJ86" s="982">
        <f>IF(K86&lt;N86/2,Deadtime*Fsw*IF(VfdSky_Q2&gt;0,0,Vsd_Q2)*(K86+N86/2),2*Deadtime*Fsw*IF(VfdSky_Q2&gt;0,0,Vsd_Q2)*K86)</f>
        <v/>
      </c>
      <c r="AK86" s="982">
        <f>(AJ86+AI86*(1+RdsonBotTc*Ta-RdsonBotTc*25))/(1-AI86*RdsonBotTc*ThetaJA_Q2)</f>
        <v/>
      </c>
      <c r="AL86" s="982">
        <f>2*Deadtime*Fsw*IF(VfdSky_Q2&gt;0,VfdSky_Q2,Vsd_Q2)*K86</f>
        <v/>
      </c>
      <c r="AM86" s="982">
        <f>IF(QrrSky_Q2&gt;0,QrrSky_Q2,Qrr_Q2*K86/(Iout/Number_of_Phases))*Fsw*Vin</f>
        <v/>
      </c>
      <c r="AN86" s="982">
        <f>Rs*R86^2</f>
        <v/>
      </c>
      <c r="AO86" s="982">
        <f>Iq*Vin</f>
        <v/>
      </c>
      <c r="AP86" s="982">
        <f>IF(Ext_VCC=1, (Qg_Q1+Qg_Q2)*Fsw*VCC, (Qg_Q1+Qg_Q2)*Fsw*Vin)</f>
        <v/>
      </c>
      <c r="AQ86" s="982">
        <f>(Vin-VCC)*Fsw*(Qg_Q1+Qg_Q2)+(RdsonDRT+RdsonDRT2)*Fsw*Qg_Q1*VCC/(RdsonDRT+2*Rgate1+RdsonDRT2)+(RdsonDRB+RdsonDRB2)*Fsw*Qg_Q2*VCC/(RdsonDRB+2*Rgate2+RdsonDRB2)</f>
        <v/>
      </c>
      <c r="AR86" s="982">
        <f>(Qg_Q1+Qg_Q2)*Fsw*(Vin-VCC)</f>
        <v/>
      </c>
      <c r="AS86" s="982">
        <f>SUM(AO86:AP86)</f>
        <v/>
      </c>
      <c r="AT86" s="982">
        <f> SUM(U86,X86,AA86,AG86,AK86,AL86,AM86,AS86,AN86)</f>
        <v/>
      </c>
      <c r="AU86">
        <f>Vout*K86</f>
        <v/>
      </c>
      <c r="AV86" s="1079">
        <f>AU86/(AU86+AT86)</f>
        <v/>
      </c>
      <c r="AW86" s="1080">
        <f>ThetaJA_Q1*BC86</f>
        <v/>
      </c>
      <c r="AX86" s="1080">
        <f>ThetaJA_Q2*BD86</f>
        <v/>
      </c>
      <c r="AY86" s="9" t="n"/>
      <c r="AZ86" s="4">
        <f>AV86*100</f>
        <v/>
      </c>
      <c r="BA86" s="982">
        <f>U86</f>
        <v/>
      </c>
      <c r="BB86" s="982">
        <f>AG86+AK86+AM86</f>
        <v/>
      </c>
      <c r="BC86" s="982">
        <f>AG86+AM86*0.66</f>
        <v/>
      </c>
      <c r="BD86" s="982">
        <f>AK86+AM86*0.33</f>
        <v/>
      </c>
      <c r="BE86" s="982">
        <f>AN86</f>
        <v/>
      </c>
      <c r="BK86" s="18" t="n"/>
      <c r="BL86" s="19" t="n"/>
    </row>
    <row r="87">
      <c r="G87" t="n">
        <v>78</v>
      </c>
      <c r="H87" s="531">
        <f>Vin</f>
        <v/>
      </c>
      <c r="I87" s="4">
        <f>MODE</f>
        <v/>
      </c>
      <c r="J87" s="982">
        <f>Iout*G87/100</f>
        <v/>
      </c>
      <c r="K87" s="982">
        <f>Iout*G87/100/Number_of_Phases</f>
        <v/>
      </c>
      <c r="L87" s="4">
        <f>Vout*K87/(Vin*Efficiency)</f>
        <v/>
      </c>
      <c r="M87" s="982">
        <f>(Vout+(Rdson2+Rs+Rdcr)*K87)/(Vin+(Rs+Rdson2-Rdson1)*K87)</f>
        <v/>
      </c>
      <c r="N87" s="4">
        <f>(Vin-(Rdson1+Rdcr)*K87-Vout)*M87/(Fsw*Lf)</f>
        <v/>
      </c>
      <c r="O87" s="4">
        <f>K87+N87/2</f>
        <v/>
      </c>
      <c r="P87" s="4">
        <f>K87-N87/2</f>
        <v/>
      </c>
      <c r="Q87" s="4">
        <f>IF(MIN(Vin, -P87/(Coss_Q1+Coss_Q2)*0.00000002)&lt;0, 0, MIN(Vin, -P87/(Coss_Q1+Coss_Q2)*0.00000002))</f>
        <v/>
      </c>
      <c r="R87" s="4">
        <f>SQRT(K87^2+(N87^2)/12)</f>
        <v/>
      </c>
      <c r="S87" s="982">
        <f>R87^2*Rdcr</f>
        <v/>
      </c>
      <c r="T87" s="982">
        <f>Core_Loss_Ch1</f>
        <v/>
      </c>
      <c r="U87" s="982">
        <f>(T87+S87*(1+Ltc*(Ta-25)))/(1-S87*Ltc*ThetaCa)</f>
        <v/>
      </c>
      <c r="V87" s="4">
        <f>N87/SQRT(12)</f>
        <v/>
      </c>
      <c r="W87" s="982">
        <f>RCoutEsr*V87^2</f>
        <v/>
      </c>
      <c r="X87" s="982">
        <f>W87</f>
        <v/>
      </c>
      <c r="Y87" s="4">
        <f>SQRT(M87*(1-M87))*SQRT(K87^2+(N87^2)/12)</f>
        <v/>
      </c>
      <c r="Z87" s="982">
        <f>RCinEsr*Y87^2</f>
        <v/>
      </c>
      <c r="AA87" s="1078">
        <f>Z87</f>
        <v/>
      </c>
      <c r="AB87" s="982">
        <f>SQRT(M87)*SQRT(K87^2+(N87^2)/12)</f>
        <v/>
      </c>
      <c r="AC87" s="982">
        <f>Rdson1*AB87^2</f>
        <v/>
      </c>
      <c r="AD87" s="982">
        <f>(Vin*K87/2)*Fsw*(Tr_buck+Tf_buck)</f>
        <v/>
      </c>
      <c r="AE87" s="982">
        <f>(0.5*Coss_Q1*(Vin-Q87)^2-0.5*Coss_Q2*(Vin-Q87)^2+(Qoss_Q2*(Vin-Q87)/Vin)*Vin)*Fsw</f>
        <v/>
      </c>
      <c r="AF87" s="982">
        <f>IF(K87&gt;N87/2,0,ABS(K87-N87/2)*Vsd_Q1*Deadtime*Fsw)</f>
        <v/>
      </c>
      <c r="AG87" s="982">
        <f>(AF87+AE87+AD87+AC87*(1+RdsonTopTc*Ta-RdsonTopTc*25))/(1-AC87*RdsonTopTc*ThetaJA_Q1)</f>
        <v/>
      </c>
      <c r="AH87" s="982">
        <f>SQRT((1-M87))*SQRT(K87^2+(N87^2)/12)</f>
        <v/>
      </c>
      <c r="AI87" s="982">
        <f>Rdson2*AH87^2</f>
        <v/>
      </c>
      <c r="AJ87" s="982">
        <f>IF(K87&lt;N87/2,Deadtime*Fsw*IF(VfdSky_Q2&gt;0,0,Vsd_Q2)*(K87+N87/2),2*Deadtime*Fsw*IF(VfdSky_Q2&gt;0,0,Vsd_Q2)*K87)</f>
        <v/>
      </c>
      <c r="AK87" s="982">
        <f>(AJ87+AI87*(1+RdsonBotTc*Ta-RdsonBotTc*25))/(1-AI87*RdsonBotTc*ThetaJA_Q2)</f>
        <v/>
      </c>
      <c r="AL87" s="982">
        <f>2*Deadtime*Fsw*IF(VfdSky_Q2&gt;0,VfdSky_Q2,Vsd_Q2)*K87</f>
        <v/>
      </c>
      <c r="AM87" s="982">
        <f>IF(QrrSky_Q2&gt;0,QrrSky_Q2,Qrr_Q2*K87/(Iout/Number_of_Phases))*Fsw*Vin</f>
        <v/>
      </c>
      <c r="AN87" s="982">
        <f>Rs*R87^2</f>
        <v/>
      </c>
      <c r="AO87" s="982">
        <f>Iq*Vin</f>
        <v/>
      </c>
      <c r="AP87" s="982">
        <f>IF(Ext_VCC=1, (Qg_Q1+Qg_Q2)*Fsw*VCC, (Qg_Q1+Qg_Q2)*Fsw*Vin)</f>
        <v/>
      </c>
      <c r="AQ87" s="982">
        <f>(Vin-VCC)*Fsw*(Qg_Q1+Qg_Q2)+(RdsonDRT+RdsonDRT2)*Fsw*Qg_Q1*VCC/(RdsonDRT+2*Rgate1+RdsonDRT2)+(RdsonDRB+RdsonDRB2)*Fsw*Qg_Q2*VCC/(RdsonDRB+2*Rgate2+RdsonDRB2)</f>
        <v/>
      </c>
      <c r="AR87" s="982">
        <f>(Qg_Q1+Qg_Q2)*Fsw*(Vin-VCC)</f>
        <v/>
      </c>
      <c r="AS87" s="982">
        <f>SUM(AO87:AP87)</f>
        <v/>
      </c>
      <c r="AT87" s="982">
        <f> SUM(U87,X87,AA87,AG87,AK87,AL87,AM87,AS87,AN87)</f>
        <v/>
      </c>
      <c r="AU87">
        <f>Vout*K87</f>
        <v/>
      </c>
      <c r="AV87" s="1079">
        <f>AU87/(AU87+AT87)</f>
        <v/>
      </c>
      <c r="AW87" s="1080">
        <f>ThetaJA_Q1*BC87</f>
        <v/>
      </c>
      <c r="AX87" s="1080">
        <f>ThetaJA_Q2*BD87</f>
        <v/>
      </c>
      <c r="AY87" s="9" t="n"/>
      <c r="AZ87" s="4">
        <f>AV87*100</f>
        <v/>
      </c>
      <c r="BA87" s="982">
        <f>U87</f>
        <v/>
      </c>
      <c r="BB87" s="982">
        <f>AG87+AK87+AM87</f>
        <v/>
      </c>
      <c r="BC87" s="982">
        <f>AG87+AM87*0.66</f>
        <v/>
      </c>
      <c r="BD87" s="982">
        <f>AK87+AM87*0.33</f>
        <v/>
      </c>
      <c r="BE87" s="982">
        <f>AN87</f>
        <v/>
      </c>
      <c r="BK87" s="18" t="n"/>
      <c r="BL87" s="19" t="n"/>
    </row>
    <row r="88">
      <c r="G88" t="n">
        <v>79</v>
      </c>
      <c r="H88" s="531">
        <f>Vin</f>
        <v/>
      </c>
      <c r="I88" s="4">
        <f>MODE</f>
        <v/>
      </c>
      <c r="J88" s="982">
        <f>Iout*G88/100</f>
        <v/>
      </c>
      <c r="K88" s="982">
        <f>Iout*G88/100/Number_of_Phases</f>
        <v/>
      </c>
      <c r="L88" s="4">
        <f>Vout*K88/(Vin*Efficiency)</f>
        <v/>
      </c>
      <c r="M88" s="982">
        <f>(Vout+(Rdson2+Rs+Rdcr)*K88)/(Vin+(Rs+Rdson2-Rdson1)*K88)</f>
        <v/>
      </c>
      <c r="N88" s="4">
        <f>(Vin-(Rdson1+Rdcr)*K88-Vout)*M88/(Fsw*Lf)</f>
        <v/>
      </c>
      <c r="O88" s="4">
        <f>K88+N88/2</f>
        <v/>
      </c>
      <c r="P88" s="4">
        <f>K88-N88/2</f>
        <v/>
      </c>
      <c r="Q88" s="4">
        <f>IF(MIN(Vin, -P88/(Coss_Q1+Coss_Q2)*0.00000002)&lt;0, 0, MIN(Vin, -P88/(Coss_Q1+Coss_Q2)*0.00000002))</f>
        <v/>
      </c>
      <c r="R88" s="4">
        <f>SQRT(K88^2+(N88^2)/12)</f>
        <v/>
      </c>
      <c r="S88" s="982">
        <f>R88^2*Rdcr</f>
        <v/>
      </c>
      <c r="T88" s="982">
        <f>Core_Loss_Ch1</f>
        <v/>
      </c>
      <c r="U88" s="982">
        <f>(T88+S88*(1+Ltc*(Ta-25)))/(1-S88*Ltc*ThetaCa)</f>
        <v/>
      </c>
      <c r="V88" s="4">
        <f>N88/SQRT(12)</f>
        <v/>
      </c>
      <c r="W88" s="982">
        <f>RCoutEsr*V88^2</f>
        <v/>
      </c>
      <c r="X88" s="982">
        <f>W88</f>
        <v/>
      </c>
      <c r="Y88" s="4">
        <f>SQRT(M88*(1-M88))*SQRT(K88^2+(N88^2)/12)</f>
        <v/>
      </c>
      <c r="Z88" s="982">
        <f>RCinEsr*Y88^2</f>
        <v/>
      </c>
      <c r="AA88" s="1078">
        <f>Z88</f>
        <v/>
      </c>
      <c r="AB88" s="982">
        <f>SQRT(M88)*SQRT(K88^2+(N88^2)/12)</f>
        <v/>
      </c>
      <c r="AC88" s="982">
        <f>Rdson1*AB88^2</f>
        <v/>
      </c>
      <c r="AD88" s="982">
        <f>(Vin*K88/2)*Fsw*(Tr_buck+Tf_buck)</f>
        <v/>
      </c>
      <c r="AE88" s="982">
        <f>(0.5*Coss_Q1*(Vin-Q88)^2-0.5*Coss_Q2*(Vin-Q88)^2+(Qoss_Q2*(Vin-Q88)/Vin)*Vin)*Fsw</f>
        <v/>
      </c>
      <c r="AF88" s="982">
        <f>IF(K88&gt;N88/2,0,ABS(K88-N88/2)*Vsd_Q1*Deadtime*Fsw)</f>
        <v/>
      </c>
      <c r="AG88" s="982">
        <f>(AF88+AE88+AD88+AC88*(1+RdsonTopTc*Ta-RdsonTopTc*25))/(1-AC88*RdsonTopTc*ThetaJA_Q1)</f>
        <v/>
      </c>
      <c r="AH88" s="982">
        <f>SQRT((1-M88))*SQRT(K88^2+(N88^2)/12)</f>
        <v/>
      </c>
      <c r="AI88" s="982">
        <f>Rdson2*AH88^2</f>
        <v/>
      </c>
      <c r="AJ88" s="982">
        <f>IF(K88&lt;N88/2,Deadtime*Fsw*IF(VfdSky_Q2&gt;0,0,Vsd_Q2)*(K88+N88/2),2*Deadtime*Fsw*IF(VfdSky_Q2&gt;0,0,Vsd_Q2)*K88)</f>
        <v/>
      </c>
      <c r="AK88" s="982">
        <f>(AJ88+AI88*(1+RdsonBotTc*Ta-RdsonBotTc*25))/(1-AI88*RdsonBotTc*ThetaJA_Q2)</f>
        <v/>
      </c>
      <c r="AL88" s="982">
        <f>2*Deadtime*Fsw*IF(VfdSky_Q2&gt;0,VfdSky_Q2,Vsd_Q2)*K88</f>
        <v/>
      </c>
      <c r="AM88" s="982">
        <f>IF(QrrSky_Q2&gt;0,QrrSky_Q2,Qrr_Q2*K88/(Iout/Number_of_Phases))*Fsw*Vin</f>
        <v/>
      </c>
      <c r="AN88" s="982">
        <f>Rs*R88^2</f>
        <v/>
      </c>
      <c r="AO88" s="982">
        <f>Iq*Vin</f>
        <v/>
      </c>
      <c r="AP88" s="982">
        <f>IF(Ext_VCC=1, (Qg_Q1+Qg_Q2)*Fsw*VCC, (Qg_Q1+Qg_Q2)*Fsw*Vin)</f>
        <v/>
      </c>
      <c r="AQ88" s="982">
        <f>(Vin-VCC)*Fsw*(Qg_Q1+Qg_Q2)+(RdsonDRT+RdsonDRT2)*Fsw*Qg_Q1*VCC/(RdsonDRT+2*Rgate1+RdsonDRT2)+(RdsonDRB+RdsonDRB2)*Fsw*Qg_Q2*VCC/(RdsonDRB+2*Rgate2+RdsonDRB2)</f>
        <v/>
      </c>
      <c r="AR88" s="982">
        <f>(Qg_Q1+Qg_Q2)*Fsw*(Vin-VCC)</f>
        <v/>
      </c>
      <c r="AS88" s="982">
        <f>SUM(AO88:AP88)</f>
        <v/>
      </c>
      <c r="AT88" s="982">
        <f> SUM(U88,X88,AA88,AG88,AK88,AL88,AM88,AS88,AN88)</f>
        <v/>
      </c>
      <c r="AU88">
        <f>Vout*K88</f>
        <v/>
      </c>
      <c r="AV88" s="1079">
        <f>AU88/(AU88+AT88)</f>
        <v/>
      </c>
      <c r="AW88" s="1080">
        <f>ThetaJA_Q1*BC88</f>
        <v/>
      </c>
      <c r="AX88" s="1080">
        <f>ThetaJA_Q2*BD88</f>
        <v/>
      </c>
      <c r="AY88" s="9" t="n"/>
      <c r="AZ88" s="4">
        <f>AV88*100</f>
        <v/>
      </c>
      <c r="BA88" s="982">
        <f>U88</f>
        <v/>
      </c>
      <c r="BB88" s="982">
        <f>AG88+AK88+AM88</f>
        <v/>
      </c>
      <c r="BC88" s="982">
        <f>AG88+AM88*0.66</f>
        <v/>
      </c>
      <c r="BD88" s="982">
        <f>AK88+AM88*0.33</f>
        <v/>
      </c>
      <c r="BE88" s="982">
        <f>AN88</f>
        <v/>
      </c>
      <c r="BK88" s="18" t="n"/>
      <c r="BL88" s="19" t="n"/>
    </row>
    <row r="89">
      <c r="G89" t="n">
        <v>80</v>
      </c>
      <c r="H89" s="531">
        <f>Vin</f>
        <v/>
      </c>
      <c r="I89" s="4">
        <f>MODE</f>
        <v/>
      </c>
      <c r="J89" s="982">
        <f>Iout*G89/100</f>
        <v/>
      </c>
      <c r="K89" s="982">
        <f>Iout*G89/100/Number_of_Phases</f>
        <v/>
      </c>
      <c r="L89" s="4">
        <f>Vout*K89/(Vin*Efficiency)</f>
        <v/>
      </c>
      <c r="M89" s="982">
        <f>(Vout+(Rdson2+Rs+Rdcr)*K89)/(Vin+(Rs+Rdson2-Rdson1)*K89)</f>
        <v/>
      </c>
      <c r="N89" s="4">
        <f>(Vin-(Rdson1+Rdcr)*K89-Vout)*M89/(Fsw*Lf)</f>
        <v/>
      </c>
      <c r="O89" s="4">
        <f>K89+N89/2</f>
        <v/>
      </c>
      <c r="P89" s="4">
        <f>K89-N89/2</f>
        <v/>
      </c>
      <c r="Q89" s="4">
        <f>IF(MIN(Vin, -P89/(Coss_Q1+Coss_Q2)*0.00000002)&lt;0, 0, MIN(Vin, -P89/(Coss_Q1+Coss_Q2)*0.00000002))</f>
        <v/>
      </c>
      <c r="R89" s="4">
        <f>SQRT(K89^2+(N89^2)/12)</f>
        <v/>
      </c>
      <c r="S89" s="982">
        <f>R89^2*Rdcr</f>
        <v/>
      </c>
      <c r="T89" s="982">
        <f>Core_Loss_Ch1</f>
        <v/>
      </c>
      <c r="U89" s="982">
        <f>(T89+S89*(1+Ltc*(Ta-25)))/(1-S89*Ltc*ThetaCa)</f>
        <v/>
      </c>
      <c r="V89" s="4">
        <f>N89/SQRT(12)</f>
        <v/>
      </c>
      <c r="W89" s="982">
        <f>RCoutEsr*V89^2</f>
        <v/>
      </c>
      <c r="X89" s="982">
        <f>W89</f>
        <v/>
      </c>
      <c r="Y89" s="4">
        <f>SQRT(M89*(1-M89))*SQRT(K89^2+(N89^2)/12)</f>
        <v/>
      </c>
      <c r="Z89" s="982">
        <f>RCinEsr*Y89^2</f>
        <v/>
      </c>
      <c r="AA89" s="1078">
        <f>Z89</f>
        <v/>
      </c>
      <c r="AB89" s="982">
        <f>SQRT(M89)*SQRT(K89^2+(N89^2)/12)</f>
        <v/>
      </c>
      <c r="AC89" s="982">
        <f>Rdson1*AB89^2</f>
        <v/>
      </c>
      <c r="AD89" s="982">
        <f>(Vin*K89/2)*Fsw*(Tr_buck+Tf_buck)</f>
        <v/>
      </c>
      <c r="AE89" s="982">
        <f>(0.5*Coss_Q1*(Vin-Q89)^2-0.5*Coss_Q2*(Vin-Q89)^2+(Qoss_Q2*(Vin-Q89)/Vin)*Vin)*Fsw</f>
        <v/>
      </c>
      <c r="AF89" s="982">
        <f>IF(K89&gt;N89/2,0,ABS(K89-N89/2)*Vsd_Q1*Deadtime*Fsw)</f>
        <v/>
      </c>
      <c r="AG89" s="982">
        <f>(AF89+AE89+AD89+AC89*(1+RdsonTopTc*Ta-RdsonTopTc*25))/(1-AC89*RdsonTopTc*ThetaJA_Q1)</f>
        <v/>
      </c>
      <c r="AH89" s="982">
        <f>SQRT((1-M89))*SQRT(K89^2+(N89^2)/12)</f>
        <v/>
      </c>
      <c r="AI89" s="982">
        <f>Rdson2*AH89^2</f>
        <v/>
      </c>
      <c r="AJ89" s="982">
        <f>IF(K89&lt;N89/2,Deadtime*Fsw*IF(VfdSky_Q2&gt;0,0,Vsd_Q2)*(K89+N89/2),2*Deadtime*Fsw*IF(VfdSky_Q2&gt;0,0,Vsd_Q2)*K89)</f>
        <v/>
      </c>
      <c r="AK89" s="982">
        <f>(AJ89+AI89*(1+RdsonBotTc*Ta-RdsonBotTc*25))/(1-AI89*RdsonBotTc*ThetaJA_Q2)</f>
        <v/>
      </c>
      <c r="AL89" s="982">
        <f>2*Deadtime*Fsw*IF(VfdSky_Q2&gt;0,VfdSky_Q2,Vsd_Q2)*K89</f>
        <v/>
      </c>
      <c r="AM89" s="982">
        <f>IF(QrrSky_Q2&gt;0,QrrSky_Q2,Qrr_Q2*K89/(Iout/Number_of_Phases))*Fsw*Vin</f>
        <v/>
      </c>
      <c r="AN89" s="982">
        <f>Rs*R89^2</f>
        <v/>
      </c>
      <c r="AO89" s="982">
        <f>Iq*Vin</f>
        <v/>
      </c>
      <c r="AP89" s="982">
        <f>IF(Ext_VCC=1, (Qg_Q1+Qg_Q2)*Fsw*VCC, (Qg_Q1+Qg_Q2)*Fsw*Vin)</f>
        <v/>
      </c>
      <c r="AQ89" s="982">
        <f>(Vin-VCC)*Fsw*(Qg_Q1+Qg_Q2)+(RdsonDRT+RdsonDRT2)*Fsw*Qg_Q1*VCC/(RdsonDRT+2*Rgate1+RdsonDRT2)+(RdsonDRB+RdsonDRB2)*Fsw*Qg_Q2*VCC/(RdsonDRB+2*Rgate2+RdsonDRB2)</f>
        <v/>
      </c>
      <c r="AR89" s="982">
        <f>(Qg_Q1+Qg_Q2)*Fsw*(Vin-VCC)</f>
        <v/>
      </c>
      <c r="AS89" s="982">
        <f>SUM(AO89:AP89)</f>
        <v/>
      </c>
      <c r="AT89" s="982">
        <f> SUM(U89,X89,AA89,AG89,AK89,AL89,AM89,AS89,AN89)</f>
        <v/>
      </c>
      <c r="AU89">
        <f>Vout*K89</f>
        <v/>
      </c>
      <c r="AV89" s="1079">
        <f>AU89/(AU89+AT89)</f>
        <v/>
      </c>
      <c r="AW89" s="1080">
        <f>ThetaJA_Q1*BC89</f>
        <v/>
      </c>
      <c r="AX89" s="1080">
        <f>ThetaJA_Q2*BD89</f>
        <v/>
      </c>
      <c r="AY89" s="9" t="n"/>
      <c r="AZ89" s="4">
        <f>AV89*100</f>
        <v/>
      </c>
      <c r="BA89" s="982">
        <f>U89</f>
        <v/>
      </c>
      <c r="BB89" s="982">
        <f>AG89+AK89+AM89</f>
        <v/>
      </c>
      <c r="BC89" s="982">
        <f>AG89+AM89*0.66</f>
        <v/>
      </c>
      <c r="BD89" s="982">
        <f>AK89+AM89*0.33</f>
        <v/>
      </c>
      <c r="BE89" s="982">
        <f>AN89</f>
        <v/>
      </c>
      <c r="BK89" s="18" t="n"/>
      <c r="BL89" s="19" t="n"/>
    </row>
    <row r="90">
      <c r="G90" t="n">
        <v>81</v>
      </c>
      <c r="H90" s="531">
        <f>Vin</f>
        <v/>
      </c>
      <c r="I90" s="4">
        <f>MODE</f>
        <v/>
      </c>
      <c r="J90" s="982">
        <f>Iout*G90/100</f>
        <v/>
      </c>
      <c r="K90" s="982">
        <f>Iout*G90/100/Number_of_Phases</f>
        <v/>
      </c>
      <c r="L90" s="4">
        <f>Vout*K90/(Vin*Efficiency)</f>
        <v/>
      </c>
      <c r="M90" s="982">
        <f>(Vout+(Rdson2+Rs+Rdcr)*K90)/(Vin+(Rs+Rdson2-Rdson1)*K90)</f>
        <v/>
      </c>
      <c r="N90" s="4">
        <f>(Vin-(Rdson1+Rdcr)*K90-Vout)*M90/(Fsw*Lf)</f>
        <v/>
      </c>
      <c r="O90" s="4">
        <f>K90+N90/2</f>
        <v/>
      </c>
      <c r="P90" s="4">
        <f>K90-N90/2</f>
        <v/>
      </c>
      <c r="Q90" s="4">
        <f>IF(MIN(Vin, -P90/(Coss_Q1+Coss_Q2)*0.00000002)&lt;0, 0, MIN(Vin, -P90/(Coss_Q1+Coss_Q2)*0.00000002))</f>
        <v/>
      </c>
      <c r="R90" s="4">
        <f>SQRT(K90^2+(N90^2)/12)</f>
        <v/>
      </c>
      <c r="S90" s="982">
        <f>R90^2*Rdcr</f>
        <v/>
      </c>
      <c r="T90" s="982">
        <f>Core_Loss_Ch1</f>
        <v/>
      </c>
      <c r="U90" s="982">
        <f>(T90+S90*(1+Ltc*(Ta-25)))/(1-S90*Ltc*ThetaCa)</f>
        <v/>
      </c>
      <c r="V90" s="4">
        <f>N90/SQRT(12)</f>
        <v/>
      </c>
      <c r="W90" s="982">
        <f>RCoutEsr*V90^2</f>
        <v/>
      </c>
      <c r="X90" s="982">
        <f>W90</f>
        <v/>
      </c>
      <c r="Y90" s="4">
        <f>SQRT(M90*(1-M90))*SQRT(K90^2+(N90^2)/12)</f>
        <v/>
      </c>
      <c r="Z90" s="982">
        <f>RCinEsr*Y90^2</f>
        <v/>
      </c>
      <c r="AA90" s="1078">
        <f>Z90</f>
        <v/>
      </c>
      <c r="AB90" s="982">
        <f>SQRT(M90)*SQRT(K90^2+(N90^2)/12)</f>
        <v/>
      </c>
      <c r="AC90" s="982">
        <f>Rdson1*AB90^2</f>
        <v/>
      </c>
      <c r="AD90" s="982">
        <f>(Vin*K90/2)*Fsw*(Tr_buck+Tf_buck)</f>
        <v/>
      </c>
      <c r="AE90" s="982">
        <f>(0.5*Coss_Q1*(Vin-Q90)^2-0.5*Coss_Q2*(Vin-Q90)^2+(Qoss_Q2*(Vin-Q90)/Vin)*Vin)*Fsw</f>
        <v/>
      </c>
      <c r="AF90" s="982">
        <f>IF(K90&gt;N90/2,0,ABS(K90-N90/2)*Vsd_Q1*Deadtime*Fsw)</f>
        <v/>
      </c>
      <c r="AG90" s="982">
        <f>(AF90+AE90+AD90+AC90*(1+RdsonTopTc*Ta-RdsonTopTc*25))/(1-AC90*RdsonTopTc*ThetaJA_Q1)</f>
        <v/>
      </c>
      <c r="AH90" s="982">
        <f>SQRT((1-M90))*SQRT(K90^2+(N90^2)/12)</f>
        <v/>
      </c>
      <c r="AI90" s="982">
        <f>Rdson2*AH90^2</f>
        <v/>
      </c>
      <c r="AJ90" s="982">
        <f>IF(K90&lt;N90/2,Deadtime*Fsw*IF(VfdSky_Q2&gt;0,0,Vsd_Q2)*(K90+N90/2),2*Deadtime*Fsw*IF(VfdSky_Q2&gt;0,0,Vsd_Q2)*K90)</f>
        <v/>
      </c>
      <c r="AK90" s="982">
        <f>(AJ90+AI90*(1+RdsonBotTc*Ta-RdsonBotTc*25))/(1-AI90*RdsonBotTc*ThetaJA_Q2)</f>
        <v/>
      </c>
      <c r="AL90" s="982">
        <f>2*Deadtime*Fsw*IF(VfdSky_Q2&gt;0,VfdSky_Q2,Vsd_Q2)*K90</f>
        <v/>
      </c>
      <c r="AM90" s="982">
        <f>IF(QrrSky_Q2&gt;0,QrrSky_Q2,Qrr_Q2*K90/(Iout/Number_of_Phases))*Fsw*Vin</f>
        <v/>
      </c>
      <c r="AN90" s="982">
        <f>Rs*R90^2</f>
        <v/>
      </c>
      <c r="AO90" s="982">
        <f>Iq*Vin</f>
        <v/>
      </c>
      <c r="AP90" s="982">
        <f>IF(Ext_VCC=1, (Qg_Q1+Qg_Q2)*Fsw*VCC, (Qg_Q1+Qg_Q2)*Fsw*Vin)</f>
        <v/>
      </c>
      <c r="AQ90" s="982">
        <f>(Vin-VCC)*Fsw*(Qg_Q1+Qg_Q2)+(RdsonDRT+RdsonDRT2)*Fsw*Qg_Q1*VCC/(RdsonDRT+2*Rgate1+RdsonDRT2)+(RdsonDRB+RdsonDRB2)*Fsw*Qg_Q2*VCC/(RdsonDRB+2*Rgate2+RdsonDRB2)</f>
        <v/>
      </c>
      <c r="AR90" s="982">
        <f>(Qg_Q1+Qg_Q2)*Fsw*(Vin-VCC)</f>
        <v/>
      </c>
      <c r="AS90" s="982">
        <f>SUM(AO90:AP90)</f>
        <v/>
      </c>
      <c r="AT90" s="982">
        <f> SUM(U90,X90,AA90,AG90,AK90,AL90,AM90,AS90,AN90)</f>
        <v/>
      </c>
      <c r="AU90">
        <f>Vout*K90</f>
        <v/>
      </c>
      <c r="AV90" s="1079">
        <f>AU90/(AU90+AT90)</f>
        <v/>
      </c>
      <c r="AW90" s="1080">
        <f>ThetaJA_Q1*BC90</f>
        <v/>
      </c>
      <c r="AX90" s="1080">
        <f>ThetaJA_Q2*BD90</f>
        <v/>
      </c>
      <c r="AY90" s="9" t="n"/>
      <c r="AZ90" s="4">
        <f>AV90*100</f>
        <v/>
      </c>
      <c r="BA90" s="982">
        <f>U90</f>
        <v/>
      </c>
      <c r="BB90" s="982">
        <f>AG90+AK90+AM90</f>
        <v/>
      </c>
      <c r="BC90" s="982">
        <f>AG90+AM90*0.66</f>
        <v/>
      </c>
      <c r="BD90" s="982">
        <f>AK90+AM90*0.33</f>
        <v/>
      </c>
      <c r="BE90" s="982">
        <f>AN90</f>
        <v/>
      </c>
      <c r="BK90" s="18" t="n"/>
      <c r="BL90" s="19" t="n"/>
    </row>
    <row r="91">
      <c r="G91" t="n">
        <v>82</v>
      </c>
      <c r="H91" s="531">
        <f>Vin</f>
        <v/>
      </c>
      <c r="I91" s="4">
        <f>MODE</f>
        <v/>
      </c>
      <c r="J91" s="982">
        <f>Iout*G91/100</f>
        <v/>
      </c>
      <c r="K91" s="982">
        <f>Iout*G91/100/Number_of_Phases</f>
        <v/>
      </c>
      <c r="L91" s="4">
        <f>Vout*K91/(Vin*Efficiency)</f>
        <v/>
      </c>
      <c r="M91" s="982">
        <f>(Vout+(Rdson2+Rs+Rdcr)*K91)/(Vin+(Rs+Rdson2-Rdson1)*K91)</f>
        <v/>
      </c>
      <c r="N91" s="4">
        <f>(Vin-(Rdson1+Rdcr)*K91-Vout)*M91/(Fsw*Lf)</f>
        <v/>
      </c>
      <c r="O91" s="4">
        <f>K91+N91/2</f>
        <v/>
      </c>
      <c r="P91" s="4">
        <f>K91-N91/2</f>
        <v/>
      </c>
      <c r="Q91" s="4">
        <f>IF(MIN(Vin, -P91/(Coss_Q1+Coss_Q2)*0.00000002)&lt;0, 0, MIN(Vin, -P91/(Coss_Q1+Coss_Q2)*0.00000002))</f>
        <v/>
      </c>
      <c r="R91" s="4">
        <f>SQRT(K91^2+(N91^2)/12)</f>
        <v/>
      </c>
      <c r="S91" s="982">
        <f>R91^2*Rdcr</f>
        <v/>
      </c>
      <c r="T91" s="982">
        <f>Core_Loss_Ch1</f>
        <v/>
      </c>
      <c r="U91" s="982">
        <f>(T91+S91*(1+Ltc*(Ta-25)))/(1-S91*Ltc*ThetaCa)</f>
        <v/>
      </c>
      <c r="V91" s="4">
        <f>N91/SQRT(12)</f>
        <v/>
      </c>
      <c r="W91" s="982">
        <f>RCoutEsr*V91^2</f>
        <v/>
      </c>
      <c r="X91" s="982">
        <f>W91</f>
        <v/>
      </c>
      <c r="Y91" s="4">
        <f>SQRT(M91*(1-M91))*SQRT(K91^2+(N91^2)/12)</f>
        <v/>
      </c>
      <c r="Z91" s="982">
        <f>RCinEsr*Y91^2</f>
        <v/>
      </c>
      <c r="AA91" s="1078">
        <f>Z91</f>
        <v/>
      </c>
      <c r="AB91" s="982">
        <f>SQRT(M91)*SQRT(K91^2+(N91^2)/12)</f>
        <v/>
      </c>
      <c r="AC91" s="982">
        <f>Rdson1*AB91^2</f>
        <v/>
      </c>
      <c r="AD91" s="982">
        <f>(Vin*K91/2)*Fsw*(Tr_buck+Tf_buck)</f>
        <v/>
      </c>
      <c r="AE91" s="982">
        <f>(0.5*Coss_Q1*(Vin-Q91)^2-0.5*Coss_Q2*(Vin-Q91)^2+(Qoss_Q2*(Vin-Q91)/Vin)*Vin)*Fsw</f>
        <v/>
      </c>
      <c r="AF91" s="982">
        <f>IF(K91&gt;N91/2,0,ABS(K91-N91/2)*Vsd_Q1*Deadtime*Fsw)</f>
        <v/>
      </c>
      <c r="AG91" s="982">
        <f>(AF91+AE91+AD91+AC91*(1+RdsonTopTc*Ta-RdsonTopTc*25))/(1-AC91*RdsonTopTc*ThetaJA_Q1)</f>
        <v/>
      </c>
      <c r="AH91" s="982">
        <f>SQRT((1-M91))*SQRT(K91^2+(N91^2)/12)</f>
        <v/>
      </c>
      <c r="AI91" s="982">
        <f>Rdson2*AH91^2</f>
        <v/>
      </c>
      <c r="AJ91" s="982">
        <f>IF(K91&lt;N91/2,Deadtime*Fsw*IF(VfdSky_Q2&gt;0,0,Vsd_Q2)*(K91+N91/2),2*Deadtime*Fsw*IF(VfdSky_Q2&gt;0,0,Vsd_Q2)*K91)</f>
        <v/>
      </c>
      <c r="AK91" s="982">
        <f>(AJ91+AI91*(1+RdsonBotTc*Ta-RdsonBotTc*25))/(1-AI91*RdsonBotTc*ThetaJA_Q2)</f>
        <v/>
      </c>
      <c r="AL91" s="982">
        <f>2*Deadtime*Fsw*IF(VfdSky_Q2&gt;0,VfdSky_Q2,Vsd_Q2)*K91</f>
        <v/>
      </c>
      <c r="AM91" s="982">
        <f>IF(QrrSky_Q2&gt;0,QrrSky_Q2,Qrr_Q2*K91/(Iout/Number_of_Phases))*Fsw*Vin</f>
        <v/>
      </c>
      <c r="AN91" s="982">
        <f>Rs*R91^2</f>
        <v/>
      </c>
      <c r="AO91" s="982">
        <f>Iq*Vin</f>
        <v/>
      </c>
      <c r="AP91" s="982">
        <f>IF(Ext_VCC=1, (Qg_Q1+Qg_Q2)*Fsw*VCC, (Qg_Q1+Qg_Q2)*Fsw*Vin)</f>
        <v/>
      </c>
      <c r="AQ91" s="982">
        <f>(Vin-VCC)*Fsw*(Qg_Q1+Qg_Q2)+(RdsonDRT+RdsonDRT2)*Fsw*Qg_Q1*VCC/(RdsonDRT+2*Rgate1+RdsonDRT2)+(RdsonDRB+RdsonDRB2)*Fsw*Qg_Q2*VCC/(RdsonDRB+2*Rgate2+RdsonDRB2)</f>
        <v/>
      </c>
      <c r="AR91" s="982">
        <f>(Qg_Q1+Qg_Q2)*Fsw*(Vin-VCC)</f>
        <v/>
      </c>
      <c r="AS91" s="982">
        <f>SUM(AO91:AP91)</f>
        <v/>
      </c>
      <c r="AT91" s="982">
        <f> SUM(U91,X91,AA91,AG91,AK91,AL91,AM91,AS91,AN91)</f>
        <v/>
      </c>
      <c r="AU91">
        <f>Vout*K91</f>
        <v/>
      </c>
      <c r="AV91" s="1079">
        <f>AU91/(AU91+AT91)</f>
        <v/>
      </c>
      <c r="AW91" s="1080">
        <f>ThetaJA_Q1*BC91</f>
        <v/>
      </c>
      <c r="AX91" s="1080">
        <f>ThetaJA_Q2*BD91</f>
        <v/>
      </c>
      <c r="AY91" s="9" t="n"/>
      <c r="AZ91" s="4">
        <f>AV91*100</f>
        <v/>
      </c>
      <c r="BA91" s="982">
        <f>U91</f>
        <v/>
      </c>
      <c r="BB91" s="982">
        <f>AG91+AK91+AM91</f>
        <v/>
      </c>
      <c r="BC91" s="982">
        <f>AG91+AM91*0.66</f>
        <v/>
      </c>
      <c r="BD91" s="982">
        <f>AK91+AM91*0.33</f>
        <v/>
      </c>
      <c r="BE91" s="982">
        <f>AN91</f>
        <v/>
      </c>
      <c r="BK91" s="18" t="n"/>
      <c r="BL91" s="19" t="n"/>
    </row>
    <row r="92">
      <c r="G92" t="n">
        <v>83</v>
      </c>
      <c r="H92" s="531">
        <f>Vin</f>
        <v/>
      </c>
      <c r="I92" s="4">
        <f>MODE</f>
        <v/>
      </c>
      <c r="J92" s="982">
        <f>Iout*G92/100</f>
        <v/>
      </c>
      <c r="K92" s="982">
        <f>Iout*G92/100/Number_of_Phases</f>
        <v/>
      </c>
      <c r="L92" s="4">
        <f>Vout*K92/(Vin*Efficiency)</f>
        <v/>
      </c>
      <c r="M92" s="982">
        <f>(Vout+(Rdson2+Rs+Rdcr)*K92)/(Vin+(Rs+Rdson2-Rdson1)*K92)</f>
        <v/>
      </c>
      <c r="N92" s="4">
        <f>(Vin-(Rdson1+Rdcr)*K92-Vout)*M92/(Fsw*Lf)</f>
        <v/>
      </c>
      <c r="O92" s="4">
        <f>K92+N92/2</f>
        <v/>
      </c>
      <c r="P92" s="4">
        <f>K92-N92/2</f>
        <v/>
      </c>
      <c r="Q92" s="4">
        <f>IF(MIN(Vin, -P92/(Coss_Q1+Coss_Q2)*0.00000002)&lt;0, 0, MIN(Vin, -P92/(Coss_Q1+Coss_Q2)*0.00000002))</f>
        <v/>
      </c>
      <c r="R92" s="4">
        <f>SQRT(K92^2+(N92^2)/12)</f>
        <v/>
      </c>
      <c r="S92" s="982">
        <f>R92^2*Rdcr</f>
        <v/>
      </c>
      <c r="T92" s="982">
        <f>Core_Loss_Ch1</f>
        <v/>
      </c>
      <c r="U92" s="982">
        <f>(T92+S92*(1+Ltc*(Ta-25)))/(1-S92*Ltc*ThetaCa)</f>
        <v/>
      </c>
      <c r="V92" s="4">
        <f>N92/SQRT(12)</f>
        <v/>
      </c>
      <c r="W92" s="982">
        <f>RCoutEsr*V92^2</f>
        <v/>
      </c>
      <c r="X92" s="982">
        <f>W92</f>
        <v/>
      </c>
      <c r="Y92" s="4">
        <f>SQRT(M92*(1-M92))*SQRT(K92^2+(N92^2)/12)</f>
        <v/>
      </c>
      <c r="Z92" s="982">
        <f>RCinEsr*Y92^2</f>
        <v/>
      </c>
      <c r="AA92" s="1078">
        <f>Z92</f>
        <v/>
      </c>
      <c r="AB92" s="982">
        <f>SQRT(M92)*SQRT(K92^2+(N92^2)/12)</f>
        <v/>
      </c>
      <c r="AC92" s="982">
        <f>Rdson1*AB92^2</f>
        <v/>
      </c>
      <c r="AD92" s="982">
        <f>(Vin*K92/2)*Fsw*(Tr_buck+Tf_buck)</f>
        <v/>
      </c>
      <c r="AE92" s="982">
        <f>(0.5*Coss_Q1*(Vin-Q92)^2-0.5*Coss_Q2*(Vin-Q92)^2+(Qoss_Q2*(Vin-Q92)/Vin)*Vin)*Fsw</f>
        <v/>
      </c>
      <c r="AF92" s="982">
        <f>IF(K92&gt;N92/2,0,ABS(K92-N92/2)*Vsd_Q1*Deadtime*Fsw)</f>
        <v/>
      </c>
      <c r="AG92" s="982">
        <f>(AF92+AE92+AD92+AC92*(1+RdsonTopTc*Ta-RdsonTopTc*25))/(1-AC92*RdsonTopTc*ThetaJA_Q1)</f>
        <v/>
      </c>
      <c r="AH92" s="982">
        <f>SQRT((1-M92))*SQRT(K92^2+(N92^2)/12)</f>
        <v/>
      </c>
      <c r="AI92" s="982">
        <f>Rdson2*AH92^2</f>
        <v/>
      </c>
      <c r="AJ92" s="982">
        <f>IF(K92&lt;N92/2,Deadtime*Fsw*IF(VfdSky_Q2&gt;0,0,Vsd_Q2)*(K92+N92/2),2*Deadtime*Fsw*IF(VfdSky_Q2&gt;0,0,Vsd_Q2)*K92)</f>
        <v/>
      </c>
      <c r="AK92" s="982">
        <f>(AJ92+AI92*(1+RdsonBotTc*Ta-RdsonBotTc*25))/(1-AI92*RdsonBotTc*ThetaJA_Q2)</f>
        <v/>
      </c>
      <c r="AL92" s="982">
        <f>2*Deadtime*Fsw*IF(VfdSky_Q2&gt;0,VfdSky_Q2,Vsd_Q2)*K92</f>
        <v/>
      </c>
      <c r="AM92" s="982">
        <f>IF(QrrSky_Q2&gt;0,QrrSky_Q2,Qrr_Q2*K92/(Iout/Number_of_Phases))*Fsw*Vin</f>
        <v/>
      </c>
      <c r="AN92" s="982">
        <f>Rs*R92^2</f>
        <v/>
      </c>
      <c r="AO92" s="982">
        <f>Iq*Vin</f>
        <v/>
      </c>
      <c r="AP92" s="982">
        <f>IF(Ext_VCC=1, (Qg_Q1+Qg_Q2)*Fsw*VCC, (Qg_Q1+Qg_Q2)*Fsw*Vin)</f>
        <v/>
      </c>
      <c r="AQ92" s="982">
        <f>(Vin-VCC)*Fsw*(Qg_Q1+Qg_Q2)+(RdsonDRT+RdsonDRT2)*Fsw*Qg_Q1*VCC/(RdsonDRT+2*Rgate1+RdsonDRT2)+(RdsonDRB+RdsonDRB2)*Fsw*Qg_Q2*VCC/(RdsonDRB+2*Rgate2+RdsonDRB2)</f>
        <v/>
      </c>
      <c r="AR92" s="982">
        <f>(Qg_Q1+Qg_Q2)*Fsw*(Vin-VCC)</f>
        <v/>
      </c>
      <c r="AS92" s="982">
        <f>SUM(AO92:AP92)</f>
        <v/>
      </c>
      <c r="AT92" s="982">
        <f> SUM(U92,X92,AA92,AG92,AK92,AL92,AM92,AS92,AN92)</f>
        <v/>
      </c>
      <c r="AU92">
        <f>Vout*K92</f>
        <v/>
      </c>
      <c r="AV92" s="1079">
        <f>AU92/(AU92+AT92)</f>
        <v/>
      </c>
      <c r="AW92" s="1080">
        <f>ThetaJA_Q1*BC92</f>
        <v/>
      </c>
      <c r="AX92" s="1080">
        <f>ThetaJA_Q2*BD92</f>
        <v/>
      </c>
      <c r="AY92" s="9" t="n"/>
      <c r="AZ92" s="4">
        <f>AV92*100</f>
        <v/>
      </c>
      <c r="BA92" s="982">
        <f>U92</f>
        <v/>
      </c>
      <c r="BB92" s="982">
        <f>AG92+AK92+AM92</f>
        <v/>
      </c>
      <c r="BC92" s="982">
        <f>AG92+AM92*0.66</f>
        <v/>
      </c>
      <c r="BD92" s="982">
        <f>AK92+AM92*0.33</f>
        <v/>
      </c>
      <c r="BE92" s="982">
        <f>AN92</f>
        <v/>
      </c>
      <c r="BK92" s="18" t="n"/>
      <c r="BL92" s="19" t="n"/>
    </row>
    <row r="93">
      <c r="G93" t="n">
        <v>84</v>
      </c>
      <c r="H93" s="531">
        <f>Vin</f>
        <v/>
      </c>
      <c r="I93" s="4">
        <f>MODE</f>
        <v/>
      </c>
      <c r="J93" s="982">
        <f>Iout*G93/100</f>
        <v/>
      </c>
      <c r="K93" s="982">
        <f>Iout*G93/100/Number_of_Phases</f>
        <v/>
      </c>
      <c r="L93" s="4">
        <f>Vout*K93/(Vin*Efficiency)</f>
        <v/>
      </c>
      <c r="M93" s="982">
        <f>(Vout+(Rdson2+Rs+Rdcr)*K93)/(Vin+(Rs+Rdson2-Rdson1)*K93)</f>
        <v/>
      </c>
      <c r="N93" s="4">
        <f>(Vin-(Rdson1+Rdcr)*K93-Vout)*M93/(Fsw*Lf)</f>
        <v/>
      </c>
      <c r="O93" s="4">
        <f>K93+N93/2</f>
        <v/>
      </c>
      <c r="P93" s="4">
        <f>K93-N93/2</f>
        <v/>
      </c>
      <c r="Q93" s="4">
        <f>IF(MIN(Vin, -P93/(Coss_Q1+Coss_Q2)*0.00000002)&lt;0, 0, MIN(Vin, -P93/(Coss_Q1+Coss_Q2)*0.00000002))</f>
        <v/>
      </c>
      <c r="R93" s="4">
        <f>SQRT(K93^2+(N93^2)/12)</f>
        <v/>
      </c>
      <c r="S93" s="982">
        <f>R93^2*Rdcr</f>
        <v/>
      </c>
      <c r="T93" s="982">
        <f>Core_Loss_Ch1</f>
        <v/>
      </c>
      <c r="U93" s="982">
        <f>(T93+S93*(1+Ltc*(Ta-25)))/(1-S93*Ltc*ThetaCa)</f>
        <v/>
      </c>
      <c r="V93" s="4">
        <f>N93/SQRT(12)</f>
        <v/>
      </c>
      <c r="W93" s="982">
        <f>RCoutEsr*V93^2</f>
        <v/>
      </c>
      <c r="X93" s="982">
        <f>W93</f>
        <v/>
      </c>
      <c r="Y93" s="4">
        <f>SQRT(M93*(1-M93))*SQRT(K93^2+(N93^2)/12)</f>
        <v/>
      </c>
      <c r="Z93" s="982">
        <f>RCinEsr*Y93^2</f>
        <v/>
      </c>
      <c r="AA93" s="1078">
        <f>Z93</f>
        <v/>
      </c>
      <c r="AB93" s="982">
        <f>SQRT(M93)*SQRT(K93^2+(N93^2)/12)</f>
        <v/>
      </c>
      <c r="AC93" s="982">
        <f>Rdson1*AB93^2</f>
        <v/>
      </c>
      <c r="AD93" s="982">
        <f>(Vin*K93/2)*Fsw*(Tr_buck+Tf_buck)</f>
        <v/>
      </c>
      <c r="AE93" s="982">
        <f>(0.5*Coss_Q1*(Vin-Q93)^2-0.5*Coss_Q2*(Vin-Q93)^2+(Qoss_Q2*(Vin-Q93)/Vin)*Vin)*Fsw</f>
        <v/>
      </c>
      <c r="AF93" s="982">
        <f>IF(K93&gt;N93/2,0,ABS(K93-N93/2)*Vsd_Q1*Deadtime*Fsw)</f>
        <v/>
      </c>
      <c r="AG93" s="982">
        <f>(AF93+AE93+AD93+AC93*(1+RdsonTopTc*Ta-RdsonTopTc*25))/(1-AC93*RdsonTopTc*ThetaJA_Q1)</f>
        <v/>
      </c>
      <c r="AH93" s="982">
        <f>SQRT((1-M93))*SQRT(K93^2+(N93^2)/12)</f>
        <v/>
      </c>
      <c r="AI93" s="982">
        <f>Rdson2*AH93^2</f>
        <v/>
      </c>
      <c r="AJ93" s="982">
        <f>IF(K93&lt;N93/2,Deadtime*Fsw*IF(VfdSky_Q2&gt;0,0,Vsd_Q2)*(K93+N93/2),2*Deadtime*Fsw*IF(VfdSky_Q2&gt;0,0,Vsd_Q2)*K93)</f>
        <v/>
      </c>
      <c r="AK93" s="982">
        <f>(AJ93+AI93*(1+RdsonBotTc*Ta-RdsonBotTc*25))/(1-AI93*RdsonBotTc*ThetaJA_Q2)</f>
        <v/>
      </c>
      <c r="AL93" s="982">
        <f>2*Deadtime*Fsw*IF(VfdSky_Q2&gt;0,VfdSky_Q2,Vsd_Q2)*K93</f>
        <v/>
      </c>
      <c r="AM93" s="982">
        <f>IF(QrrSky_Q2&gt;0,QrrSky_Q2,Qrr_Q2*K93/(Iout/Number_of_Phases))*Fsw*Vin</f>
        <v/>
      </c>
      <c r="AN93" s="982">
        <f>Rs*R93^2</f>
        <v/>
      </c>
      <c r="AO93" s="982">
        <f>Iq*Vin</f>
        <v/>
      </c>
      <c r="AP93" s="982">
        <f>IF(Ext_VCC=1, (Qg_Q1+Qg_Q2)*Fsw*VCC, (Qg_Q1+Qg_Q2)*Fsw*Vin)</f>
        <v/>
      </c>
      <c r="AQ93" s="982">
        <f>(Vin-VCC)*Fsw*(Qg_Q1+Qg_Q2)+(RdsonDRT+RdsonDRT2)*Fsw*Qg_Q1*VCC/(RdsonDRT+2*Rgate1+RdsonDRT2)+(RdsonDRB+RdsonDRB2)*Fsw*Qg_Q2*VCC/(RdsonDRB+2*Rgate2+RdsonDRB2)</f>
        <v/>
      </c>
      <c r="AR93" s="982">
        <f>(Qg_Q1+Qg_Q2)*Fsw*(Vin-VCC)</f>
        <v/>
      </c>
      <c r="AS93" s="982">
        <f>SUM(AO93:AP93)</f>
        <v/>
      </c>
      <c r="AT93" s="982">
        <f> SUM(U93,X93,AA93,AG93,AK93,AL93,AM93,AS93,AN93)</f>
        <v/>
      </c>
      <c r="AU93">
        <f>Vout*K93</f>
        <v/>
      </c>
      <c r="AV93" s="1079">
        <f>AU93/(AU93+AT93)</f>
        <v/>
      </c>
      <c r="AW93" s="1080">
        <f>ThetaJA_Q1*BC93</f>
        <v/>
      </c>
      <c r="AX93" s="1080">
        <f>ThetaJA_Q2*BD93</f>
        <v/>
      </c>
      <c r="AY93" s="9" t="n"/>
      <c r="AZ93" s="4">
        <f>AV93*100</f>
        <v/>
      </c>
      <c r="BA93" s="982">
        <f>U93</f>
        <v/>
      </c>
      <c r="BB93" s="982">
        <f>AG93+AK93+AM93</f>
        <v/>
      </c>
      <c r="BC93" s="982">
        <f>AG93+AM93*0.66</f>
        <v/>
      </c>
      <c r="BD93" s="982">
        <f>AK93+AM93*0.33</f>
        <v/>
      </c>
      <c r="BE93" s="982">
        <f>AN93</f>
        <v/>
      </c>
      <c r="BK93" s="18" t="n"/>
      <c r="BL93" s="19" t="n"/>
    </row>
    <row r="94">
      <c r="G94" t="n">
        <v>85</v>
      </c>
      <c r="H94" s="531">
        <f>Vin</f>
        <v/>
      </c>
      <c r="I94" s="4">
        <f>MODE</f>
        <v/>
      </c>
      <c r="J94" s="982">
        <f>Iout*G94/100</f>
        <v/>
      </c>
      <c r="K94" s="982">
        <f>Iout*G94/100/Number_of_Phases</f>
        <v/>
      </c>
      <c r="L94" s="4">
        <f>Vout*K94/(Vin*Efficiency)</f>
        <v/>
      </c>
      <c r="M94" s="982">
        <f>(Vout+(Rdson2+Rs+Rdcr)*K94)/(Vin+(Rs+Rdson2-Rdson1)*K94)</f>
        <v/>
      </c>
      <c r="N94" s="4">
        <f>(Vin-(Rdson1+Rdcr)*K94-Vout)*M94/(Fsw*Lf)</f>
        <v/>
      </c>
      <c r="O94" s="4">
        <f>K94+N94/2</f>
        <v/>
      </c>
      <c r="P94" s="4">
        <f>K94-N94/2</f>
        <v/>
      </c>
      <c r="Q94" s="4">
        <f>IF(MIN(Vin, -P94/(Coss_Q1+Coss_Q2)*0.00000002)&lt;0, 0, MIN(Vin, -P94/(Coss_Q1+Coss_Q2)*0.00000002))</f>
        <v/>
      </c>
      <c r="R94" s="4">
        <f>SQRT(K94^2+(N94^2)/12)</f>
        <v/>
      </c>
      <c r="S94" s="982">
        <f>R94^2*Rdcr</f>
        <v/>
      </c>
      <c r="T94" s="982">
        <f>Core_Loss_Ch1</f>
        <v/>
      </c>
      <c r="U94" s="982">
        <f>(T94+S94*(1+Ltc*(Ta-25)))/(1-S94*Ltc*ThetaCa)</f>
        <v/>
      </c>
      <c r="V94" s="4">
        <f>N94/SQRT(12)</f>
        <v/>
      </c>
      <c r="W94" s="982">
        <f>RCoutEsr*V94^2</f>
        <v/>
      </c>
      <c r="X94" s="982">
        <f>W94</f>
        <v/>
      </c>
      <c r="Y94" s="4">
        <f>SQRT(M94*(1-M94))*SQRT(K94^2+(N94^2)/12)</f>
        <v/>
      </c>
      <c r="Z94" s="982">
        <f>RCinEsr*Y94^2</f>
        <v/>
      </c>
      <c r="AA94" s="1078">
        <f>Z94</f>
        <v/>
      </c>
      <c r="AB94" s="982">
        <f>SQRT(M94)*SQRT(K94^2+(N94^2)/12)</f>
        <v/>
      </c>
      <c r="AC94" s="982">
        <f>Rdson1*AB94^2</f>
        <v/>
      </c>
      <c r="AD94" s="982">
        <f>(Vin*K94/2)*Fsw*(Tr_buck+Tf_buck)</f>
        <v/>
      </c>
      <c r="AE94" s="982">
        <f>(0.5*Coss_Q1*(Vin-Q94)^2-0.5*Coss_Q2*(Vin-Q94)^2+(Qoss_Q2*(Vin-Q94)/Vin)*Vin)*Fsw</f>
        <v/>
      </c>
      <c r="AF94" s="982">
        <f>IF(K94&gt;N94/2,0,ABS(K94-N94/2)*Vsd_Q1*Deadtime*Fsw)</f>
        <v/>
      </c>
      <c r="AG94" s="982">
        <f>(AF94+AE94+AD94+AC94*(1+RdsonTopTc*Ta-RdsonTopTc*25))/(1-AC94*RdsonTopTc*ThetaJA_Q1)</f>
        <v/>
      </c>
      <c r="AH94" s="982">
        <f>SQRT((1-M94))*SQRT(K94^2+(N94^2)/12)</f>
        <v/>
      </c>
      <c r="AI94" s="982">
        <f>Rdson2*AH94^2</f>
        <v/>
      </c>
      <c r="AJ94" s="982">
        <f>IF(K94&lt;N94/2,Deadtime*Fsw*IF(VfdSky_Q2&gt;0,0,Vsd_Q2)*(K94+N94/2),2*Deadtime*Fsw*IF(VfdSky_Q2&gt;0,0,Vsd_Q2)*K94)</f>
        <v/>
      </c>
      <c r="AK94" s="982">
        <f>(AJ94+AI94*(1+RdsonBotTc*Ta-RdsonBotTc*25))/(1-AI94*RdsonBotTc*ThetaJA_Q2)</f>
        <v/>
      </c>
      <c r="AL94" s="982">
        <f>2*Deadtime*Fsw*IF(VfdSky_Q2&gt;0,VfdSky_Q2,Vsd_Q2)*K94</f>
        <v/>
      </c>
      <c r="AM94" s="982">
        <f>IF(QrrSky_Q2&gt;0,QrrSky_Q2,Qrr_Q2*K94/(Iout/Number_of_Phases))*Fsw*Vin</f>
        <v/>
      </c>
      <c r="AN94" s="982">
        <f>Rs*R94^2</f>
        <v/>
      </c>
      <c r="AO94" s="982">
        <f>Iq*Vin</f>
        <v/>
      </c>
      <c r="AP94" s="982">
        <f>IF(Ext_VCC=1, (Qg_Q1+Qg_Q2)*Fsw*VCC, (Qg_Q1+Qg_Q2)*Fsw*Vin)</f>
        <v/>
      </c>
      <c r="AQ94" s="982">
        <f>(Vin-VCC)*Fsw*(Qg_Q1+Qg_Q2)+(RdsonDRT+RdsonDRT2)*Fsw*Qg_Q1*VCC/(RdsonDRT+2*Rgate1+RdsonDRT2)+(RdsonDRB+RdsonDRB2)*Fsw*Qg_Q2*VCC/(RdsonDRB+2*Rgate2+RdsonDRB2)</f>
        <v/>
      </c>
      <c r="AR94" s="982">
        <f>(Qg_Q1+Qg_Q2)*Fsw*(Vin-VCC)</f>
        <v/>
      </c>
      <c r="AS94" s="982">
        <f>SUM(AO94:AP94)</f>
        <v/>
      </c>
      <c r="AT94" s="982">
        <f> SUM(U94,X94,AA94,AG94,AK94,AL94,AM94,AS94,AN94)</f>
        <v/>
      </c>
      <c r="AU94">
        <f>Vout*K94</f>
        <v/>
      </c>
      <c r="AV94" s="1079">
        <f>AU94/(AU94+AT94)</f>
        <v/>
      </c>
      <c r="AW94" s="1080">
        <f>ThetaJA_Q1*BC94</f>
        <v/>
      </c>
      <c r="AX94" s="1080">
        <f>ThetaJA_Q2*BD94</f>
        <v/>
      </c>
      <c r="AY94" s="9" t="n"/>
      <c r="AZ94" s="4">
        <f>AV94*100</f>
        <v/>
      </c>
      <c r="BA94" s="982">
        <f>U94</f>
        <v/>
      </c>
      <c r="BB94" s="982">
        <f>AG94+AK94+AM94</f>
        <v/>
      </c>
      <c r="BC94" s="982">
        <f>AG94+AM94*0.66</f>
        <v/>
      </c>
      <c r="BD94" s="982">
        <f>AK94+AM94*0.33</f>
        <v/>
      </c>
      <c r="BE94" s="982">
        <f>AN94</f>
        <v/>
      </c>
      <c r="BK94" s="18" t="n"/>
      <c r="BL94" s="19" t="n"/>
    </row>
    <row r="95">
      <c r="G95" t="n">
        <v>86</v>
      </c>
      <c r="H95" s="531">
        <f>Vin</f>
        <v/>
      </c>
      <c r="I95" s="4">
        <f>MODE</f>
        <v/>
      </c>
      <c r="J95" s="982">
        <f>Iout*G95/100</f>
        <v/>
      </c>
      <c r="K95" s="982">
        <f>Iout*G95/100/Number_of_Phases</f>
        <v/>
      </c>
      <c r="L95" s="4">
        <f>Vout*K95/(Vin*Efficiency)</f>
        <v/>
      </c>
      <c r="M95" s="982">
        <f>(Vout+(Rdson2+Rs+Rdcr)*K95)/(Vin+(Rs+Rdson2-Rdson1)*K95)</f>
        <v/>
      </c>
      <c r="N95" s="4">
        <f>(Vin-(Rdson1+Rdcr)*K95-Vout)*M95/(Fsw*Lf)</f>
        <v/>
      </c>
      <c r="O95" s="4">
        <f>K95+N95/2</f>
        <v/>
      </c>
      <c r="P95" s="4">
        <f>K95-N95/2</f>
        <v/>
      </c>
      <c r="Q95" s="4">
        <f>IF(MIN(Vin, -P95/(Coss_Q1+Coss_Q2)*0.00000002)&lt;0, 0, MIN(Vin, -P95/(Coss_Q1+Coss_Q2)*0.00000002))</f>
        <v/>
      </c>
      <c r="R95" s="4">
        <f>SQRT(K95^2+(N95^2)/12)</f>
        <v/>
      </c>
      <c r="S95" s="982">
        <f>R95^2*Rdcr</f>
        <v/>
      </c>
      <c r="T95" s="982">
        <f>Core_Loss_Ch1</f>
        <v/>
      </c>
      <c r="U95" s="982">
        <f>(T95+S95*(1+Ltc*(Ta-25)))/(1-S95*Ltc*ThetaCa)</f>
        <v/>
      </c>
      <c r="V95" s="4">
        <f>N95/SQRT(12)</f>
        <v/>
      </c>
      <c r="W95" s="982">
        <f>RCoutEsr*V95^2</f>
        <v/>
      </c>
      <c r="X95" s="982">
        <f>W95</f>
        <v/>
      </c>
      <c r="Y95" s="4">
        <f>SQRT(M95*(1-M95))*SQRT(K95^2+(N95^2)/12)</f>
        <v/>
      </c>
      <c r="Z95" s="982">
        <f>RCinEsr*Y95^2</f>
        <v/>
      </c>
      <c r="AA95" s="1078">
        <f>Z95</f>
        <v/>
      </c>
      <c r="AB95" s="982">
        <f>SQRT(M95)*SQRT(K95^2+(N95^2)/12)</f>
        <v/>
      </c>
      <c r="AC95" s="982">
        <f>Rdson1*AB95^2</f>
        <v/>
      </c>
      <c r="AD95" s="982">
        <f>(Vin*K95/2)*Fsw*(Tr_buck+Tf_buck)</f>
        <v/>
      </c>
      <c r="AE95" s="982">
        <f>(0.5*Coss_Q1*(Vin-Q95)^2-0.5*Coss_Q2*(Vin-Q95)^2+(Qoss_Q2*(Vin-Q95)/Vin)*Vin)*Fsw</f>
        <v/>
      </c>
      <c r="AF95" s="982">
        <f>IF(K95&gt;N95/2,0,ABS(K95-N95/2)*Vsd_Q1*Deadtime*Fsw)</f>
        <v/>
      </c>
      <c r="AG95" s="982">
        <f>(AF95+AE95+AD95+AC95*(1+RdsonTopTc*Ta-RdsonTopTc*25))/(1-AC95*RdsonTopTc*ThetaJA_Q1)</f>
        <v/>
      </c>
      <c r="AH95" s="982">
        <f>SQRT((1-M95))*SQRT(K95^2+(N95^2)/12)</f>
        <v/>
      </c>
      <c r="AI95" s="982">
        <f>Rdson2*AH95^2</f>
        <v/>
      </c>
      <c r="AJ95" s="982">
        <f>IF(K95&lt;N95/2,Deadtime*Fsw*IF(VfdSky_Q2&gt;0,0,Vsd_Q2)*(K95+N95/2),2*Deadtime*Fsw*IF(VfdSky_Q2&gt;0,0,Vsd_Q2)*K95)</f>
        <v/>
      </c>
      <c r="AK95" s="982">
        <f>(AJ95+AI95*(1+RdsonBotTc*Ta-RdsonBotTc*25))/(1-AI95*RdsonBotTc*ThetaJA_Q2)</f>
        <v/>
      </c>
      <c r="AL95" s="982">
        <f>2*Deadtime*Fsw*IF(VfdSky_Q2&gt;0,VfdSky_Q2,Vsd_Q2)*K95</f>
        <v/>
      </c>
      <c r="AM95" s="982">
        <f>IF(QrrSky_Q2&gt;0,QrrSky_Q2,Qrr_Q2*K95/(Iout/Number_of_Phases))*Fsw*Vin</f>
        <v/>
      </c>
      <c r="AN95" s="982">
        <f>Rs*R95^2</f>
        <v/>
      </c>
      <c r="AO95" s="982">
        <f>Iq*Vin</f>
        <v/>
      </c>
      <c r="AP95" s="982">
        <f>IF(Ext_VCC=1, (Qg_Q1+Qg_Q2)*Fsw*VCC, (Qg_Q1+Qg_Q2)*Fsw*Vin)</f>
        <v/>
      </c>
      <c r="AQ95" s="982">
        <f>(Vin-VCC)*Fsw*(Qg_Q1+Qg_Q2)+(RdsonDRT+RdsonDRT2)*Fsw*Qg_Q1*VCC/(RdsonDRT+2*Rgate1+RdsonDRT2)+(RdsonDRB+RdsonDRB2)*Fsw*Qg_Q2*VCC/(RdsonDRB+2*Rgate2+RdsonDRB2)</f>
        <v/>
      </c>
      <c r="AR95" s="982">
        <f>(Qg_Q1+Qg_Q2)*Fsw*(Vin-VCC)</f>
        <v/>
      </c>
      <c r="AS95" s="982">
        <f>SUM(AO95:AP95)</f>
        <v/>
      </c>
      <c r="AT95" s="982">
        <f> SUM(U95,X95,AA95,AG95,AK95,AL95,AM95,AS95,AN95)</f>
        <v/>
      </c>
      <c r="AU95">
        <f>Vout*K95</f>
        <v/>
      </c>
      <c r="AV95" s="1079">
        <f>AU95/(AU95+AT95)</f>
        <v/>
      </c>
      <c r="AW95" s="1080">
        <f>ThetaJA_Q1*BC95</f>
        <v/>
      </c>
      <c r="AX95" s="1080">
        <f>ThetaJA_Q2*BD95</f>
        <v/>
      </c>
      <c r="AY95" s="9" t="n"/>
      <c r="AZ95" s="4">
        <f>AV95*100</f>
        <v/>
      </c>
      <c r="BA95" s="982">
        <f>U95</f>
        <v/>
      </c>
      <c r="BB95" s="982">
        <f>AG95+AK95+AM95</f>
        <v/>
      </c>
      <c r="BC95" s="982">
        <f>AG95+AM95*0.66</f>
        <v/>
      </c>
      <c r="BD95" s="982">
        <f>AK95+AM95*0.33</f>
        <v/>
      </c>
      <c r="BE95" s="982">
        <f>AN95</f>
        <v/>
      </c>
      <c r="BK95" s="18" t="n"/>
      <c r="BL95" s="19" t="n"/>
    </row>
    <row r="96">
      <c r="G96" t="n">
        <v>87</v>
      </c>
      <c r="H96" s="531">
        <f>Vin</f>
        <v/>
      </c>
      <c r="I96" s="4">
        <f>MODE</f>
        <v/>
      </c>
      <c r="J96" s="982">
        <f>Iout*G96/100</f>
        <v/>
      </c>
      <c r="K96" s="982">
        <f>Iout*G96/100/Number_of_Phases</f>
        <v/>
      </c>
      <c r="L96" s="4">
        <f>Vout*K96/(Vin*Efficiency)</f>
        <v/>
      </c>
      <c r="M96" s="982">
        <f>(Vout+(Rdson2+Rs+Rdcr)*K96)/(Vin+(Rs+Rdson2-Rdson1)*K96)</f>
        <v/>
      </c>
      <c r="N96" s="4">
        <f>(Vin-(Rdson1+Rdcr)*K96-Vout)*M96/(Fsw*Lf)</f>
        <v/>
      </c>
      <c r="O96" s="4">
        <f>K96+N96/2</f>
        <v/>
      </c>
      <c r="P96" s="4">
        <f>K96-N96/2</f>
        <v/>
      </c>
      <c r="Q96" s="4">
        <f>IF(MIN(Vin, -P96/(Coss_Q1+Coss_Q2)*0.00000002)&lt;0, 0, MIN(Vin, -P96/(Coss_Q1+Coss_Q2)*0.00000002))</f>
        <v/>
      </c>
      <c r="R96" s="4">
        <f>SQRT(K96^2+(N96^2)/12)</f>
        <v/>
      </c>
      <c r="S96" s="982">
        <f>R96^2*Rdcr</f>
        <v/>
      </c>
      <c r="T96" s="982">
        <f>Core_Loss_Ch1</f>
        <v/>
      </c>
      <c r="U96" s="982">
        <f>(T96+S96*(1+Ltc*(Ta-25)))/(1-S96*Ltc*ThetaCa)</f>
        <v/>
      </c>
      <c r="V96" s="4">
        <f>N96/SQRT(12)</f>
        <v/>
      </c>
      <c r="W96" s="982">
        <f>RCoutEsr*V96^2</f>
        <v/>
      </c>
      <c r="X96" s="982">
        <f>W96</f>
        <v/>
      </c>
      <c r="Y96" s="4">
        <f>SQRT(M96*(1-M96))*SQRT(K96^2+(N96^2)/12)</f>
        <v/>
      </c>
      <c r="Z96" s="982">
        <f>RCinEsr*Y96^2</f>
        <v/>
      </c>
      <c r="AA96" s="1078">
        <f>Z96</f>
        <v/>
      </c>
      <c r="AB96" s="982">
        <f>SQRT(M96)*SQRT(K96^2+(N96^2)/12)</f>
        <v/>
      </c>
      <c r="AC96" s="982">
        <f>Rdson1*AB96^2</f>
        <v/>
      </c>
      <c r="AD96" s="982">
        <f>(Vin*K96/2)*Fsw*(Tr_buck+Tf_buck)</f>
        <v/>
      </c>
      <c r="AE96" s="982">
        <f>(0.5*Coss_Q1*(Vin-Q96)^2-0.5*Coss_Q2*(Vin-Q96)^2+(Qoss_Q2*(Vin-Q96)/Vin)*Vin)*Fsw</f>
        <v/>
      </c>
      <c r="AF96" s="982">
        <f>IF(K96&gt;N96/2,0,ABS(K96-N96/2)*Vsd_Q1*Deadtime*Fsw)</f>
        <v/>
      </c>
      <c r="AG96" s="982">
        <f>(AF96+AE96+AD96+AC96*(1+RdsonTopTc*Ta-RdsonTopTc*25))/(1-AC96*RdsonTopTc*ThetaJA_Q1)</f>
        <v/>
      </c>
      <c r="AH96" s="982">
        <f>SQRT((1-M96))*SQRT(K96^2+(N96^2)/12)</f>
        <v/>
      </c>
      <c r="AI96" s="982">
        <f>Rdson2*AH96^2</f>
        <v/>
      </c>
      <c r="AJ96" s="982">
        <f>IF(K96&lt;N96/2,Deadtime*Fsw*IF(VfdSky_Q2&gt;0,0,Vsd_Q2)*(K96+N96/2),2*Deadtime*Fsw*IF(VfdSky_Q2&gt;0,0,Vsd_Q2)*K96)</f>
        <v/>
      </c>
      <c r="AK96" s="982">
        <f>(AJ96+AI96*(1+RdsonBotTc*Ta-RdsonBotTc*25))/(1-AI96*RdsonBotTc*ThetaJA_Q2)</f>
        <v/>
      </c>
      <c r="AL96" s="982">
        <f>2*Deadtime*Fsw*IF(VfdSky_Q2&gt;0,VfdSky_Q2,Vsd_Q2)*K96</f>
        <v/>
      </c>
      <c r="AM96" s="982">
        <f>IF(QrrSky_Q2&gt;0,QrrSky_Q2,Qrr_Q2*K96/(Iout/Number_of_Phases))*Fsw*Vin</f>
        <v/>
      </c>
      <c r="AN96" s="982">
        <f>Rs*R96^2</f>
        <v/>
      </c>
      <c r="AO96" s="982">
        <f>Iq*Vin</f>
        <v/>
      </c>
      <c r="AP96" s="982">
        <f>IF(Ext_VCC=1, (Qg_Q1+Qg_Q2)*Fsw*VCC, (Qg_Q1+Qg_Q2)*Fsw*Vin)</f>
        <v/>
      </c>
      <c r="AQ96" s="982">
        <f>(Vin-VCC)*Fsw*(Qg_Q1+Qg_Q2)+(RdsonDRT+RdsonDRT2)*Fsw*Qg_Q1*VCC/(RdsonDRT+2*Rgate1+RdsonDRT2)+(RdsonDRB+RdsonDRB2)*Fsw*Qg_Q2*VCC/(RdsonDRB+2*Rgate2+RdsonDRB2)</f>
        <v/>
      </c>
      <c r="AR96" s="982">
        <f>(Qg_Q1+Qg_Q2)*Fsw*(Vin-VCC)</f>
        <v/>
      </c>
      <c r="AS96" s="982">
        <f>SUM(AO96:AP96)</f>
        <v/>
      </c>
      <c r="AT96" s="982">
        <f> SUM(U96,X96,AA96,AG96,AK96,AL96,AM96,AS96,AN96)</f>
        <v/>
      </c>
      <c r="AU96">
        <f>Vout*K96</f>
        <v/>
      </c>
      <c r="AV96" s="1079">
        <f>AU96/(AU96+AT96)</f>
        <v/>
      </c>
      <c r="AW96" s="1080">
        <f>ThetaJA_Q1*BC96</f>
        <v/>
      </c>
      <c r="AX96" s="1080">
        <f>ThetaJA_Q2*BD96</f>
        <v/>
      </c>
      <c r="AY96" s="9" t="n"/>
      <c r="AZ96" s="4">
        <f>AV96*100</f>
        <v/>
      </c>
      <c r="BA96" s="982">
        <f>U96</f>
        <v/>
      </c>
      <c r="BB96" s="982">
        <f>AG96+AK96+AM96</f>
        <v/>
      </c>
      <c r="BC96" s="982">
        <f>AG96+AM96*0.66</f>
        <v/>
      </c>
      <c r="BD96" s="982">
        <f>AK96+AM96*0.33</f>
        <v/>
      </c>
      <c r="BE96" s="982">
        <f>AN96</f>
        <v/>
      </c>
      <c r="BK96" s="18" t="n"/>
      <c r="BL96" s="19" t="n"/>
    </row>
    <row r="97">
      <c r="G97" t="n">
        <v>88</v>
      </c>
      <c r="H97" s="531">
        <f>Vin</f>
        <v/>
      </c>
      <c r="I97" s="4">
        <f>MODE</f>
        <v/>
      </c>
      <c r="J97" s="982">
        <f>Iout*G97/100</f>
        <v/>
      </c>
      <c r="K97" s="982">
        <f>Iout*G97/100/Number_of_Phases</f>
        <v/>
      </c>
      <c r="L97" s="4">
        <f>Vout*K97/(Vin*Efficiency)</f>
        <v/>
      </c>
      <c r="M97" s="982">
        <f>(Vout+(Rdson2+Rs+Rdcr)*K97)/(Vin+(Rs+Rdson2-Rdson1)*K97)</f>
        <v/>
      </c>
      <c r="N97" s="4">
        <f>(Vin-(Rdson1+Rdcr)*K97-Vout)*M97/(Fsw*Lf)</f>
        <v/>
      </c>
      <c r="O97" s="4">
        <f>K97+N97/2</f>
        <v/>
      </c>
      <c r="P97" s="4">
        <f>K97-N97/2</f>
        <v/>
      </c>
      <c r="Q97" s="4">
        <f>IF(MIN(Vin, -P97/(Coss_Q1+Coss_Q2)*0.00000002)&lt;0, 0, MIN(Vin, -P97/(Coss_Q1+Coss_Q2)*0.00000002))</f>
        <v/>
      </c>
      <c r="R97" s="4">
        <f>SQRT(K97^2+(N97^2)/12)</f>
        <v/>
      </c>
      <c r="S97" s="982">
        <f>R97^2*Rdcr</f>
        <v/>
      </c>
      <c r="T97" s="982">
        <f>Core_Loss_Ch1</f>
        <v/>
      </c>
      <c r="U97" s="982">
        <f>(T97+S97*(1+Ltc*(Ta-25)))/(1-S97*Ltc*ThetaCa)</f>
        <v/>
      </c>
      <c r="V97" s="4">
        <f>N97/SQRT(12)</f>
        <v/>
      </c>
      <c r="W97" s="982">
        <f>RCoutEsr*V97^2</f>
        <v/>
      </c>
      <c r="X97" s="982">
        <f>W97</f>
        <v/>
      </c>
      <c r="Y97" s="4">
        <f>SQRT(M97*(1-M97))*SQRT(K97^2+(N97^2)/12)</f>
        <v/>
      </c>
      <c r="Z97" s="982">
        <f>RCinEsr*Y97^2</f>
        <v/>
      </c>
      <c r="AA97" s="1078">
        <f>Z97</f>
        <v/>
      </c>
      <c r="AB97" s="982">
        <f>SQRT(M97)*SQRT(K97^2+(N97^2)/12)</f>
        <v/>
      </c>
      <c r="AC97" s="982">
        <f>Rdson1*AB97^2</f>
        <v/>
      </c>
      <c r="AD97" s="982">
        <f>(Vin*K97/2)*Fsw*(Tr_buck+Tf_buck)</f>
        <v/>
      </c>
      <c r="AE97" s="982">
        <f>(0.5*Coss_Q1*(Vin-Q97)^2-0.5*Coss_Q2*(Vin-Q97)^2+(Qoss_Q2*(Vin-Q97)/Vin)*Vin)*Fsw</f>
        <v/>
      </c>
      <c r="AF97" s="982">
        <f>IF(K97&gt;N97/2,0,ABS(K97-N97/2)*Vsd_Q1*Deadtime*Fsw)</f>
        <v/>
      </c>
      <c r="AG97" s="982">
        <f>(AF97+AE97+AD97+AC97*(1+RdsonTopTc*Ta-RdsonTopTc*25))/(1-AC97*RdsonTopTc*ThetaJA_Q1)</f>
        <v/>
      </c>
      <c r="AH97" s="982">
        <f>SQRT((1-M97))*SQRT(K97^2+(N97^2)/12)</f>
        <v/>
      </c>
      <c r="AI97" s="982">
        <f>Rdson2*AH97^2</f>
        <v/>
      </c>
      <c r="AJ97" s="982">
        <f>IF(K97&lt;N97/2,Deadtime*Fsw*IF(VfdSky_Q2&gt;0,0,Vsd_Q2)*(K97+N97/2),2*Deadtime*Fsw*IF(VfdSky_Q2&gt;0,0,Vsd_Q2)*K97)</f>
        <v/>
      </c>
      <c r="AK97" s="982">
        <f>(AJ97+AI97*(1+RdsonBotTc*Ta-RdsonBotTc*25))/(1-AI97*RdsonBotTc*ThetaJA_Q2)</f>
        <v/>
      </c>
      <c r="AL97" s="982">
        <f>2*Deadtime*Fsw*IF(VfdSky_Q2&gt;0,VfdSky_Q2,Vsd_Q2)*K97</f>
        <v/>
      </c>
      <c r="AM97" s="982">
        <f>IF(QrrSky_Q2&gt;0,QrrSky_Q2,Qrr_Q2*K97/(Iout/Number_of_Phases))*Fsw*Vin</f>
        <v/>
      </c>
      <c r="AN97" s="982">
        <f>Rs*R97^2</f>
        <v/>
      </c>
      <c r="AO97" s="982">
        <f>Iq*Vin</f>
        <v/>
      </c>
      <c r="AP97" s="982">
        <f>IF(Ext_VCC=1, (Qg_Q1+Qg_Q2)*Fsw*VCC, (Qg_Q1+Qg_Q2)*Fsw*Vin)</f>
        <v/>
      </c>
      <c r="AQ97" s="982">
        <f>(Vin-VCC)*Fsw*(Qg_Q1+Qg_Q2)+(RdsonDRT+RdsonDRT2)*Fsw*Qg_Q1*VCC/(RdsonDRT+2*Rgate1+RdsonDRT2)+(RdsonDRB+RdsonDRB2)*Fsw*Qg_Q2*VCC/(RdsonDRB+2*Rgate2+RdsonDRB2)</f>
        <v/>
      </c>
      <c r="AR97" s="982">
        <f>(Qg_Q1+Qg_Q2)*Fsw*(Vin-VCC)</f>
        <v/>
      </c>
      <c r="AS97" s="982">
        <f>SUM(AO97:AP97)</f>
        <v/>
      </c>
      <c r="AT97" s="982">
        <f> SUM(U97,X97,AA97,AG97,AK97,AL97,AM97,AS97,AN97)</f>
        <v/>
      </c>
      <c r="AU97">
        <f>Vout*K97</f>
        <v/>
      </c>
      <c r="AV97" s="1079">
        <f>AU97/(AU97+AT97)</f>
        <v/>
      </c>
      <c r="AW97" s="1080">
        <f>ThetaJA_Q1*BC97</f>
        <v/>
      </c>
      <c r="AX97" s="1080">
        <f>ThetaJA_Q2*BD97</f>
        <v/>
      </c>
      <c r="AY97" s="9" t="n"/>
      <c r="AZ97" s="4">
        <f>AV97*100</f>
        <v/>
      </c>
      <c r="BA97" s="982">
        <f>U97</f>
        <v/>
      </c>
      <c r="BB97" s="982">
        <f>AG97+AK97+AM97</f>
        <v/>
      </c>
      <c r="BC97" s="982">
        <f>AG97+AM97*0.66</f>
        <v/>
      </c>
      <c r="BD97" s="982">
        <f>AK97+AM97*0.33</f>
        <v/>
      </c>
      <c r="BE97" s="982">
        <f>AN97</f>
        <v/>
      </c>
      <c r="BK97" s="18" t="n"/>
      <c r="BL97" s="19" t="n"/>
    </row>
    <row r="98">
      <c r="G98" t="n">
        <v>89</v>
      </c>
      <c r="H98" s="531">
        <f>Vin</f>
        <v/>
      </c>
      <c r="I98" s="4">
        <f>MODE</f>
        <v/>
      </c>
      <c r="J98" s="982">
        <f>Iout*G98/100</f>
        <v/>
      </c>
      <c r="K98" s="982">
        <f>Iout*G98/100/Number_of_Phases</f>
        <v/>
      </c>
      <c r="L98" s="4">
        <f>Vout*K98/(Vin*Efficiency)</f>
        <v/>
      </c>
      <c r="M98" s="982">
        <f>(Vout+(Rdson2+Rs+Rdcr)*K98)/(Vin+(Rs+Rdson2-Rdson1)*K98)</f>
        <v/>
      </c>
      <c r="N98" s="4">
        <f>(Vin-(Rdson1+Rdcr)*K98-Vout)*M98/(Fsw*Lf)</f>
        <v/>
      </c>
      <c r="O98" s="4">
        <f>K98+N98/2</f>
        <v/>
      </c>
      <c r="P98" s="4">
        <f>K98-N98/2</f>
        <v/>
      </c>
      <c r="Q98" s="4">
        <f>IF(MIN(Vin, -P98/(Coss_Q1+Coss_Q2)*0.00000002)&lt;0, 0, MIN(Vin, -P98/(Coss_Q1+Coss_Q2)*0.00000002))</f>
        <v/>
      </c>
      <c r="R98" s="4">
        <f>SQRT(K98^2+(N98^2)/12)</f>
        <v/>
      </c>
      <c r="S98" s="982">
        <f>R98^2*Rdcr</f>
        <v/>
      </c>
      <c r="T98" s="982">
        <f>Core_Loss_Ch1</f>
        <v/>
      </c>
      <c r="U98" s="982">
        <f>(T98+S98*(1+Ltc*(Ta-25)))/(1-S98*Ltc*ThetaCa)</f>
        <v/>
      </c>
      <c r="V98" s="4">
        <f>N98/SQRT(12)</f>
        <v/>
      </c>
      <c r="W98" s="982">
        <f>RCoutEsr*V98^2</f>
        <v/>
      </c>
      <c r="X98" s="982">
        <f>W98</f>
        <v/>
      </c>
      <c r="Y98" s="4">
        <f>SQRT(M98*(1-M98))*SQRT(K98^2+(N98^2)/12)</f>
        <v/>
      </c>
      <c r="Z98" s="982">
        <f>RCinEsr*Y98^2</f>
        <v/>
      </c>
      <c r="AA98" s="1078">
        <f>Z98</f>
        <v/>
      </c>
      <c r="AB98" s="982">
        <f>SQRT(M98)*SQRT(K98^2+(N98^2)/12)</f>
        <v/>
      </c>
      <c r="AC98" s="982">
        <f>Rdson1*AB98^2</f>
        <v/>
      </c>
      <c r="AD98" s="982">
        <f>(Vin*K98/2)*Fsw*(Tr_buck+Tf_buck)</f>
        <v/>
      </c>
      <c r="AE98" s="982">
        <f>(0.5*Coss_Q1*(Vin-Q98)^2-0.5*Coss_Q2*(Vin-Q98)^2+(Qoss_Q2*(Vin-Q98)/Vin)*Vin)*Fsw</f>
        <v/>
      </c>
      <c r="AF98" s="982">
        <f>IF(K98&gt;N98/2,0,ABS(K98-N98/2)*Vsd_Q1*Deadtime*Fsw)</f>
        <v/>
      </c>
      <c r="AG98" s="982">
        <f>(AF98+AE98+AD98+AC98*(1+RdsonTopTc*Ta-RdsonTopTc*25))/(1-AC98*RdsonTopTc*ThetaJA_Q1)</f>
        <v/>
      </c>
      <c r="AH98" s="982">
        <f>SQRT((1-M98))*SQRT(K98^2+(N98^2)/12)</f>
        <v/>
      </c>
      <c r="AI98" s="982">
        <f>Rdson2*AH98^2</f>
        <v/>
      </c>
      <c r="AJ98" s="982">
        <f>IF(K98&lt;N98/2,Deadtime*Fsw*IF(VfdSky_Q2&gt;0,0,Vsd_Q2)*(K98+N98/2),2*Deadtime*Fsw*IF(VfdSky_Q2&gt;0,0,Vsd_Q2)*K98)</f>
        <v/>
      </c>
      <c r="AK98" s="982">
        <f>(AJ98+AI98*(1+RdsonBotTc*Ta-RdsonBotTc*25))/(1-AI98*RdsonBotTc*ThetaJA_Q2)</f>
        <v/>
      </c>
      <c r="AL98" s="982">
        <f>2*Deadtime*Fsw*IF(VfdSky_Q2&gt;0,VfdSky_Q2,Vsd_Q2)*K98</f>
        <v/>
      </c>
      <c r="AM98" s="982">
        <f>IF(QrrSky_Q2&gt;0,QrrSky_Q2,Qrr_Q2*K98/(Iout/Number_of_Phases))*Fsw*Vin</f>
        <v/>
      </c>
      <c r="AN98" s="982">
        <f>Rs*R98^2</f>
        <v/>
      </c>
      <c r="AO98" s="982">
        <f>Iq*Vin</f>
        <v/>
      </c>
      <c r="AP98" s="982">
        <f>IF(Ext_VCC=1, (Qg_Q1+Qg_Q2)*Fsw*VCC, (Qg_Q1+Qg_Q2)*Fsw*Vin)</f>
        <v/>
      </c>
      <c r="AQ98" s="982">
        <f>(Vin-VCC)*Fsw*(Qg_Q1+Qg_Q2)+(RdsonDRT+RdsonDRT2)*Fsw*Qg_Q1*VCC/(RdsonDRT+2*Rgate1+RdsonDRT2)+(RdsonDRB+RdsonDRB2)*Fsw*Qg_Q2*VCC/(RdsonDRB+2*Rgate2+RdsonDRB2)</f>
        <v/>
      </c>
      <c r="AR98" s="982">
        <f>(Qg_Q1+Qg_Q2)*Fsw*(Vin-VCC)</f>
        <v/>
      </c>
      <c r="AS98" s="982">
        <f>SUM(AO98:AP98)</f>
        <v/>
      </c>
      <c r="AT98" s="982">
        <f> SUM(U98,X98,AA98,AG98,AK98,AL98,AM98,AS98,AN98)</f>
        <v/>
      </c>
      <c r="AU98">
        <f>Vout*K98</f>
        <v/>
      </c>
      <c r="AV98" s="1079">
        <f>AU98/(AU98+AT98)</f>
        <v/>
      </c>
      <c r="AW98" s="1080">
        <f>ThetaJA_Q1*BC98</f>
        <v/>
      </c>
      <c r="AX98" s="1080">
        <f>ThetaJA_Q2*BD98</f>
        <v/>
      </c>
      <c r="AY98" s="9" t="n"/>
      <c r="AZ98" s="4">
        <f>AV98*100</f>
        <v/>
      </c>
      <c r="BA98" s="982">
        <f>U98</f>
        <v/>
      </c>
      <c r="BB98" s="982">
        <f>AG98+AK98+AM98</f>
        <v/>
      </c>
      <c r="BC98" s="982">
        <f>AG98+AM98*0.66</f>
        <v/>
      </c>
      <c r="BD98" s="982">
        <f>AK98+AM98*0.33</f>
        <v/>
      </c>
      <c r="BE98" s="982">
        <f>AN98</f>
        <v/>
      </c>
      <c r="BK98" s="18" t="n"/>
      <c r="BL98" s="19" t="n"/>
    </row>
    <row r="99">
      <c r="G99" t="n">
        <v>90</v>
      </c>
      <c r="H99" s="531">
        <f>Vin</f>
        <v/>
      </c>
      <c r="I99" s="4">
        <f>MODE</f>
        <v/>
      </c>
      <c r="J99" s="982">
        <f>Iout*G99/100</f>
        <v/>
      </c>
      <c r="K99" s="982">
        <f>Iout*G99/100/Number_of_Phases</f>
        <v/>
      </c>
      <c r="L99" s="4">
        <f>Vout*K99/(Vin*Efficiency)</f>
        <v/>
      </c>
      <c r="M99" s="982">
        <f>(Vout+(Rdson2+Rs+Rdcr)*K99)/(Vin+(Rs+Rdson2-Rdson1)*K99)</f>
        <v/>
      </c>
      <c r="N99" s="4">
        <f>(Vin-(Rdson1+Rdcr)*K99-Vout)*M99/(Fsw*Lf)</f>
        <v/>
      </c>
      <c r="O99" s="4">
        <f>K99+N99/2</f>
        <v/>
      </c>
      <c r="P99" s="4">
        <f>K99-N99/2</f>
        <v/>
      </c>
      <c r="Q99" s="4">
        <f>IF(MIN(Vin, -P99/(Coss_Q1+Coss_Q2)*0.00000002)&lt;0, 0, MIN(Vin, -P99/(Coss_Q1+Coss_Q2)*0.00000002))</f>
        <v/>
      </c>
      <c r="R99" s="4">
        <f>SQRT(K99^2+(N99^2)/12)</f>
        <v/>
      </c>
      <c r="S99" s="982">
        <f>R99^2*Rdcr</f>
        <v/>
      </c>
      <c r="T99" s="982">
        <f>Core_Loss_Ch1</f>
        <v/>
      </c>
      <c r="U99" s="982">
        <f>(T99+S99*(1+Ltc*(Ta-25)))/(1-S99*Ltc*ThetaCa)</f>
        <v/>
      </c>
      <c r="V99" s="4">
        <f>N99/SQRT(12)</f>
        <v/>
      </c>
      <c r="W99" s="982">
        <f>RCoutEsr*V99^2</f>
        <v/>
      </c>
      <c r="X99" s="982">
        <f>W99</f>
        <v/>
      </c>
      <c r="Y99" s="4">
        <f>SQRT(M99*(1-M99))*SQRT(K99^2+(N99^2)/12)</f>
        <v/>
      </c>
      <c r="Z99" s="982">
        <f>RCinEsr*Y99^2</f>
        <v/>
      </c>
      <c r="AA99" s="1078">
        <f>Z99</f>
        <v/>
      </c>
      <c r="AB99" s="982">
        <f>SQRT(M99)*SQRT(K99^2+(N99^2)/12)</f>
        <v/>
      </c>
      <c r="AC99" s="982">
        <f>Rdson1*AB99^2</f>
        <v/>
      </c>
      <c r="AD99" s="982">
        <f>(Vin*K99/2)*Fsw*(Tr_buck+Tf_buck)</f>
        <v/>
      </c>
      <c r="AE99" s="982">
        <f>(0.5*Coss_Q1*(Vin-Q99)^2-0.5*Coss_Q2*(Vin-Q99)^2+(Qoss_Q2*(Vin-Q99)/Vin)*Vin)*Fsw</f>
        <v/>
      </c>
      <c r="AF99" s="982">
        <f>IF(K99&gt;N99/2,0,ABS(K99-N99/2)*Vsd_Q1*Deadtime*Fsw)</f>
        <v/>
      </c>
      <c r="AG99" s="982">
        <f>(AF99+AE99+AD99+AC99*(1+RdsonTopTc*Ta-RdsonTopTc*25))/(1-AC99*RdsonTopTc*ThetaJA_Q1)</f>
        <v/>
      </c>
      <c r="AH99" s="982">
        <f>SQRT((1-M99))*SQRT(K99^2+(N99^2)/12)</f>
        <v/>
      </c>
      <c r="AI99" s="982">
        <f>Rdson2*AH99^2</f>
        <v/>
      </c>
      <c r="AJ99" s="982">
        <f>IF(K99&lt;N99/2,Deadtime*Fsw*IF(VfdSky_Q2&gt;0,0,Vsd_Q2)*(K99+N99/2),2*Deadtime*Fsw*IF(VfdSky_Q2&gt;0,0,Vsd_Q2)*K99)</f>
        <v/>
      </c>
      <c r="AK99" s="982">
        <f>(AJ99+AI99*(1+RdsonBotTc*Ta-RdsonBotTc*25))/(1-AI99*RdsonBotTc*ThetaJA_Q2)</f>
        <v/>
      </c>
      <c r="AL99" s="982">
        <f>2*Deadtime*Fsw*IF(VfdSky_Q2&gt;0,VfdSky_Q2,Vsd_Q2)*K99</f>
        <v/>
      </c>
      <c r="AM99" s="982">
        <f>IF(QrrSky_Q2&gt;0,QrrSky_Q2,Qrr_Q2*K99/(Iout/Number_of_Phases))*Fsw*Vin</f>
        <v/>
      </c>
      <c r="AN99" s="982">
        <f>Rs*R99^2</f>
        <v/>
      </c>
      <c r="AO99" s="982">
        <f>Iq*Vin</f>
        <v/>
      </c>
      <c r="AP99" s="982">
        <f>IF(Ext_VCC=1, (Qg_Q1+Qg_Q2)*Fsw*VCC, (Qg_Q1+Qg_Q2)*Fsw*Vin)</f>
        <v/>
      </c>
      <c r="AQ99" s="982">
        <f>(Vin-VCC)*Fsw*(Qg_Q1+Qg_Q2)+(RdsonDRT+RdsonDRT2)*Fsw*Qg_Q1*VCC/(RdsonDRT+2*Rgate1+RdsonDRT2)+(RdsonDRB+RdsonDRB2)*Fsw*Qg_Q2*VCC/(RdsonDRB+2*Rgate2+RdsonDRB2)</f>
        <v/>
      </c>
      <c r="AR99" s="982">
        <f>(Qg_Q1+Qg_Q2)*Fsw*(Vin-VCC)</f>
        <v/>
      </c>
      <c r="AS99" s="982">
        <f>SUM(AO99:AP99)</f>
        <v/>
      </c>
      <c r="AT99" s="982">
        <f> SUM(U99,X99,AA99,AG99,AK99,AL99,AM99,AS99,AN99)</f>
        <v/>
      </c>
      <c r="AU99">
        <f>Vout*K99</f>
        <v/>
      </c>
      <c r="AV99" s="1079">
        <f>AU99/(AU99+AT99)</f>
        <v/>
      </c>
      <c r="AW99" s="1080">
        <f>ThetaJA_Q1*BC99</f>
        <v/>
      </c>
      <c r="AX99" s="1080">
        <f>ThetaJA_Q2*BD99</f>
        <v/>
      </c>
      <c r="AY99" s="9" t="n"/>
      <c r="AZ99" s="4">
        <f>AV99*100</f>
        <v/>
      </c>
      <c r="BA99" s="982">
        <f>U99</f>
        <v/>
      </c>
      <c r="BB99" s="982">
        <f>AG99+AK99+AM99</f>
        <v/>
      </c>
      <c r="BC99" s="982">
        <f>AG99+AM99*0.66</f>
        <v/>
      </c>
      <c r="BD99" s="982">
        <f>AK99+AM99*0.33</f>
        <v/>
      </c>
      <c r="BE99" s="982">
        <f>AN99</f>
        <v/>
      </c>
      <c r="BK99" s="18" t="n"/>
      <c r="BL99" s="19" t="n"/>
    </row>
    <row r="100">
      <c r="G100" t="n">
        <v>91</v>
      </c>
      <c r="H100" s="531">
        <f>Vin</f>
        <v/>
      </c>
      <c r="I100" s="4">
        <f>MODE</f>
        <v/>
      </c>
      <c r="J100" s="982">
        <f>Iout*G100/100</f>
        <v/>
      </c>
      <c r="K100" s="982">
        <f>Iout*G100/100/Number_of_Phases</f>
        <v/>
      </c>
      <c r="L100" s="4">
        <f>Vout*K100/(Vin*Efficiency)</f>
        <v/>
      </c>
      <c r="M100" s="982">
        <f>(Vout+(Rdson2+Rs+Rdcr)*K100)/(Vin+(Rs+Rdson2-Rdson1)*K100)</f>
        <v/>
      </c>
      <c r="N100" s="4">
        <f>(Vin-(Rdson1+Rdcr)*K100-Vout)*M100/(Fsw*Lf)</f>
        <v/>
      </c>
      <c r="O100" s="4">
        <f>K100+N100/2</f>
        <v/>
      </c>
      <c r="P100" s="4">
        <f>K100-N100/2</f>
        <v/>
      </c>
      <c r="Q100" s="4">
        <f>IF(MIN(Vin, -P100/(Coss_Q1+Coss_Q2)*0.00000002)&lt;0, 0, MIN(Vin, -P100/(Coss_Q1+Coss_Q2)*0.00000002))</f>
        <v/>
      </c>
      <c r="R100" s="4">
        <f>SQRT(K100^2+(N100^2)/12)</f>
        <v/>
      </c>
      <c r="S100" s="982">
        <f>R100^2*Rdcr</f>
        <v/>
      </c>
      <c r="T100" s="982">
        <f>Core_Loss_Ch1</f>
        <v/>
      </c>
      <c r="U100" s="982">
        <f>(T100+S100*(1+Ltc*(Ta-25)))/(1-S100*Ltc*ThetaCa)</f>
        <v/>
      </c>
      <c r="V100" s="4">
        <f>N100/SQRT(12)</f>
        <v/>
      </c>
      <c r="W100" s="982">
        <f>RCoutEsr*V100^2</f>
        <v/>
      </c>
      <c r="X100" s="982">
        <f>W100</f>
        <v/>
      </c>
      <c r="Y100" s="4">
        <f>SQRT(M100*(1-M100))*SQRT(K100^2+(N100^2)/12)</f>
        <v/>
      </c>
      <c r="Z100" s="982">
        <f>RCinEsr*Y100^2</f>
        <v/>
      </c>
      <c r="AA100" s="1078">
        <f>Z100</f>
        <v/>
      </c>
      <c r="AB100" s="982">
        <f>SQRT(M100)*SQRT(K100^2+(N100^2)/12)</f>
        <v/>
      </c>
      <c r="AC100" s="982">
        <f>Rdson1*AB100^2</f>
        <v/>
      </c>
      <c r="AD100" s="982">
        <f>(Vin*K100/2)*Fsw*(Tr_buck+Tf_buck)</f>
        <v/>
      </c>
      <c r="AE100" s="982">
        <f>(0.5*Coss_Q1*(Vin-Q100)^2-0.5*Coss_Q2*(Vin-Q100)^2+(Qoss_Q2*(Vin-Q100)/Vin)*Vin)*Fsw</f>
        <v/>
      </c>
      <c r="AF100" s="982">
        <f>IF(K100&gt;N100/2,0,ABS(K100-N100/2)*Vsd_Q1*Deadtime*Fsw)</f>
        <v/>
      </c>
      <c r="AG100" s="982">
        <f>(AF100+AE100+AD100+AC100*(1+RdsonTopTc*Ta-RdsonTopTc*25))/(1-AC100*RdsonTopTc*ThetaJA_Q1)</f>
        <v/>
      </c>
      <c r="AH100" s="982">
        <f>SQRT((1-M100))*SQRT(K100^2+(N100^2)/12)</f>
        <v/>
      </c>
      <c r="AI100" s="982">
        <f>Rdson2*AH100^2</f>
        <v/>
      </c>
      <c r="AJ100" s="982">
        <f>IF(K100&lt;N100/2,Deadtime*Fsw*IF(VfdSky_Q2&gt;0,0,Vsd_Q2)*(K100+N100/2),2*Deadtime*Fsw*IF(VfdSky_Q2&gt;0,0,Vsd_Q2)*K100)</f>
        <v/>
      </c>
      <c r="AK100" s="982">
        <f>(AJ100+AI100*(1+RdsonBotTc*Ta-RdsonBotTc*25))/(1-AI100*RdsonBotTc*ThetaJA_Q2)</f>
        <v/>
      </c>
      <c r="AL100" s="982">
        <f>2*Deadtime*Fsw*IF(VfdSky_Q2&gt;0,VfdSky_Q2,Vsd_Q2)*K100</f>
        <v/>
      </c>
      <c r="AM100" s="982">
        <f>IF(QrrSky_Q2&gt;0,QrrSky_Q2,Qrr_Q2*K100/(Iout/Number_of_Phases))*Fsw*Vin</f>
        <v/>
      </c>
      <c r="AN100" s="982">
        <f>Rs*R100^2</f>
        <v/>
      </c>
      <c r="AO100" s="982">
        <f>Iq*Vin</f>
        <v/>
      </c>
      <c r="AP100" s="982">
        <f>IF(Ext_VCC=1, (Qg_Q1+Qg_Q2)*Fsw*VCC, (Qg_Q1+Qg_Q2)*Fsw*Vin)</f>
        <v/>
      </c>
      <c r="AQ100" s="982">
        <f>(Vin-VCC)*Fsw*(Qg_Q1+Qg_Q2)+(RdsonDRT+RdsonDRT2)*Fsw*Qg_Q1*VCC/(RdsonDRT+2*Rgate1+RdsonDRT2)+(RdsonDRB+RdsonDRB2)*Fsw*Qg_Q2*VCC/(RdsonDRB+2*Rgate2+RdsonDRB2)</f>
        <v/>
      </c>
      <c r="AR100" s="982">
        <f>(Qg_Q1+Qg_Q2)*Fsw*(Vin-VCC)</f>
        <v/>
      </c>
      <c r="AS100" s="982">
        <f>SUM(AO100:AP100)</f>
        <v/>
      </c>
      <c r="AT100" s="982">
        <f> SUM(U100,X100,AA100,AG100,AK100,AL100,AM100,AS100,AN100)</f>
        <v/>
      </c>
      <c r="AU100">
        <f>Vout*K100</f>
        <v/>
      </c>
      <c r="AV100" s="1079">
        <f>AU100/(AU100+AT100)</f>
        <v/>
      </c>
      <c r="AW100" s="1080">
        <f>ThetaJA_Q1*BC100</f>
        <v/>
      </c>
      <c r="AX100" s="1080">
        <f>ThetaJA_Q2*BD100</f>
        <v/>
      </c>
      <c r="AY100" s="9" t="n"/>
      <c r="AZ100" s="4">
        <f>AV100*100</f>
        <v/>
      </c>
      <c r="BA100" s="982">
        <f>U100</f>
        <v/>
      </c>
      <c r="BB100" s="982">
        <f>AG100+AK100+AM100</f>
        <v/>
      </c>
      <c r="BC100" s="982">
        <f>AG100+AM100*0.66</f>
        <v/>
      </c>
      <c r="BD100" s="982">
        <f>AK100+AM100*0.33</f>
        <v/>
      </c>
      <c r="BE100" s="982">
        <f>AN100</f>
        <v/>
      </c>
      <c r="BK100" s="18" t="n"/>
      <c r="BL100" s="19" t="n"/>
    </row>
    <row r="101">
      <c r="G101" t="n">
        <v>92</v>
      </c>
      <c r="H101" s="531">
        <f>Vin</f>
        <v/>
      </c>
      <c r="I101" s="4">
        <f>MODE</f>
        <v/>
      </c>
      <c r="J101" s="982">
        <f>Iout*G101/100</f>
        <v/>
      </c>
      <c r="K101" s="982">
        <f>Iout*G101/100/Number_of_Phases</f>
        <v/>
      </c>
      <c r="L101" s="4">
        <f>Vout*K101/(Vin*Efficiency)</f>
        <v/>
      </c>
      <c r="M101" s="982">
        <f>(Vout+(Rdson2+Rs+Rdcr)*K101)/(Vin+(Rs+Rdson2-Rdson1)*K101)</f>
        <v/>
      </c>
      <c r="N101" s="4">
        <f>(Vin-(Rdson1+Rdcr)*K101-Vout)*M101/(Fsw*Lf)</f>
        <v/>
      </c>
      <c r="O101" s="4">
        <f>K101+N101/2</f>
        <v/>
      </c>
      <c r="P101" s="4">
        <f>K101-N101/2</f>
        <v/>
      </c>
      <c r="Q101" s="4">
        <f>IF(MIN(Vin, -P101/(Coss_Q1+Coss_Q2)*0.00000002)&lt;0, 0, MIN(Vin, -P101/(Coss_Q1+Coss_Q2)*0.00000002))</f>
        <v/>
      </c>
      <c r="R101" s="4">
        <f>SQRT(K101^2+(N101^2)/12)</f>
        <v/>
      </c>
      <c r="S101" s="982">
        <f>R101^2*Rdcr</f>
        <v/>
      </c>
      <c r="T101" s="982">
        <f>Core_Loss_Ch1</f>
        <v/>
      </c>
      <c r="U101" s="982">
        <f>(T101+S101*(1+Ltc*(Ta-25)))/(1-S101*Ltc*ThetaCa)</f>
        <v/>
      </c>
      <c r="V101" s="4">
        <f>N101/SQRT(12)</f>
        <v/>
      </c>
      <c r="W101" s="982">
        <f>RCoutEsr*V101^2</f>
        <v/>
      </c>
      <c r="X101" s="982">
        <f>W101</f>
        <v/>
      </c>
      <c r="Y101" s="4">
        <f>SQRT(M101*(1-M101))*SQRT(K101^2+(N101^2)/12)</f>
        <v/>
      </c>
      <c r="Z101" s="982">
        <f>RCinEsr*Y101^2</f>
        <v/>
      </c>
      <c r="AA101" s="1078">
        <f>Z101</f>
        <v/>
      </c>
      <c r="AB101" s="982">
        <f>SQRT(M101)*SQRT(K101^2+(N101^2)/12)</f>
        <v/>
      </c>
      <c r="AC101" s="982">
        <f>Rdson1*AB101^2</f>
        <v/>
      </c>
      <c r="AD101" s="982">
        <f>(Vin*K101/2)*Fsw*(Tr_buck+Tf_buck)</f>
        <v/>
      </c>
      <c r="AE101" s="982">
        <f>(0.5*Coss_Q1*(Vin-Q101)^2-0.5*Coss_Q2*(Vin-Q101)^2+(Qoss_Q2*(Vin-Q101)/Vin)*Vin)*Fsw</f>
        <v/>
      </c>
      <c r="AF101" s="982">
        <f>IF(K101&gt;N101/2,0,ABS(K101-N101/2)*Vsd_Q1*Deadtime*Fsw)</f>
        <v/>
      </c>
      <c r="AG101" s="982">
        <f>(AF101+AE101+AD101+AC101*(1+RdsonTopTc*Ta-RdsonTopTc*25))/(1-AC101*RdsonTopTc*ThetaJA_Q1)</f>
        <v/>
      </c>
      <c r="AH101" s="982">
        <f>SQRT((1-M101))*SQRT(K101^2+(N101^2)/12)</f>
        <v/>
      </c>
      <c r="AI101" s="982">
        <f>Rdson2*AH101^2</f>
        <v/>
      </c>
      <c r="AJ101" s="982">
        <f>IF(K101&lt;N101/2,Deadtime*Fsw*IF(VfdSky_Q2&gt;0,0,Vsd_Q2)*(K101+N101/2),2*Deadtime*Fsw*IF(VfdSky_Q2&gt;0,0,Vsd_Q2)*K101)</f>
        <v/>
      </c>
      <c r="AK101" s="982">
        <f>(AJ101+AI101*(1+RdsonBotTc*Ta-RdsonBotTc*25))/(1-AI101*RdsonBotTc*ThetaJA_Q2)</f>
        <v/>
      </c>
      <c r="AL101" s="982">
        <f>2*Deadtime*Fsw*IF(VfdSky_Q2&gt;0,VfdSky_Q2,Vsd_Q2)*K101</f>
        <v/>
      </c>
      <c r="AM101" s="982">
        <f>IF(QrrSky_Q2&gt;0,QrrSky_Q2,Qrr_Q2*K101/(Iout/Number_of_Phases))*Fsw*Vin</f>
        <v/>
      </c>
      <c r="AN101" s="982">
        <f>Rs*R101^2</f>
        <v/>
      </c>
      <c r="AO101" s="982">
        <f>Iq*Vin</f>
        <v/>
      </c>
      <c r="AP101" s="982">
        <f>IF(Ext_VCC=1, (Qg_Q1+Qg_Q2)*Fsw*VCC, (Qg_Q1+Qg_Q2)*Fsw*Vin)</f>
        <v/>
      </c>
      <c r="AQ101" s="982">
        <f>(Vin-VCC)*Fsw*(Qg_Q1+Qg_Q2)+(RdsonDRT+RdsonDRT2)*Fsw*Qg_Q1*VCC/(RdsonDRT+2*Rgate1+RdsonDRT2)+(RdsonDRB+RdsonDRB2)*Fsw*Qg_Q2*VCC/(RdsonDRB+2*Rgate2+RdsonDRB2)</f>
        <v/>
      </c>
      <c r="AR101" s="982">
        <f>(Qg_Q1+Qg_Q2)*Fsw*(Vin-VCC)</f>
        <v/>
      </c>
      <c r="AS101" s="982">
        <f>SUM(AO101:AP101)</f>
        <v/>
      </c>
      <c r="AT101" s="982">
        <f> SUM(U101,X101,AA101,AG101,AK101,AL101,AM101,AS101,AN101)</f>
        <v/>
      </c>
      <c r="AU101">
        <f>Vout*K101</f>
        <v/>
      </c>
      <c r="AV101" s="1079">
        <f>AU101/(AU101+AT101)</f>
        <v/>
      </c>
      <c r="AW101" s="1080">
        <f>ThetaJA_Q1*BC101</f>
        <v/>
      </c>
      <c r="AX101" s="1080">
        <f>ThetaJA_Q2*BD101</f>
        <v/>
      </c>
      <c r="AY101" s="9" t="n"/>
      <c r="AZ101" s="4">
        <f>AV101*100</f>
        <v/>
      </c>
      <c r="BA101" s="982">
        <f>U101</f>
        <v/>
      </c>
      <c r="BB101" s="982">
        <f>AG101+AK101+AM101</f>
        <v/>
      </c>
      <c r="BC101" s="982">
        <f>AG101+AM101*0.66</f>
        <v/>
      </c>
      <c r="BD101" s="982">
        <f>AK101+AM101*0.33</f>
        <v/>
      </c>
      <c r="BE101" s="982">
        <f>AN101</f>
        <v/>
      </c>
      <c r="BK101" s="18" t="n"/>
      <c r="BL101" s="19" t="n"/>
    </row>
    <row r="102">
      <c r="G102" t="n">
        <v>93</v>
      </c>
      <c r="H102" s="531">
        <f>Vin</f>
        <v/>
      </c>
      <c r="I102" s="4">
        <f>MODE</f>
        <v/>
      </c>
      <c r="J102" s="982">
        <f>Iout*G102/100</f>
        <v/>
      </c>
      <c r="K102" s="982">
        <f>Iout*G102/100/Number_of_Phases</f>
        <v/>
      </c>
      <c r="L102" s="4">
        <f>Vout*K102/(Vin*Efficiency)</f>
        <v/>
      </c>
      <c r="M102" s="982">
        <f>(Vout+(Rdson2+Rs+Rdcr)*K102)/(Vin+(Rs+Rdson2-Rdson1)*K102)</f>
        <v/>
      </c>
      <c r="N102" s="4">
        <f>(Vin-(Rdson1+Rdcr)*K102-Vout)*M102/(Fsw*Lf)</f>
        <v/>
      </c>
      <c r="O102" s="4">
        <f>K102+N102/2</f>
        <v/>
      </c>
      <c r="P102" s="4">
        <f>K102-N102/2</f>
        <v/>
      </c>
      <c r="Q102" s="4">
        <f>IF(MIN(Vin, -P102/(Coss_Q1+Coss_Q2)*0.00000002)&lt;0, 0, MIN(Vin, -P102/(Coss_Q1+Coss_Q2)*0.00000002))</f>
        <v/>
      </c>
      <c r="R102" s="4">
        <f>SQRT(K102^2+(N102^2)/12)</f>
        <v/>
      </c>
      <c r="S102" s="982">
        <f>R102^2*Rdcr</f>
        <v/>
      </c>
      <c r="T102" s="982">
        <f>Core_Loss_Ch1</f>
        <v/>
      </c>
      <c r="U102" s="982">
        <f>(T102+S102*(1+Ltc*(Ta-25)))/(1-S102*Ltc*ThetaCa)</f>
        <v/>
      </c>
      <c r="V102" s="4">
        <f>N102/SQRT(12)</f>
        <v/>
      </c>
      <c r="W102" s="982">
        <f>RCoutEsr*V102^2</f>
        <v/>
      </c>
      <c r="X102" s="982">
        <f>W102</f>
        <v/>
      </c>
      <c r="Y102" s="4">
        <f>SQRT(M102*(1-M102))*SQRT(K102^2+(N102^2)/12)</f>
        <v/>
      </c>
      <c r="Z102" s="982">
        <f>RCinEsr*Y102^2</f>
        <v/>
      </c>
      <c r="AA102" s="1078">
        <f>Z102</f>
        <v/>
      </c>
      <c r="AB102" s="982">
        <f>SQRT(M102)*SQRT(K102^2+(N102^2)/12)</f>
        <v/>
      </c>
      <c r="AC102" s="982">
        <f>Rdson1*AB102^2</f>
        <v/>
      </c>
      <c r="AD102" s="982">
        <f>(Vin*K102/2)*Fsw*(Tr_buck+Tf_buck)</f>
        <v/>
      </c>
      <c r="AE102" s="982">
        <f>(0.5*Coss_Q1*(Vin-Q102)^2-0.5*Coss_Q2*(Vin-Q102)^2+(Qoss_Q2*(Vin-Q102)/Vin)*Vin)*Fsw</f>
        <v/>
      </c>
      <c r="AF102" s="982">
        <f>IF(K102&gt;N102/2,0,ABS(K102-N102/2)*Vsd_Q1*Deadtime*Fsw)</f>
        <v/>
      </c>
      <c r="AG102" s="982">
        <f>(AF102+AE102+AD102+AC102*(1+RdsonTopTc*Ta-RdsonTopTc*25))/(1-AC102*RdsonTopTc*ThetaJA_Q1)</f>
        <v/>
      </c>
      <c r="AH102" s="982">
        <f>SQRT((1-M102))*SQRT(K102^2+(N102^2)/12)</f>
        <v/>
      </c>
      <c r="AI102" s="982">
        <f>Rdson2*AH102^2</f>
        <v/>
      </c>
      <c r="AJ102" s="982">
        <f>IF(K102&lt;N102/2,Deadtime*Fsw*IF(VfdSky_Q2&gt;0,0,Vsd_Q2)*(K102+N102/2),2*Deadtime*Fsw*IF(VfdSky_Q2&gt;0,0,Vsd_Q2)*K102)</f>
        <v/>
      </c>
      <c r="AK102" s="982">
        <f>(AJ102+AI102*(1+RdsonBotTc*Ta-RdsonBotTc*25))/(1-AI102*RdsonBotTc*ThetaJA_Q2)</f>
        <v/>
      </c>
      <c r="AL102" s="982">
        <f>2*Deadtime*Fsw*IF(VfdSky_Q2&gt;0,VfdSky_Q2,Vsd_Q2)*K102</f>
        <v/>
      </c>
      <c r="AM102" s="982">
        <f>IF(QrrSky_Q2&gt;0,QrrSky_Q2,Qrr_Q2*K102/(Iout/Number_of_Phases))*Fsw*Vin</f>
        <v/>
      </c>
      <c r="AN102" s="982">
        <f>Rs*R102^2</f>
        <v/>
      </c>
      <c r="AO102" s="982">
        <f>Iq*Vin</f>
        <v/>
      </c>
      <c r="AP102" s="982">
        <f>IF(Ext_VCC=1, (Qg_Q1+Qg_Q2)*Fsw*VCC, (Qg_Q1+Qg_Q2)*Fsw*Vin)</f>
        <v/>
      </c>
      <c r="AQ102" s="982">
        <f>(Vin-VCC)*Fsw*(Qg_Q1+Qg_Q2)+(RdsonDRT+RdsonDRT2)*Fsw*Qg_Q1*VCC/(RdsonDRT+2*Rgate1+RdsonDRT2)+(RdsonDRB+RdsonDRB2)*Fsw*Qg_Q2*VCC/(RdsonDRB+2*Rgate2+RdsonDRB2)</f>
        <v/>
      </c>
      <c r="AR102" s="982">
        <f>(Qg_Q1+Qg_Q2)*Fsw*(Vin-VCC)</f>
        <v/>
      </c>
      <c r="AS102" s="982">
        <f>SUM(AO102:AP102)</f>
        <v/>
      </c>
      <c r="AT102" s="982">
        <f> SUM(U102,X102,AA102,AG102,AK102,AL102,AM102,AS102,AN102)</f>
        <v/>
      </c>
      <c r="AU102">
        <f>Vout*K102</f>
        <v/>
      </c>
      <c r="AV102" s="1079">
        <f>AU102/(AU102+AT102)</f>
        <v/>
      </c>
      <c r="AW102" s="1080">
        <f>ThetaJA_Q1*BC102</f>
        <v/>
      </c>
      <c r="AX102" s="1080">
        <f>ThetaJA_Q2*BD102</f>
        <v/>
      </c>
      <c r="AY102" s="9" t="n"/>
      <c r="AZ102" s="4">
        <f>AV102*100</f>
        <v/>
      </c>
      <c r="BA102" s="982">
        <f>U102</f>
        <v/>
      </c>
      <c r="BB102" s="982">
        <f>AG102+AK102+AM102</f>
        <v/>
      </c>
      <c r="BC102" s="982">
        <f>AG102+AM102*0.66</f>
        <v/>
      </c>
      <c r="BD102" s="982">
        <f>AK102+AM102*0.33</f>
        <v/>
      </c>
      <c r="BE102" s="982">
        <f>AN102</f>
        <v/>
      </c>
      <c r="BK102" s="18" t="n"/>
      <c r="BL102" s="19" t="n"/>
    </row>
    <row r="103">
      <c r="G103" t="n">
        <v>94</v>
      </c>
      <c r="H103" s="531">
        <f>Vin</f>
        <v/>
      </c>
      <c r="I103" s="4">
        <f>MODE</f>
        <v/>
      </c>
      <c r="J103" s="982">
        <f>Iout*G103/100</f>
        <v/>
      </c>
      <c r="K103" s="982">
        <f>Iout*G103/100/Number_of_Phases</f>
        <v/>
      </c>
      <c r="L103" s="4">
        <f>Vout*K103/(Vin*Efficiency)</f>
        <v/>
      </c>
      <c r="M103" s="982">
        <f>(Vout+(Rdson2+Rs+Rdcr)*K103)/(Vin+(Rs+Rdson2-Rdson1)*K103)</f>
        <v/>
      </c>
      <c r="N103" s="4">
        <f>(Vin-(Rdson1+Rdcr)*K103-Vout)*M103/(Fsw*Lf)</f>
        <v/>
      </c>
      <c r="O103" s="4">
        <f>K103+N103/2</f>
        <v/>
      </c>
      <c r="P103" s="4">
        <f>K103-N103/2</f>
        <v/>
      </c>
      <c r="Q103" s="4">
        <f>IF(MIN(Vin, -P103/(Coss_Q1+Coss_Q2)*0.00000002)&lt;0, 0, MIN(Vin, -P103/(Coss_Q1+Coss_Q2)*0.00000002))</f>
        <v/>
      </c>
      <c r="R103" s="4">
        <f>SQRT(K103^2+(N103^2)/12)</f>
        <v/>
      </c>
      <c r="S103" s="982">
        <f>R103^2*Rdcr</f>
        <v/>
      </c>
      <c r="T103" s="982">
        <f>Core_Loss_Ch1</f>
        <v/>
      </c>
      <c r="U103" s="982">
        <f>(T103+S103*(1+Ltc*(Ta-25)))/(1-S103*Ltc*ThetaCa)</f>
        <v/>
      </c>
      <c r="V103" s="4">
        <f>N103/SQRT(12)</f>
        <v/>
      </c>
      <c r="W103" s="982">
        <f>RCoutEsr*V103^2</f>
        <v/>
      </c>
      <c r="X103" s="982">
        <f>W103</f>
        <v/>
      </c>
      <c r="Y103" s="4">
        <f>SQRT(M103*(1-M103))*SQRT(K103^2+(N103^2)/12)</f>
        <v/>
      </c>
      <c r="Z103" s="982">
        <f>RCinEsr*Y103^2</f>
        <v/>
      </c>
      <c r="AA103" s="1078">
        <f>Z103</f>
        <v/>
      </c>
      <c r="AB103" s="982">
        <f>SQRT(M103)*SQRT(K103^2+(N103^2)/12)</f>
        <v/>
      </c>
      <c r="AC103" s="982">
        <f>Rdson1*AB103^2</f>
        <v/>
      </c>
      <c r="AD103" s="982">
        <f>(Vin*K103/2)*Fsw*(Tr_buck+Tf_buck)</f>
        <v/>
      </c>
      <c r="AE103" s="982">
        <f>(0.5*Coss_Q1*(Vin-Q103)^2-0.5*Coss_Q2*(Vin-Q103)^2+(Qoss_Q2*(Vin-Q103)/Vin)*Vin)*Fsw</f>
        <v/>
      </c>
      <c r="AF103" s="982">
        <f>IF(K103&gt;N103/2,0,ABS(K103-N103/2)*Vsd_Q1*Deadtime*Fsw)</f>
        <v/>
      </c>
      <c r="AG103" s="982">
        <f>(AF103+AE103+AD103+AC103*(1+RdsonTopTc*Ta-RdsonTopTc*25))/(1-AC103*RdsonTopTc*ThetaJA_Q1)</f>
        <v/>
      </c>
      <c r="AH103" s="982">
        <f>SQRT((1-M103))*SQRT(K103^2+(N103^2)/12)</f>
        <v/>
      </c>
      <c r="AI103" s="982">
        <f>Rdson2*AH103^2</f>
        <v/>
      </c>
      <c r="AJ103" s="982">
        <f>IF(K103&lt;N103/2,Deadtime*Fsw*IF(VfdSky_Q2&gt;0,0,Vsd_Q2)*(K103+N103/2),2*Deadtime*Fsw*IF(VfdSky_Q2&gt;0,0,Vsd_Q2)*K103)</f>
        <v/>
      </c>
      <c r="AK103" s="982">
        <f>(AJ103+AI103*(1+RdsonBotTc*Ta-RdsonBotTc*25))/(1-AI103*RdsonBotTc*ThetaJA_Q2)</f>
        <v/>
      </c>
      <c r="AL103" s="982">
        <f>2*Deadtime*Fsw*IF(VfdSky_Q2&gt;0,VfdSky_Q2,Vsd_Q2)*K103</f>
        <v/>
      </c>
      <c r="AM103" s="982">
        <f>IF(QrrSky_Q2&gt;0,QrrSky_Q2,Qrr_Q2*K103/(Iout/Number_of_Phases))*Fsw*Vin</f>
        <v/>
      </c>
      <c r="AN103" s="982">
        <f>Rs*R103^2</f>
        <v/>
      </c>
      <c r="AO103" s="982">
        <f>Iq*Vin</f>
        <v/>
      </c>
      <c r="AP103" s="982">
        <f>IF(Ext_VCC=1, (Qg_Q1+Qg_Q2)*Fsw*VCC, (Qg_Q1+Qg_Q2)*Fsw*Vin)</f>
        <v/>
      </c>
      <c r="AQ103" s="982">
        <f>(Vin-VCC)*Fsw*(Qg_Q1+Qg_Q2)+(RdsonDRT+RdsonDRT2)*Fsw*Qg_Q1*VCC/(RdsonDRT+2*Rgate1+RdsonDRT2)+(RdsonDRB+RdsonDRB2)*Fsw*Qg_Q2*VCC/(RdsonDRB+2*Rgate2+RdsonDRB2)</f>
        <v/>
      </c>
      <c r="AR103" s="982">
        <f>(Qg_Q1+Qg_Q2)*Fsw*(Vin-VCC)</f>
        <v/>
      </c>
      <c r="AS103" s="982">
        <f>SUM(AO103:AP103)</f>
        <v/>
      </c>
      <c r="AT103" s="982">
        <f> SUM(U103,X103,AA103,AG103,AK103,AL103,AM103,AS103,AN103)</f>
        <v/>
      </c>
      <c r="AU103">
        <f>Vout*K103</f>
        <v/>
      </c>
      <c r="AV103" s="1079">
        <f>AU103/(AU103+AT103)</f>
        <v/>
      </c>
      <c r="AW103" s="1080">
        <f>ThetaJA_Q1*BC103</f>
        <v/>
      </c>
      <c r="AX103" s="1080">
        <f>ThetaJA_Q2*BD103</f>
        <v/>
      </c>
      <c r="AY103" s="9" t="n"/>
      <c r="AZ103" s="4">
        <f>AV103*100</f>
        <v/>
      </c>
      <c r="BA103" s="982">
        <f>U103</f>
        <v/>
      </c>
      <c r="BB103" s="982">
        <f>AG103+AK103+AM103</f>
        <v/>
      </c>
      <c r="BC103" s="982">
        <f>AG103+AM103*0.66</f>
        <v/>
      </c>
      <c r="BD103" s="982">
        <f>AK103+AM103*0.33</f>
        <v/>
      </c>
      <c r="BE103" s="982">
        <f>AN103</f>
        <v/>
      </c>
      <c r="BK103" s="18" t="n"/>
      <c r="BL103" s="19" t="n"/>
    </row>
    <row r="104">
      <c r="G104" t="n">
        <v>95</v>
      </c>
      <c r="H104" s="531">
        <f>Vin</f>
        <v/>
      </c>
      <c r="I104" s="4">
        <f>MODE</f>
        <v/>
      </c>
      <c r="J104" s="982">
        <f>Iout*G104/100</f>
        <v/>
      </c>
      <c r="K104" s="982">
        <f>Iout*G104/100/Number_of_Phases</f>
        <v/>
      </c>
      <c r="L104" s="4">
        <f>Vout*K104/(Vin*Efficiency)</f>
        <v/>
      </c>
      <c r="M104" s="982">
        <f>(Vout+(Rdson2+Rs+Rdcr)*K104)/(Vin+(Rs+Rdson2-Rdson1)*K104)</f>
        <v/>
      </c>
      <c r="N104" s="4">
        <f>(Vin-(Rdson1+Rdcr)*K104-Vout)*M104/(Fsw*Lf)</f>
        <v/>
      </c>
      <c r="O104" s="4">
        <f>K104+N104/2</f>
        <v/>
      </c>
      <c r="P104" s="4">
        <f>K104-N104/2</f>
        <v/>
      </c>
      <c r="Q104" s="4">
        <f>IF(MIN(Vin, -P104/(Coss_Q1+Coss_Q2)*0.00000002)&lt;0, 0, MIN(Vin, -P104/(Coss_Q1+Coss_Q2)*0.00000002))</f>
        <v/>
      </c>
      <c r="R104" s="4">
        <f>SQRT(K104^2+(N104^2)/12)</f>
        <v/>
      </c>
      <c r="S104" s="982">
        <f>R104^2*Rdcr</f>
        <v/>
      </c>
      <c r="T104" s="982">
        <f>Core_Loss_Ch1</f>
        <v/>
      </c>
      <c r="U104" s="982">
        <f>(T104+S104*(1+Ltc*(Ta-25)))/(1-S104*Ltc*ThetaCa)</f>
        <v/>
      </c>
      <c r="V104" s="4">
        <f>N104/SQRT(12)</f>
        <v/>
      </c>
      <c r="W104" s="982">
        <f>RCoutEsr*V104^2</f>
        <v/>
      </c>
      <c r="X104" s="982">
        <f>W104</f>
        <v/>
      </c>
      <c r="Y104" s="4">
        <f>SQRT(M104*(1-M104))*SQRT(K104^2+(N104^2)/12)</f>
        <v/>
      </c>
      <c r="Z104" s="982">
        <f>RCinEsr*Y104^2</f>
        <v/>
      </c>
      <c r="AA104" s="1078">
        <f>Z104</f>
        <v/>
      </c>
      <c r="AB104" s="982">
        <f>SQRT(M104)*SQRT(K104^2+(N104^2)/12)</f>
        <v/>
      </c>
      <c r="AC104" s="982">
        <f>Rdson1*AB104^2</f>
        <v/>
      </c>
      <c r="AD104" s="982">
        <f>(Vin*K104/2)*Fsw*(Tr_buck+Tf_buck)</f>
        <v/>
      </c>
      <c r="AE104" s="982">
        <f>(0.5*Coss_Q1*(Vin-Q104)^2-0.5*Coss_Q2*(Vin-Q104)^2+(Qoss_Q2*(Vin-Q104)/Vin)*Vin)*Fsw</f>
        <v/>
      </c>
      <c r="AF104" s="982">
        <f>IF(K104&gt;N104/2,0,ABS(K104-N104/2)*Vsd_Q1*Deadtime*Fsw)</f>
        <v/>
      </c>
      <c r="AG104" s="982">
        <f>(AF104+AE104+AD104+AC104*(1+RdsonTopTc*Ta-RdsonTopTc*25))/(1-AC104*RdsonTopTc*ThetaJA_Q1)</f>
        <v/>
      </c>
      <c r="AH104" s="982">
        <f>SQRT((1-M104))*SQRT(K104^2+(N104^2)/12)</f>
        <v/>
      </c>
      <c r="AI104" s="982">
        <f>Rdson2*AH104^2</f>
        <v/>
      </c>
      <c r="AJ104" s="982">
        <f>IF(K104&lt;N104/2,Deadtime*Fsw*IF(VfdSky_Q2&gt;0,0,Vsd_Q2)*(K104+N104/2),2*Deadtime*Fsw*IF(VfdSky_Q2&gt;0,0,Vsd_Q2)*K104)</f>
        <v/>
      </c>
      <c r="AK104" s="982">
        <f>(AJ104+AI104*(1+RdsonBotTc*Ta-RdsonBotTc*25))/(1-AI104*RdsonBotTc*ThetaJA_Q2)</f>
        <v/>
      </c>
      <c r="AL104" s="982">
        <f>2*Deadtime*Fsw*IF(VfdSky_Q2&gt;0,VfdSky_Q2,Vsd_Q2)*K104</f>
        <v/>
      </c>
      <c r="AM104" s="982">
        <f>IF(QrrSky_Q2&gt;0,QrrSky_Q2,Qrr_Q2*K104/(Iout/Number_of_Phases))*Fsw*Vin</f>
        <v/>
      </c>
      <c r="AN104" s="982">
        <f>Rs*R104^2</f>
        <v/>
      </c>
      <c r="AO104" s="982">
        <f>Iq*Vin</f>
        <v/>
      </c>
      <c r="AP104" s="982">
        <f>IF(Ext_VCC=1, (Qg_Q1+Qg_Q2)*Fsw*VCC, (Qg_Q1+Qg_Q2)*Fsw*Vin)</f>
        <v/>
      </c>
      <c r="AQ104" s="982">
        <f>(Vin-VCC)*Fsw*(Qg_Q1+Qg_Q2)+(RdsonDRT+RdsonDRT2)*Fsw*Qg_Q1*VCC/(RdsonDRT+2*Rgate1+RdsonDRT2)+(RdsonDRB+RdsonDRB2)*Fsw*Qg_Q2*VCC/(RdsonDRB+2*Rgate2+RdsonDRB2)</f>
        <v/>
      </c>
      <c r="AR104" s="982">
        <f>(Qg_Q1+Qg_Q2)*Fsw*(Vin-VCC)</f>
        <v/>
      </c>
      <c r="AS104" s="982">
        <f>SUM(AO104:AP104)</f>
        <v/>
      </c>
      <c r="AT104" s="982">
        <f> SUM(U104,X104,AA104,AG104,AK104,AL104,AM104,AS104,AN104)</f>
        <v/>
      </c>
      <c r="AU104">
        <f>Vout*K104</f>
        <v/>
      </c>
      <c r="AV104" s="1079">
        <f>AU104/(AU104+AT104)</f>
        <v/>
      </c>
      <c r="AW104" s="1080">
        <f>ThetaJA_Q1*BC104</f>
        <v/>
      </c>
      <c r="AX104" s="1080">
        <f>ThetaJA_Q2*BD104</f>
        <v/>
      </c>
      <c r="AY104" s="9" t="n"/>
      <c r="AZ104" s="4">
        <f>AV104*100</f>
        <v/>
      </c>
      <c r="BA104" s="982">
        <f>U104</f>
        <v/>
      </c>
      <c r="BB104" s="982">
        <f>AG104+AK104+AM104</f>
        <v/>
      </c>
      <c r="BC104" s="982">
        <f>AG104+AM104*0.66</f>
        <v/>
      </c>
      <c r="BD104" s="982">
        <f>AK104+AM104*0.33</f>
        <v/>
      </c>
      <c r="BE104" s="982">
        <f>AN104</f>
        <v/>
      </c>
      <c r="BK104" s="18" t="n"/>
      <c r="BL104" s="19" t="n"/>
    </row>
    <row r="105">
      <c r="G105" t="n">
        <v>96</v>
      </c>
      <c r="H105" s="531">
        <f>Vin</f>
        <v/>
      </c>
      <c r="I105" s="4">
        <f>MODE</f>
        <v/>
      </c>
      <c r="J105" s="982">
        <f>Iout*G105/100</f>
        <v/>
      </c>
      <c r="K105" s="982">
        <f>Iout*G105/100/Number_of_Phases</f>
        <v/>
      </c>
      <c r="L105" s="4">
        <f>Vout*K105/(Vin*Efficiency)</f>
        <v/>
      </c>
      <c r="M105" s="982">
        <f>(Vout+(Rdson2+Rs+Rdcr)*K105)/(Vin+(Rs+Rdson2-Rdson1)*K105)</f>
        <v/>
      </c>
      <c r="N105" s="4">
        <f>(Vin-(Rdson1+Rdcr)*K105-Vout)*M105/(Fsw*Lf)</f>
        <v/>
      </c>
      <c r="O105" s="4">
        <f>K105+N105/2</f>
        <v/>
      </c>
      <c r="P105" s="4">
        <f>K105-N105/2</f>
        <v/>
      </c>
      <c r="Q105" s="4">
        <f>IF(MIN(Vin, -P105/(Coss_Q1+Coss_Q2)*0.00000002)&lt;0, 0, MIN(Vin, -P105/(Coss_Q1+Coss_Q2)*0.00000002))</f>
        <v/>
      </c>
      <c r="R105" s="4">
        <f>SQRT(K105^2+(N105^2)/12)</f>
        <v/>
      </c>
      <c r="S105" s="982">
        <f>R105^2*Rdcr</f>
        <v/>
      </c>
      <c r="T105" s="982">
        <f>Core_Loss_Ch1</f>
        <v/>
      </c>
      <c r="U105" s="982">
        <f>(T105+S105*(1+Ltc*(Ta-25)))/(1-S105*Ltc*ThetaCa)</f>
        <v/>
      </c>
      <c r="V105" s="4">
        <f>N105/SQRT(12)</f>
        <v/>
      </c>
      <c r="W105" s="982">
        <f>RCoutEsr*V105^2</f>
        <v/>
      </c>
      <c r="X105" s="982">
        <f>W105</f>
        <v/>
      </c>
      <c r="Y105" s="4">
        <f>SQRT(M105*(1-M105))*SQRT(K105^2+(N105^2)/12)</f>
        <v/>
      </c>
      <c r="Z105" s="982">
        <f>RCinEsr*Y105^2</f>
        <v/>
      </c>
      <c r="AA105" s="1078">
        <f>Z105</f>
        <v/>
      </c>
      <c r="AB105" s="982">
        <f>SQRT(M105)*SQRT(K105^2+(N105^2)/12)</f>
        <v/>
      </c>
      <c r="AC105" s="982">
        <f>Rdson1*AB105^2</f>
        <v/>
      </c>
      <c r="AD105" s="982">
        <f>(Vin*K105/2)*Fsw*(Tr_buck+Tf_buck)</f>
        <v/>
      </c>
      <c r="AE105" s="982">
        <f>(0.5*Coss_Q1*(Vin-Q105)^2-0.5*Coss_Q2*(Vin-Q105)^2+(Qoss_Q2*(Vin-Q105)/Vin)*Vin)*Fsw</f>
        <v/>
      </c>
      <c r="AF105" s="982">
        <f>IF(K105&gt;N105/2,0,ABS(K105-N105/2)*Vsd_Q1*Deadtime*Fsw)</f>
        <v/>
      </c>
      <c r="AG105" s="982">
        <f>(AF105+AE105+AD105+AC105*(1+RdsonTopTc*Ta-RdsonTopTc*25))/(1-AC105*RdsonTopTc*ThetaJA_Q1)</f>
        <v/>
      </c>
      <c r="AH105" s="982">
        <f>SQRT((1-M105))*SQRT(K105^2+(N105^2)/12)</f>
        <v/>
      </c>
      <c r="AI105" s="982">
        <f>Rdson2*AH105^2</f>
        <v/>
      </c>
      <c r="AJ105" s="982">
        <f>IF(K105&lt;N105/2,Deadtime*Fsw*IF(VfdSky_Q2&gt;0,0,Vsd_Q2)*(K105+N105/2),2*Deadtime*Fsw*IF(VfdSky_Q2&gt;0,0,Vsd_Q2)*K105)</f>
        <v/>
      </c>
      <c r="AK105" s="982">
        <f>(AJ105+AI105*(1+RdsonBotTc*Ta-RdsonBotTc*25))/(1-AI105*RdsonBotTc*ThetaJA_Q2)</f>
        <v/>
      </c>
      <c r="AL105" s="982">
        <f>2*Deadtime*Fsw*IF(VfdSky_Q2&gt;0,VfdSky_Q2,Vsd_Q2)*K105</f>
        <v/>
      </c>
      <c r="AM105" s="982">
        <f>IF(QrrSky_Q2&gt;0,QrrSky_Q2,Qrr_Q2*K105/(Iout/Number_of_Phases))*Fsw*Vin</f>
        <v/>
      </c>
      <c r="AN105" s="982">
        <f>Rs*R105^2</f>
        <v/>
      </c>
      <c r="AO105" s="982">
        <f>Iq*Vin</f>
        <v/>
      </c>
      <c r="AP105" s="982">
        <f>IF(Ext_VCC=1, (Qg_Q1+Qg_Q2)*Fsw*VCC, (Qg_Q1+Qg_Q2)*Fsw*Vin)</f>
        <v/>
      </c>
      <c r="AQ105" s="982">
        <f>(Vin-VCC)*Fsw*(Qg_Q1+Qg_Q2)+(RdsonDRT+RdsonDRT2)*Fsw*Qg_Q1*VCC/(RdsonDRT+2*Rgate1+RdsonDRT2)+(RdsonDRB+RdsonDRB2)*Fsw*Qg_Q2*VCC/(RdsonDRB+2*Rgate2+RdsonDRB2)</f>
        <v/>
      </c>
      <c r="AR105" s="982">
        <f>(Qg_Q1+Qg_Q2)*Fsw*(Vin-VCC)</f>
        <v/>
      </c>
      <c r="AS105" s="982">
        <f>SUM(AO105:AP105)</f>
        <v/>
      </c>
      <c r="AT105" s="982">
        <f> SUM(U105,X105,AA105,AG105,AK105,AL105,AM105,AS105,AN105)</f>
        <v/>
      </c>
      <c r="AU105">
        <f>Vout*K105</f>
        <v/>
      </c>
      <c r="AV105" s="1079">
        <f>AU105/(AU105+AT105)</f>
        <v/>
      </c>
      <c r="AW105" s="1080">
        <f>ThetaJA_Q1*BC105</f>
        <v/>
      </c>
      <c r="AX105" s="1080">
        <f>ThetaJA_Q2*BD105</f>
        <v/>
      </c>
      <c r="AY105" s="9" t="n"/>
      <c r="AZ105" s="4">
        <f>AV105*100</f>
        <v/>
      </c>
      <c r="BA105" s="982">
        <f>U105</f>
        <v/>
      </c>
      <c r="BB105" s="982">
        <f>AG105+AK105+AM105</f>
        <v/>
      </c>
      <c r="BC105" s="982">
        <f>AG105+AM105*0.66</f>
        <v/>
      </c>
      <c r="BD105" s="982">
        <f>AK105+AM105*0.33</f>
        <v/>
      </c>
      <c r="BE105" s="982">
        <f>AN105</f>
        <v/>
      </c>
      <c r="BK105" s="18" t="n"/>
      <c r="BL105" s="19" t="n"/>
    </row>
    <row r="106">
      <c r="G106" t="n">
        <v>97</v>
      </c>
      <c r="H106" s="531">
        <f>Vin</f>
        <v/>
      </c>
      <c r="I106" s="4">
        <f>MODE</f>
        <v/>
      </c>
      <c r="J106" s="982">
        <f>Iout*G106/100</f>
        <v/>
      </c>
      <c r="K106" s="982">
        <f>Iout*G106/100/Number_of_Phases</f>
        <v/>
      </c>
      <c r="L106" s="4">
        <f>Vout*K106/(Vin*Efficiency)</f>
        <v/>
      </c>
      <c r="M106" s="982">
        <f>(Vout+(Rdson2+Rs+Rdcr)*K106)/(Vin+(Rs+Rdson2-Rdson1)*K106)</f>
        <v/>
      </c>
      <c r="N106" s="4">
        <f>(Vin-(Rdson1+Rdcr)*K106-Vout)*M106/(Fsw*Lf)</f>
        <v/>
      </c>
      <c r="O106" s="4">
        <f>K106+N106/2</f>
        <v/>
      </c>
      <c r="P106" s="4">
        <f>K106-N106/2</f>
        <v/>
      </c>
      <c r="Q106" s="4">
        <f>IF(MIN(Vin, -P106/(Coss_Q1+Coss_Q2)*0.00000002)&lt;0, 0, MIN(Vin, -P106/(Coss_Q1+Coss_Q2)*0.00000002))</f>
        <v/>
      </c>
      <c r="R106" s="4">
        <f>SQRT(K106^2+(N106^2)/12)</f>
        <v/>
      </c>
      <c r="S106" s="982">
        <f>R106^2*Rdcr</f>
        <v/>
      </c>
      <c r="T106" s="982">
        <f>Core_Loss_Ch1</f>
        <v/>
      </c>
      <c r="U106" s="982">
        <f>(T106+S106*(1+Ltc*(Ta-25)))/(1-S106*Ltc*ThetaCa)</f>
        <v/>
      </c>
      <c r="V106" s="4">
        <f>N106/SQRT(12)</f>
        <v/>
      </c>
      <c r="W106" s="982">
        <f>RCoutEsr*V106^2</f>
        <v/>
      </c>
      <c r="X106" s="982">
        <f>W106</f>
        <v/>
      </c>
      <c r="Y106" s="4">
        <f>SQRT(M106*(1-M106))*SQRT(K106^2+(N106^2)/12)</f>
        <v/>
      </c>
      <c r="Z106" s="982">
        <f>RCinEsr*Y106^2</f>
        <v/>
      </c>
      <c r="AA106" s="1078">
        <f>Z106</f>
        <v/>
      </c>
      <c r="AB106" s="982">
        <f>SQRT(M106)*SQRT(K106^2+(N106^2)/12)</f>
        <v/>
      </c>
      <c r="AC106" s="982">
        <f>Rdson1*AB106^2</f>
        <v/>
      </c>
      <c r="AD106" s="982">
        <f>(Vin*K106/2)*Fsw*(Tr_buck+Tf_buck)</f>
        <v/>
      </c>
      <c r="AE106" s="982">
        <f>(0.5*Coss_Q1*(Vin-Q106)^2-0.5*Coss_Q2*(Vin-Q106)^2+(Qoss_Q2*(Vin-Q106)/Vin)*Vin)*Fsw</f>
        <v/>
      </c>
      <c r="AF106" s="982">
        <f>IF(K106&gt;N106/2,0,ABS(K106-N106/2)*Vsd_Q1*Deadtime*Fsw)</f>
        <v/>
      </c>
      <c r="AG106" s="982">
        <f>(AF106+AE106+AD106+AC106*(1+RdsonTopTc*Ta-RdsonTopTc*25))/(1-AC106*RdsonTopTc*ThetaJA_Q1)</f>
        <v/>
      </c>
      <c r="AH106" s="982">
        <f>SQRT((1-M106))*SQRT(K106^2+(N106^2)/12)</f>
        <v/>
      </c>
      <c r="AI106" s="982">
        <f>Rdson2*AH106^2</f>
        <v/>
      </c>
      <c r="AJ106" s="982">
        <f>IF(K106&lt;N106/2,Deadtime*Fsw*IF(VfdSky_Q2&gt;0,0,Vsd_Q2)*(K106+N106/2),2*Deadtime*Fsw*IF(VfdSky_Q2&gt;0,0,Vsd_Q2)*K106)</f>
        <v/>
      </c>
      <c r="AK106" s="982">
        <f>(AJ106+AI106*(1+RdsonBotTc*Ta-RdsonBotTc*25))/(1-AI106*RdsonBotTc*ThetaJA_Q2)</f>
        <v/>
      </c>
      <c r="AL106" s="982">
        <f>2*Deadtime*Fsw*IF(VfdSky_Q2&gt;0,VfdSky_Q2,Vsd_Q2)*K106</f>
        <v/>
      </c>
      <c r="AM106" s="982">
        <f>IF(QrrSky_Q2&gt;0,QrrSky_Q2,Qrr_Q2*K106/(Iout/Number_of_Phases))*Fsw*Vin</f>
        <v/>
      </c>
      <c r="AN106" s="982">
        <f>Rs*R106^2</f>
        <v/>
      </c>
      <c r="AO106" s="982">
        <f>Iq*Vin</f>
        <v/>
      </c>
      <c r="AP106" s="982">
        <f>IF(Ext_VCC=1, (Qg_Q1+Qg_Q2)*Fsw*VCC, (Qg_Q1+Qg_Q2)*Fsw*Vin)</f>
        <v/>
      </c>
      <c r="AQ106" s="982">
        <f>(Vin-VCC)*Fsw*(Qg_Q1+Qg_Q2)+(RdsonDRT+RdsonDRT2)*Fsw*Qg_Q1*VCC/(RdsonDRT+2*Rgate1+RdsonDRT2)+(RdsonDRB+RdsonDRB2)*Fsw*Qg_Q2*VCC/(RdsonDRB+2*Rgate2+RdsonDRB2)</f>
        <v/>
      </c>
      <c r="AR106" s="982">
        <f>(Qg_Q1+Qg_Q2)*Fsw*(Vin-VCC)</f>
        <v/>
      </c>
      <c r="AS106" s="982">
        <f>SUM(AO106:AP106)</f>
        <v/>
      </c>
      <c r="AT106" s="982">
        <f> SUM(U106,X106,AA106,AG106,AK106,AL106,AM106,AS106,AN106)</f>
        <v/>
      </c>
      <c r="AU106">
        <f>Vout*K106</f>
        <v/>
      </c>
      <c r="AV106" s="1079">
        <f>AU106/(AU106+AT106)</f>
        <v/>
      </c>
      <c r="AW106" s="1080">
        <f>ThetaJA_Q1*BC106</f>
        <v/>
      </c>
      <c r="AX106" s="1080">
        <f>ThetaJA_Q2*BD106</f>
        <v/>
      </c>
      <c r="AY106" s="9" t="n"/>
      <c r="AZ106" s="4">
        <f>AV106*100</f>
        <v/>
      </c>
      <c r="BA106" s="982">
        <f>U106</f>
        <v/>
      </c>
      <c r="BB106" s="982">
        <f>AG106+AK106+AM106</f>
        <v/>
      </c>
      <c r="BC106" s="982">
        <f>AG106+AM106*0.66</f>
        <v/>
      </c>
      <c r="BD106" s="982">
        <f>AK106+AM106*0.33</f>
        <v/>
      </c>
      <c r="BE106" s="982">
        <f>AN106</f>
        <v/>
      </c>
      <c r="BK106" s="18" t="n"/>
      <c r="BL106" s="19" t="n"/>
    </row>
    <row r="107">
      <c r="G107" t="n">
        <v>98</v>
      </c>
      <c r="H107" s="531">
        <f>Vin</f>
        <v/>
      </c>
      <c r="I107" s="4">
        <f>MODE</f>
        <v/>
      </c>
      <c r="J107" s="982">
        <f>Iout*G107/100</f>
        <v/>
      </c>
      <c r="K107" s="982">
        <f>Iout*G107/100/Number_of_Phases</f>
        <v/>
      </c>
      <c r="L107" s="4">
        <f>Vout*K107/(Vin*Efficiency)</f>
        <v/>
      </c>
      <c r="M107" s="982">
        <f>(Vout+(Rdson2+Rs+Rdcr)*K107)/(Vin+(Rs+Rdson2-Rdson1)*K107)</f>
        <v/>
      </c>
      <c r="N107" s="4">
        <f>(Vin-(Rdson1+Rdcr)*K107-Vout)*M107/(Fsw*Lf)</f>
        <v/>
      </c>
      <c r="O107" s="4">
        <f>K107+N107/2</f>
        <v/>
      </c>
      <c r="P107" s="4">
        <f>K107-N107/2</f>
        <v/>
      </c>
      <c r="Q107" s="4">
        <f>IF(MIN(Vin, -P107/(Coss_Q1+Coss_Q2)*0.00000002)&lt;0, 0, MIN(Vin, -P107/(Coss_Q1+Coss_Q2)*0.00000002))</f>
        <v/>
      </c>
      <c r="R107" s="4">
        <f>SQRT(K107^2+(N107^2)/12)</f>
        <v/>
      </c>
      <c r="S107" s="982">
        <f>R107^2*Rdcr</f>
        <v/>
      </c>
      <c r="T107" s="982">
        <f>Core_Loss_Ch1</f>
        <v/>
      </c>
      <c r="U107" s="982">
        <f>(T107+S107*(1+Ltc*(Ta-25)))/(1-S107*Ltc*ThetaCa)</f>
        <v/>
      </c>
      <c r="V107" s="4">
        <f>N107/SQRT(12)</f>
        <v/>
      </c>
      <c r="W107" s="982">
        <f>RCoutEsr*V107^2</f>
        <v/>
      </c>
      <c r="X107" s="982">
        <f>W107</f>
        <v/>
      </c>
      <c r="Y107" s="4">
        <f>SQRT(M107*(1-M107))*SQRT(K107^2+(N107^2)/12)</f>
        <v/>
      </c>
      <c r="Z107" s="982">
        <f>RCinEsr*Y107^2</f>
        <v/>
      </c>
      <c r="AA107" s="1078">
        <f>Z107</f>
        <v/>
      </c>
      <c r="AB107" s="982">
        <f>SQRT(M107)*SQRT(K107^2+(N107^2)/12)</f>
        <v/>
      </c>
      <c r="AC107" s="982">
        <f>Rdson1*AB107^2</f>
        <v/>
      </c>
      <c r="AD107" s="982">
        <f>(Vin*K107/2)*Fsw*(Tr_buck+Tf_buck)</f>
        <v/>
      </c>
      <c r="AE107" s="982">
        <f>(0.5*Coss_Q1*(Vin-Q107)^2-0.5*Coss_Q2*(Vin-Q107)^2+(Qoss_Q2*(Vin-Q107)/Vin)*Vin)*Fsw</f>
        <v/>
      </c>
      <c r="AF107" s="982">
        <f>IF(K107&gt;N107/2,0,ABS(K107-N107/2)*Vsd_Q1*Deadtime*Fsw)</f>
        <v/>
      </c>
      <c r="AG107" s="982">
        <f>(AF107+AE107+AD107+AC107*(1+RdsonTopTc*Ta-RdsonTopTc*25))/(1-AC107*RdsonTopTc*ThetaJA_Q1)</f>
        <v/>
      </c>
      <c r="AH107" s="982">
        <f>SQRT((1-M107))*SQRT(K107^2+(N107^2)/12)</f>
        <v/>
      </c>
      <c r="AI107" s="982">
        <f>Rdson2*AH107^2</f>
        <v/>
      </c>
      <c r="AJ107" s="982">
        <f>IF(K107&lt;N107/2,Deadtime*Fsw*IF(VfdSky_Q2&gt;0,0,Vsd_Q2)*(K107+N107/2),2*Deadtime*Fsw*IF(VfdSky_Q2&gt;0,0,Vsd_Q2)*K107)</f>
        <v/>
      </c>
      <c r="AK107" s="982">
        <f>(AJ107+AI107*(1+RdsonBotTc*Ta-RdsonBotTc*25))/(1-AI107*RdsonBotTc*ThetaJA_Q2)</f>
        <v/>
      </c>
      <c r="AL107" s="982">
        <f>2*Deadtime*Fsw*IF(VfdSky_Q2&gt;0,VfdSky_Q2,Vsd_Q2)*K107</f>
        <v/>
      </c>
      <c r="AM107" s="982">
        <f>IF(QrrSky_Q2&gt;0,QrrSky_Q2,Qrr_Q2*K107/(Iout/Number_of_Phases))*Fsw*Vin</f>
        <v/>
      </c>
      <c r="AN107" s="982">
        <f>Rs*R107^2</f>
        <v/>
      </c>
      <c r="AO107" s="982">
        <f>Iq*Vin</f>
        <v/>
      </c>
      <c r="AP107" s="982">
        <f>IF(Ext_VCC=1, (Qg_Q1+Qg_Q2)*Fsw*VCC, (Qg_Q1+Qg_Q2)*Fsw*Vin)</f>
        <v/>
      </c>
      <c r="AQ107" s="982">
        <f>(Vin-VCC)*Fsw*(Qg_Q1+Qg_Q2)+(RdsonDRT+RdsonDRT2)*Fsw*Qg_Q1*VCC/(RdsonDRT+2*Rgate1+RdsonDRT2)+(RdsonDRB+RdsonDRB2)*Fsw*Qg_Q2*VCC/(RdsonDRB+2*Rgate2+RdsonDRB2)</f>
        <v/>
      </c>
      <c r="AR107" s="982">
        <f>(Qg_Q1+Qg_Q2)*Fsw*(Vin-VCC)</f>
        <v/>
      </c>
      <c r="AS107" s="982">
        <f>SUM(AO107:AP107)</f>
        <v/>
      </c>
      <c r="AT107" s="982">
        <f> SUM(U107,X107,AA107,AG107,AK107,AL107,AM107,AS107,AN107)</f>
        <v/>
      </c>
      <c r="AU107">
        <f>Vout*K107</f>
        <v/>
      </c>
      <c r="AV107" s="1079">
        <f>AU107/(AU107+AT107)</f>
        <v/>
      </c>
      <c r="AW107" s="1080">
        <f>ThetaJA_Q1*BC107</f>
        <v/>
      </c>
      <c r="AX107" s="1080">
        <f>ThetaJA_Q2*BD107</f>
        <v/>
      </c>
      <c r="AY107" s="9" t="n"/>
      <c r="AZ107" s="4">
        <f>AV107*100</f>
        <v/>
      </c>
      <c r="BA107" s="982">
        <f>U107</f>
        <v/>
      </c>
      <c r="BB107" s="982">
        <f>AG107+AK107+AM107</f>
        <v/>
      </c>
      <c r="BC107" s="982">
        <f>AG107+AM107*0.66</f>
        <v/>
      </c>
      <c r="BD107" s="982">
        <f>AK107+AM107*0.33</f>
        <v/>
      </c>
      <c r="BE107" s="982">
        <f>AN107</f>
        <v/>
      </c>
      <c r="BK107" s="18" t="n"/>
      <c r="BL107" s="19" t="n"/>
    </row>
    <row r="108">
      <c r="G108" t="n">
        <v>99</v>
      </c>
      <c r="H108" s="531">
        <f>Vin</f>
        <v/>
      </c>
      <c r="I108" s="4">
        <f>MODE</f>
        <v/>
      </c>
      <c r="J108" s="982">
        <f>Iout*G108/100</f>
        <v/>
      </c>
      <c r="K108" s="982">
        <f>Iout*G108/100/Number_of_Phases</f>
        <v/>
      </c>
      <c r="L108" s="4">
        <f>Vout*K108/(Vin*Efficiency)</f>
        <v/>
      </c>
      <c r="M108" s="982">
        <f>(Vout+(Rdson2+Rs+Rdcr)*K108)/(Vin+(Rs+Rdson2-Rdson1)*K108)</f>
        <v/>
      </c>
      <c r="N108" s="4">
        <f>(Vin-(Rdson1+Rdcr)*K108-Vout)*M108/(Fsw*Lf)</f>
        <v/>
      </c>
      <c r="O108" s="4">
        <f>K108+N108/2</f>
        <v/>
      </c>
      <c r="P108" s="4">
        <f>K108-N108/2</f>
        <v/>
      </c>
      <c r="Q108" s="4">
        <f>IF(MIN(Vin, -P108/(Coss_Q1+Coss_Q2)*0.00000002)&lt;0, 0, MIN(Vin, -P108/(Coss_Q1+Coss_Q2)*0.00000002))</f>
        <v/>
      </c>
      <c r="R108" s="4">
        <f>SQRT(K108^2+(N108^2)/12)</f>
        <v/>
      </c>
      <c r="S108" s="982">
        <f>R108^2*Rdcr</f>
        <v/>
      </c>
      <c r="T108" s="982">
        <f>Core_Loss_Ch1</f>
        <v/>
      </c>
      <c r="U108" s="982">
        <f>(T108+S108*(1+Ltc*(Ta-25)))/(1-S108*Ltc*ThetaCa)</f>
        <v/>
      </c>
      <c r="V108" s="4">
        <f>N108/SQRT(12)</f>
        <v/>
      </c>
      <c r="W108" s="982">
        <f>RCoutEsr*V108^2</f>
        <v/>
      </c>
      <c r="X108" s="982">
        <f>W108</f>
        <v/>
      </c>
      <c r="Y108" s="4">
        <f>SQRT(M108*(1-M108))*SQRT(K108^2+(N108^2)/12)</f>
        <v/>
      </c>
      <c r="Z108" s="982">
        <f>RCinEsr*Y108^2</f>
        <v/>
      </c>
      <c r="AA108" s="1078">
        <f>Z108</f>
        <v/>
      </c>
      <c r="AB108" s="982">
        <f>SQRT(M108)*SQRT(K108^2+(N108^2)/12)</f>
        <v/>
      </c>
      <c r="AC108" s="982">
        <f>Rdson1*AB108^2</f>
        <v/>
      </c>
      <c r="AD108" s="982">
        <f>(Vin*K108/2)*Fsw*(Tr_buck+Tf_buck)</f>
        <v/>
      </c>
      <c r="AE108" s="982">
        <f>(0.5*Coss_Q1*(Vin-Q108)^2-0.5*Coss_Q2*(Vin-Q108)^2+(Qoss_Q2*(Vin-Q108)/Vin)*Vin)*Fsw</f>
        <v/>
      </c>
      <c r="AF108" s="982">
        <f>IF(K108&gt;N108/2,0,ABS(K108-N108/2)*Vsd_Q1*Deadtime*Fsw)</f>
        <v/>
      </c>
      <c r="AG108" s="982">
        <f>(AF108+AE108+AD108+AC108*(1+RdsonTopTc*Ta-RdsonTopTc*25))/(1-AC108*RdsonTopTc*ThetaJA_Q1)</f>
        <v/>
      </c>
      <c r="AH108" s="982">
        <f>SQRT((1-M108))*SQRT(K108^2+(N108^2)/12)</f>
        <v/>
      </c>
      <c r="AI108" s="982">
        <f>Rdson2*AH108^2</f>
        <v/>
      </c>
      <c r="AJ108" s="982">
        <f>IF(K108&lt;N108/2,Deadtime*Fsw*IF(VfdSky_Q2&gt;0,0,Vsd_Q2)*(K108+N108/2),2*Deadtime*Fsw*IF(VfdSky_Q2&gt;0,0,Vsd_Q2)*K108)</f>
        <v/>
      </c>
      <c r="AK108" s="982">
        <f>(AJ108+AI108*(1+RdsonBotTc*Ta-RdsonBotTc*25))/(1-AI108*RdsonBotTc*ThetaJA_Q2)</f>
        <v/>
      </c>
      <c r="AL108" s="982">
        <f>2*Deadtime*Fsw*IF(VfdSky_Q2&gt;0,VfdSky_Q2,Vsd_Q2)*K108</f>
        <v/>
      </c>
      <c r="AM108" s="982">
        <f>IF(QrrSky_Q2&gt;0,QrrSky_Q2,Qrr_Q2*K108/(Iout/Number_of_Phases))*Fsw*Vin</f>
        <v/>
      </c>
      <c r="AN108" s="982">
        <f>Rs*R108^2</f>
        <v/>
      </c>
      <c r="AO108" s="982">
        <f>Iq*Vin</f>
        <v/>
      </c>
      <c r="AP108" s="982">
        <f>IF(Ext_VCC=1, (Qg_Q1+Qg_Q2)*Fsw*VCC, (Qg_Q1+Qg_Q2)*Fsw*Vin)</f>
        <v/>
      </c>
      <c r="AQ108" s="982">
        <f>(Vin-VCC)*Fsw*(Qg_Q1+Qg_Q2)+(RdsonDRT+RdsonDRT2)*Fsw*Qg_Q1*VCC/(RdsonDRT+2*Rgate1+RdsonDRT2)+(RdsonDRB+RdsonDRB2)*Fsw*Qg_Q2*VCC/(RdsonDRB+2*Rgate2+RdsonDRB2)</f>
        <v/>
      </c>
      <c r="AR108" s="982">
        <f>(Qg_Q1+Qg_Q2)*Fsw*(Vin-VCC)</f>
        <v/>
      </c>
      <c r="AS108" s="982">
        <f>SUM(AO108:AP108)</f>
        <v/>
      </c>
      <c r="AT108" s="982">
        <f> SUM(U108,X108,AA108,AG108,AK108,AL108,AM108,AS108,AN108)</f>
        <v/>
      </c>
      <c r="AU108">
        <f>Vout*K108</f>
        <v/>
      </c>
      <c r="AV108" s="1079">
        <f>AU108/(AU108+AT108)</f>
        <v/>
      </c>
      <c r="AW108" s="1080">
        <f>ThetaJA_Q1*BC108</f>
        <v/>
      </c>
      <c r="AX108" s="1080">
        <f>ThetaJA_Q2*BD108</f>
        <v/>
      </c>
      <c r="AY108" s="9" t="n"/>
      <c r="AZ108" s="4">
        <f>AV108*100</f>
        <v/>
      </c>
      <c r="BA108" s="982">
        <f>U108</f>
        <v/>
      </c>
      <c r="BB108" s="982">
        <f>AG108+AK108+AM108</f>
        <v/>
      </c>
      <c r="BC108" s="982">
        <f>AG108+AM108*0.66</f>
        <v/>
      </c>
      <c r="BD108" s="982">
        <f>AK108+AM108*0.33</f>
        <v/>
      </c>
      <c r="BE108" s="982">
        <f>AN108</f>
        <v/>
      </c>
      <c r="BK108" s="18" t="n"/>
      <c r="BL108" s="19" t="n"/>
    </row>
    <row r="109">
      <c r="G109" t="n">
        <v>100</v>
      </c>
      <c r="H109" s="531">
        <f>Vin</f>
        <v/>
      </c>
      <c r="I109" s="4">
        <f>MODE</f>
        <v/>
      </c>
      <c r="J109" s="982">
        <f>Iout*G109/100</f>
        <v/>
      </c>
      <c r="K109" s="982">
        <f>Iout*G109/100/Number_of_Phases</f>
        <v/>
      </c>
      <c r="L109" s="4">
        <f>Vout*K109/(Vin*Efficiency)</f>
        <v/>
      </c>
      <c r="M109" s="982">
        <f>(Vout+(Rdson2+Rs+Rdcr)*K109)/(Vin+(Rs+Rdson2-Rdson1)*K109)</f>
        <v/>
      </c>
      <c r="N109" s="4">
        <f>(Vin-(Rdson1+Rdcr)*K109-Vout)*M109/(Fsw*Lf)</f>
        <v/>
      </c>
      <c r="O109" s="4">
        <f>K109+N109/2</f>
        <v/>
      </c>
      <c r="P109" s="4">
        <f>K109-N109/2</f>
        <v/>
      </c>
      <c r="Q109" s="4">
        <f>IF(MIN(Vin, -P109/(Coss_Q1+Coss_Q2)*0.00000002)&lt;0, 0, MIN(Vin, -P109/(Coss_Q1+Coss_Q2)*0.00000002))</f>
        <v/>
      </c>
      <c r="R109" s="4">
        <f>SQRT(K109^2+(N109^2)/12)</f>
        <v/>
      </c>
      <c r="S109" s="982">
        <f>R109^2*Rdcr</f>
        <v/>
      </c>
      <c r="T109" s="982">
        <f>Core_Loss_Ch1</f>
        <v/>
      </c>
      <c r="U109" s="982">
        <f>(T109+S109*(1+Ltc*(Ta-25)))/(1-S109*Ltc*ThetaCa)</f>
        <v/>
      </c>
      <c r="V109" s="4">
        <f>N109/SQRT(12)</f>
        <v/>
      </c>
      <c r="W109" s="982">
        <f>RCoutEsr*V109^2</f>
        <v/>
      </c>
      <c r="X109" s="982">
        <f>W109</f>
        <v/>
      </c>
      <c r="Y109" s="4">
        <f>SQRT(M109*(1-M109))*SQRT(K109^2+(N109^2)/12)</f>
        <v/>
      </c>
      <c r="Z109" s="982">
        <f>RCinEsr*Y109^2</f>
        <v/>
      </c>
      <c r="AA109" s="1078">
        <f>Z109</f>
        <v/>
      </c>
      <c r="AB109" s="982">
        <f>SQRT(M109)*SQRT(K109^2+(N109^2)/12)</f>
        <v/>
      </c>
      <c r="AC109" s="982">
        <f>Rdson1*AB109^2</f>
        <v/>
      </c>
      <c r="AD109" s="982">
        <f>(Vin*K109/2)*Fsw*(Tr_buck+Tf_buck)</f>
        <v/>
      </c>
      <c r="AE109" s="982">
        <f>(0.5*Coss_Q1*(Vin-Q109)^2-0.5*Coss_Q2*(Vin-Q109)^2+(Qoss_Q2*(Vin-Q109)/Vin)*Vin)*Fsw</f>
        <v/>
      </c>
      <c r="AF109" s="982">
        <f>IF(K109&gt;N109/2,0,ABS(K109-N109/2)*Vsd_Q1*Deadtime*Fsw)</f>
        <v/>
      </c>
      <c r="AG109" s="982">
        <f>(AF109+AE109+AD109+AC109*(1+RdsonTopTc*Ta-RdsonTopTc*25))/(1-AC109*RdsonTopTc*ThetaJA_Q1)</f>
        <v/>
      </c>
      <c r="AH109" s="982">
        <f>SQRT((1-M109))*SQRT(K109^2+(N109^2)/12)</f>
        <v/>
      </c>
      <c r="AI109" s="982">
        <f>Rdson2*AH109^2</f>
        <v/>
      </c>
      <c r="AJ109" s="982">
        <f>IF(K109&lt;N109/2,Deadtime*Fsw*IF(VfdSky_Q2&gt;0,0,Vsd_Q2)*(K109+N109/2),2*Deadtime*Fsw*IF(VfdSky_Q2&gt;0,0,Vsd_Q2)*K109)</f>
        <v/>
      </c>
      <c r="AK109" s="982">
        <f>(AJ109+AI109*(1+RdsonBotTc*Ta-RdsonBotTc*25))/(1-AI109*RdsonBotTc*ThetaJA_Q2)</f>
        <v/>
      </c>
      <c r="AL109" s="982">
        <f>2*Deadtime*Fsw*IF(VfdSky_Q2&gt;0,VfdSky_Q2,Vsd_Q2)*K109</f>
        <v/>
      </c>
      <c r="AM109" s="982">
        <f>IF(QrrSky_Q2&gt;0,QrrSky_Q2,Qrr_Q2*K109/(Iout/Number_of_Phases))*Fsw*Vin</f>
        <v/>
      </c>
      <c r="AN109" s="982">
        <f>Rs*R109^2</f>
        <v/>
      </c>
      <c r="AO109" s="982">
        <f>Iq*Vin</f>
        <v/>
      </c>
      <c r="AP109" s="982">
        <f>IF(Ext_VCC=1, (Qg_Q1+Qg_Q2)*Fsw*VCC, (Qg_Q1+Qg_Q2)*Fsw*Vin)</f>
        <v/>
      </c>
      <c r="AQ109" s="982">
        <f>(Vin-VCC)*Fsw*(Qg_Q1+Qg_Q2)+(RdsonDRT+RdsonDRT2)*Fsw*Qg_Q1*VCC/(RdsonDRT+2*Rgate1+RdsonDRT2)+(RdsonDRB+RdsonDRB2)*Fsw*Qg_Q2*VCC/(RdsonDRB+2*Rgate2+RdsonDRB2)</f>
        <v/>
      </c>
      <c r="AR109" s="982">
        <f>(Qg_Q1+Qg_Q2)*Fsw*(Vin-VCC)</f>
        <v/>
      </c>
      <c r="AS109" s="982">
        <f>SUM(AO109:AP109)</f>
        <v/>
      </c>
      <c r="AT109" s="982">
        <f> SUM(U109,X109,AA109,AG109,AK109,AL109,AM109,AS109,AN109)</f>
        <v/>
      </c>
      <c r="AU109">
        <f>Vout*K109</f>
        <v/>
      </c>
      <c r="AV109" s="1079">
        <f>AU109/(AU109+AT109)</f>
        <v/>
      </c>
      <c r="AW109" s="1080">
        <f>ThetaJA_Q1*BC109</f>
        <v/>
      </c>
      <c r="AX109" s="1080">
        <f>ThetaJA_Q2*BD109</f>
        <v/>
      </c>
      <c r="AY109" s="9" t="n"/>
      <c r="AZ109" s="4">
        <f>AV109*100</f>
        <v/>
      </c>
      <c r="BA109" s="982">
        <f>U109</f>
        <v/>
      </c>
      <c r="BB109" s="982">
        <f>AG109+AK109+AM109</f>
        <v/>
      </c>
      <c r="BC109" s="982">
        <f>AG109+AM109*0.66</f>
        <v/>
      </c>
      <c r="BD109" s="982">
        <f>AK109+AM109*0.33</f>
        <v/>
      </c>
      <c r="BE109" s="982">
        <f>AN109</f>
        <v/>
      </c>
      <c r="BK109" s="18" t="n"/>
      <c r="BL109" s="19" t="n"/>
    </row>
    <row r="110">
      <c r="H110" s="531" t="n"/>
      <c r="I110" s="4" t="n"/>
      <c r="J110" s="4" t="n"/>
      <c r="L110" s="4" t="n"/>
      <c r="R110" s="982" t="n"/>
      <c r="S110" s="982" t="n"/>
      <c r="T110" s="982" t="n"/>
      <c r="U110" s="982" t="n"/>
      <c r="W110" s="982" t="n"/>
      <c r="X110" s="982" t="n"/>
      <c r="Y110" s="982" t="n"/>
      <c r="Z110" s="982" t="n"/>
      <c r="AA110" s="1078" t="n"/>
      <c r="AB110" s="982" t="n"/>
      <c r="AC110" s="982" t="n"/>
      <c r="AD110" s="982" t="n"/>
      <c r="AE110" s="982" t="n"/>
      <c r="AG110" s="982" t="n"/>
      <c r="AH110" s="982" t="n"/>
      <c r="AI110" s="982" t="n"/>
      <c r="AJ110" s="982" t="n"/>
      <c r="AK110" s="982" t="n"/>
      <c r="AL110" s="982" t="n"/>
      <c r="AM110" s="982" t="n"/>
      <c r="AN110" s="982" t="n"/>
      <c r="AO110" s="982" t="n"/>
      <c r="AP110" s="982" t="n"/>
      <c r="AQ110" s="982" t="n"/>
      <c r="AR110" s="982" t="n"/>
      <c r="AS110" s="982" t="n"/>
      <c r="AT110" s="982" t="n"/>
      <c r="AV110" s="1079" t="n"/>
      <c r="AW110" s="1080" t="n"/>
      <c r="AX110" s="1080" t="n"/>
      <c r="AY110" s="9" t="n"/>
      <c r="AZ110" s="975" t="n"/>
      <c r="BA110" s="982" t="n"/>
      <c r="BB110" s="982" t="n"/>
      <c r="BC110" s="982" t="n"/>
      <c r="BD110" s="982" t="n"/>
      <c r="BE110" s="982" t="n"/>
    </row>
    <row r="111">
      <c r="H111" s="531" t="n"/>
      <c r="I111" s="4" t="n"/>
      <c r="J111" s="4" t="n"/>
      <c r="L111" s="4" t="n"/>
      <c r="R111" s="982" t="n"/>
      <c r="S111" s="982" t="n"/>
      <c r="T111" s="982" t="n"/>
      <c r="U111" s="982" t="n"/>
      <c r="W111" s="982" t="n"/>
      <c r="X111" s="982" t="n"/>
      <c r="Y111" s="982" t="n"/>
      <c r="Z111" s="982" t="n"/>
      <c r="AA111" s="1078" t="n"/>
      <c r="AB111" s="982" t="n"/>
      <c r="AC111" s="982" t="n"/>
      <c r="AD111" s="982" t="n"/>
      <c r="AE111" s="982" t="n"/>
      <c r="AG111" s="982" t="n"/>
      <c r="AH111" s="982" t="n"/>
      <c r="AI111" s="982" t="n"/>
      <c r="AJ111" s="982" t="n"/>
      <c r="AK111" s="982" t="n"/>
      <c r="AL111" s="982" t="n"/>
      <c r="AM111" s="982" t="n"/>
      <c r="AN111" s="982" t="n"/>
      <c r="AO111" s="982" t="n"/>
      <c r="AP111" s="982" t="n"/>
      <c r="AQ111" s="982" t="n"/>
      <c r="AR111" s="982" t="n"/>
      <c r="AS111" s="982" t="n"/>
      <c r="AT111" s="982" t="n"/>
      <c r="AV111" s="1079" t="n"/>
      <c r="AW111" s="1080" t="n"/>
      <c r="AX111" s="1080" t="n"/>
      <c r="AY111" s="9" t="n"/>
      <c r="AZ111" s="975" t="n"/>
      <c r="BA111" s="982" t="n"/>
      <c r="BB111" s="982" t="n"/>
      <c r="BC111" s="982" t="n"/>
      <c r="BD111" s="982" t="n"/>
      <c r="BE111" s="982" t="n"/>
    </row>
    <row r="112">
      <c r="H112" s="531" t="n"/>
      <c r="I112" s="4" t="n"/>
      <c r="J112" s="4" t="n"/>
      <c r="L112" s="4" t="n"/>
      <c r="R112" s="982" t="n"/>
      <c r="S112" s="982" t="n"/>
      <c r="T112" s="982" t="n"/>
      <c r="U112" s="982" t="n"/>
      <c r="W112" s="982" t="n"/>
      <c r="X112" s="982" t="n"/>
      <c r="Y112" s="982" t="n"/>
      <c r="Z112" s="982" t="n"/>
      <c r="AA112" s="1078" t="n"/>
      <c r="AB112" s="982" t="n"/>
      <c r="AC112" s="982" t="n"/>
      <c r="AD112" s="982" t="n"/>
      <c r="AE112" s="982" t="n"/>
      <c r="AG112" s="982" t="n"/>
      <c r="AH112" s="982" t="n"/>
      <c r="AI112" s="982" t="n"/>
      <c r="AJ112" s="982" t="n"/>
      <c r="AK112" s="982" t="n"/>
      <c r="AL112" s="982" t="n"/>
      <c r="AM112" s="982" t="n"/>
      <c r="AN112" s="982" t="n"/>
      <c r="AO112" s="982" t="n"/>
      <c r="AP112" s="982" t="n"/>
      <c r="AQ112" s="982" t="n"/>
      <c r="AR112" s="982" t="n"/>
      <c r="AS112" s="982" t="n"/>
      <c r="AT112" s="982" t="n"/>
      <c r="AV112" s="1079" t="n"/>
      <c r="AW112" s="1080" t="n"/>
      <c r="AX112" s="1080" t="n"/>
      <c r="AY112" s="9" t="n"/>
      <c r="AZ112" s="975" t="n"/>
      <c r="BA112" s="982" t="n"/>
      <c r="BB112" s="982" t="n"/>
      <c r="BC112" s="982" t="n"/>
      <c r="BD112" s="982" t="n"/>
      <c r="BE112" s="982" t="n"/>
    </row>
    <row r="113">
      <c r="H113" s="531" t="n"/>
      <c r="I113" s="4" t="n"/>
      <c r="J113" s="4" t="n"/>
      <c r="L113" s="4" t="n"/>
      <c r="R113" s="982" t="n"/>
      <c r="S113" s="982" t="n"/>
      <c r="T113" s="982" t="n"/>
      <c r="U113" s="982" t="n"/>
      <c r="W113" s="982" t="n"/>
      <c r="X113" s="982" t="n"/>
      <c r="Y113" s="982" t="n"/>
      <c r="Z113" s="982" t="n"/>
      <c r="AA113" s="1078" t="n"/>
      <c r="AB113" s="982" t="n"/>
      <c r="AC113" s="982" t="n"/>
      <c r="AD113" s="982" t="n"/>
      <c r="AE113" s="982" t="n"/>
      <c r="AG113" s="982" t="n"/>
      <c r="AH113" s="982" t="n"/>
      <c r="AI113" s="982" t="n"/>
      <c r="AJ113" s="982" t="n"/>
      <c r="AK113" s="982" t="n"/>
      <c r="AL113" s="982" t="n"/>
      <c r="AM113" s="982" t="n"/>
      <c r="AN113" s="982" t="n"/>
      <c r="AO113" s="982" t="n"/>
      <c r="AP113" s="982" t="n"/>
      <c r="AQ113" s="982" t="n"/>
      <c r="AR113" s="982" t="n"/>
      <c r="AS113" s="982" t="n"/>
      <c r="AT113" s="982" t="n"/>
      <c r="AV113" s="1079" t="n"/>
      <c r="AW113" s="1080" t="n"/>
      <c r="AX113" s="1080" t="n"/>
      <c r="AY113" s="9" t="n"/>
      <c r="AZ113" s="975" t="n"/>
      <c r="BA113" s="982" t="n"/>
      <c r="BB113" s="982" t="n"/>
      <c r="BC113" s="982" t="n"/>
      <c r="BD113" s="982" t="n"/>
      <c r="BE113" s="982" t="n"/>
    </row>
    <row r="114">
      <c r="H114" s="531" t="n"/>
      <c r="I114" s="4" t="n"/>
      <c r="J114" s="4" t="n"/>
      <c r="L114" s="4" t="n"/>
      <c r="R114" s="982" t="n"/>
      <c r="S114" s="982" t="n"/>
      <c r="T114" s="982" t="n"/>
      <c r="U114" s="982" t="n"/>
      <c r="W114" s="982" t="n"/>
      <c r="X114" s="982" t="n"/>
      <c r="Y114" s="982" t="n"/>
      <c r="Z114" s="982" t="n"/>
      <c r="AA114" s="1078" t="n"/>
      <c r="AB114" s="982" t="n"/>
      <c r="AC114" s="982" t="n"/>
      <c r="AD114" s="982" t="n"/>
      <c r="AE114" s="982" t="n"/>
      <c r="AG114" s="982" t="n"/>
      <c r="AH114" s="982" t="n"/>
      <c r="AI114" s="982" t="n"/>
      <c r="AJ114" s="982" t="n"/>
      <c r="AK114" s="982" t="n"/>
      <c r="AL114" s="982" t="n"/>
      <c r="AM114" s="982" t="n"/>
      <c r="AN114" s="982" t="n"/>
      <c r="AO114" s="982" t="n"/>
      <c r="AP114" s="982" t="n"/>
      <c r="AQ114" s="982" t="n"/>
      <c r="AR114" s="982" t="n"/>
      <c r="AS114" s="982" t="n"/>
      <c r="AT114" s="982" t="n"/>
      <c r="AV114" s="1079" t="n"/>
      <c r="AW114" s="1080" t="n"/>
      <c r="AX114" s="1080" t="n"/>
      <c r="AY114" s="9" t="n"/>
      <c r="AZ114" s="975" t="n"/>
      <c r="BA114" s="982" t="n"/>
      <c r="BB114" s="982" t="n"/>
      <c r="BC114" s="982" t="n"/>
      <c r="BD114" s="982" t="n"/>
      <c r="BE114" s="982" t="n"/>
    </row>
    <row r="115">
      <c r="H115" s="531" t="n"/>
      <c r="I115" s="4" t="n"/>
      <c r="J115" s="4" t="n"/>
      <c r="L115" s="4" t="n"/>
      <c r="R115" s="982" t="n"/>
      <c r="S115" s="982" t="n"/>
      <c r="T115" s="982" t="n"/>
      <c r="U115" s="982" t="n"/>
      <c r="W115" s="982" t="n"/>
      <c r="X115" s="982" t="n"/>
      <c r="Y115" s="982" t="n"/>
      <c r="Z115" s="982" t="n"/>
      <c r="AA115" s="1078" t="n"/>
      <c r="AB115" s="982" t="n"/>
      <c r="AC115" s="982" t="n"/>
      <c r="AD115" s="982" t="n"/>
      <c r="AE115" s="982" t="n"/>
      <c r="AG115" s="982" t="n"/>
      <c r="AH115" s="982" t="n"/>
      <c r="AI115" s="982" t="n"/>
      <c r="AJ115" s="982" t="n"/>
      <c r="AK115" s="982" t="n"/>
      <c r="AL115" s="982" t="n"/>
      <c r="AM115" s="982" t="n"/>
      <c r="AN115" s="982" t="n"/>
      <c r="AO115" s="982" t="n"/>
      <c r="AP115" s="982" t="n"/>
      <c r="AQ115" s="982" t="n"/>
      <c r="AR115" s="982" t="n"/>
      <c r="AS115" s="982" t="n"/>
      <c r="AT115" s="982" t="n"/>
      <c r="AV115" s="1079" t="n"/>
      <c r="AW115" s="1080" t="n"/>
      <c r="AX115" s="1080" t="n"/>
      <c r="AY115" s="9" t="n"/>
      <c r="AZ115" s="975" t="n"/>
      <c r="BA115" s="982" t="n"/>
      <c r="BB115" s="982" t="n"/>
      <c r="BC115" s="982" t="n"/>
      <c r="BD115" s="982" t="n"/>
      <c r="BE115" s="982" t="n"/>
    </row>
    <row r="116">
      <c r="H116" s="531" t="n"/>
      <c r="I116" s="4" t="n"/>
      <c r="J116" s="4" t="n"/>
      <c r="L116" s="4" t="n"/>
      <c r="R116" s="982" t="n"/>
      <c r="S116" s="982" t="n"/>
      <c r="T116" s="982" t="n"/>
      <c r="U116" s="982" t="n"/>
      <c r="W116" s="982" t="n"/>
      <c r="X116" s="982" t="n"/>
      <c r="Y116" s="982" t="n"/>
      <c r="Z116" s="982" t="n"/>
      <c r="AA116" s="1078" t="n"/>
      <c r="AB116" s="982" t="n"/>
      <c r="AC116" s="982" t="n"/>
      <c r="AD116" s="982" t="n"/>
      <c r="AE116" s="982" t="n"/>
      <c r="AG116" s="982" t="n"/>
      <c r="AH116" s="982" t="n"/>
      <c r="AI116" s="982" t="n"/>
      <c r="AJ116" s="982" t="n"/>
      <c r="AK116" s="982" t="n"/>
      <c r="AL116" s="982" t="n"/>
      <c r="AM116" s="982" t="n"/>
      <c r="AN116" s="982" t="n"/>
      <c r="AO116" s="982" t="n"/>
      <c r="AP116" s="982" t="n"/>
      <c r="AQ116" s="982" t="n"/>
      <c r="AR116" s="982" t="n"/>
      <c r="AS116" s="982" t="n"/>
      <c r="AT116" s="982" t="n"/>
      <c r="AV116" s="1079" t="n"/>
      <c r="AW116" s="1080" t="n"/>
      <c r="AX116" s="1080" t="n"/>
      <c r="AY116" s="9" t="n"/>
      <c r="AZ116" s="975" t="n"/>
      <c r="BA116" s="982" t="n"/>
      <c r="BB116" s="982" t="n"/>
      <c r="BC116" s="982" t="n"/>
      <c r="BD116" s="982" t="n"/>
      <c r="BE116" s="982" t="n"/>
    </row>
    <row r="117">
      <c r="H117" s="531" t="n"/>
      <c r="I117" s="4" t="n"/>
      <c r="J117" s="4" t="n"/>
      <c r="L117" s="4" t="n"/>
      <c r="R117" s="982" t="n"/>
      <c r="S117" s="982" t="n"/>
      <c r="T117" s="982" t="n"/>
      <c r="U117" s="982" t="n"/>
      <c r="W117" s="982" t="n"/>
      <c r="X117" s="982" t="n"/>
      <c r="Y117" s="982" t="n"/>
      <c r="Z117" s="982" t="n"/>
      <c r="AA117" s="1078" t="n"/>
      <c r="AB117" s="982" t="n"/>
      <c r="AC117" s="982" t="n"/>
      <c r="AD117" s="982" t="n"/>
      <c r="AE117" s="982" t="n"/>
      <c r="AG117" s="982" t="n"/>
      <c r="AH117" s="982" t="n"/>
      <c r="AI117" s="982" t="n"/>
      <c r="AJ117" s="982" t="n"/>
      <c r="AK117" s="982" t="n"/>
      <c r="AL117" s="982" t="n"/>
      <c r="AM117" s="982" t="n"/>
      <c r="AN117" s="982" t="n"/>
      <c r="AO117" s="982" t="n"/>
      <c r="AP117" s="982" t="n"/>
      <c r="AQ117" s="982" t="n"/>
      <c r="AR117" s="982" t="n"/>
      <c r="AS117" s="982" t="n"/>
      <c r="AT117" s="982" t="n"/>
      <c r="AV117" s="1079" t="n"/>
      <c r="AW117" s="1080" t="n"/>
      <c r="AX117" s="1080" t="n"/>
      <c r="AY117" s="9" t="n"/>
      <c r="AZ117" s="975" t="n"/>
      <c r="BA117" s="982" t="n"/>
      <c r="BB117" s="982" t="n"/>
      <c r="BC117" s="982" t="n"/>
      <c r="BD117" s="982" t="n"/>
      <c r="BE117" s="982" t="n"/>
    </row>
    <row r="118">
      <c r="H118" s="531" t="n"/>
      <c r="I118" s="4" t="n"/>
      <c r="J118" s="4" t="n"/>
      <c r="L118" s="4" t="n"/>
      <c r="R118" s="982" t="n"/>
      <c r="S118" s="982" t="n"/>
      <c r="T118" s="982" t="n"/>
      <c r="U118" s="982" t="n"/>
      <c r="W118" s="982" t="n"/>
      <c r="X118" s="982" t="n"/>
      <c r="Y118" s="982" t="n"/>
      <c r="Z118" s="982" t="n"/>
      <c r="AA118" s="1078" t="n"/>
      <c r="AB118" s="982" t="n"/>
      <c r="AC118" s="982" t="n"/>
      <c r="AD118" s="982" t="n"/>
      <c r="AE118" s="982" t="n"/>
      <c r="AG118" s="982" t="n"/>
      <c r="AH118" s="982" t="n"/>
      <c r="AI118" s="982" t="n"/>
      <c r="AJ118" s="982" t="n"/>
      <c r="AK118" s="982" t="n"/>
      <c r="AL118" s="982" t="n"/>
      <c r="AM118" s="982" t="n"/>
      <c r="AN118" s="982" t="n"/>
      <c r="AO118" s="982" t="n"/>
      <c r="AP118" s="982" t="n"/>
      <c r="AQ118" s="982" t="n"/>
      <c r="AR118" s="982" t="n"/>
      <c r="AS118" s="982" t="n"/>
      <c r="AT118" s="982" t="n"/>
      <c r="AV118" s="1079" t="n"/>
      <c r="AW118" s="1080" t="n"/>
      <c r="AX118" s="1080" t="n"/>
      <c r="AY118" s="9" t="n"/>
      <c r="AZ118" s="975" t="n"/>
      <c r="BA118" s="982" t="n"/>
      <c r="BB118" s="982" t="n"/>
      <c r="BC118" s="982" t="n"/>
      <c r="BD118" s="982" t="n"/>
      <c r="BE118" s="982" t="n"/>
    </row>
    <row r="119">
      <c r="H119" s="531" t="n"/>
      <c r="I119" s="4" t="n"/>
      <c r="J119" s="4" t="n"/>
      <c r="L119" s="4" t="n"/>
      <c r="R119" s="982" t="n"/>
      <c r="S119" s="982" t="n"/>
      <c r="T119" s="982" t="n"/>
      <c r="U119" s="982" t="n"/>
      <c r="W119" s="982" t="n"/>
      <c r="X119" s="982" t="n"/>
      <c r="Y119" s="982" t="n"/>
      <c r="Z119" s="982" t="n"/>
      <c r="AA119" s="1078" t="n"/>
      <c r="AB119" s="982" t="n"/>
      <c r="AC119" s="982" t="n"/>
      <c r="AD119" s="982" t="n"/>
      <c r="AE119" s="982" t="n"/>
      <c r="AG119" s="982" t="n"/>
      <c r="AH119" s="982" t="n"/>
      <c r="AI119" s="982" t="n"/>
      <c r="AJ119" s="982" t="n"/>
      <c r="AK119" s="982" t="n"/>
      <c r="AL119" s="982" t="n"/>
      <c r="AM119" s="982" t="n"/>
      <c r="AN119" s="982" t="n"/>
      <c r="AO119" s="982" t="n"/>
      <c r="AP119" s="982" t="n"/>
      <c r="AQ119" s="982" t="n"/>
      <c r="AR119" s="982" t="n"/>
      <c r="AS119" s="982" t="n"/>
      <c r="AT119" s="982" t="n"/>
      <c r="AV119" s="1079" t="n"/>
      <c r="AW119" s="1080" t="n"/>
      <c r="AX119" s="1080" t="n"/>
      <c r="AY119" s="9" t="n"/>
      <c r="AZ119" s="975" t="n"/>
      <c r="BA119" s="982" t="n"/>
      <c r="BB119" s="982" t="n"/>
      <c r="BC119" s="982" t="n"/>
      <c r="BD119" s="982" t="n"/>
      <c r="BE119" s="982" t="n"/>
    </row>
    <row r="120">
      <c r="H120" s="531" t="n"/>
      <c r="I120" s="4" t="n"/>
      <c r="J120" s="4" t="n"/>
      <c r="L120" s="4" t="n"/>
      <c r="R120" s="982" t="n"/>
      <c r="S120" s="982" t="n"/>
      <c r="T120" s="982" t="n"/>
      <c r="U120" s="982" t="n"/>
      <c r="W120" s="982" t="n"/>
      <c r="X120" s="982" t="n"/>
      <c r="Y120" s="982" t="n"/>
      <c r="Z120" s="982" t="n"/>
      <c r="AA120" s="1078" t="n"/>
      <c r="AB120" s="982" t="n"/>
      <c r="AC120" s="982" t="n"/>
      <c r="AD120" s="982" t="n"/>
      <c r="AE120" s="982" t="n"/>
      <c r="AG120" s="982" t="n"/>
      <c r="AH120" s="982" t="n"/>
      <c r="AI120" s="982" t="n"/>
      <c r="AJ120" s="982" t="n"/>
      <c r="AK120" s="982" t="n"/>
      <c r="AL120" s="982" t="n"/>
      <c r="AM120" s="982" t="n"/>
      <c r="AN120" s="982" t="n"/>
      <c r="AO120" s="982" t="n"/>
      <c r="AP120" s="982" t="n"/>
      <c r="AQ120" s="982" t="n"/>
      <c r="AR120" s="982" t="n"/>
      <c r="AS120" s="982" t="n"/>
      <c r="AT120" s="982" t="n"/>
      <c r="AV120" s="1079" t="n"/>
      <c r="AW120" s="1080" t="n"/>
      <c r="AX120" s="1080" t="n"/>
      <c r="AY120" s="9" t="n"/>
      <c r="AZ120" s="975" t="n"/>
      <c r="BA120" s="982" t="n"/>
      <c r="BB120" s="982" t="n"/>
      <c r="BC120" s="982" t="n"/>
      <c r="BD120" s="982" t="n"/>
      <c r="BE120" s="982" t="n"/>
    </row>
    <row r="121">
      <c r="H121" s="531" t="n"/>
      <c r="I121" s="4" t="n"/>
      <c r="J121" s="4" t="n"/>
      <c r="L121" s="4" t="n"/>
      <c r="R121" s="982" t="n"/>
      <c r="S121" s="982" t="n"/>
      <c r="T121" s="982" t="n"/>
      <c r="U121" s="982" t="n"/>
      <c r="W121" s="982" t="n"/>
      <c r="X121" s="982" t="n"/>
      <c r="Y121" s="982" t="n"/>
      <c r="Z121" s="982" t="n"/>
      <c r="AA121" s="1078" t="n"/>
      <c r="AB121" s="982" t="n"/>
      <c r="AC121" s="982" t="n"/>
      <c r="AD121" s="982" t="n"/>
      <c r="AE121" s="982" t="n"/>
      <c r="AG121" s="982" t="n"/>
      <c r="AH121" s="982" t="n"/>
      <c r="AI121" s="982" t="n"/>
      <c r="AJ121" s="982" t="n"/>
      <c r="AK121" s="982" t="n"/>
      <c r="AL121" s="982" t="n"/>
      <c r="AM121" s="982" t="n"/>
      <c r="AN121" s="982" t="n"/>
      <c r="AO121" s="982" t="n"/>
      <c r="AP121" s="982" t="n"/>
      <c r="AQ121" s="982" t="n"/>
      <c r="AR121" s="982" t="n"/>
      <c r="AS121" s="982" t="n"/>
      <c r="AT121" s="982" t="n"/>
      <c r="AV121" s="1079" t="n"/>
      <c r="AW121" s="1080" t="n"/>
      <c r="AX121" s="1080" t="n"/>
      <c r="AY121" s="9" t="n"/>
      <c r="AZ121" s="975" t="n"/>
      <c r="BA121" s="982" t="n"/>
      <c r="BB121" s="982" t="n"/>
      <c r="BC121" s="982" t="n"/>
      <c r="BD121" s="982" t="n"/>
      <c r="BE121" s="982" t="n"/>
    </row>
    <row r="122">
      <c r="H122" s="531" t="n"/>
      <c r="I122" s="4" t="n"/>
      <c r="J122" s="4" t="n"/>
      <c r="L122" s="4" t="n"/>
      <c r="R122" s="982" t="n"/>
      <c r="S122" s="982" t="n"/>
      <c r="T122" s="982" t="n"/>
      <c r="U122" s="982" t="n"/>
      <c r="W122" s="982" t="n"/>
      <c r="X122" s="982" t="n"/>
      <c r="Y122" s="982" t="n"/>
      <c r="Z122" s="982" t="n"/>
      <c r="AA122" s="1078" t="n"/>
      <c r="AB122" s="982" t="n"/>
      <c r="AC122" s="982" t="n"/>
      <c r="AD122" s="982" t="n"/>
      <c r="AE122" s="982" t="n"/>
      <c r="AG122" s="982" t="n"/>
      <c r="AH122" s="982" t="n"/>
      <c r="AI122" s="982" t="n"/>
      <c r="AJ122" s="982" t="n"/>
      <c r="AK122" s="982" t="n"/>
      <c r="AL122" s="982" t="n"/>
      <c r="AM122" s="982" t="n"/>
      <c r="AN122" s="982" t="n"/>
      <c r="AO122" s="982" t="n"/>
      <c r="AP122" s="982" t="n"/>
      <c r="AQ122" s="982" t="n"/>
      <c r="AR122" s="982" t="n"/>
      <c r="AS122" s="982" t="n"/>
      <c r="AT122" s="982" t="n"/>
      <c r="AV122" s="1079" t="n"/>
      <c r="AW122" s="1080" t="n"/>
      <c r="AX122" s="1080" t="n"/>
      <c r="AY122" s="9" t="n"/>
      <c r="AZ122" s="975" t="n"/>
      <c r="BA122" s="982" t="n"/>
      <c r="BB122" s="982" t="n"/>
      <c r="BC122" s="982" t="n"/>
      <c r="BD122" s="982" t="n"/>
      <c r="BE122" s="982" t="n"/>
    </row>
    <row r="123">
      <c r="H123" s="531" t="n"/>
      <c r="I123" s="4" t="n"/>
      <c r="J123" s="4" t="n"/>
      <c r="L123" s="4" t="n"/>
      <c r="R123" s="982" t="n"/>
      <c r="S123" s="982" t="n"/>
      <c r="T123" s="982" t="n"/>
      <c r="U123" s="982" t="n"/>
      <c r="W123" s="982" t="n"/>
      <c r="X123" s="982" t="n"/>
      <c r="Y123" s="982" t="n"/>
      <c r="Z123" s="982" t="n"/>
      <c r="AA123" s="1078" t="n"/>
      <c r="AB123" s="982" t="n"/>
      <c r="AC123" s="982" t="n"/>
      <c r="AD123" s="982" t="n"/>
      <c r="AE123" s="982" t="n"/>
      <c r="AG123" s="982" t="n"/>
      <c r="AH123" s="982" t="n"/>
      <c r="AI123" s="982" t="n"/>
      <c r="AJ123" s="982" t="n"/>
      <c r="AK123" s="982" t="n"/>
      <c r="AL123" s="982" t="n"/>
      <c r="AM123" s="982" t="n"/>
      <c r="AN123" s="982" t="n"/>
      <c r="AO123" s="982" t="n"/>
      <c r="AP123" s="982" t="n"/>
      <c r="AQ123" s="982" t="n"/>
      <c r="AR123" s="982" t="n"/>
      <c r="AS123" s="982" t="n"/>
      <c r="AT123" s="982" t="n"/>
      <c r="AV123" s="1079" t="n"/>
      <c r="AW123" s="1080" t="n"/>
      <c r="AX123" s="1080" t="n"/>
      <c r="AY123" s="9" t="n"/>
      <c r="AZ123" s="975" t="n"/>
      <c r="BA123" s="982" t="n"/>
      <c r="BB123" s="982" t="n"/>
      <c r="BC123" s="982" t="n"/>
      <c r="BD123" s="982" t="n"/>
      <c r="BE123" s="982" t="n"/>
    </row>
    <row r="124">
      <c r="H124" s="531" t="n"/>
      <c r="I124" s="4" t="n"/>
      <c r="J124" s="4" t="n"/>
      <c r="L124" s="4" t="n"/>
      <c r="R124" s="982" t="n"/>
      <c r="S124" s="982" t="n"/>
      <c r="T124" s="982" t="n"/>
      <c r="U124" s="982" t="n"/>
      <c r="W124" s="982" t="n"/>
      <c r="X124" s="982" t="n"/>
      <c r="Y124" s="982" t="n"/>
      <c r="Z124" s="982" t="n"/>
      <c r="AA124" s="1078" t="n"/>
      <c r="AB124" s="982" t="n"/>
      <c r="AC124" s="982" t="n"/>
      <c r="AD124" s="982" t="n"/>
      <c r="AE124" s="982" t="n"/>
      <c r="AG124" s="982" t="n"/>
      <c r="AH124" s="982" t="n"/>
      <c r="AI124" s="982" t="n"/>
      <c r="AJ124" s="982" t="n"/>
      <c r="AK124" s="982" t="n"/>
      <c r="AL124" s="982" t="n"/>
      <c r="AM124" s="982" t="n"/>
      <c r="AN124" s="982" t="n"/>
      <c r="AO124" s="982" t="n"/>
      <c r="AP124" s="982" t="n"/>
      <c r="AQ124" s="982" t="n"/>
      <c r="AR124" s="982" t="n"/>
      <c r="AS124" s="982" t="n"/>
      <c r="AT124" s="982" t="n"/>
      <c r="AV124" s="1079" t="n"/>
      <c r="AW124" s="1080" t="n"/>
      <c r="AX124" s="1080" t="n"/>
      <c r="AY124" s="9" t="n"/>
      <c r="AZ124" s="975" t="n"/>
      <c r="BA124" s="982" t="n"/>
      <c r="BB124" s="982" t="n"/>
      <c r="BC124" s="982" t="n"/>
      <c r="BD124" s="982" t="n"/>
      <c r="BE124" s="982" t="n"/>
    </row>
    <row r="125">
      <c r="H125" s="531" t="n"/>
      <c r="I125" s="4" t="n"/>
      <c r="J125" s="4" t="n"/>
      <c r="L125" s="4" t="n"/>
      <c r="R125" s="982" t="n"/>
      <c r="S125" s="982" t="n"/>
      <c r="T125" s="982" t="n"/>
      <c r="U125" s="982" t="n"/>
      <c r="W125" s="982" t="n"/>
      <c r="X125" s="982" t="n"/>
      <c r="Y125" s="982" t="n"/>
      <c r="Z125" s="982" t="n"/>
      <c r="AA125" s="1078" t="n"/>
      <c r="AB125" s="982" t="n"/>
      <c r="AC125" s="982" t="n"/>
      <c r="AD125" s="982" t="n"/>
      <c r="AE125" s="982" t="n"/>
      <c r="AG125" s="982" t="n"/>
      <c r="AH125" s="982" t="n"/>
      <c r="AI125" s="982" t="n"/>
      <c r="AJ125" s="982" t="n"/>
      <c r="AK125" s="982" t="n"/>
      <c r="AL125" s="982" t="n"/>
      <c r="AM125" s="982" t="n"/>
      <c r="AN125" s="982" t="n"/>
      <c r="AO125" s="982" t="n"/>
      <c r="AP125" s="982" t="n"/>
      <c r="AQ125" s="982" t="n"/>
      <c r="AR125" s="982" t="n"/>
      <c r="AS125" s="982" t="n"/>
      <c r="AT125" s="982" t="n"/>
      <c r="AV125" s="1079" t="n"/>
      <c r="AW125" s="1080" t="n"/>
      <c r="AX125" s="1080" t="n"/>
      <c r="AY125" s="9" t="n"/>
      <c r="AZ125" s="975" t="n"/>
      <c r="BA125" s="982" t="n"/>
      <c r="BB125" s="982" t="n"/>
      <c r="BC125" s="982" t="n"/>
      <c r="BD125" s="982" t="n"/>
      <c r="BE125" s="982" t="n"/>
    </row>
    <row r="126">
      <c r="H126" s="531" t="n"/>
      <c r="I126" s="4" t="n"/>
      <c r="J126" s="4" t="n"/>
      <c r="L126" s="4" t="n"/>
      <c r="R126" s="982" t="n"/>
      <c r="S126" s="982" t="n"/>
      <c r="T126" s="982" t="n"/>
      <c r="U126" s="982" t="n"/>
      <c r="W126" s="982" t="n"/>
      <c r="X126" s="982" t="n"/>
      <c r="Y126" s="982" t="n"/>
      <c r="Z126" s="982" t="n"/>
      <c r="AA126" s="1078" t="n"/>
      <c r="AB126" s="982" t="n"/>
      <c r="AC126" s="982" t="n"/>
      <c r="AD126" s="982" t="n"/>
      <c r="AE126" s="982" t="n"/>
      <c r="AG126" s="982" t="n"/>
      <c r="AH126" s="982" t="n"/>
      <c r="AI126" s="982" t="n"/>
      <c r="AJ126" s="982" t="n"/>
      <c r="AK126" s="982" t="n"/>
      <c r="AL126" s="982" t="n"/>
      <c r="AM126" s="982" t="n"/>
      <c r="AN126" s="982" t="n"/>
      <c r="AO126" s="982" t="n"/>
      <c r="AP126" s="982" t="n"/>
      <c r="AQ126" s="982" t="n"/>
      <c r="AR126" s="982" t="n"/>
      <c r="AS126" s="982" t="n"/>
      <c r="AT126" s="982" t="n"/>
      <c r="AV126" s="1079" t="n"/>
      <c r="AW126" s="1080" t="n"/>
      <c r="AX126" s="1080" t="n"/>
      <c r="AY126" s="9" t="n"/>
      <c r="AZ126" s="975" t="n"/>
      <c r="BA126" s="982" t="n"/>
      <c r="BB126" s="982" t="n"/>
      <c r="BC126" s="982" t="n"/>
      <c r="BD126" s="982" t="n"/>
      <c r="BE126" s="982" t="n"/>
    </row>
    <row r="127">
      <c r="H127" s="531" t="n"/>
      <c r="I127" s="4" t="n"/>
      <c r="J127" s="4" t="n"/>
      <c r="L127" s="4" t="n"/>
      <c r="R127" s="982" t="n"/>
      <c r="S127" s="982" t="n"/>
      <c r="T127" s="982" t="n"/>
      <c r="U127" s="982" t="n"/>
      <c r="W127" s="982" t="n"/>
      <c r="X127" s="982" t="n"/>
      <c r="Y127" s="982" t="n"/>
      <c r="Z127" s="982" t="n"/>
      <c r="AA127" s="1078" t="n"/>
      <c r="AB127" s="982" t="n"/>
      <c r="AC127" s="982" t="n"/>
      <c r="AD127" s="982" t="n"/>
      <c r="AE127" s="982" t="n"/>
      <c r="AG127" s="982" t="n"/>
      <c r="AH127" s="982" t="n"/>
      <c r="AI127" s="982" t="n"/>
      <c r="AJ127" s="982" t="n"/>
      <c r="AK127" s="982" t="n"/>
      <c r="AL127" s="982" t="n"/>
      <c r="AM127" s="982" t="n"/>
      <c r="AN127" s="982" t="n"/>
      <c r="AO127" s="982" t="n"/>
      <c r="AP127" s="982" t="n"/>
      <c r="AQ127" s="982" t="n"/>
      <c r="AR127" s="982" t="n"/>
      <c r="AS127" s="982" t="n"/>
      <c r="AT127" s="982" t="n"/>
      <c r="AV127" s="1079" t="n"/>
      <c r="AW127" s="1080" t="n"/>
      <c r="AX127" s="1080" t="n"/>
      <c r="AY127" s="9" t="n"/>
      <c r="AZ127" s="975" t="n"/>
      <c r="BA127" s="982" t="n"/>
      <c r="BB127" s="982" t="n"/>
      <c r="BC127" s="982" t="n"/>
      <c r="BD127" s="982" t="n"/>
      <c r="BE127" s="982" t="n"/>
    </row>
    <row r="128">
      <c r="H128" s="531" t="n"/>
      <c r="I128" s="4" t="n"/>
      <c r="J128" s="4" t="n"/>
      <c r="L128" s="4" t="n"/>
      <c r="R128" s="982" t="n"/>
      <c r="S128" s="982" t="n"/>
      <c r="T128" s="982" t="n"/>
      <c r="U128" s="982" t="n"/>
      <c r="W128" s="982" t="n"/>
      <c r="X128" s="982" t="n"/>
      <c r="Y128" s="982" t="n"/>
      <c r="Z128" s="982" t="n"/>
      <c r="AA128" s="1078" t="n"/>
      <c r="AB128" s="982" t="n"/>
      <c r="AC128" s="982" t="n"/>
      <c r="AD128" s="982" t="n"/>
      <c r="AE128" s="982" t="n"/>
      <c r="AG128" s="982" t="n"/>
      <c r="AH128" s="982" t="n"/>
      <c r="AI128" s="982" t="n"/>
      <c r="AJ128" s="982" t="n"/>
      <c r="AK128" s="982" t="n"/>
      <c r="AL128" s="982" t="n"/>
      <c r="AM128" s="982" t="n"/>
      <c r="AN128" s="982" t="n"/>
      <c r="AO128" s="982" t="n"/>
      <c r="AP128" s="982" t="n"/>
      <c r="AQ128" s="982" t="n"/>
      <c r="AR128" s="982" t="n"/>
      <c r="AS128" s="982" t="n"/>
      <c r="AT128" s="982" t="n"/>
      <c r="AV128" s="1079" t="n"/>
      <c r="AW128" s="1080" t="n"/>
      <c r="AX128" s="1080" t="n"/>
      <c r="AY128" s="9" t="n"/>
      <c r="AZ128" s="975" t="n"/>
      <c r="BA128" s="982" t="n"/>
      <c r="BB128" s="982" t="n"/>
      <c r="BC128" s="982" t="n"/>
      <c r="BD128" s="982" t="n"/>
      <c r="BE128" s="982" t="n"/>
    </row>
    <row r="129">
      <c r="H129" s="531" t="n"/>
      <c r="I129" s="4" t="n"/>
      <c r="J129" s="4" t="n"/>
      <c r="L129" s="4" t="n"/>
      <c r="R129" s="982" t="n"/>
      <c r="S129" s="982" t="n"/>
      <c r="T129" s="982" t="n"/>
      <c r="U129" s="982" t="n"/>
      <c r="W129" s="982" t="n"/>
      <c r="X129" s="982" t="n"/>
      <c r="Y129" s="982" t="n"/>
      <c r="Z129" s="982" t="n"/>
      <c r="AA129" s="1078" t="n"/>
      <c r="AB129" s="982" t="n"/>
      <c r="AC129" s="982" t="n"/>
      <c r="AD129" s="982" t="n"/>
      <c r="AE129" s="982" t="n"/>
      <c r="AG129" s="982" t="n"/>
      <c r="AH129" s="982" t="n"/>
      <c r="AI129" s="982" t="n"/>
      <c r="AJ129" s="982" t="n"/>
      <c r="AK129" s="982" t="n"/>
      <c r="AL129" s="982" t="n"/>
      <c r="AM129" s="982" t="n"/>
      <c r="AN129" s="982" t="n"/>
      <c r="AO129" s="982" t="n"/>
      <c r="AP129" s="982" t="n"/>
      <c r="AQ129" s="982" t="n"/>
      <c r="AR129" s="982" t="n"/>
      <c r="AS129" s="982" t="n"/>
      <c r="AT129" s="982" t="n"/>
      <c r="AV129" s="1079" t="n"/>
      <c r="AW129" s="1080" t="n"/>
      <c r="AX129" s="1080" t="n"/>
      <c r="AY129" s="9" t="n"/>
      <c r="AZ129" s="975" t="n"/>
      <c r="BA129" s="982" t="n"/>
      <c r="BB129" s="982" t="n"/>
      <c r="BC129" s="982" t="n"/>
      <c r="BD129" s="982" t="n"/>
      <c r="BE129" s="982" t="n"/>
    </row>
    <row r="130">
      <c r="H130" s="531" t="n"/>
      <c r="I130" s="4" t="n"/>
      <c r="J130" s="4" t="n"/>
      <c r="L130" s="4" t="n"/>
      <c r="R130" s="982" t="n"/>
      <c r="S130" s="982" t="n"/>
      <c r="T130" s="982" t="n"/>
      <c r="U130" s="982" t="n"/>
      <c r="W130" s="982" t="n"/>
      <c r="X130" s="982" t="n"/>
      <c r="Y130" s="982" t="n"/>
      <c r="Z130" s="982" t="n"/>
      <c r="AA130" s="1078" t="n"/>
      <c r="AB130" s="982" t="n"/>
      <c r="AC130" s="982" t="n"/>
      <c r="AD130" s="982" t="n"/>
      <c r="AE130" s="982" t="n"/>
      <c r="AG130" s="982" t="n"/>
      <c r="AH130" s="982" t="n"/>
      <c r="AI130" s="982" t="n"/>
      <c r="AJ130" s="982" t="n"/>
      <c r="AK130" s="982" t="n"/>
      <c r="AL130" s="982" t="n"/>
      <c r="AM130" s="982" t="n"/>
      <c r="AN130" s="982" t="n"/>
      <c r="AO130" s="982" t="n"/>
      <c r="AP130" s="982" t="n"/>
      <c r="AQ130" s="982" t="n"/>
      <c r="AR130" s="982" t="n"/>
      <c r="AS130" s="982" t="n"/>
      <c r="AT130" s="982" t="n"/>
      <c r="AV130" s="1079" t="n"/>
      <c r="AW130" s="1080" t="n"/>
      <c r="AX130" s="1080" t="n"/>
      <c r="AY130" s="9" t="n"/>
      <c r="AZ130" s="975" t="n"/>
      <c r="BA130" s="982" t="n"/>
      <c r="BB130" s="982" t="n"/>
      <c r="BC130" s="982" t="n"/>
      <c r="BD130" s="982" t="n"/>
      <c r="BE130" s="982" t="n"/>
    </row>
    <row r="131">
      <c r="H131" s="531" t="n"/>
      <c r="I131" s="4" t="n"/>
      <c r="J131" s="4" t="n"/>
      <c r="L131" s="4" t="n"/>
      <c r="R131" s="982" t="n"/>
      <c r="S131" s="982" t="n"/>
      <c r="T131" s="982" t="n"/>
      <c r="U131" s="982" t="n"/>
      <c r="W131" s="982" t="n"/>
      <c r="X131" s="982" t="n"/>
      <c r="Y131" s="982" t="n"/>
      <c r="Z131" s="982" t="n"/>
      <c r="AA131" s="1078" t="n"/>
      <c r="AB131" s="982" t="n"/>
      <c r="AC131" s="982" t="n"/>
      <c r="AD131" s="982" t="n"/>
      <c r="AE131" s="982" t="n"/>
      <c r="AG131" s="982" t="n"/>
      <c r="AH131" s="982" t="n"/>
      <c r="AI131" s="982" t="n"/>
      <c r="AJ131" s="982" t="n"/>
      <c r="AK131" s="982" t="n"/>
      <c r="AL131" s="982" t="n"/>
      <c r="AM131" s="982" t="n"/>
      <c r="AN131" s="982" t="n"/>
      <c r="AO131" s="982" t="n"/>
      <c r="AP131" s="982" t="n"/>
      <c r="AQ131" s="982" t="n"/>
      <c r="AR131" s="982" t="n"/>
      <c r="AS131" s="982" t="n"/>
      <c r="AT131" s="982" t="n"/>
      <c r="AV131" s="1079" t="n"/>
      <c r="AW131" s="1080" t="n"/>
      <c r="AX131" s="1080" t="n"/>
      <c r="AY131" s="9" t="n"/>
      <c r="AZ131" s="975" t="n"/>
      <c r="BA131" s="982" t="n"/>
      <c r="BB131" s="982" t="n"/>
      <c r="BC131" s="982" t="n"/>
      <c r="BD131" s="982" t="n"/>
      <c r="BE131" s="982" t="n"/>
    </row>
    <row r="132">
      <c r="H132" s="531" t="n"/>
      <c r="I132" s="4" t="n"/>
      <c r="J132" s="4" t="n"/>
      <c r="L132" s="4" t="n"/>
      <c r="R132" s="982" t="n"/>
      <c r="S132" s="982" t="n"/>
      <c r="T132" s="982" t="n"/>
      <c r="U132" s="982" t="n"/>
      <c r="W132" s="982" t="n"/>
      <c r="X132" s="982" t="n"/>
      <c r="Y132" s="982" t="n"/>
      <c r="Z132" s="982" t="n"/>
      <c r="AA132" s="1078" t="n"/>
      <c r="AB132" s="982" t="n"/>
      <c r="AC132" s="982" t="n"/>
      <c r="AD132" s="982" t="n"/>
      <c r="AE132" s="982" t="n"/>
      <c r="AG132" s="982" t="n"/>
      <c r="AH132" s="982" t="n"/>
      <c r="AI132" s="982" t="n"/>
      <c r="AJ132" s="982" t="n"/>
      <c r="AK132" s="982" t="n"/>
      <c r="AL132" s="982" t="n"/>
      <c r="AM132" s="982" t="n"/>
      <c r="AN132" s="982" t="n"/>
      <c r="AO132" s="982" t="n"/>
      <c r="AP132" s="982" t="n"/>
      <c r="AQ132" s="982" t="n"/>
      <c r="AR132" s="982" t="n"/>
      <c r="AS132" s="982" t="n"/>
      <c r="AT132" s="982" t="n"/>
      <c r="AV132" s="1079" t="n"/>
      <c r="AW132" s="1080" t="n"/>
      <c r="AX132" s="1080" t="n"/>
      <c r="AY132" s="9" t="n"/>
      <c r="AZ132" s="975" t="n"/>
      <c r="BA132" s="982" t="n"/>
      <c r="BB132" s="982" t="n"/>
      <c r="BC132" s="982" t="n"/>
      <c r="BD132" s="982" t="n"/>
      <c r="BE132" s="982" t="n"/>
    </row>
    <row r="133">
      <c r="H133" s="531" t="n"/>
      <c r="I133" s="4" t="n"/>
      <c r="J133" s="4" t="n"/>
      <c r="L133" s="4" t="n"/>
      <c r="R133" s="982" t="n"/>
      <c r="S133" s="982" t="n"/>
      <c r="T133" s="982" t="n"/>
      <c r="U133" s="982" t="n"/>
      <c r="W133" s="982" t="n"/>
      <c r="X133" s="982" t="n"/>
      <c r="Y133" s="982" t="n"/>
      <c r="Z133" s="982" t="n"/>
      <c r="AA133" s="1078" t="n"/>
      <c r="AB133" s="982" t="n"/>
      <c r="AC133" s="982" t="n"/>
      <c r="AD133" s="982" t="n"/>
      <c r="AE133" s="982" t="n"/>
      <c r="AG133" s="982" t="n"/>
      <c r="AH133" s="982" t="n"/>
      <c r="AI133" s="982" t="n"/>
      <c r="AJ133" s="982" t="n"/>
      <c r="AK133" s="982" t="n"/>
      <c r="AL133" s="982" t="n"/>
      <c r="AM133" s="982" t="n"/>
      <c r="AN133" s="982" t="n"/>
      <c r="AO133" s="982" t="n"/>
      <c r="AP133" s="982" t="n"/>
      <c r="AQ133" s="982" t="n"/>
      <c r="AR133" s="982" t="n"/>
      <c r="AS133" s="982" t="n"/>
      <c r="AT133" s="982" t="n"/>
      <c r="AV133" s="1079" t="n"/>
      <c r="AW133" s="1080" t="n"/>
      <c r="AX133" s="1080" t="n"/>
      <c r="AY133" s="9" t="n"/>
      <c r="AZ133" s="975" t="n"/>
      <c r="BA133" s="982" t="n"/>
      <c r="BB133" s="982" t="n"/>
      <c r="BC133" s="982" t="n"/>
      <c r="BD133" s="982" t="n"/>
      <c r="BE133" s="982" t="n"/>
    </row>
    <row r="134">
      <c r="H134" s="531" t="n"/>
      <c r="I134" s="4" t="n"/>
      <c r="J134" s="4" t="n"/>
      <c r="L134" s="4" t="n"/>
      <c r="R134" s="982" t="n"/>
      <c r="S134" s="982" t="n"/>
      <c r="T134" s="982" t="n"/>
      <c r="U134" s="982" t="n"/>
      <c r="W134" s="982" t="n"/>
      <c r="X134" s="982" t="n"/>
      <c r="Y134" s="982" t="n"/>
      <c r="Z134" s="982" t="n"/>
      <c r="AA134" s="1078" t="n"/>
      <c r="AB134" s="982" t="n"/>
      <c r="AC134" s="982" t="n"/>
      <c r="AD134" s="982" t="n"/>
      <c r="AE134" s="982" t="n"/>
      <c r="AG134" s="982" t="n"/>
      <c r="AH134" s="982" t="n"/>
      <c r="AI134" s="982" t="n"/>
      <c r="AJ134" s="982" t="n"/>
      <c r="AK134" s="982" t="n"/>
      <c r="AL134" s="982" t="n"/>
      <c r="AM134" s="982" t="n"/>
      <c r="AN134" s="982" t="n"/>
      <c r="AO134" s="982" t="n"/>
      <c r="AP134" s="982" t="n"/>
      <c r="AQ134" s="982" t="n"/>
      <c r="AR134" s="982" t="n"/>
      <c r="AS134" s="982" t="n"/>
      <c r="AT134" s="982" t="n"/>
      <c r="AV134" s="1079" t="n"/>
      <c r="AW134" s="1080" t="n"/>
      <c r="AX134" s="1080" t="n"/>
      <c r="AY134" s="9" t="n"/>
      <c r="AZ134" s="975" t="n"/>
      <c r="BA134" s="982" t="n"/>
      <c r="BB134" s="982" t="n"/>
      <c r="BC134" s="982" t="n"/>
      <c r="BD134" s="982" t="n"/>
      <c r="BE134" s="982" t="n"/>
    </row>
    <row r="135">
      <c r="H135" s="531" t="n"/>
      <c r="I135" s="4" t="n"/>
      <c r="J135" s="4" t="n"/>
      <c r="L135" s="4" t="n"/>
      <c r="R135" s="982" t="n"/>
      <c r="S135" s="982" t="n"/>
      <c r="T135" s="982" t="n"/>
      <c r="U135" s="982" t="n"/>
      <c r="W135" s="982" t="n"/>
      <c r="X135" s="982" t="n"/>
      <c r="Y135" s="982" t="n"/>
      <c r="Z135" s="982" t="n"/>
      <c r="AA135" s="1078" t="n"/>
      <c r="AB135" s="982" t="n"/>
      <c r="AC135" s="982" t="n"/>
      <c r="AD135" s="982" t="n"/>
      <c r="AE135" s="982" t="n"/>
      <c r="AG135" s="982" t="n"/>
      <c r="AH135" s="982" t="n"/>
      <c r="AI135" s="982" t="n"/>
      <c r="AJ135" s="982" t="n"/>
      <c r="AK135" s="982" t="n"/>
      <c r="AL135" s="982" t="n"/>
      <c r="AM135" s="982" t="n"/>
      <c r="AN135" s="982" t="n"/>
      <c r="AO135" s="982" t="n"/>
      <c r="AP135" s="982" t="n"/>
      <c r="AQ135" s="982" t="n"/>
      <c r="AR135" s="982" t="n"/>
      <c r="AS135" s="982" t="n"/>
      <c r="AT135" s="982" t="n"/>
      <c r="AV135" s="1079" t="n"/>
      <c r="AW135" s="1080" t="n"/>
      <c r="AX135" s="1080" t="n"/>
      <c r="AY135" s="9" t="n"/>
      <c r="AZ135" s="975" t="n"/>
      <c r="BA135" s="982" t="n"/>
      <c r="BB135" s="982" t="n"/>
      <c r="BC135" s="982" t="n"/>
      <c r="BD135" s="982" t="n"/>
      <c r="BE135" s="982" t="n"/>
    </row>
    <row r="136">
      <c r="H136" s="531" t="n"/>
      <c r="I136" s="4" t="n"/>
      <c r="J136" s="4" t="n"/>
      <c r="L136" s="4" t="n"/>
      <c r="R136" s="982" t="n"/>
      <c r="S136" s="982" t="n"/>
      <c r="T136" s="982" t="n"/>
      <c r="U136" s="982" t="n"/>
      <c r="W136" s="982" t="n"/>
      <c r="X136" s="982" t="n"/>
      <c r="Y136" s="982" t="n"/>
      <c r="Z136" s="982" t="n"/>
      <c r="AA136" s="1078" t="n"/>
      <c r="AB136" s="982" t="n"/>
      <c r="AC136" s="982" t="n"/>
      <c r="AD136" s="982" t="n"/>
      <c r="AE136" s="982" t="n"/>
      <c r="AG136" s="982" t="n"/>
      <c r="AH136" s="982" t="n"/>
      <c r="AI136" s="982" t="n"/>
      <c r="AJ136" s="982" t="n"/>
      <c r="AK136" s="982" t="n"/>
      <c r="AL136" s="982" t="n"/>
      <c r="AM136" s="982" t="n"/>
      <c r="AN136" s="982" t="n"/>
      <c r="AO136" s="982" t="n"/>
      <c r="AP136" s="982" t="n"/>
      <c r="AQ136" s="982" t="n"/>
      <c r="AR136" s="982" t="n"/>
      <c r="AS136" s="982" t="n"/>
      <c r="AT136" s="982" t="n"/>
      <c r="AV136" s="1079" t="n"/>
      <c r="AW136" s="1080" t="n"/>
      <c r="AX136" s="1080" t="n"/>
      <c r="AY136" s="9" t="n"/>
      <c r="AZ136" s="975" t="n"/>
      <c r="BA136" s="982" t="n"/>
      <c r="BB136" s="982" t="n"/>
      <c r="BC136" s="982" t="n"/>
      <c r="BD136" s="982" t="n"/>
      <c r="BE136" s="982" t="n"/>
    </row>
    <row r="137">
      <c r="H137" s="531" t="n"/>
      <c r="I137" s="4" t="n"/>
      <c r="J137" s="4" t="n"/>
      <c r="L137" s="4" t="n"/>
      <c r="R137" s="982" t="n"/>
      <c r="S137" s="982" t="n"/>
      <c r="T137" s="982" t="n"/>
      <c r="U137" s="982" t="n"/>
      <c r="W137" s="982" t="n"/>
      <c r="X137" s="982" t="n"/>
      <c r="Y137" s="982" t="n"/>
      <c r="Z137" s="982" t="n"/>
      <c r="AA137" s="1078" t="n"/>
      <c r="AB137" s="982" t="n"/>
      <c r="AC137" s="982" t="n"/>
      <c r="AD137" s="982" t="n"/>
      <c r="AE137" s="982" t="n"/>
      <c r="AG137" s="982" t="n"/>
      <c r="AH137" s="982" t="n"/>
      <c r="AI137" s="982" t="n"/>
      <c r="AJ137" s="982" t="n"/>
      <c r="AK137" s="982" t="n"/>
      <c r="AL137" s="982" t="n"/>
      <c r="AM137" s="982" t="n"/>
      <c r="AN137" s="982" t="n"/>
      <c r="AO137" s="982" t="n"/>
      <c r="AP137" s="982" t="n"/>
      <c r="AQ137" s="982" t="n"/>
      <c r="AR137" s="982" t="n"/>
      <c r="AS137" s="982" t="n"/>
      <c r="AT137" s="982" t="n"/>
      <c r="AV137" s="1079" t="n"/>
      <c r="AW137" s="1080" t="n"/>
      <c r="AX137" s="1080" t="n"/>
      <c r="AY137" s="9" t="n"/>
      <c r="AZ137" s="975" t="n"/>
      <c r="BA137" s="982" t="n"/>
      <c r="BB137" s="982" t="n"/>
      <c r="BC137" s="982" t="n"/>
      <c r="BD137" s="982" t="n"/>
      <c r="BE137" s="982" t="n"/>
    </row>
    <row r="138">
      <c r="H138" s="531" t="n"/>
      <c r="I138" s="4" t="n"/>
      <c r="J138" s="4" t="n"/>
      <c r="L138" s="4" t="n"/>
      <c r="R138" s="982" t="n"/>
      <c r="S138" s="982" t="n"/>
      <c r="T138" s="982" t="n"/>
      <c r="U138" s="982" t="n"/>
      <c r="W138" s="982" t="n"/>
      <c r="X138" s="982" t="n"/>
      <c r="Y138" s="982" t="n"/>
      <c r="Z138" s="982" t="n"/>
      <c r="AA138" s="1078" t="n"/>
      <c r="AB138" s="982" t="n"/>
      <c r="AC138" s="982" t="n"/>
      <c r="AD138" s="982" t="n"/>
      <c r="AE138" s="982" t="n"/>
      <c r="AG138" s="982" t="n"/>
      <c r="AH138" s="982" t="n"/>
      <c r="AI138" s="982" t="n"/>
      <c r="AJ138" s="982" t="n"/>
      <c r="AK138" s="982" t="n"/>
      <c r="AL138" s="982" t="n"/>
      <c r="AM138" s="982" t="n"/>
      <c r="AN138" s="982" t="n"/>
      <c r="AO138" s="982" t="n"/>
      <c r="AP138" s="982" t="n"/>
      <c r="AQ138" s="982" t="n"/>
      <c r="AR138" s="982" t="n"/>
      <c r="AS138" s="982" t="n"/>
      <c r="AT138" s="982" t="n"/>
      <c r="AV138" s="1079" t="n"/>
      <c r="AW138" s="1080" t="n"/>
      <c r="AX138" s="1080" t="n"/>
      <c r="AY138" s="9" t="n"/>
      <c r="AZ138" s="975" t="n"/>
      <c r="BA138" s="982" t="n"/>
      <c r="BB138" s="982" t="n"/>
      <c r="BC138" s="982" t="n"/>
      <c r="BD138" s="982" t="n"/>
      <c r="BE138" s="982" t="n"/>
    </row>
    <row r="139">
      <c r="H139" s="531" t="n"/>
      <c r="I139" s="4" t="n"/>
      <c r="J139" s="4" t="n"/>
      <c r="L139" s="4" t="n"/>
      <c r="R139" s="982" t="n"/>
      <c r="S139" s="982" t="n"/>
      <c r="T139" s="982" t="n"/>
      <c r="U139" s="982" t="n"/>
      <c r="W139" s="982" t="n"/>
      <c r="X139" s="982" t="n"/>
      <c r="Y139" s="982" t="n"/>
      <c r="Z139" s="982" t="n"/>
      <c r="AA139" s="1078" t="n"/>
      <c r="AB139" s="982" t="n"/>
      <c r="AC139" s="982" t="n"/>
      <c r="AD139" s="982" t="n"/>
      <c r="AE139" s="982" t="n"/>
      <c r="AG139" s="982" t="n"/>
      <c r="AH139" s="982" t="n"/>
      <c r="AI139" s="982" t="n"/>
      <c r="AJ139" s="982" t="n"/>
      <c r="AK139" s="982" t="n"/>
      <c r="AL139" s="982" t="n"/>
      <c r="AM139" s="982" t="n"/>
      <c r="AN139" s="982" t="n"/>
      <c r="AO139" s="982" t="n"/>
      <c r="AP139" s="982" t="n"/>
      <c r="AQ139" s="982" t="n"/>
      <c r="AR139" s="982" t="n"/>
      <c r="AS139" s="982" t="n"/>
      <c r="AT139" s="982" t="n"/>
      <c r="AV139" s="1079" t="n"/>
      <c r="AW139" s="1080" t="n"/>
      <c r="AX139" s="1080" t="n"/>
      <c r="AY139" s="9" t="n"/>
      <c r="AZ139" s="975" t="n"/>
      <c r="BA139" s="982" t="n"/>
      <c r="BB139" s="982" t="n"/>
      <c r="BC139" s="982" t="n"/>
      <c r="BD139" s="982" t="n"/>
      <c r="BE139" s="982" t="n"/>
    </row>
    <row r="140">
      <c r="H140" s="531" t="n"/>
      <c r="I140" s="4" t="n"/>
      <c r="J140" s="4" t="n"/>
      <c r="L140" s="4" t="n"/>
      <c r="R140" s="982" t="n"/>
      <c r="S140" s="982" t="n"/>
      <c r="T140" s="982" t="n"/>
      <c r="U140" s="982" t="n"/>
      <c r="W140" s="982" t="n"/>
      <c r="X140" s="982" t="n"/>
      <c r="Y140" s="982" t="n"/>
      <c r="Z140" s="982" t="n"/>
      <c r="AA140" s="1078" t="n"/>
      <c r="AB140" s="982" t="n"/>
      <c r="AC140" s="982" t="n"/>
      <c r="AD140" s="982" t="n"/>
      <c r="AE140" s="982" t="n"/>
      <c r="AG140" s="982" t="n"/>
      <c r="AH140" s="982" t="n"/>
      <c r="AI140" s="982" t="n"/>
      <c r="AJ140" s="982" t="n"/>
      <c r="AK140" s="982" t="n"/>
      <c r="AL140" s="982" t="n"/>
      <c r="AM140" s="982" t="n"/>
      <c r="AN140" s="982" t="n"/>
      <c r="AO140" s="982" t="n"/>
      <c r="AP140" s="982" t="n"/>
      <c r="AQ140" s="982" t="n"/>
      <c r="AR140" s="982" t="n"/>
      <c r="AS140" s="982" t="n"/>
      <c r="AT140" s="982" t="n"/>
      <c r="AV140" s="1079" t="n"/>
      <c r="AW140" s="1080" t="n"/>
      <c r="AX140" s="1080" t="n"/>
      <c r="AY140" s="9" t="n"/>
      <c r="AZ140" s="975" t="n"/>
      <c r="BA140" s="982" t="n"/>
      <c r="BB140" s="982" t="n"/>
      <c r="BC140" s="982" t="n"/>
      <c r="BD140" s="982" t="n"/>
      <c r="BE140" s="982" t="n"/>
    </row>
    <row r="141">
      <c r="H141" s="531" t="n"/>
      <c r="I141" s="4" t="n"/>
      <c r="J141" s="4" t="n"/>
      <c r="L141" s="4" t="n"/>
      <c r="R141" s="982" t="n"/>
      <c r="S141" s="982" t="n"/>
      <c r="T141" s="982" t="n"/>
      <c r="U141" s="982" t="n"/>
      <c r="W141" s="982" t="n"/>
      <c r="X141" s="982" t="n"/>
      <c r="Y141" s="982" t="n"/>
      <c r="Z141" s="982" t="n"/>
      <c r="AA141" s="1078" t="n"/>
      <c r="AB141" s="982" t="n"/>
      <c r="AC141" s="982" t="n"/>
      <c r="AD141" s="982" t="n"/>
      <c r="AE141" s="982" t="n"/>
      <c r="AG141" s="982" t="n"/>
      <c r="AH141" s="982" t="n"/>
      <c r="AI141" s="982" t="n"/>
      <c r="AJ141" s="982" t="n"/>
      <c r="AK141" s="982" t="n"/>
      <c r="AL141" s="982" t="n"/>
      <c r="AM141" s="982" t="n"/>
      <c r="AN141" s="982" t="n"/>
      <c r="AO141" s="982" t="n"/>
      <c r="AP141" s="982" t="n"/>
      <c r="AQ141" s="982" t="n"/>
      <c r="AR141" s="982" t="n"/>
      <c r="AS141" s="982" t="n"/>
      <c r="AT141" s="982" t="n"/>
      <c r="AV141" s="1079" t="n"/>
      <c r="AW141" s="1080" t="n"/>
      <c r="AX141" s="1080" t="n"/>
      <c r="AY141" s="9" t="n"/>
      <c r="AZ141" s="975" t="n"/>
      <c r="BA141" s="982" t="n"/>
      <c r="BB141" s="982" t="n"/>
      <c r="BC141" s="982" t="n"/>
      <c r="BD141" s="982" t="n"/>
      <c r="BE141" s="982" t="n"/>
    </row>
    <row r="142">
      <c r="H142" s="531" t="n"/>
      <c r="I142" s="4" t="n"/>
      <c r="J142" s="4" t="n"/>
      <c r="L142" s="4" t="n"/>
      <c r="R142" s="982" t="n"/>
      <c r="S142" s="982" t="n"/>
      <c r="T142" s="982" t="n"/>
      <c r="U142" s="982" t="n"/>
      <c r="W142" s="982" t="n"/>
      <c r="X142" s="982" t="n"/>
      <c r="Y142" s="982" t="n"/>
      <c r="Z142" s="982" t="n"/>
      <c r="AA142" s="1078" t="n"/>
      <c r="AB142" s="982" t="n"/>
      <c r="AC142" s="982" t="n"/>
      <c r="AD142" s="982" t="n"/>
      <c r="AE142" s="982" t="n"/>
      <c r="AG142" s="982" t="n"/>
      <c r="AH142" s="982" t="n"/>
      <c r="AI142" s="982" t="n"/>
      <c r="AJ142" s="982" t="n"/>
      <c r="AK142" s="982" t="n"/>
      <c r="AL142" s="982" t="n"/>
      <c r="AM142" s="982" t="n"/>
      <c r="AN142" s="982" t="n"/>
      <c r="AO142" s="982" t="n"/>
      <c r="AP142" s="982" t="n"/>
      <c r="AQ142" s="982" t="n"/>
      <c r="AR142" s="982" t="n"/>
      <c r="AS142" s="982" t="n"/>
      <c r="AT142" s="982" t="n"/>
      <c r="AV142" s="1079" t="n"/>
      <c r="AW142" s="1080" t="n"/>
      <c r="AX142" s="1080" t="n"/>
      <c r="AY142" s="9" t="n"/>
      <c r="AZ142" s="975" t="n"/>
      <c r="BA142" s="982" t="n"/>
      <c r="BB142" s="982" t="n"/>
      <c r="BC142" s="982" t="n"/>
      <c r="BD142" s="982" t="n"/>
      <c r="BE142" s="982" t="n"/>
    </row>
    <row r="143">
      <c r="H143" s="531" t="n"/>
      <c r="I143" s="4" t="n"/>
      <c r="J143" s="4" t="n"/>
      <c r="L143" s="4" t="n"/>
      <c r="R143" s="982" t="n"/>
      <c r="S143" s="982" t="n"/>
      <c r="T143" s="982" t="n"/>
      <c r="U143" s="982" t="n"/>
      <c r="W143" s="982" t="n"/>
      <c r="X143" s="982" t="n"/>
      <c r="Y143" s="982" t="n"/>
      <c r="Z143" s="982" t="n"/>
      <c r="AA143" s="1078" t="n"/>
      <c r="AB143" s="982" t="n"/>
      <c r="AC143" s="982" t="n"/>
      <c r="AD143" s="982" t="n"/>
      <c r="AE143" s="982" t="n"/>
      <c r="AG143" s="982" t="n"/>
      <c r="AH143" s="982" t="n"/>
      <c r="AI143" s="982" t="n"/>
      <c r="AJ143" s="982" t="n"/>
      <c r="AK143" s="982" t="n"/>
      <c r="AL143" s="982" t="n"/>
      <c r="AM143" s="982" t="n"/>
      <c r="AN143" s="982" t="n"/>
      <c r="AO143" s="982" t="n"/>
      <c r="AP143" s="982" t="n"/>
      <c r="AQ143" s="982" t="n"/>
      <c r="AR143" s="982" t="n"/>
      <c r="AS143" s="982" t="n"/>
      <c r="AT143" s="982" t="n"/>
      <c r="AV143" s="1079" t="n"/>
      <c r="AW143" s="1080" t="n"/>
      <c r="AX143" s="1080" t="n"/>
      <c r="AY143" s="9" t="n"/>
      <c r="AZ143" s="975" t="n"/>
      <c r="BA143" s="982" t="n"/>
      <c r="BB143" s="982" t="n"/>
      <c r="BC143" s="982" t="n"/>
      <c r="BD143" s="982" t="n"/>
      <c r="BE143" s="982" t="n"/>
    </row>
    <row r="144">
      <c r="H144" s="531" t="n"/>
      <c r="I144" s="4" t="n"/>
      <c r="J144" s="4" t="n"/>
      <c r="L144" s="4" t="n"/>
      <c r="R144" s="982" t="n"/>
      <c r="S144" s="982" t="n"/>
      <c r="T144" s="982" t="n"/>
      <c r="U144" s="982" t="n"/>
      <c r="W144" s="982" t="n"/>
      <c r="X144" s="982" t="n"/>
      <c r="Y144" s="982" t="n"/>
      <c r="Z144" s="982" t="n"/>
      <c r="AA144" s="1078" t="n"/>
      <c r="AB144" s="982" t="n"/>
      <c r="AC144" s="982" t="n"/>
      <c r="AD144" s="982" t="n"/>
      <c r="AE144" s="982" t="n"/>
      <c r="AG144" s="982" t="n"/>
      <c r="AH144" s="982" t="n"/>
      <c r="AI144" s="982" t="n"/>
      <c r="AJ144" s="982" t="n"/>
      <c r="AK144" s="982" t="n"/>
      <c r="AL144" s="982" t="n"/>
      <c r="AM144" s="982" t="n"/>
      <c r="AN144" s="982" t="n"/>
      <c r="AO144" s="982" t="n"/>
      <c r="AP144" s="982" t="n"/>
      <c r="AQ144" s="982" t="n"/>
      <c r="AR144" s="982" t="n"/>
      <c r="AS144" s="982" t="n"/>
      <c r="AT144" s="982" t="n"/>
      <c r="AV144" s="1079" t="n"/>
      <c r="AW144" s="1080" t="n"/>
      <c r="AX144" s="1080" t="n"/>
      <c r="AY144" s="9" t="n"/>
      <c r="AZ144" s="975" t="n"/>
      <c r="BA144" s="982" t="n"/>
      <c r="BB144" s="982" t="n"/>
      <c r="BC144" s="982" t="n"/>
      <c r="BD144" s="982" t="n"/>
      <c r="BE144" s="982" t="n"/>
    </row>
    <row r="145">
      <c r="H145" s="531" t="n"/>
      <c r="I145" s="4" t="n"/>
      <c r="J145" s="4" t="n"/>
      <c r="L145" s="4" t="n"/>
      <c r="R145" s="982" t="n"/>
      <c r="S145" s="982" t="n"/>
      <c r="T145" s="982" t="n"/>
      <c r="U145" s="982" t="n"/>
      <c r="W145" s="982" t="n"/>
      <c r="X145" s="982" t="n"/>
      <c r="Y145" s="982" t="n"/>
      <c r="Z145" s="982" t="n"/>
      <c r="AA145" s="1078" t="n"/>
      <c r="AB145" s="982" t="n"/>
      <c r="AC145" s="982" t="n"/>
      <c r="AD145" s="982" t="n"/>
      <c r="AE145" s="982" t="n"/>
      <c r="AG145" s="982" t="n"/>
      <c r="AH145" s="982" t="n"/>
      <c r="AI145" s="982" t="n"/>
      <c r="AJ145" s="982" t="n"/>
      <c r="AK145" s="982" t="n"/>
      <c r="AL145" s="982" t="n"/>
      <c r="AM145" s="982" t="n"/>
      <c r="AN145" s="982" t="n"/>
      <c r="AO145" s="982" t="n"/>
      <c r="AP145" s="982" t="n"/>
      <c r="AQ145" s="982" t="n"/>
      <c r="AR145" s="982" t="n"/>
      <c r="AS145" s="982" t="n"/>
      <c r="AT145" s="982" t="n"/>
      <c r="AV145" s="1079" t="n"/>
      <c r="AW145" s="1080" t="n"/>
      <c r="AX145" s="1080" t="n"/>
      <c r="AY145" s="9" t="n"/>
      <c r="AZ145" s="975" t="n"/>
      <c r="BA145" s="982" t="n"/>
      <c r="BB145" s="982" t="n"/>
      <c r="BC145" s="982" t="n"/>
      <c r="BD145" s="982" t="n"/>
      <c r="BE145" s="982" t="n"/>
    </row>
    <row r="146">
      <c r="H146" s="531" t="n"/>
      <c r="I146" s="4" t="n"/>
      <c r="J146" s="4" t="n"/>
      <c r="L146" s="4" t="n"/>
      <c r="R146" s="982" t="n"/>
      <c r="S146" s="982" t="n"/>
      <c r="T146" s="982" t="n"/>
      <c r="U146" s="982" t="n"/>
      <c r="W146" s="982" t="n"/>
      <c r="X146" s="982" t="n"/>
      <c r="Y146" s="982" t="n"/>
      <c r="Z146" s="982" t="n"/>
      <c r="AA146" s="1078" t="n"/>
      <c r="AB146" s="982" t="n"/>
      <c r="AC146" s="982" t="n"/>
      <c r="AD146" s="982" t="n"/>
      <c r="AE146" s="982" t="n"/>
      <c r="AG146" s="982" t="n"/>
      <c r="AH146" s="982" t="n"/>
      <c r="AI146" s="982" t="n"/>
      <c r="AJ146" s="982" t="n"/>
      <c r="AK146" s="982" t="n"/>
      <c r="AL146" s="982" t="n"/>
      <c r="AM146" s="982" t="n"/>
      <c r="AN146" s="982" t="n"/>
      <c r="AO146" s="982" t="n"/>
      <c r="AP146" s="982" t="n"/>
      <c r="AQ146" s="982" t="n"/>
      <c r="AR146" s="982" t="n"/>
      <c r="AS146" s="982" t="n"/>
      <c r="AT146" s="982" t="n"/>
      <c r="AV146" s="1079" t="n"/>
      <c r="AW146" s="1080" t="n"/>
      <c r="AX146" s="1080" t="n"/>
      <c r="AY146" s="9" t="n"/>
      <c r="AZ146" s="975" t="n"/>
      <c r="BA146" s="982" t="n"/>
      <c r="BB146" s="982" t="n"/>
      <c r="BC146" s="982" t="n"/>
      <c r="BD146" s="982" t="n"/>
      <c r="BE146" s="982" t="n"/>
    </row>
    <row r="147">
      <c r="H147" s="531" t="n"/>
      <c r="I147" s="4" t="n"/>
      <c r="J147" s="4" t="n"/>
      <c r="L147" s="4" t="n"/>
      <c r="R147" s="982" t="n"/>
      <c r="S147" s="982" t="n"/>
      <c r="T147" s="982" t="n"/>
      <c r="U147" s="982" t="n"/>
      <c r="W147" s="982" t="n"/>
      <c r="X147" s="982" t="n"/>
      <c r="Y147" s="982" t="n"/>
      <c r="Z147" s="982" t="n"/>
      <c r="AA147" s="1078" t="n"/>
      <c r="AB147" s="982" t="n"/>
      <c r="AC147" s="982" t="n"/>
      <c r="AD147" s="982" t="n"/>
      <c r="AE147" s="982" t="n"/>
      <c r="AG147" s="982" t="n"/>
      <c r="AH147" s="982" t="n"/>
      <c r="AI147" s="982" t="n"/>
      <c r="AJ147" s="982" t="n"/>
      <c r="AK147" s="982" t="n"/>
      <c r="AL147" s="982" t="n"/>
      <c r="AM147" s="982" t="n"/>
      <c r="AN147" s="982" t="n"/>
      <c r="AO147" s="982" t="n"/>
      <c r="AP147" s="982" t="n"/>
      <c r="AQ147" s="982" t="n"/>
      <c r="AR147" s="982" t="n"/>
      <c r="AS147" s="982" t="n"/>
      <c r="AT147" s="982" t="n"/>
      <c r="AV147" s="1079" t="n"/>
      <c r="AW147" s="1080" t="n"/>
      <c r="AX147" s="1080" t="n"/>
      <c r="AY147" s="9" t="n"/>
      <c r="AZ147" s="975" t="n"/>
      <c r="BA147" s="982" t="n"/>
      <c r="BB147" s="982" t="n"/>
      <c r="BC147" s="982" t="n"/>
      <c r="BD147" s="982" t="n"/>
      <c r="BE147" s="982" t="n"/>
    </row>
    <row r="148">
      <c r="H148" s="531" t="n"/>
      <c r="I148" s="4" t="n"/>
      <c r="J148" s="4" t="n"/>
      <c r="L148" s="4" t="n"/>
      <c r="R148" s="982" t="n"/>
      <c r="S148" s="982" t="n"/>
      <c r="T148" s="982" t="n"/>
      <c r="U148" s="982" t="n"/>
      <c r="W148" s="982" t="n"/>
      <c r="X148" s="982" t="n"/>
      <c r="Y148" s="982" t="n"/>
      <c r="Z148" s="982" t="n"/>
      <c r="AA148" s="1078" t="n"/>
      <c r="AB148" s="982" t="n"/>
      <c r="AC148" s="982" t="n"/>
      <c r="AD148" s="982" t="n"/>
      <c r="AE148" s="982" t="n"/>
      <c r="AG148" s="982" t="n"/>
      <c r="AH148" s="982" t="n"/>
      <c r="AI148" s="982" t="n"/>
      <c r="AJ148" s="982" t="n"/>
      <c r="AK148" s="982" t="n"/>
      <c r="AL148" s="982" t="n"/>
      <c r="AM148" s="982" t="n"/>
      <c r="AN148" s="982" t="n"/>
      <c r="AO148" s="982" t="n"/>
      <c r="AP148" s="982" t="n"/>
      <c r="AQ148" s="982" t="n"/>
      <c r="AR148" s="982" t="n"/>
      <c r="AS148" s="982" t="n"/>
      <c r="AT148" s="982" t="n"/>
      <c r="AV148" s="1079" t="n"/>
      <c r="AW148" s="1080" t="n"/>
      <c r="AX148" s="1080" t="n"/>
      <c r="AY148" s="9" t="n"/>
      <c r="AZ148" s="975" t="n"/>
      <c r="BA148" s="982" t="n"/>
      <c r="BB148" s="982" t="n"/>
      <c r="BC148" s="982" t="n"/>
      <c r="BD148" s="982" t="n"/>
      <c r="BE148" s="982" t="n"/>
    </row>
    <row r="149">
      <c r="H149" s="531" t="n"/>
      <c r="I149" s="4" t="n"/>
      <c r="J149" s="4" t="n"/>
      <c r="L149" s="4" t="n"/>
      <c r="R149" s="982" t="n"/>
      <c r="S149" s="982" t="n"/>
      <c r="T149" s="982" t="n"/>
      <c r="U149" s="982" t="n"/>
      <c r="W149" s="982" t="n"/>
      <c r="X149" s="982" t="n"/>
      <c r="Y149" s="982" t="n"/>
      <c r="Z149" s="982" t="n"/>
      <c r="AA149" s="1078" t="n"/>
      <c r="AB149" s="982" t="n"/>
      <c r="AC149" s="982" t="n"/>
      <c r="AD149" s="982" t="n"/>
      <c r="AE149" s="982" t="n"/>
      <c r="AG149" s="982" t="n"/>
      <c r="AH149" s="982" t="n"/>
      <c r="AI149" s="982" t="n"/>
      <c r="AJ149" s="982" t="n"/>
      <c r="AK149" s="982" t="n"/>
      <c r="AL149" s="982" t="n"/>
      <c r="AM149" s="982" t="n"/>
      <c r="AN149" s="982" t="n"/>
      <c r="AO149" s="982" t="n"/>
      <c r="AP149" s="982" t="n"/>
      <c r="AQ149" s="982" t="n"/>
      <c r="AR149" s="982" t="n"/>
      <c r="AS149" s="982" t="n"/>
      <c r="AT149" s="982" t="n"/>
      <c r="AV149" s="1079" t="n"/>
      <c r="AW149" s="1080" t="n"/>
      <c r="AX149" s="1080" t="n"/>
      <c r="AY149" s="9" t="n"/>
      <c r="AZ149" s="975" t="n"/>
      <c r="BA149" s="982" t="n"/>
      <c r="BB149" s="982" t="n"/>
      <c r="BC149" s="982" t="n"/>
      <c r="BD149" s="982" t="n"/>
      <c r="BE149" s="982" t="n"/>
    </row>
    <row r="150">
      <c r="H150" s="531" t="n"/>
      <c r="I150" s="4" t="n"/>
      <c r="J150" s="4" t="n"/>
      <c r="L150" s="4" t="n"/>
      <c r="R150" s="982" t="n"/>
      <c r="S150" s="982" t="n"/>
      <c r="T150" s="982" t="n"/>
      <c r="U150" s="982" t="n"/>
      <c r="W150" s="982" t="n"/>
      <c r="X150" s="982" t="n"/>
      <c r="Y150" s="982" t="n"/>
      <c r="Z150" s="982" t="n"/>
      <c r="AA150" s="1078" t="n"/>
      <c r="AB150" s="982" t="n"/>
      <c r="AC150" s="982" t="n"/>
      <c r="AD150" s="982" t="n"/>
      <c r="AE150" s="982" t="n"/>
      <c r="AG150" s="982" t="n"/>
      <c r="AH150" s="982" t="n"/>
      <c r="AI150" s="982" t="n"/>
      <c r="AJ150" s="982" t="n"/>
      <c r="AK150" s="982" t="n"/>
      <c r="AL150" s="982" t="n"/>
      <c r="AM150" s="982" t="n"/>
      <c r="AN150" s="982" t="n"/>
      <c r="AO150" s="982" t="n"/>
      <c r="AP150" s="982" t="n"/>
      <c r="AQ150" s="982" t="n"/>
      <c r="AR150" s="982" t="n"/>
      <c r="AS150" s="982" t="n"/>
      <c r="AT150" s="982" t="n"/>
      <c r="AV150" s="1079" t="n"/>
      <c r="AW150" s="1080" t="n"/>
      <c r="AX150" s="1080" t="n"/>
      <c r="AY150" s="9" t="n"/>
      <c r="AZ150" s="975" t="n"/>
      <c r="BA150" s="982" t="n"/>
      <c r="BB150" s="982" t="n"/>
      <c r="BC150" s="982" t="n"/>
      <c r="BD150" s="982" t="n"/>
      <c r="BE150" s="982" t="n"/>
    </row>
    <row r="151">
      <c r="H151" s="531" t="n"/>
      <c r="I151" s="4" t="n"/>
      <c r="J151" s="4" t="n"/>
      <c r="L151" s="4" t="n"/>
      <c r="R151" s="982" t="n"/>
      <c r="S151" s="982" t="n"/>
      <c r="T151" s="982" t="n"/>
      <c r="U151" s="982" t="n"/>
      <c r="W151" s="982" t="n"/>
      <c r="X151" s="982" t="n"/>
      <c r="Y151" s="982" t="n"/>
      <c r="Z151" s="982" t="n"/>
      <c r="AA151" s="1078" t="n"/>
      <c r="AB151" s="982" t="n"/>
      <c r="AC151" s="982" t="n"/>
      <c r="AD151" s="982" t="n"/>
      <c r="AE151" s="982" t="n"/>
      <c r="AG151" s="982" t="n"/>
      <c r="AH151" s="982" t="n"/>
      <c r="AI151" s="982" t="n"/>
      <c r="AJ151" s="982" t="n"/>
      <c r="AK151" s="982" t="n"/>
      <c r="AL151" s="982" t="n"/>
      <c r="AM151" s="982" t="n"/>
      <c r="AN151" s="982" t="n"/>
      <c r="AO151" s="982" t="n"/>
      <c r="AP151" s="982" t="n"/>
      <c r="AQ151" s="982" t="n"/>
      <c r="AR151" s="982" t="n"/>
      <c r="AS151" s="982" t="n"/>
      <c r="AT151" s="982" t="n"/>
      <c r="AV151" s="1079" t="n"/>
      <c r="AW151" s="1080" t="n"/>
      <c r="AX151" s="1080" t="n"/>
      <c r="AY151" s="9" t="n"/>
      <c r="AZ151" s="975" t="n"/>
      <c r="BA151" s="982" t="n"/>
      <c r="BB151" s="982" t="n"/>
      <c r="BC151" s="982" t="n"/>
      <c r="BD151" s="982" t="n"/>
      <c r="BE151" s="982" t="n"/>
    </row>
    <row r="152">
      <c r="H152" s="531" t="n"/>
      <c r="I152" s="4" t="n"/>
      <c r="J152" s="4" t="n"/>
      <c r="L152" s="4" t="n"/>
      <c r="R152" s="982" t="n"/>
      <c r="S152" s="982" t="n"/>
      <c r="T152" s="982" t="n"/>
      <c r="U152" s="982" t="n"/>
      <c r="W152" s="982" t="n"/>
      <c r="X152" s="982" t="n"/>
      <c r="Y152" s="982" t="n"/>
      <c r="Z152" s="982" t="n"/>
      <c r="AA152" s="1078" t="n"/>
      <c r="AB152" s="982" t="n"/>
      <c r="AC152" s="982" t="n"/>
      <c r="AD152" s="982" t="n"/>
      <c r="AE152" s="982" t="n"/>
      <c r="AG152" s="982" t="n"/>
      <c r="AH152" s="982" t="n"/>
      <c r="AI152" s="982" t="n"/>
      <c r="AJ152" s="982" t="n"/>
      <c r="AK152" s="982" t="n"/>
      <c r="AL152" s="982" t="n"/>
      <c r="AM152" s="982" t="n"/>
      <c r="AN152" s="982" t="n"/>
      <c r="AO152" s="982" t="n"/>
      <c r="AP152" s="982" t="n"/>
      <c r="AQ152" s="982" t="n"/>
      <c r="AR152" s="982" t="n"/>
      <c r="AS152" s="982" t="n"/>
      <c r="AT152" s="982" t="n"/>
      <c r="AV152" s="1079" t="n"/>
      <c r="AW152" s="1080" t="n"/>
      <c r="AX152" s="1080" t="n"/>
      <c r="AY152" s="9" t="n"/>
      <c r="AZ152" s="975" t="n"/>
      <c r="BA152" s="982" t="n"/>
      <c r="BB152" s="982" t="n"/>
      <c r="BC152" s="982" t="n"/>
      <c r="BD152" s="982" t="n"/>
      <c r="BE152" s="982" t="n"/>
    </row>
    <row r="153">
      <c r="H153" s="531" t="n"/>
      <c r="I153" s="4" t="n"/>
      <c r="J153" s="4" t="n"/>
      <c r="L153" s="4" t="n"/>
      <c r="R153" s="982" t="n"/>
      <c r="S153" s="982" t="n"/>
      <c r="T153" s="982" t="n"/>
      <c r="U153" s="982" t="n"/>
      <c r="W153" s="982" t="n"/>
      <c r="X153" s="982" t="n"/>
      <c r="Y153" s="982" t="n"/>
      <c r="Z153" s="982" t="n"/>
      <c r="AA153" s="1078" t="n"/>
      <c r="AB153" s="982" t="n"/>
      <c r="AC153" s="982" t="n"/>
      <c r="AD153" s="982" t="n"/>
      <c r="AE153" s="982" t="n"/>
      <c r="AG153" s="982" t="n"/>
      <c r="AH153" s="982" t="n"/>
      <c r="AI153" s="982" t="n"/>
      <c r="AJ153" s="982" t="n"/>
      <c r="AK153" s="982" t="n"/>
      <c r="AL153" s="982" t="n"/>
      <c r="AM153" s="982" t="n"/>
      <c r="AN153" s="982" t="n"/>
      <c r="AO153" s="982" t="n"/>
      <c r="AP153" s="982" t="n"/>
      <c r="AQ153" s="982" t="n"/>
      <c r="AR153" s="982" t="n"/>
      <c r="AS153" s="982" t="n"/>
      <c r="AT153" s="982" t="n"/>
      <c r="AV153" s="1079" t="n"/>
      <c r="AW153" s="1080" t="n"/>
      <c r="AX153" s="1080" t="n"/>
      <c r="AY153" s="9" t="n"/>
      <c r="AZ153" s="975" t="n"/>
      <c r="BA153" s="982" t="n"/>
      <c r="BB153" s="982" t="n"/>
      <c r="BC153" s="982" t="n"/>
      <c r="BD153" s="982" t="n"/>
      <c r="BE153" s="982" t="n"/>
    </row>
    <row r="154">
      <c r="H154" s="531" t="n"/>
      <c r="I154" s="4" t="n"/>
      <c r="J154" s="4" t="n"/>
      <c r="L154" s="4" t="n"/>
      <c r="R154" s="982" t="n"/>
      <c r="S154" s="982" t="n"/>
      <c r="T154" s="982" t="n"/>
      <c r="U154" s="982" t="n"/>
      <c r="W154" s="982" t="n"/>
      <c r="X154" s="982" t="n"/>
      <c r="Y154" s="982" t="n"/>
      <c r="Z154" s="982" t="n"/>
      <c r="AA154" s="1078" t="n"/>
      <c r="AB154" s="982" t="n"/>
      <c r="AC154" s="982" t="n"/>
      <c r="AD154" s="982" t="n"/>
      <c r="AE154" s="982" t="n"/>
      <c r="AG154" s="982" t="n"/>
      <c r="AH154" s="982" t="n"/>
      <c r="AI154" s="982" t="n"/>
      <c r="AJ154" s="982" t="n"/>
      <c r="AK154" s="982" t="n"/>
      <c r="AL154" s="982" t="n"/>
      <c r="AM154" s="982" t="n"/>
      <c r="AN154" s="982" t="n"/>
      <c r="AO154" s="982" t="n"/>
      <c r="AP154" s="982" t="n"/>
      <c r="AQ154" s="982" t="n"/>
      <c r="AR154" s="982" t="n"/>
      <c r="AS154" s="982" t="n"/>
      <c r="AT154" s="982" t="n"/>
      <c r="AV154" s="1079" t="n"/>
      <c r="AW154" s="1080" t="n"/>
      <c r="AX154" s="1080" t="n"/>
      <c r="AY154" s="9" t="n"/>
      <c r="AZ154" s="975" t="n"/>
      <c r="BA154" s="982" t="n"/>
      <c r="BB154" s="982" t="n"/>
      <c r="BC154" s="982" t="n"/>
      <c r="BD154" s="982" t="n"/>
      <c r="BE154" s="982" t="n"/>
    </row>
    <row r="155">
      <c r="H155" s="531" t="n"/>
      <c r="I155" s="4" t="n"/>
      <c r="J155" s="4" t="n"/>
      <c r="L155" s="4" t="n"/>
      <c r="R155" s="982" t="n"/>
      <c r="S155" s="982" t="n"/>
      <c r="T155" s="982" t="n"/>
      <c r="U155" s="982" t="n"/>
      <c r="W155" s="982" t="n"/>
      <c r="X155" s="982" t="n"/>
      <c r="Y155" s="982" t="n"/>
      <c r="Z155" s="982" t="n"/>
      <c r="AA155" s="1078" t="n"/>
      <c r="AB155" s="982" t="n"/>
      <c r="AC155" s="982" t="n"/>
      <c r="AD155" s="982" t="n"/>
      <c r="AE155" s="982" t="n"/>
      <c r="AG155" s="982" t="n"/>
      <c r="AH155" s="982" t="n"/>
      <c r="AI155" s="982" t="n"/>
      <c r="AJ155" s="982" t="n"/>
      <c r="AK155" s="982" t="n"/>
      <c r="AL155" s="982" t="n"/>
      <c r="AM155" s="982" t="n"/>
      <c r="AN155" s="982" t="n"/>
      <c r="AO155" s="982" t="n"/>
      <c r="AP155" s="982" t="n"/>
      <c r="AQ155" s="982" t="n"/>
      <c r="AR155" s="982" t="n"/>
      <c r="AS155" s="982" t="n"/>
      <c r="AT155" s="982" t="n"/>
      <c r="AV155" s="1079" t="n"/>
      <c r="AW155" s="1080" t="n"/>
      <c r="AX155" s="1080" t="n"/>
      <c r="AY155" s="9" t="n"/>
      <c r="AZ155" s="975" t="n"/>
      <c r="BA155" s="982" t="n"/>
      <c r="BB155" s="982" t="n"/>
      <c r="BC155" s="982" t="n"/>
      <c r="BD155" s="982" t="n"/>
      <c r="BE155" s="982" t="n"/>
    </row>
    <row r="156">
      <c r="H156" s="531" t="n"/>
      <c r="I156" s="4" t="n"/>
      <c r="J156" s="4" t="n"/>
      <c r="L156" s="4" t="n"/>
      <c r="R156" s="982" t="n"/>
      <c r="S156" s="982" t="n"/>
      <c r="T156" s="982" t="n"/>
      <c r="U156" s="982" t="n"/>
      <c r="W156" s="982" t="n"/>
      <c r="X156" s="982" t="n"/>
      <c r="Y156" s="982" t="n"/>
      <c r="Z156" s="982" t="n"/>
      <c r="AA156" s="1078" t="n"/>
      <c r="AB156" s="982" t="n"/>
      <c r="AC156" s="982" t="n"/>
      <c r="AD156" s="982" t="n"/>
      <c r="AE156" s="982" t="n"/>
      <c r="AG156" s="982" t="n"/>
      <c r="AH156" s="982" t="n"/>
      <c r="AI156" s="982" t="n"/>
      <c r="AJ156" s="982" t="n"/>
      <c r="AK156" s="982" t="n"/>
      <c r="AL156" s="982" t="n"/>
      <c r="AM156" s="982" t="n"/>
      <c r="AN156" s="982" t="n"/>
      <c r="AO156" s="982" t="n"/>
      <c r="AP156" s="982" t="n"/>
      <c r="AQ156" s="982" t="n"/>
      <c r="AR156" s="982" t="n"/>
      <c r="AS156" s="982" t="n"/>
      <c r="AT156" s="982" t="n"/>
      <c r="AV156" s="1079" t="n"/>
      <c r="AW156" s="1080" t="n"/>
      <c r="AX156" s="1080" t="n"/>
      <c r="AY156" s="9" t="n"/>
      <c r="AZ156" s="975" t="n"/>
      <c r="BA156" s="982" t="n"/>
      <c r="BB156" s="982" t="n"/>
      <c r="BC156" s="982" t="n"/>
      <c r="BD156" s="982" t="n"/>
      <c r="BE156" s="982" t="n"/>
    </row>
    <row r="157">
      <c r="H157" s="531" t="n"/>
      <c r="I157" s="4" t="n"/>
      <c r="J157" s="4" t="n"/>
      <c r="L157" s="4" t="n"/>
      <c r="R157" s="982" t="n"/>
      <c r="S157" s="982" t="n"/>
      <c r="T157" s="982" t="n"/>
      <c r="U157" s="982" t="n"/>
      <c r="W157" s="982" t="n"/>
      <c r="X157" s="982" t="n"/>
      <c r="Y157" s="982" t="n"/>
      <c r="Z157" s="982" t="n"/>
      <c r="AA157" s="1078" t="n"/>
      <c r="AB157" s="982" t="n"/>
      <c r="AC157" s="982" t="n"/>
      <c r="AD157" s="982" t="n"/>
      <c r="AE157" s="982" t="n"/>
      <c r="AG157" s="982" t="n"/>
      <c r="AH157" s="982" t="n"/>
      <c r="AI157" s="982" t="n"/>
      <c r="AJ157" s="982" t="n"/>
      <c r="AK157" s="982" t="n"/>
      <c r="AL157" s="982" t="n"/>
      <c r="AM157" s="982" t="n"/>
      <c r="AN157" s="982" t="n"/>
      <c r="AO157" s="982" t="n"/>
      <c r="AP157" s="982" t="n"/>
      <c r="AQ157" s="982" t="n"/>
      <c r="AR157" s="982" t="n"/>
      <c r="AS157" s="982" t="n"/>
      <c r="AT157" s="982" t="n"/>
      <c r="AV157" s="1079" t="n"/>
      <c r="AW157" s="1080" t="n"/>
      <c r="AX157" s="1080" t="n"/>
      <c r="AY157" s="9" t="n"/>
      <c r="AZ157" s="975" t="n"/>
      <c r="BA157" s="982" t="n"/>
      <c r="BB157" s="982" t="n"/>
      <c r="BC157" s="982" t="n"/>
      <c r="BD157" s="982" t="n"/>
      <c r="BE157" s="982" t="n"/>
    </row>
    <row r="158">
      <c r="H158" s="531" t="n"/>
      <c r="I158" s="4" t="n"/>
      <c r="J158" s="4" t="n"/>
      <c r="L158" s="4" t="n"/>
      <c r="R158" s="982" t="n"/>
      <c r="S158" s="982" t="n"/>
      <c r="T158" s="982" t="n"/>
      <c r="U158" s="982" t="n"/>
      <c r="W158" s="982" t="n"/>
      <c r="X158" s="982" t="n"/>
      <c r="Y158" s="982" t="n"/>
      <c r="Z158" s="982" t="n"/>
      <c r="AA158" s="1078" t="n"/>
      <c r="AB158" s="982" t="n"/>
      <c r="AC158" s="982" t="n"/>
      <c r="AD158" s="982" t="n"/>
      <c r="AE158" s="982" t="n"/>
      <c r="AG158" s="982" t="n"/>
      <c r="AH158" s="982" t="n"/>
      <c r="AI158" s="982" t="n"/>
      <c r="AJ158" s="982" t="n"/>
      <c r="AK158" s="982" t="n"/>
      <c r="AL158" s="982" t="n"/>
      <c r="AM158" s="982" t="n"/>
      <c r="AN158" s="982" t="n"/>
      <c r="AO158" s="982" t="n"/>
      <c r="AP158" s="982" t="n"/>
      <c r="AQ158" s="982" t="n"/>
      <c r="AR158" s="982" t="n"/>
      <c r="AS158" s="982" t="n"/>
      <c r="AT158" s="982" t="n"/>
      <c r="AV158" s="1079" t="n"/>
      <c r="AW158" s="1080" t="n"/>
      <c r="AX158" s="1080" t="n"/>
      <c r="AY158" s="9" t="n"/>
      <c r="AZ158" s="975" t="n"/>
      <c r="BA158" s="982" t="n"/>
      <c r="BB158" s="982" t="n"/>
      <c r="BC158" s="982" t="n"/>
      <c r="BD158" s="982" t="n"/>
      <c r="BE158" s="982" t="n"/>
    </row>
    <row r="159">
      <c r="H159" s="531" t="n"/>
      <c r="I159" s="4" t="n"/>
      <c r="J159" s="4" t="n"/>
      <c r="L159" s="4" t="n"/>
      <c r="R159" s="982" t="n"/>
      <c r="S159" s="982" t="n"/>
      <c r="T159" s="982" t="n"/>
      <c r="U159" s="982" t="n"/>
      <c r="W159" s="982" t="n"/>
      <c r="X159" s="982" t="n"/>
      <c r="Y159" s="982" t="n"/>
      <c r="Z159" s="982" t="n"/>
      <c r="AA159" s="1078" t="n"/>
      <c r="AB159" s="982" t="n"/>
      <c r="AC159" s="982" t="n"/>
      <c r="AD159" s="982" t="n"/>
      <c r="AE159" s="982" t="n"/>
      <c r="AG159" s="982" t="n"/>
      <c r="AH159" s="982" t="n"/>
      <c r="AI159" s="982" t="n"/>
      <c r="AJ159" s="982" t="n"/>
      <c r="AK159" s="982" t="n"/>
      <c r="AL159" s="982" t="n"/>
      <c r="AM159" s="982" t="n"/>
      <c r="AN159" s="982" t="n"/>
      <c r="AO159" s="982" t="n"/>
      <c r="AP159" s="982" t="n"/>
      <c r="AQ159" s="982" t="n"/>
      <c r="AR159" s="982" t="n"/>
      <c r="AS159" s="982" t="n"/>
      <c r="AT159" s="982" t="n"/>
      <c r="AV159" s="1079" t="n"/>
      <c r="AW159" s="1080" t="n"/>
      <c r="AX159" s="1080" t="n"/>
      <c r="AY159" s="9" t="n"/>
      <c r="AZ159" s="975" t="n"/>
      <c r="BA159" s="982" t="n"/>
      <c r="BB159" s="982" t="n"/>
      <c r="BC159" s="982" t="n"/>
      <c r="BD159" s="982" t="n"/>
      <c r="BE159" s="982" t="n"/>
    </row>
    <row r="160">
      <c r="H160" s="531" t="n"/>
      <c r="I160" s="4" t="n"/>
      <c r="J160" s="4" t="n"/>
      <c r="L160" s="4" t="n"/>
      <c r="R160" s="982" t="n"/>
      <c r="S160" s="982" t="n"/>
      <c r="T160" s="982" t="n"/>
      <c r="U160" s="982" t="n"/>
      <c r="W160" s="982" t="n"/>
      <c r="X160" s="982" t="n"/>
      <c r="Y160" s="982" t="n"/>
      <c r="Z160" s="982" t="n"/>
      <c r="AA160" s="1078" t="n"/>
      <c r="AB160" s="982" t="n"/>
      <c r="AC160" s="982" t="n"/>
      <c r="AD160" s="982" t="n"/>
      <c r="AE160" s="982" t="n"/>
      <c r="AG160" s="982" t="n"/>
      <c r="AH160" s="982" t="n"/>
      <c r="AI160" s="982" t="n"/>
      <c r="AJ160" s="982" t="n"/>
      <c r="AK160" s="982" t="n"/>
      <c r="AL160" s="982" t="n"/>
      <c r="AM160" s="982" t="n"/>
      <c r="AN160" s="982" t="n"/>
      <c r="AO160" s="982" t="n"/>
      <c r="AP160" s="982" t="n"/>
      <c r="AQ160" s="982" t="n"/>
      <c r="AR160" s="982" t="n"/>
      <c r="AS160" s="982" t="n"/>
      <c r="AT160" s="982" t="n"/>
      <c r="AV160" s="1079" t="n"/>
      <c r="AW160" s="1080" t="n"/>
      <c r="AX160" s="1080" t="n"/>
      <c r="AY160" s="9" t="n"/>
      <c r="AZ160" s="975" t="n"/>
      <c r="BA160" s="982" t="n"/>
      <c r="BB160" s="982" t="n"/>
      <c r="BC160" s="982" t="n"/>
      <c r="BD160" s="982" t="n"/>
      <c r="BE160" s="982" t="n"/>
    </row>
    <row r="161">
      <c r="H161" s="531" t="n"/>
      <c r="I161" s="4" t="n"/>
      <c r="J161" s="4" t="n"/>
      <c r="L161" s="4" t="n"/>
      <c r="R161" s="982" t="n"/>
      <c r="S161" s="982" t="n"/>
      <c r="T161" s="982" t="n"/>
      <c r="U161" s="982" t="n"/>
      <c r="W161" s="982" t="n"/>
      <c r="X161" s="982" t="n"/>
      <c r="Y161" s="982" t="n"/>
      <c r="Z161" s="982" t="n"/>
      <c r="AA161" s="1078" t="n"/>
      <c r="AB161" s="982" t="n"/>
      <c r="AC161" s="982" t="n"/>
      <c r="AD161" s="982" t="n"/>
      <c r="AE161" s="982" t="n"/>
      <c r="AG161" s="982" t="n"/>
      <c r="AH161" s="982" t="n"/>
      <c r="AI161" s="982" t="n"/>
      <c r="AJ161" s="982" t="n"/>
      <c r="AK161" s="982" t="n"/>
      <c r="AL161" s="982" t="n"/>
      <c r="AM161" s="982" t="n"/>
      <c r="AN161" s="982" t="n"/>
      <c r="AO161" s="982" t="n"/>
      <c r="AP161" s="982" t="n"/>
      <c r="AQ161" s="982" t="n"/>
      <c r="AR161" s="982" t="n"/>
      <c r="AS161" s="982" t="n"/>
      <c r="AT161" s="982" t="n"/>
      <c r="AV161" s="1079" t="n"/>
      <c r="AW161" s="1080" t="n"/>
      <c r="AX161" s="1080" t="n"/>
      <c r="AY161" s="9" t="n"/>
      <c r="AZ161" s="975" t="n"/>
      <c r="BA161" s="982" t="n"/>
      <c r="BB161" s="982" t="n"/>
      <c r="BC161" s="982" t="n"/>
      <c r="BD161" s="982" t="n"/>
      <c r="BE161" s="982" t="n"/>
    </row>
    <row r="162">
      <c r="H162" s="531" t="n"/>
      <c r="I162" s="4" t="n"/>
      <c r="J162" s="4" t="n"/>
      <c r="L162" s="4" t="n"/>
      <c r="R162" s="982" t="n"/>
      <c r="S162" s="982" t="n"/>
      <c r="T162" s="982" t="n"/>
      <c r="U162" s="982" t="n"/>
      <c r="W162" s="982" t="n"/>
      <c r="X162" s="982" t="n"/>
      <c r="Y162" s="982" t="n"/>
      <c r="Z162" s="982" t="n"/>
      <c r="AA162" s="1078" t="n"/>
      <c r="AB162" s="982" t="n"/>
      <c r="AC162" s="982" t="n"/>
      <c r="AD162" s="982" t="n"/>
      <c r="AE162" s="982" t="n"/>
      <c r="AG162" s="982" t="n"/>
      <c r="AH162" s="982" t="n"/>
      <c r="AI162" s="982" t="n"/>
      <c r="AJ162" s="982" t="n"/>
      <c r="AK162" s="982" t="n"/>
      <c r="AL162" s="982" t="n"/>
      <c r="AM162" s="982" t="n"/>
      <c r="AN162" s="982" t="n"/>
      <c r="AO162" s="982" t="n"/>
      <c r="AP162" s="982" t="n"/>
      <c r="AQ162" s="982" t="n"/>
      <c r="AR162" s="982" t="n"/>
      <c r="AS162" s="982" t="n"/>
      <c r="AT162" s="982" t="n"/>
      <c r="AV162" s="1079" t="n"/>
      <c r="AW162" s="1080" t="n"/>
      <c r="AX162" s="1080" t="n"/>
      <c r="AY162" s="9" t="n"/>
      <c r="AZ162" s="975" t="n"/>
      <c r="BA162" s="982" t="n"/>
      <c r="BB162" s="982" t="n"/>
      <c r="BC162" s="982" t="n"/>
      <c r="BD162" s="982" t="n"/>
      <c r="BE162" s="982" t="n"/>
    </row>
    <row r="163">
      <c r="H163" s="531" t="n"/>
      <c r="I163" s="4" t="n"/>
      <c r="J163" s="4" t="n"/>
      <c r="L163" s="4" t="n"/>
      <c r="R163" s="982" t="n"/>
      <c r="S163" s="982" t="n"/>
      <c r="T163" s="982" t="n"/>
      <c r="U163" s="982" t="n"/>
      <c r="W163" s="982" t="n"/>
      <c r="X163" s="982" t="n"/>
      <c r="Y163" s="982" t="n"/>
      <c r="Z163" s="982" t="n"/>
      <c r="AA163" s="1078" t="n"/>
      <c r="AB163" s="982" t="n"/>
      <c r="AC163" s="982" t="n"/>
      <c r="AD163" s="982" t="n"/>
      <c r="AE163" s="982" t="n"/>
      <c r="AG163" s="982" t="n"/>
      <c r="AH163" s="982" t="n"/>
      <c r="AI163" s="982" t="n"/>
      <c r="AJ163" s="982" t="n"/>
      <c r="AK163" s="982" t="n"/>
      <c r="AL163" s="982" t="n"/>
      <c r="AM163" s="982" t="n"/>
      <c r="AN163" s="982" t="n"/>
      <c r="AO163" s="982" t="n"/>
      <c r="AP163" s="982" t="n"/>
      <c r="AQ163" s="982" t="n"/>
      <c r="AR163" s="982" t="n"/>
      <c r="AS163" s="982" t="n"/>
      <c r="AT163" s="982" t="n"/>
      <c r="AV163" s="1079" t="n"/>
      <c r="AW163" s="1080" t="n"/>
      <c r="AX163" s="1080" t="n"/>
      <c r="AY163" s="9" t="n"/>
      <c r="AZ163" s="975" t="n"/>
      <c r="BA163" s="982" t="n"/>
      <c r="BB163" s="982" t="n"/>
      <c r="BC163" s="982" t="n"/>
      <c r="BD163" s="982" t="n"/>
      <c r="BE163" s="982" t="n"/>
    </row>
    <row r="164">
      <c r="H164" s="531" t="n"/>
      <c r="I164" s="4" t="n"/>
      <c r="J164" s="4" t="n"/>
      <c r="L164" s="4" t="n"/>
      <c r="R164" s="982" t="n"/>
      <c r="S164" s="982" t="n"/>
      <c r="T164" s="982" t="n"/>
      <c r="U164" s="982" t="n"/>
      <c r="W164" s="982" t="n"/>
      <c r="X164" s="982" t="n"/>
      <c r="Y164" s="982" t="n"/>
      <c r="Z164" s="982" t="n"/>
      <c r="AA164" s="1078" t="n"/>
      <c r="AB164" s="982" t="n"/>
      <c r="AC164" s="982" t="n"/>
      <c r="AD164" s="982" t="n"/>
      <c r="AE164" s="982" t="n"/>
      <c r="AG164" s="982" t="n"/>
      <c r="AH164" s="982" t="n"/>
      <c r="AI164" s="982" t="n"/>
      <c r="AJ164" s="982" t="n"/>
      <c r="AK164" s="982" t="n"/>
      <c r="AL164" s="982" t="n"/>
      <c r="AM164" s="982" t="n"/>
      <c r="AN164" s="982" t="n"/>
      <c r="AO164" s="982" t="n"/>
      <c r="AP164" s="982" t="n"/>
      <c r="AQ164" s="982" t="n"/>
      <c r="AR164" s="982" t="n"/>
      <c r="AS164" s="982" t="n"/>
      <c r="AT164" s="982" t="n"/>
      <c r="AV164" s="1079" t="n"/>
      <c r="AW164" s="1080" t="n"/>
      <c r="AX164" s="1080" t="n"/>
      <c r="AY164" s="9" t="n"/>
      <c r="AZ164" s="975" t="n"/>
      <c r="BA164" s="982" t="n"/>
      <c r="BB164" s="982" t="n"/>
      <c r="BC164" s="982" t="n"/>
      <c r="BD164" s="982" t="n"/>
      <c r="BE164" s="982" t="n"/>
    </row>
    <row r="165">
      <c r="H165" s="531" t="n"/>
      <c r="I165" s="4" t="n"/>
      <c r="J165" s="4" t="n"/>
      <c r="L165" s="4" t="n"/>
      <c r="R165" s="982" t="n"/>
      <c r="S165" s="982" t="n"/>
      <c r="T165" s="982" t="n"/>
      <c r="U165" s="982" t="n"/>
      <c r="W165" s="982" t="n"/>
      <c r="X165" s="982" t="n"/>
      <c r="Y165" s="982" t="n"/>
      <c r="Z165" s="982" t="n"/>
      <c r="AA165" s="1078" t="n"/>
      <c r="AB165" s="982" t="n"/>
      <c r="AC165" s="982" t="n"/>
      <c r="AD165" s="982" t="n"/>
      <c r="AE165" s="982" t="n"/>
      <c r="AG165" s="982" t="n"/>
      <c r="AH165" s="982" t="n"/>
      <c r="AI165" s="982" t="n"/>
      <c r="AJ165" s="982" t="n"/>
      <c r="AK165" s="982" t="n"/>
      <c r="AL165" s="982" t="n"/>
      <c r="AM165" s="982" t="n"/>
      <c r="AN165" s="982" t="n"/>
      <c r="AO165" s="982" t="n"/>
      <c r="AP165" s="982" t="n"/>
      <c r="AQ165" s="982" t="n"/>
      <c r="AR165" s="982" t="n"/>
      <c r="AS165" s="982" t="n"/>
      <c r="AT165" s="982" t="n"/>
      <c r="AV165" s="1079" t="n"/>
      <c r="AW165" s="1080" t="n"/>
      <c r="AX165" s="1080" t="n"/>
      <c r="AY165" s="9" t="n"/>
      <c r="AZ165" s="975" t="n"/>
      <c r="BA165" s="982" t="n"/>
      <c r="BB165" s="982" t="n"/>
      <c r="BC165" s="982" t="n"/>
      <c r="BD165" s="982" t="n"/>
      <c r="BE165" s="982" t="n"/>
    </row>
    <row r="166">
      <c r="H166" s="531" t="n"/>
      <c r="I166" s="4" t="n"/>
      <c r="J166" s="4" t="n"/>
      <c r="L166" s="4" t="n"/>
      <c r="R166" s="982" t="n"/>
      <c r="S166" s="982" t="n"/>
      <c r="T166" s="982" t="n"/>
      <c r="U166" s="982" t="n"/>
      <c r="W166" s="982" t="n"/>
      <c r="X166" s="982" t="n"/>
      <c r="Y166" s="982" t="n"/>
      <c r="Z166" s="982" t="n"/>
      <c r="AA166" s="1078" t="n"/>
      <c r="AB166" s="982" t="n"/>
      <c r="AC166" s="982" t="n"/>
      <c r="AD166" s="982" t="n"/>
      <c r="AE166" s="982" t="n"/>
      <c r="AG166" s="982" t="n"/>
      <c r="AH166" s="982" t="n"/>
      <c r="AI166" s="982" t="n"/>
      <c r="AJ166" s="982" t="n"/>
      <c r="AK166" s="982" t="n"/>
      <c r="AL166" s="982" t="n"/>
      <c r="AM166" s="982" t="n"/>
      <c r="AN166" s="982" t="n"/>
      <c r="AO166" s="982" t="n"/>
      <c r="AP166" s="982" t="n"/>
      <c r="AQ166" s="982" t="n"/>
      <c r="AR166" s="982" t="n"/>
      <c r="AS166" s="982" t="n"/>
      <c r="AT166" s="982" t="n"/>
      <c r="AV166" s="1079" t="n"/>
      <c r="AW166" s="1080" t="n"/>
      <c r="AX166" s="1080" t="n"/>
      <c r="AY166" s="9" t="n"/>
      <c r="AZ166" s="975" t="n"/>
      <c r="BA166" s="982" t="n"/>
      <c r="BB166" s="982" t="n"/>
      <c r="BC166" s="982" t="n"/>
      <c r="BD166" s="982" t="n"/>
      <c r="BE166" s="982" t="n"/>
    </row>
    <row r="167">
      <c r="H167" s="531" t="n"/>
      <c r="I167" s="4" t="n"/>
      <c r="J167" s="4" t="n"/>
      <c r="L167" s="4" t="n"/>
      <c r="R167" s="982" t="n"/>
      <c r="S167" s="982" t="n"/>
      <c r="T167" s="982" t="n"/>
      <c r="U167" s="982" t="n"/>
      <c r="W167" s="982" t="n"/>
      <c r="X167" s="982" t="n"/>
      <c r="Y167" s="982" t="n"/>
      <c r="Z167" s="982" t="n"/>
      <c r="AA167" s="1078" t="n"/>
      <c r="AB167" s="982" t="n"/>
      <c r="AC167" s="982" t="n"/>
      <c r="AD167" s="982" t="n"/>
      <c r="AE167" s="982" t="n"/>
      <c r="AG167" s="982" t="n"/>
      <c r="AH167" s="982" t="n"/>
      <c r="AI167" s="982" t="n"/>
      <c r="AJ167" s="982" t="n"/>
      <c r="AK167" s="982" t="n"/>
      <c r="AL167" s="982" t="n"/>
      <c r="AM167" s="982" t="n"/>
      <c r="AN167" s="982" t="n"/>
      <c r="AO167" s="982" t="n"/>
      <c r="AP167" s="982" t="n"/>
      <c r="AQ167" s="982" t="n"/>
      <c r="AR167" s="982" t="n"/>
      <c r="AS167" s="982" t="n"/>
      <c r="AT167" s="982" t="n"/>
      <c r="AV167" s="1079" t="n"/>
      <c r="AW167" s="1080" t="n"/>
      <c r="AX167" s="1080" t="n"/>
      <c r="AY167" s="9" t="n"/>
      <c r="AZ167" s="975" t="n"/>
      <c r="BA167" s="982" t="n"/>
      <c r="BB167" s="982" t="n"/>
      <c r="BC167" s="982" t="n"/>
      <c r="BD167" s="982" t="n"/>
      <c r="BE167" s="982" t="n"/>
    </row>
    <row r="168">
      <c r="H168" s="531" t="n"/>
      <c r="I168" s="4" t="n"/>
      <c r="J168" s="4" t="n"/>
      <c r="L168" s="4" t="n"/>
      <c r="R168" s="982" t="n"/>
      <c r="S168" s="982" t="n"/>
      <c r="T168" s="982" t="n"/>
      <c r="U168" s="982" t="n"/>
      <c r="W168" s="982" t="n"/>
      <c r="X168" s="982" t="n"/>
      <c r="Y168" s="982" t="n"/>
      <c r="Z168" s="982" t="n"/>
      <c r="AA168" s="1078" t="n"/>
      <c r="AB168" s="982" t="n"/>
      <c r="AC168" s="982" t="n"/>
      <c r="AD168" s="982" t="n"/>
      <c r="AE168" s="982" t="n"/>
      <c r="AG168" s="982" t="n"/>
      <c r="AH168" s="982" t="n"/>
      <c r="AI168" s="982" t="n"/>
      <c r="AJ168" s="982" t="n"/>
      <c r="AK168" s="982" t="n"/>
      <c r="AL168" s="982" t="n"/>
      <c r="AM168" s="982" t="n"/>
      <c r="AN168" s="982" t="n"/>
      <c r="AO168" s="982" t="n"/>
      <c r="AP168" s="982" t="n"/>
      <c r="AQ168" s="982" t="n"/>
      <c r="AR168" s="982" t="n"/>
      <c r="AS168" s="982" t="n"/>
      <c r="AT168" s="982" t="n"/>
      <c r="AV168" s="1079" t="n"/>
      <c r="AW168" s="1080" t="n"/>
      <c r="AX168" s="1080" t="n"/>
      <c r="AY168" s="9" t="n"/>
      <c r="AZ168" s="975" t="n"/>
      <c r="BA168" s="982" t="n"/>
      <c r="BB168" s="982" t="n"/>
      <c r="BC168" s="982" t="n"/>
      <c r="BD168" s="982" t="n"/>
      <c r="BE168" s="982" t="n"/>
    </row>
    <row r="169">
      <c r="H169" s="531" t="n"/>
      <c r="I169" s="4" t="n"/>
      <c r="J169" s="4" t="n"/>
      <c r="L169" s="4" t="n"/>
      <c r="R169" s="982" t="n"/>
      <c r="S169" s="982" t="n"/>
      <c r="T169" s="982" t="n"/>
      <c r="U169" s="982" t="n"/>
      <c r="W169" s="982" t="n"/>
      <c r="X169" s="982" t="n"/>
      <c r="Y169" s="982" t="n"/>
      <c r="Z169" s="982" t="n"/>
      <c r="AA169" s="1078" t="n"/>
      <c r="AB169" s="982" t="n"/>
      <c r="AC169" s="982" t="n"/>
      <c r="AD169" s="982" t="n"/>
      <c r="AE169" s="982" t="n"/>
      <c r="AG169" s="982" t="n"/>
      <c r="AH169" s="982" t="n"/>
      <c r="AI169" s="982" t="n"/>
      <c r="AJ169" s="982" t="n"/>
      <c r="AK169" s="982" t="n"/>
      <c r="AL169" s="982" t="n"/>
      <c r="AM169" s="982" t="n"/>
      <c r="AN169" s="982" t="n"/>
      <c r="AO169" s="982" t="n"/>
      <c r="AP169" s="982" t="n"/>
      <c r="AQ169" s="982" t="n"/>
      <c r="AR169" s="982" t="n"/>
      <c r="AS169" s="982" t="n"/>
      <c r="AT169" s="982" t="n"/>
      <c r="AV169" s="1079" t="n"/>
      <c r="AW169" s="1080" t="n"/>
      <c r="AX169" s="1080" t="n"/>
      <c r="AY169" s="9" t="n"/>
      <c r="AZ169" s="975" t="n"/>
      <c r="BA169" s="982" t="n"/>
      <c r="BB169" s="982" t="n"/>
      <c r="BC169" s="982" t="n"/>
      <c r="BD169" s="982" t="n"/>
      <c r="BE169" s="982" t="n"/>
    </row>
    <row r="170">
      <c r="H170" s="531" t="n"/>
      <c r="I170" s="4" t="n"/>
      <c r="J170" s="4" t="n"/>
      <c r="L170" s="4" t="n"/>
      <c r="R170" s="982" t="n"/>
      <c r="S170" s="982" t="n"/>
      <c r="T170" s="982" t="n"/>
      <c r="U170" s="982" t="n"/>
      <c r="W170" s="982" t="n"/>
      <c r="X170" s="982" t="n"/>
      <c r="Y170" s="982" t="n"/>
      <c r="Z170" s="982" t="n"/>
      <c r="AA170" s="1078" t="n"/>
      <c r="AB170" s="982" t="n"/>
      <c r="AC170" s="982" t="n"/>
      <c r="AD170" s="982" t="n"/>
      <c r="AE170" s="982" t="n"/>
      <c r="AG170" s="982" t="n"/>
      <c r="AH170" s="982" t="n"/>
      <c r="AI170" s="982" t="n"/>
      <c r="AJ170" s="982" t="n"/>
      <c r="AK170" s="982" t="n"/>
      <c r="AL170" s="982" t="n"/>
      <c r="AM170" s="982" t="n"/>
      <c r="AN170" s="982" t="n"/>
      <c r="AO170" s="982" t="n"/>
      <c r="AP170" s="982" t="n"/>
      <c r="AQ170" s="982" t="n"/>
      <c r="AR170" s="982" t="n"/>
      <c r="AS170" s="982" t="n"/>
      <c r="AT170" s="982" t="n"/>
      <c r="AV170" s="1079" t="n"/>
      <c r="AW170" s="1080" t="n"/>
      <c r="AX170" s="1080" t="n"/>
      <c r="AY170" s="9" t="n"/>
      <c r="AZ170" s="975" t="n"/>
      <c r="BA170" s="982" t="n"/>
      <c r="BB170" s="982" t="n"/>
      <c r="BC170" s="982" t="n"/>
      <c r="BD170" s="982" t="n"/>
      <c r="BE170" s="982" t="n"/>
    </row>
    <row r="171">
      <c r="H171" s="531" t="n"/>
      <c r="I171" s="4" t="n"/>
      <c r="J171" s="4" t="n"/>
      <c r="L171" s="4" t="n"/>
      <c r="R171" s="982" t="n"/>
      <c r="S171" s="982" t="n"/>
      <c r="T171" s="982" t="n"/>
      <c r="U171" s="982" t="n"/>
      <c r="W171" s="982" t="n"/>
      <c r="X171" s="982" t="n"/>
      <c r="Y171" s="982" t="n"/>
      <c r="Z171" s="982" t="n"/>
      <c r="AA171" s="1078" t="n"/>
      <c r="AB171" s="982" t="n"/>
      <c r="AC171" s="982" t="n"/>
      <c r="AD171" s="982" t="n"/>
      <c r="AE171" s="982" t="n"/>
      <c r="AG171" s="982" t="n"/>
      <c r="AH171" s="982" t="n"/>
      <c r="AI171" s="982" t="n"/>
      <c r="AJ171" s="982" t="n"/>
      <c r="AK171" s="982" t="n"/>
      <c r="AL171" s="982" t="n"/>
      <c r="AM171" s="982" t="n"/>
      <c r="AN171" s="982" t="n"/>
      <c r="AO171" s="982" t="n"/>
      <c r="AP171" s="982" t="n"/>
      <c r="AQ171" s="982" t="n"/>
      <c r="AR171" s="982" t="n"/>
      <c r="AS171" s="982" t="n"/>
      <c r="AT171" s="982" t="n"/>
      <c r="AV171" s="1079" t="n"/>
      <c r="AW171" s="1080" t="n"/>
      <c r="AX171" s="1080" t="n"/>
      <c r="AY171" s="9" t="n"/>
      <c r="AZ171" s="975" t="n"/>
      <c r="BA171" s="982" t="n"/>
      <c r="BB171" s="982" t="n"/>
      <c r="BC171" s="982" t="n"/>
      <c r="BD171" s="982" t="n"/>
      <c r="BE171" s="982" t="n"/>
    </row>
    <row r="172">
      <c r="H172" s="531" t="n"/>
      <c r="I172" s="4" t="n"/>
      <c r="J172" s="4" t="n"/>
      <c r="L172" s="4" t="n"/>
      <c r="R172" s="982" t="n"/>
      <c r="S172" s="982" t="n"/>
      <c r="T172" s="982" t="n"/>
      <c r="U172" s="982" t="n"/>
      <c r="W172" s="982" t="n"/>
      <c r="X172" s="982" t="n"/>
      <c r="Y172" s="982" t="n"/>
      <c r="Z172" s="982" t="n"/>
      <c r="AA172" s="1078" t="n"/>
      <c r="AB172" s="982" t="n"/>
      <c r="AC172" s="982" t="n"/>
      <c r="AD172" s="982" t="n"/>
      <c r="AE172" s="982" t="n"/>
      <c r="AG172" s="982" t="n"/>
      <c r="AH172" s="982" t="n"/>
      <c r="AI172" s="982" t="n"/>
      <c r="AJ172" s="982" t="n"/>
      <c r="AK172" s="982" t="n"/>
      <c r="AL172" s="982" t="n"/>
      <c r="AM172" s="982" t="n"/>
      <c r="AN172" s="982" t="n"/>
      <c r="AO172" s="982" t="n"/>
      <c r="AP172" s="982" t="n"/>
      <c r="AQ172" s="982" t="n"/>
      <c r="AR172" s="982" t="n"/>
      <c r="AS172" s="982" t="n"/>
      <c r="AT172" s="982" t="n"/>
      <c r="AV172" s="1079" t="n"/>
      <c r="AW172" s="1080" t="n"/>
      <c r="AX172" s="1080" t="n"/>
      <c r="AY172" s="9" t="n"/>
      <c r="AZ172" s="975" t="n"/>
      <c r="BA172" s="982" t="n"/>
      <c r="BB172" s="982" t="n"/>
      <c r="BC172" s="982" t="n"/>
      <c r="BD172" s="982" t="n"/>
      <c r="BE172" s="982" t="n"/>
    </row>
    <row r="173">
      <c r="H173" s="531" t="n"/>
      <c r="I173" s="4" t="n"/>
      <c r="J173" s="4" t="n"/>
      <c r="L173" s="4" t="n"/>
      <c r="R173" s="982" t="n"/>
      <c r="S173" s="982" t="n"/>
      <c r="T173" s="982" t="n"/>
      <c r="U173" s="982" t="n"/>
      <c r="W173" s="982" t="n"/>
      <c r="X173" s="982" t="n"/>
      <c r="Y173" s="982" t="n"/>
      <c r="Z173" s="982" t="n"/>
      <c r="AA173" s="1078" t="n"/>
      <c r="AB173" s="982" t="n"/>
      <c r="AC173" s="982" t="n"/>
      <c r="AD173" s="982" t="n"/>
      <c r="AE173" s="982" t="n"/>
      <c r="AG173" s="982" t="n"/>
      <c r="AH173" s="982" t="n"/>
      <c r="AI173" s="982" t="n"/>
      <c r="AJ173" s="982" t="n"/>
      <c r="AK173" s="982" t="n"/>
      <c r="AL173" s="982" t="n"/>
      <c r="AM173" s="982" t="n"/>
      <c r="AN173" s="982" t="n"/>
      <c r="AO173" s="982" t="n"/>
      <c r="AP173" s="982" t="n"/>
      <c r="AQ173" s="982" t="n"/>
      <c r="AR173" s="982" t="n"/>
      <c r="AS173" s="982" t="n"/>
      <c r="AT173" s="982" t="n"/>
      <c r="AV173" s="1079" t="n"/>
      <c r="AW173" s="1080" t="n"/>
      <c r="AX173" s="1080" t="n"/>
      <c r="AY173" s="9" t="n"/>
      <c r="AZ173" s="975" t="n"/>
      <c r="BA173" s="982" t="n"/>
      <c r="BB173" s="982" t="n"/>
      <c r="BC173" s="982" t="n"/>
      <c r="BD173" s="982" t="n"/>
      <c r="BE173" s="982" t="n"/>
    </row>
    <row r="174">
      <c r="H174" s="531" t="n"/>
      <c r="I174" s="4" t="n"/>
      <c r="J174" s="4" t="n"/>
      <c r="L174" s="4" t="n"/>
      <c r="R174" s="982" t="n"/>
      <c r="S174" s="982" t="n"/>
      <c r="T174" s="982" t="n"/>
      <c r="U174" s="982" t="n"/>
      <c r="W174" s="982" t="n"/>
      <c r="X174" s="982" t="n"/>
      <c r="Y174" s="982" t="n"/>
      <c r="Z174" s="982" t="n"/>
      <c r="AA174" s="1078" t="n"/>
      <c r="AB174" s="982" t="n"/>
      <c r="AC174" s="982" t="n"/>
      <c r="AD174" s="982" t="n"/>
      <c r="AE174" s="982" t="n"/>
      <c r="AG174" s="982" t="n"/>
      <c r="AH174" s="982" t="n"/>
      <c r="AI174" s="982" t="n"/>
      <c r="AJ174" s="982" t="n"/>
      <c r="AK174" s="982" t="n"/>
      <c r="AL174" s="982" t="n"/>
      <c r="AM174" s="982" t="n"/>
      <c r="AN174" s="982" t="n"/>
      <c r="AO174" s="982" t="n"/>
      <c r="AP174" s="982" t="n"/>
      <c r="AQ174" s="982" t="n"/>
      <c r="AR174" s="982" t="n"/>
      <c r="AS174" s="982" t="n"/>
      <c r="AT174" s="982" t="n"/>
      <c r="AV174" s="1079" t="n"/>
      <c r="AW174" s="1080" t="n"/>
      <c r="AX174" s="1080" t="n"/>
      <c r="AY174" s="9" t="n"/>
      <c r="AZ174" s="975" t="n"/>
      <c r="BA174" s="982" t="n"/>
      <c r="BB174" s="982" t="n"/>
      <c r="BC174" s="982" t="n"/>
      <c r="BD174" s="982" t="n"/>
      <c r="BE174" s="982" t="n"/>
    </row>
    <row r="175">
      <c r="H175" s="531" t="n"/>
      <c r="I175" s="4" t="n"/>
      <c r="J175" s="4" t="n"/>
      <c r="L175" s="4" t="n"/>
      <c r="R175" s="982" t="n"/>
      <c r="S175" s="982" t="n"/>
      <c r="T175" s="982" t="n"/>
      <c r="U175" s="982" t="n"/>
      <c r="W175" s="982" t="n"/>
      <c r="X175" s="982" t="n"/>
      <c r="Y175" s="982" t="n"/>
      <c r="Z175" s="982" t="n"/>
      <c r="AA175" s="1078" t="n"/>
      <c r="AB175" s="982" t="n"/>
      <c r="AC175" s="982" t="n"/>
      <c r="AD175" s="982" t="n"/>
      <c r="AE175" s="982" t="n"/>
      <c r="AG175" s="982" t="n"/>
      <c r="AH175" s="982" t="n"/>
      <c r="AI175" s="982" t="n"/>
      <c r="AJ175" s="982" t="n"/>
      <c r="AK175" s="982" t="n"/>
      <c r="AL175" s="982" t="n"/>
      <c r="AM175" s="982" t="n"/>
      <c r="AN175" s="982" t="n"/>
      <c r="AO175" s="982" t="n"/>
      <c r="AP175" s="982" t="n"/>
      <c r="AQ175" s="982" t="n"/>
      <c r="AR175" s="982" t="n"/>
      <c r="AS175" s="982" t="n"/>
      <c r="AT175" s="982" t="n"/>
      <c r="AV175" s="1079" t="n"/>
      <c r="AW175" s="1080" t="n"/>
      <c r="AX175" s="1080" t="n"/>
      <c r="AY175" s="9" t="n"/>
      <c r="AZ175" s="975" t="n"/>
      <c r="BA175" s="982" t="n"/>
      <c r="BB175" s="982" t="n"/>
      <c r="BC175" s="982" t="n"/>
      <c r="BD175" s="982" t="n"/>
      <c r="BE175" s="982" t="n"/>
    </row>
    <row r="176">
      <c r="H176" s="531" t="n"/>
      <c r="I176" s="4" t="n"/>
      <c r="J176" s="4" t="n"/>
      <c r="L176" s="4" t="n"/>
      <c r="R176" s="982" t="n"/>
      <c r="S176" s="982" t="n"/>
      <c r="T176" s="982" t="n"/>
      <c r="U176" s="982" t="n"/>
      <c r="W176" s="982" t="n"/>
      <c r="X176" s="982" t="n"/>
      <c r="Y176" s="982" t="n"/>
      <c r="Z176" s="982" t="n"/>
      <c r="AA176" s="1078" t="n"/>
      <c r="AB176" s="982" t="n"/>
      <c r="AC176" s="982" t="n"/>
      <c r="AD176" s="982" t="n"/>
      <c r="AE176" s="982" t="n"/>
      <c r="AG176" s="982" t="n"/>
      <c r="AH176" s="982" t="n"/>
      <c r="AI176" s="982" t="n"/>
      <c r="AJ176" s="982" t="n"/>
      <c r="AK176" s="982" t="n"/>
      <c r="AL176" s="982" t="n"/>
      <c r="AM176" s="982" t="n"/>
      <c r="AN176" s="982" t="n"/>
      <c r="AO176" s="982" t="n"/>
      <c r="AP176" s="982" t="n"/>
      <c r="AQ176" s="982" t="n"/>
      <c r="AR176" s="982" t="n"/>
      <c r="AS176" s="982" t="n"/>
      <c r="AT176" s="982" t="n"/>
      <c r="AV176" s="1079" t="n"/>
      <c r="AW176" s="1080" t="n"/>
      <c r="AX176" s="1080" t="n"/>
      <c r="AY176" s="9" t="n"/>
      <c r="AZ176" s="975" t="n"/>
      <c r="BA176" s="982" t="n"/>
      <c r="BB176" s="982" t="n"/>
      <c r="BC176" s="982" t="n"/>
      <c r="BD176" s="982" t="n"/>
      <c r="BE176" s="982" t="n"/>
    </row>
    <row r="177">
      <c r="H177" s="531" t="n"/>
      <c r="I177" s="4" t="n"/>
      <c r="J177" s="4" t="n"/>
      <c r="L177" s="4" t="n"/>
      <c r="R177" s="982" t="n"/>
      <c r="S177" s="982" t="n"/>
      <c r="T177" s="982" t="n"/>
      <c r="U177" s="982" t="n"/>
      <c r="W177" s="982" t="n"/>
      <c r="X177" s="982" t="n"/>
      <c r="Y177" s="982" t="n"/>
      <c r="Z177" s="982" t="n"/>
      <c r="AA177" s="1078" t="n"/>
      <c r="AB177" s="982" t="n"/>
      <c r="AC177" s="982" t="n"/>
      <c r="AD177" s="982" t="n"/>
      <c r="AE177" s="982" t="n"/>
      <c r="AG177" s="982" t="n"/>
      <c r="AH177" s="982" t="n"/>
      <c r="AI177" s="982" t="n"/>
      <c r="AJ177" s="982" t="n"/>
      <c r="AK177" s="982" t="n"/>
      <c r="AL177" s="982" t="n"/>
      <c r="AM177" s="982" t="n"/>
      <c r="AN177" s="982" t="n"/>
      <c r="AO177" s="982" t="n"/>
      <c r="AP177" s="982" t="n"/>
      <c r="AQ177" s="982" t="n"/>
      <c r="AR177" s="982" t="n"/>
      <c r="AS177" s="982" t="n"/>
      <c r="AT177" s="982" t="n"/>
      <c r="AV177" s="1079" t="n"/>
      <c r="AW177" s="1080" t="n"/>
      <c r="AX177" s="1080" t="n"/>
      <c r="AY177" s="9" t="n"/>
      <c r="AZ177" s="975" t="n"/>
      <c r="BA177" s="982" t="n"/>
      <c r="BB177" s="982" t="n"/>
      <c r="BC177" s="982" t="n"/>
      <c r="BD177" s="982" t="n"/>
      <c r="BE177" s="982" t="n"/>
    </row>
    <row r="178">
      <c r="H178" s="531" t="n"/>
      <c r="I178" s="4" t="n"/>
      <c r="J178" s="4" t="n"/>
      <c r="L178" s="4" t="n"/>
      <c r="R178" s="982" t="n"/>
      <c r="S178" s="982" t="n"/>
      <c r="T178" s="982" t="n"/>
      <c r="U178" s="982" t="n"/>
      <c r="W178" s="982" t="n"/>
      <c r="X178" s="982" t="n"/>
      <c r="Y178" s="982" t="n"/>
      <c r="Z178" s="982" t="n"/>
      <c r="AA178" s="1078" t="n"/>
      <c r="AB178" s="982" t="n"/>
      <c r="AC178" s="982" t="n"/>
      <c r="AD178" s="982" t="n"/>
      <c r="AE178" s="982" t="n"/>
      <c r="AG178" s="982" t="n"/>
      <c r="AH178" s="982" t="n"/>
      <c r="AI178" s="982" t="n"/>
      <c r="AJ178" s="982" t="n"/>
      <c r="AK178" s="982" t="n"/>
      <c r="AL178" s="982" t="n"/>
      <c r="AM178" s="982" t="n"/>
      <c r="AN178" s="982" t="n"/>
      <c r="AO178" s="982" t="n"/>
      <c r="AP178" s="982" t="n"/>
      <c r="AQ178" s="982" t="n"/>
      <c r="AR178" s="982" t="n"/>
      <c r="AS178" s="982" t="n"/>
      <c r="AT178" s="982" t="n"/>
      <c r="AV178" s="1079" t="n"/>
      <c r="AW178" s="1080" t="n"/>
      <c r="AX178" s="1080" t="n"/>
      <c r="AY178" s="9" t="n"/>
      <c r="AZ178" s="975" t="n"/>
      <c r="BA178" s="982" t="n"/>
      <c r="BB178" s="982" t="n"/>
      <c r="BC178" s="982" t="n"/>
      <c r="BD178" s="982" t="n"/>
      <c r="BE178" s="982" t="n"/>
    </row>
    <row r="179">
      <c r="H179" s="531" t="n"/>
      <c r="I179" s="4" t="n"/>
      <c r="J179" s="4" t="n"/>
      <c r="L179" s="4" t="n"/>
      <c r="R179" s="982" t="n"/>
      <c r="S179" s="982" t="n"/>
      <c r="T179" s="982" t="n"/>
      <c r="U179" s="982" t="n"/>
      <c r="W179" s="982" t="n"/>
      <c r="X179" s="982" t="n"/>
      <c r="Y179" s="982" t="n"/>
      <c r="Z179" s="982" t="n"/>
      <c r="AA179" s="1078" t="n"/>
      <c r="AB179" s="982" t="n"/>
      <c r="AC179" s="982" t="n"/>
      <c r="AD179" s="982" t="n"/>
      <c r="AE179" s="982" t="n"/>
      <c r="AG179" s="982" t="n"/>
      <c r="AH179" s="982" t="n"/>
      <c r="AI179" s="982" t="n"/>
      <c r="AJ179" s="982" t="n"/>
      <c r="AK179" s="982" t="n"/>
      <c r="AL179" s="982" t="n"/>
      <c r="AM179" s="982" t="n"/>
      <c r="AN179" s="982" t="n"/>
      <c r="AO179" s="982" t="n"/>
      <c r="AP179" s="982" t="n"/>
      <c r="AQ179" s="982" t="n"/>
      <c r="AR179" s="982" t="n"/>
      <c r="AS179" s="982" t="n"/>
      <c r="AT179" s="982" t="n"/>
      <c r="AV179" s="1079" t="n"/>
      <c r="AW179" s="1080" t="n"/>
      <c r="AX179" s="1080" t="n"/>
      <c r="AY179" s="9" t="n"/>
      <c r="AZ179" s="975" t="n"/>
      <c r="BA179" s="982" t="n"/>
      <c r="BB179" s="982" t="n"/>
      <c r="BC179" s="982" t="n"/>
      <c r="BD179" s="982" t="n"/>
      <c r="BE179" s="982" t="n"/>
    </row>
    <row r="180">
      <c r="H180" s="531" t="n"/>
      <c r="I180" s="4" t="n"/>
      <c r="J180" s="4" t="n"/>
      <c r="L180" s="4" t="n"/>
      <c r="R180" s="982" t="n"/>
      <c r="S180" s="982" t="n"/>
      <c r="T180" s="982" t="n"/>
      <c r="U180" s="982" t="n"/>
      <c r="W180" s="982" t="n"/>
      <c r="X180" s="982" t="n"/>
      <c r="Y180" s="982" t="n"/>
      <c r="Z180" s="982" t="n"/>
      <c r="AA180" s="1078" t="n"/>
      <c r="AB180" s="982" t="n"/>
      <c r="AC180" s="982" t="n"/>
      <c r="AD180" s="982" t="n"/>
      <c r="AE180" s="982" t="n"/>
      <c r="AG180" s="982" t="n"/>
      <c r="AH180" s="982" t="n"/>
      <c r="AI180" s="982" t="n"/>
      <c r="AJ180" s="982" t="n"/>
      <c r="AK180" s="982" t="n"/>
      <c r="AL180" s="982" t="n"/>
      <c r="AM180" s="982" t="n"/>
      <c r="AN180" s="982" t="n"/>
      <c r="AO180" s="982" t="n"/>
      <c r="AP180" s="982" t="n"/>
      <c r="AQ180" s="982" t="n"/>
      <c r="AR180" s="982" t="n"/>
      <c r="AS180" s="982" t="n"/>
      <c r="AT180" s="982" t="n"/>
      <c r="AV180" s="1079" t="n"/>
      <c r="AW180" s="1080" t="n"/>
      <c r="AX180" s="1080" t="n"/>
      <c r="AY180" s="9" t="n"/>
      <c r="AZ180" s="975" t="n"/>
      <c r="BA180" s="982" t="n"/>
      <c r="BB180" s="982" t="n"/>
      <c r="BC180" s="982" t="n"/>
      <c r="BD180" s="982" t="n"/>
      <c r="BE180" s="982" t="n"/>
    </row>
    <row r="181">
      <c r="H181" s="531" t="n"/>
      <c r="I181" s="4" t="n"/>
      <c r="J181" s="4" t="n"/>
      <c r="L181" s="4" t="n"/>
      <c r="R181" s="982" t="n"/>
      <c r="S181" s="982" t="n"/>
      <c r="T181" s="982" t="n"/>
      <c r="U181" s="982" t="n"/>
      <c r="W181" s="982" t="n"/>
      <c r="X181" s="982" t="n"/>
      <c r="Y181" s="982" t="n"/>
      <c r="Z181" s="982" t="n"/>
      <c r="AA181" s="1078" t="n"/>
      <c r="AB181" s="982" t="n"/>
      <c r="AC181" s="982" t="n"/>
      <c r="AD181" s="982" t="n"/>
      <c r="AE181" s="982" t="n"/>
      <c r="AG181" s="982" t="n"/>
      <c r="AH181" s="982" t="n"/>
      <c r="AI181" s="982" t="n"/>
      <c r="AJ181" s="982" t="n"/>
      <c r="AK181" s="982" t="n"/>
      <c r="AL181" s="982" t="n"/>
      <c r="AM181" s="982" t="n"/>
      <c r="AN181" s="982" t="n"/>
      <c r="AO181" s="982" t="n"/>
      <c r="AP181" s="982" t="n"/>
      <c r="AQ181" s="982" t="n"/>
      <c r="AR181" s="982" t="n"/>
      <c r="AS181" s="982" t="n"/>
      <c r="AT181" s="982" t="n"/>
      <c r="AV181" s="1079" t="n"/>
      <c r="AW181" s="1080" t="n"/>
      <c r="AX181" s="1080" t="n"/>
      <c r="AY181" s="9" t="n"/>
      <c r="AZ181" s="975" t="n"/>
      <c r="BA181" s="982" t="n"/>
      <c r="BB181" s="982" t="n"/>
      <c r="BC181" s="982" t="n"/>
      <c r="BD181" s="982" t="n"/>
      <c r="BE181" s="982" t="n"/>
    </row>
    <row r="182">
      <c r="H182" s="531" t="n"/>
      <c r="I182" s="4" t="n"/>
      <c r="J182" s="4" t="n"/>
      <c r="L182" s="4" t="n"/>
      <c r="R182" s="982" t="n"/>
      <c r="S182" s="982" t="n"/>
      <c r="T182" s="982" t="n"/>
      <c r="U182" s="982" t="n"/>
      <c r="W182" s="982" t="n"/>
      <c r="X182" s="982" t="n"/>
      <c r="Y182" s="982" t="n"/>
      <c r="Z182" s="982" t="n"/>
      <c r="AA182" s="1078" t="n"/>
      <c r="AB182" s="982" t="n"/>
      <c r="AC182" s="982" t="n"/>
      <c r="AD182" s="982" t="n"/>
      <c r="AE182" s="982" t="n"/>
      <c r="AG182" s="982" t="n"/>
      <c r="AH182" s="982" t="n"/>
      <c r="AI182" s="982" t="n"/>
      <c r="AJ182" s="982" t="n"/>
      <c r="AK182" s="982" t="n"/>
      <c r="AL182" s="982" t="n"/>
      <c r="AM182" s="982" t="n"/>
      <c r="AN182" s="982" t="n"/>
      <c r="AO182" s="982" t="n"/>
      <c r="AP182" s="982" t="n"/>
      <c r="AQ182" s="982" t="n"/>
      <c r="AR182" s="982" t="n"/>
      <c r="AS182" s="982" t="n"/>
      <c r="AT182" s="982" t="n"/>
      <c r="AV182" s="1079" t="n"/>
      <c r="AW182" s="1080" t="n"/>
      <c r="AX182" s="1080" t="n"/>
      <c r="AY182" s="9" t="n"/>
      <c r="AZ182" s="975" t="n"/>
      <c r="BA182" s="982" t="n"/>
      <c r="BB182" s="982" t="n"/>
      <c r="BC182" s="982" t="n"/>
      <c r="BD182" s="982" t="n"/>
      <c r="BE182" s="982" t="n"/>
    </row>
    <row r="183">
      <c r="H183" s="531" t="n"/>
      <c r="I183" s="4" t="n"/>
      <c r="J183" s="4" t="n"/>
      <c r="L183" s="4" t="n"/>
      <c r="R183" s="982" t="n"/>
      <c r="S183" s="982" t="n"/>
      <c r="T183" s="982" t="n"/>
      <c r="U183" s="982" t="n"/>
      <c r="W183" s="982" t="n"/>
      <c r="X183" s="982" t="n"/>
      <c r="Y183" s="982" t="n"/>
      <c r="Z183" s="982" t="n"/>
      <c r="AA183" s="1078" t="n"/>
      <c r="AB183" s="982" t="n"/>
      <c r="AC183" s="982" t="n"/>
      <c r="AD183" s="982" t="n"/>
      <c r="AE183" s="982" t="n"/>
      <c r="AG183" s="982" t="n"/>
      <c r="AH183" s="982" t="n"/>
      <c r="AI183" s="982" t="n"/>
      <c r="AJ183" s="982" t="n"/>
      <c r="AK183" s="982" t="n"/>
      <c r="AL183" s="982" t="n"/>
      <c r="AM183" s="982" t="n"/>
      <c r="AN183" s="982" t="n"/>
      <c r="AO183" s="982" t="n"/>
      <c r="AP183" s="982" t="n"/>
      <c r="AQ183" s="982" t="n"/>
      <c r="AR183" s="982" t="n"/>
      <c r="AS183" s="982" t="n"/>
      <c r="AT183" s="982" t="n"/>
      <c r="AV183" s="1079" t="n"/>
      <c r="AW183" s="1080" t="n"/>
      <c r="AX183" s="1080" t="n"/>
      <c r="AY183" s="9" t="n"/>
      <c r="AZ183" s="975" t="n"/>
      <c r="BA183" s="982" t="n"/>
      <c r="BB183" s="982" t="n"/>
      <c r="BC183" s="982" t="n"/>
      <c r="BD183" s="982" t="n"/>
      <c r="BE183" s="982" t="n"/>
    </row>
    <row r="184">
      <c r="H184" s="531" t="n"/>
      <c r="I184" s="4" t="n"/>
      <c r="J184" s="4" t="n"/>
      <c r="L184" s="4" t="n"/>
      <c r="R184" s="982" t="n"/>
      <c r="S184" s="982" t="n"/>
      <c r="T184" s="982" t="n"/>
      <c r="U184" s="982" t="n"/>
      <c r="W184" s="982" t="n"/>
      <c r="X184" s="982" t="n"/>
      <c r="Y184" s="982" t="n"/>
      <c r="Z184" s="982" t="n"/>
      <c r="AA184" s="1078" t="n"/>
      <c r="AB184" s="982" t="n"/>
      <c r="AC184" s="982" t="n"/>
      <c r="AD184" s="982" t="n"/>
      <c r="AE184" s="982" t="n"/>
      <c r="AG184" s="982" t="n"/>
      <c r="AH184" s="982" t="n"/>
      <c r="AI184" s="982" t="n"/>
      <c r="AJ184" s="982" t="n"/>
      <c r="AK184" s="982" t="n"/>
      <c r="AL184" s="982" t="n"/>
      <c r="AM184" s="982" t="n"/>
      <c r="AN184" s="982" t="n"/>
      <c r="AO184" s="982" t="n"/>
      <c r="AP184" s="982" t="n"/>
      <c r="AQ184" s="982" t="n"/>
      <c r="AR184" s="982" t="n"/>
      <c r="AS184" s="982" t="n"/>
      <c r="AT184" s="982" t="n"/>
      <c r="AV184" s="1079" t="n"/>
      <c r="AW184" s="1080" t="n"/>
      <c r="AX184" s="1080" t="n"/>
      <c r="AY184" s="9" t="n"/>
      <c r="AZ184" s="975" t="n"/>
      <c r="BA184" s="982" t="n"/>
      <c r="BB184" s="982" t="n"/>
      <c r="BC184" s="982" t="n"/>
      <c r="BD184" s="982" t="n"/>
      <c r="BE184" s="982" t="n"/>
    </row>
    <row r="185">
      <c r="H185" s="531" t="n"/>
      <c r="I185" s="4" t="n"/>
      <c r="J185" s="4" t="n"/>
      <c r="L185" s="4" t="n"/>
      <c r="R185" s="982" t="n"/>
      <c r="S185" s="982" t="n"/>
      <c r="T185" s="982" t="n"/>
      <c r="U185" s="982" t="n"/>
      <c r="W185" s="982" t="n"/>
      <c r="X185" s="982" t="n"/>
      <c r="Y185" s="982" t="n"/>
      <c r="Z185" s="982" t="n"/>
      <c r="AA185" s="1078" t="n"/>
      <c r="AB185" s="982" t="n"/>
      <c r="AC185" s="982" t="n"/>
      <c r="AD185" s="982" t="n"/>
      <c r="AE185" s="982" t="n"/>
      <c r="AG185" s="982" t="n"/>
      <c r="AH185" s="982" t="n"/>
      <c r="AI185" s="982" t="n"/>
      <c r="AJ185" s="982" t="n"/>
      <c r="AK185" s="982" t="n"/>
      <c r="AL185" s="982" t="n"/>
      <c r="AM185" s="982" t="n"/>
      <c r="AN185" s="982" t="n"/>
      <c r="AO185" s="982" t="n"/>
      <c r="AP185" s="982" t="n"/>
      <c r="AQ185" s="982" t="n"/>
      <c r="AR185" s="982" t="n"/>
      <c r="AS185" s="982" t="n"/>
      <c r="AT185" s="982" t="n"/>
      <c r="AV185" s="1079" t="n"/>
      <c r="AW185" s="1080" t="n"/>
      <c r="AX185" s="1080" t="n"/>
      <c r="AY185" s="9" t="n"/>
      <c r="AZ185" s="975" t="n"/>
      <c r="BA185" s="982" t="n"/>
      <c r="BB185" s="982" t="n"/>
      <c r="BC185" s="982" t="n"/>
      <c r="BD185" s="982" t="n"/>
      <c r="BE185" s="982" t="n"/>
    </row>
    <row r="186">
      <c r="H186" s="531" t="n"/>
      <c r="I186" s="4" t="n"/>
      <c r="J186" s="4" t="n"/>
      <c r="L186" s="4" t="n"/>
      <c r="R186" s="982" t="n"/>
      <c r="S186" s="982" t="n"/>
      <c r="T186" s="982" t="n"/>
      <c r="U186" s="982" t="n"/>
      <c r="W186" s="982" t="n"/>
      <c r="X186" s="982" t="n"/>
      <c r="Y186" s="982" t="n"/>
      <c r="Z186" s="982" t="n"/>
      <c r="AA186" s="1078" t="n"/>
      <c r="AB186" s="982" t="n"/>
      <c r="AC186" s="982" t="n"/>
      <c r="AD186" s="982" t="n"/>
      <c r="AE186" s="982" t="n"/>
      <c r="AG186" s="982" t="n"/>
      <c r="AH186" s="982" t="n"/>
      <c r="AI186" s="982" t="n"/>
      <c r="AJ186" s="982" t="n"/>
      <c r="AK186" s="982" t="n"/>
      <c r="AL186" s="982" t="n"/>
      <c r="AM186" s="982" t="n"/>
      <c r="AN186" s="982" t="n"/>
      <c r="AO186" s="982" t="n"/>
      <c r="AP186" s="982" t="n"/>
      <c r="AQ186" s="982" t="n"/>
      <c r="AR186" s="982" t="n"/>
      <c r="AS186" s="982" t="n"/>
      <c r="AT186" s="982" t="n"/>
      <c r="AV186" s="1079" t="n"/>
      <c r="AW186" s="1080" t="n"/>
      <c r="AX186" s="1080" t="n"/>
      <c r="AY186" s="9" t="n"/>
      <c r="AZ186" s="975" t="n"/>
      <c r="BA186" s="982" t="n"/>
      <c r="BB186" s="982" t="n"/>
      <c r="BC186" s="982" t="n"/>
      <c r="BD186" s="982" t="n"/>
      <c r="BE186" s="982" t="n"/>
    </row>
    <row r="187">
      <c r="H187" s="531" t="n"/>
      <c r="I187" s="4" t="n"/>
      <c r="J187" s="4" t="n"/>
      <c r="L187" s="4" t="n"/>
      <c r="R187" s="982" t="n"/>
      <c r="S187" s="982" t="n"/>
      <c r="T187" s="982" t="n"/>
      <c r="U187" s="982" t="n"/>
      <c r="W187" s="982" t="n"/>
      <c r="X187" s="982" t="n"/>
      <c r="Y187" s="982" t="n"/>
      <c r="Z187" s="982" t="n"/>
      <c r="AA187" s="1078" t="n"/>
      <c r="AB187" s="982" t="n"/>
      <c r="AC187" s="982" t="n"/>
      <c r="AD187" s="982" t="n"/>
      <c r="AE187" s="982" t="n"/>
      <c r="AG187" s="982" t="n"/>
      <c r="AH187" s="982" t="n"/>
      <c r="AI187" s="982" t="n"/>
      <c r="AJ187" s="982" t="n"/>
      <c r="AK187" s="982" t="n"/>
      <c r="AL187" s="982" t="n"/>
      <c r="AM187" s="982" t="n"/>
      <c r="AN187" s="982" t="n"/>
      <c r="AO187" s="982" t="n"/>
      <c r="AP187" s="982" t="n"/>
      <c r="AQ187" s="982" t="n"/>
      <c r="AR187" s="982" t="n"/>
      <c r="AS187" s="982" t="n"/>
      <c r="AT187" s="982" t="n"/>
      <c r="AV187" s="1079" t="n"/>
      <c r="AW187" s="1080" t="n"/>
      <c r="AX187" s="1080" t="n"/>
      <c r="AY187" s="9" t="n"/>
      <c r="AZ187" s="975" t="n"/>
      <c r="BA187" s="982" t="n"/>
      <c r="BB187" s="982" t="n"/>
      <c r="BC187" s="982" t="n"/>
      <c r="BD187" s="982" t="n"/>
      <c r="BE187" s="982" t="n"/>
    </row>
    <row r="188">
      <c r="H188" s="531" t="n"/>
      <c r="I188" s="4" t="n"/>
      <c r="J188" s="4" t="n"/>
      <c r="L188" s="4" t="n"/>
      <c r="R188" s="982" t="n"/>
      <c r="S188" s="982" t="n"/>
      <c r="T188" s="982" t="n"/>
      <c r="U188" s="982" t="n"/>
      <c r="W188" s="982" t="n"/>
      <c r="X188" s="982" t="n"/>
      <c r="Y188" s="982" t="n"/>
      <c r="Z188" s="982" t="n"/>
      <c r="AA188" s="1078" t="n"/>
      <c r="AB188" s="982" t="n"/>
      <c r="AC188" s="982" t="n"/>
      <c r="AD188" s="982" t="n"/>
      <c r="AE188" s="982" t="n"/>
      <c r="AG188" s="982" t="n"/>
      <c r="AH188" s="982" t="n"/>
      <c r="AI188" s="982" t="n"/>
      <c r="AJ188" s="982" t="n"/>
      <c r="AK188" s="982" t="n"/>
      <c r="AL188" s="982" t="n"/>
      <c r="AM188" s="982" t="n"/>
      <c r="AN188" s="982" t="n"/>
      <c r="AO188" s="982" t="n"/>
      <c r="AP188" s="982" t="n"/>
      <c r="AQ188" s="982" t="n"/>
      <c r="AR188" s="982" t="n"/>
      <c r="AS188" s="982" t="n"/>
      <c r="AT188" s="982" t="n"/>
      <c r="AV188" s="1079" t="n"/>
      <c r="AW188" s="1080" t="n"/>
      <c r="AX188" s="1080" t="n"/>
      <c r="AY188" s="9" t="n"/>
      <c r="AZ188" s="975" t="n"/>
      <c r="BA188" s="982" t="n"/>
      <c r="BB188" s="982" t="n"/>
      <c r="BC188" s="982" t="n"/>
      <c r="BD188" s="982" t="n"/>
      <c r="BE188" s="982" t="n"/>
    </row>
    <row r="189">
      <c r="H189" s="531" t="n"/>
      <c r="I189" s="4" t="n"/>
      <c r="J189" s="4" t="n"/>
      <c r="L189" s="4" t="n"/>
      <c r="R189" s="982" t="n"/>
      <c r="S189" s="982" t="n"/>
      <c r="T189" s="982" t="n"/>
      <c r="U189" s="982" t="n"/>
      <c r="W189" s="982" t="n"/>
      <c r="X189" s="982" t="n"/>
      <c r="Y189" s="982" t="n"/>
      <c r="Z189" s="982" t="n"/>
      <c r="AA189" s="1078" t="n"/>
      <c r="AB189" s="982" t="n"/>
      <c r="AC189" s="982" t="n"/>
      <c r="AD189" s="982" t="n"/>
      <c r="AE189" s="982" t="n"/>
      <c r="AG189" s="982" t="n"/>
      <c r="AH189" s="982" t="n"/>
      <c r="AI189" s="982" t="n"/>
      <c r="AJ189" s="982" t="n"/>
      <c r="AK189" s="982" t="n"/>
      <c r="AL189" s="982" t="n"/>
      <c r="AM189" s="982" t="n"/>
      <c r="AN189" s="982" t="n"/>
      <c r="AO189" s="982" t="n"/>
      <c r="AP189" s="982" t="n"/>
      <c r="AQ189" s="982" t="n"/>
      <c r="AR189" s="982" t="n"/>
      <c r="AS189" s="982" t="n"/>
      <c r="AT189" s="982" t="n"/>
      <c r="AV189" s="1079" t="n"/>
      <c r="AW189" s="1080" t="n"/>
      <c r="AX189" s="1080" t="n"/>
      <c r="AY189" s="9" t="n"/>
      <c r="AZ189" s="975" t="n"/>
      <c r="BA189" s="982" t="n"/>
      <c r="BB189" s="982" t="n"/>
      <c r="BC189" s="982" t="n"/>
      <c r="BD189" s="982" t="n"/>
      <c r="BE189" s="982" t="n"/>
    </row>
    <row r="190">
      <c r="H190" s="531" t="n"/>
      <c r="I190" s="4" t="n"/>
      <c r="J190" s="4" t="n"/>
      <c r="L190" s="4" t="n"/>
      <c r="R190" s="982" t="n"/>
      <c r="S190" s="982" t="n"/>
      <c r="T190" s="982" t="n"/>
      <c r="U190" s="982" t="n"/>
      <c r="W190" s="982" t="n"/>
      <c r="X190" s="982" t="n"/>
      <c r="Y190" s="982" t="n"/>
      <c r="Z190" s="982" t="n"/>
      <c r="AA190" s="1078" t="n"/>
      <c r="AB190" s="982" t="n"/>
      <c r="AC190" s="982" t="n"/>
      <c r="AD190" s="982" t="n"/>
      <c r="AE190" s="982" t="n"/>
      <c r="AG190" s="982" t="n"/>
      <c r="AH190" s="982" t="n"/>
      <c r="AI190" s="982" t="n"/>
      <c r="AJ190" s="982" t="n"/>
      <c r="AK190" s="982" t="n"/>
      <c r="AL190" s="982" t="n"/>
      <c r="AM190" s="982" t="n"/>
      <c r="AN190" s="982" t="n"/>
      <c r="AO190" s="982" t="n"/>
      <c r="AP190" s="982" t="n"/>
      <c r="AQ190" s="982" t="n"/>
      <c r="AR190" s="982" t="n"/>
      <c r="AS190" s="982" t="n"/>
      <c r="AT190" s="982" t="n"/>
      <c r="AV190" s="1079" t="n"/>
      <c r="AW190" s="1080" t="n"/>
      <c r="AX190" s="1080" t="n"/>
      <c r="AY190" s="9" t="n"/>
      <c r="AZ190" s="975" t="n"/>
      <c r="BA190" s="982" t="n"/>
      <c r="BB190" s="982" t="n"/>
      <c r="BC190" s="982" t="n"/>
      <c r="BD190" s="982" t="n"/>
      <c r="BE190" s="982" t="n"/>
    </row>
    <row r="191">
      <c r="H191" s="531" t="n"/>
      <c r="I191" s="4" t="n"/>
      <c r="J191" s="4" t="n"/>
      <c r="L191" s="4" t="n"/>
      <c r="R191" s="982" t="n"/>
      <c r="S191" s="982" t="n"/>
      <c r="T191" s="982" t="n"/>
      <c r="U191" s="982" t="n"/>
      <c r="W191" s="982" t="n"/>
      <c r="X191" s="982" t="n"/>
      <c r="Y191" s="982" t="n"/>
      <c r="Z191" s="982" t="n"/>
      <c r="AA191" s="1078" t="n"/>
      <c r="AB191" s="982" t="n"/>
      <c r="AC191" s="982" t="n"/>
      <c r="AD191" s="982" t="n"/>
      <c r="AE191" s="982" t="n"/>
      <c r="AG191" s="982" t="n"/>
      <c r="AH191" s="982" t="n"/>
      <c r="AI191" s="982" t="n"/>
      <c r="AJ191" s="982" t="n"/>
      <c r="AK191" s="982" t="n"/>
      <c r="AL191" s="982" t="n"/>
      <c r="AM191" s="982" t="n"/>
      <c r="AN191" s="982" t="n"/>
      <c r="AO191" s="982" t="n"/>
      <c r="AP191" s="982" t="n"/>
      <c r="AQ191" s="982" t="n"/>
      <c r="AR191" s="982" t="n"/>
      <c r="AS191" s="982" t="n"/>
      <c r="AT191" s="982" t="n"/>
      <c r="AV191" s="1079" t="n"/>
      <c r="AW191" s="1080" t="n"/>
      <c r="AX191" s="1080" t="n"/>
      <c r="AY191" s="9" t="n"/>
      <c r="AZ191" s="975" t="n"/>
      <c r="BA191" s="982" t="n"/>
      <c r="BB191" s="982" t="n"/>
      <c r="BC191" s="982" t="n"/>
      <c r="BD191" s="982" t="n"/>
      <c r="BE191" s="982" t="n"/>
    </row>
    <row r="192">
      <c r="H192" s="531" t="n"/>
      <c r="I192" s="4" t="n"/>
      <c r="J192" s="4" t="n"/>
      <c r="L192" s="4" t="n"/>
      <c r="R192" s="982" t="n"/>
      <c r="S192" s="982" t="n"/>
      <c r="T192" s="982" t="n"/>
      <c r="U192" s="982" t="n"/>
      <c r="W192" s="982" t="n"/>
      <c r="X192" s="982" t="n"/>
      <c r="Y192" s="982" t="n"/>
      <c r="Z192" s="982" t="n"/>
      <c r="AA192" s="1078" t="n"/>
      <c r="AB192" s="982" t="n"/>
      <c r="AC192" s="982" t="n"/>
      <c r="AD192" s="982" t="n"/>
      <c r="AE192" s="982" t="n"/>
      <c r="AG192" s="982" t="n"/>
      <c r="AH192" s="982" t="n"/>
      <c r="AI192" s="982" t="n"/>
      <c r="AJ192" s="982" t="n"/>
      <c r="AK192" s="982" t="n"/>
      <c r="AL192" s="982" t="n"/>
      <c r="AM192" s="982" t="n"/>
      <c r="AN192" s="982" t="n"/>
      <c r="AO192" s="982" t="n"/>
      <c r="AP192" s="982" t="n"/>
      <c r="AQ192" s="982" t="n"/>
      <c r="AR192" s="982" t="n"/>
      <c r="AS192" s="982" t="n"/>
      <c r="AT192" s="982" t="n"/>
      <c r="AV192" s="1079" t="n"/>
      <c r="AW192" s="1080" t="n"/>
      <c r="AX192" s="1080" t="n"/>
      <c r="AY192" s="9" t="n"/>
      <c r="AZ192" s="975" t="n"/>
      <c r="BA192" s="982" t="n"/>
      <c r="BB192" s="982" t="n"/>
      <c r="BC192" s="982" t="n"/>
      <c r="BD192" s="982" t="n"/>
      <c r="BE192" s="982" t="n"/>
    </row>
    <row r="193">
      <c r="H193" s="531" t="n"/>
      <c r="I193" s="4" t="n"/>
      <c r="J193" s="4" t="n"/>
      <c r="L193" s="4" t="n"/>
      <c r="R193" s="982" t="n"/>
      <c r="S193" s="982" t="n"/>
      <c r="T193" s="982" t="n"/>
      <c r="U193" s="982" t="n"/>
      <c r="W193" s="982" t="n"/>
      <c r="X193" s="982" t="n"/>
      <c r="Y193" s="982" t="n"/>
      <c r="Z193" s="982" t="n"/>
      <c r="AA193" s="1078" t="n"/>
      <c r="AB193" s="982" t="n"/>
      <c r="AC193" s="982" t="n"/>
      <c r="AD193" s="982" t="n"/>
      <c r="AE193" s="982" t="n"/>
      <c r="AG193" s="982" t="n"/>
      <c r="AH193" s="982" t="n"/>
      <c r="AI193" s="982" t="n"/>
      <c r="AJ193" s="982" t="n"/>
      <c r="AK193" s="982" t="n"/>
      <c r="AL193" s="982" t="n"/>
      <c r="AM193" s="982" t="n"/>
      <c r="AN193" s="982" t="n"/>
      <c r="AO193" s="982" t="n"/>
      <c r="AP193" s="982" t="n"/>
      <c r="AQ193" s="982" t="n"/>
      <c r="AR193" s="982" t="n"/>
      <c r="AS193" s="982" t="n"/>
      <c r="AT193" s="982" t="n"/>
      <c r="AV193" s="1079" t="n"/>
      <c r="AW193" s="1080" t="n"/>
      <c r="AX193" s="1080" t="n"/>
      <c r="AY193" s="9" t="n"/>
      <c r="AZ193" s="975" t="n"/>
      <c r="BA193" s="982" t="n"/>
      <c r="BB193" s="982" t="n"/>
      <c r="BC193" s="982" t="n"/>
      <c r="BD193" s="982" t="n"/>
      <c r="BE193" s="982" t="n"/>
    </row>
    <row r="194">
      <c r="H194" s="531" t="n"/>
      <c r="I194" s="4" t="n"/>
      <c r="J194" s="4" t="n"/>
      <c r="L194" s="4" t="n"/>
      <c r="R194" s="982" t="n"/>
      <c r="S194" s="982" t="n"/>
      <c r="T194" s="982" t="n"/>
      <c r="U194" s="982" t="n"/>
      <c r="W194" s="982" t="n"/>
      <c r="X194" s="982" t="n"/>
      <c r="Y194" s="982" t="n"/>
      <c r="Z194" s="982" t="n"/>
      <c r="AA194" s="1078" t="n"/>
      <c r="AB194" s="982" t="n"/>
      <c r="AC194" s="982" t="n"/>
      <c r="AD194" s="982" t="n"/>
      <c r="AE194" s="982" t="n"/>
      <c r="AG194" s="982" t="n"/>
      <c r="AH194" s="982" t="n"/>
      <c r="AI194" s="982" t="n"/>
      <c r="AJ194" s="982" t="n"/>
      <c r="AK194" s="982" t="n"/>
      <c r="AL194" s="982" t="n"/>
      <c r="AM194" s="982" t="n"/>
      <c r="AN194" s="982" t="n"/>
      <c r="AO194" s="982" t="n"/>
      <c r="AP194" s="982" t="n"/>
      <c r="AQ194" s="982" t="n"/>
      <c r="AR194" s="982" t="n"/>
      <c r="AS194" s="982" t="n"/>
      <c r="AT194" s="982" t="n"/>
      <c r="AV194" s="1079" t="n"/>
      <c r="AW194" s="1080" t="n"/>
      <c r="AX194" s="1080" t="n"/>
      <c r="AY194" s="9" t="n"/>
      <c r="AZ194" s="975" t="n"/>
      <c r="BA194" s="982" t="n"/>
      <c r="BB194" s="982" t="n"/>
      <c r="BC194" s="982" t="n"/>
      <c r="BD194" s="982" t="n"/>
      <c r="BE194" s="982" t="n"/>
    </row>
    <row r="195">
      <c r="H195" s="531" t="n"/>
      <c r="I195" s="4" t="n"/>
      <c r="J195" s="4" t="n"/>
      <c r="L195" s="4" t="n"/>
      <c r="R195" s="982" t="n"/>
      <c r="S195" s="982" t="n"/>
      <c r="T195" s="982" t="n"/>
      <c r="U195" s="982" t="n"/>
      <c r="W195" s="982" t="n"/>
      <c r="X195" s="982" t="n"/>
      <c r="Y195" s="982" t="n"/>
      <c r="Z195" s="982" t="n"/>
      <c r="AA195" s="1078" t="n"/>
      <c r="AB195" s="982" t="n"/>
      <c r="AC195" s="982" t="n"/>
      <c r="AD195" s="982" t="n"/>
      <c r="AE195" s="982" t="n"/>
      <c r="AG195" s="982" t="n"/>
      <c r="AH195" s="982" t="n"/>
      <c r="AI195" s="982" t="n"/>
      <c r="AJ195" s="982" t="n"/>
      <c r="AK195" s="982" t="n"/>
      <c r="AL195" s="982" t="n"/>
      <c r="AM195" s="982" t="n"/>
      <c r="AN195" s="982" t="n"/>
      <c r="AO195" s="982" t="n"/>
      <c r="AP195" s="982" t="n"/>
      <c r="AQ195" s="982" t="n"/>
      <c r="AR195" s="982" t="n"/>
      <c r="AS195" s="982" t="n"/>
      <c r="AT195" s="982" t="n"/>
      <c r="AV195" s="1079" t="n"/>
      <c r="AW195" s="1080" t="n"/>
      <c r="AX195" s="1080" t="n"/>
      <c r="AY195" s="9" t="n"/>
      <c r="AZ195" s="975" t="n"/>
      <c r="BA195" s="982" t="n"/>
      <c r="BB195" s="982" t="n"/>
      <c r="BC195" s="982" t="n"/>
      <c r="BD195" s="982" t="n"/>
      <c r="BE195" s="982" t="n"/>
    </row>
    <row r="196">
      <c r="H196" s="531" t="n"/>
      <c r="I196" s="4" t="n"/>
      <c r="J196" s="4" t="n"/>
      <c r="L196" s="4" t="n"/>
      <c r="R196" s="982" t="n"/>
      <c r="S196" s="982" t="n"/>
      <c r="T196" s="982" t="n"/>
      <c r="U196" s="982" t="n"/>
      <c r="W196" s="982" t="n"/>
      <c r="X196" s="982" t="n"/>
      <c r="Y196" s="982" t="n"/>
      <c r="Z196" s="982" t="n"/>
      <c r="AA196" s="1078" t="n"/>
      <c r="AB196" s="982" t="n"/>
      <c r="AC196" s="982" t="n"/>
      <c r="AD196" s="982" t="n"/>
      <c r="AE196" s="982" t="n"/>
      <c r="AG196" s="982" t="n"/>
      <c r="AH196" s="982" t="n"/>
      <c r="AI196" s="982" t="n"/>
      <c r="AJ196" s="982" t="n"/>
      <c r="AK196" s="982" t="n"/>
      <c r="AL196" s="982" t="n"/>
      <c r="AM196" s="982" t="n"/>
      <c r="AN196" s="982" t="n"/>
      <c r="AO196" s="982" t="n"/>
      <c r="AP196" s="982" t="n"/>
      <c r="AQ196" s="982" t="n"/>
      <c r="AR196" s="982" t="n"/>
      <c r="AS196" s="982" t="n"/>
      <c r="AT196" s="982" t="n"/>
      <c r="AV196" s="1079" t="n"/>
      <c r="AW196" s="1080" t="n"/>
      <c r="AX196" s="1080" t="n"/>
      <c r="AY196" s="9" t="n"/>
      <c r="AZ196" s="975" t="n"/>
      <c r="BA196" s="982" t="n"/>
      <c r="BB196" s="982" t="n"/>
      <c r="BC196" s="982" t="n"/>
      <c r="BD196" s="982" t="n"/>
      <c r="BE196" s="982" t="n"/>
    </row>
    <row r="197">
      <c r="H197" s="531" t="n"/>
      <c r="I197" s="4" t="n"/>
      <c r="J197" s="4" t="n"/>
      <c r="L197" s="4" t="n"/>
      <c r="R197" s="982" t="n"/>
      <c r="S197" s="982" t="n"/>
      <c r="T197" s="982" t="n"/>
      <c r="U197" s="982" t="n"/>
      <c r="W197" s="982" t="n"/>
      <c r="X197" s="982" t="n"/>
      <c r="Y197" s="982" t="n"/>
      <c r="Z197" s="982" t="n"/>
      <c r="AA197" s="1078" t="n"/>
      <c r="AB197" s="982" t="n"/>
      <c r="AC197" s="982" t="n"/>
      <c r="AD197" s="982" t="n"/>
      <c r="AE197" s="982" t="n"/>
      <c r="AG197" s="982" t="n"/>
      <c r="AH197" s="982" t="n"/>
      <c r="AI197" s="982" t="n"/>
      <c r="AJ197" s="982" t="n"/>
      <c r="AK197" s="982" t="n"/>
      <c r="AL197" s="982" t="n"/>
      <c r="AM197" s="982" t="n"/>
      <c r="AN197" s="982" t="n"/>
      <c r="AO197" s="982" t="n"/>
      <c r="AP197" s="982" t="n"/>
      <c r="AQ197" s="982" t="n"/>
      <c r="AR197" s="982" t="n"/>
      <c r="AS197" s="982" t="n"/>
      <c r="AT197" s="982" t="n"/>
      <c r="AV197" s="1079" t="n"/>
      <c r="AW197" s="1080" t="n"/>
      <c r="AX197" s="1080" t="n"/>
      <c r="AY197" s="9" t="n"/>
      <c r="AZ197" s="975" t="n"/>
      <c r="BA197" s="982" t="n"/>
      <c r="BB197" s="982" t="n"/>
      <c r="BC197" s="982" t="n"/>
      <c r="BD197" s="982" t="n"/>
      <c r="BE197" s="982" t="n"/>
    </row>
    <row r="198">
      <c r="H198" s="531" t="n"/>
      <c r="I198" s="4" t="n"/>
      <c r="J198" s="4" t="n"/>
      <c r="L198" s="4" t="n"/>
      <c r="R198" s="982" t="n"/>
      <c r="S198" s="982" t="n"/>
      <c r="T198" s="982" t="n"/>
      <c r="U198" s="982" t="n"/>
      <c r="W198" s="982" t="n"/>
      <c r="X198" s="982" t="n"/>
      <c r="Y198" s="982" t="n"/>
      <c r="Z198" s="982" t="n"/>
      <c r="AA198" s="1078" t="n"/>
      <c r="AB198" s="982" t="n"/>
      <c r="AC198" s="982" t="n"/>
      <c r="AD198" s="982" t="n"/>
      <c r="AE198" s="982" t="n"/>
      <c r="AG198" s="982" t="n"/>
      <c r="AH198" s="982" t="n"/>
      <c r="AI198" s="982" t="n"/>
      <c r="AJ198" s="982" t="n"/>
      <c r="AK198" s="982" t="n"/>
      <c r="AL198" s="982" t="n"/>
      <c r="AM198" s="982" t="n"/>
      <c r="AN198" s="982" t="n"/>
      <c r="AO198" s="982" t="n"/>
      <c r="AP198" s="982" t="n"/>
      <c r="AQ198" s="982" t="n"/>
      <c r="AR198" s="982" t="n"/>
      <c r="AS198" s="982" t="n"/>
      <c r="AT198" s="982" t="n"/>
      <c r="AV198" s="1079" t="n"/>
      <c r="AW198" s="1080" t="n"/>
      <c r="AX198" s="1080" t="n"/>
      <c r="AY198" s="9" t="n"/>
      <c r="AZ198" s="975" t="n"/>
      <c r="BA198" s="982" t="n"/>
      <c r="BB198" s="982" t="n"/>
      <c r="BC198" s="982" t="n"/>
      <c r="BD198" s="982" t="n"/>
      <c r="BE198" s="982" t="n"/>
    </row>
    <row r="199">
      <c r="H199" s="531" t="n"/>
      <c r="I199" s="4" t="n"/>
      <c r="J199" s="4" t="n"/>
      <c r="L199" s="4" t="n"/>
      <c r="R199" s="982" t="n"/>
      <c r="S199" s="982" t="n"/>
      <c r="T199" s="982" t="n"/>
      <c r="U199" s="982" t="n"/>
      <c r="W199" s="982" t="n"/>
      <c r="X199" s="982" t="n"/>
      <c r="Y199" s="982" t="n"/>
      <c r="Z199" s="982" t="n"/>
      <c r="AA199" s="1078" t="n"/>
      <c r="AB199" s="982" t="n"/>
      <c r="AC199" s="982" t="n"/>
      <c r="AD199" s="982" t="n"/>
      <c r="AE199" s="982" t="n"/>
      <c r="AG199" s="982" t="n"/>
      <c r="AH199" s="982" t="n"/>
      <c r="AI199" s="982" t="n"/>
      <c r="AJ199" s="982" t="n"/>
      <c r="AK199" s="982" t="n"/>
      <c r="AL199" s="982" t="n"/>
      <c r="AM199" s="982" t="n"/>
      <c r="AN199" s="982" t="n"/>
      <c r="AO199" s="982" t="n"/>
      <c r="AP199" s="982" t="n"/>
      <c r="AQ199" s="982" t="n"/>
      <c r="AR199" s="982" t="n"/>
      <c r="AS199" s="982" t="n"/>
      <c r="AT199" s="982" t="n"/>
      <c r="AV199" s="1079" t="n"/>
      <c r="AW199" s="1080" t="n"/>
      <c r="AX199" s="1080" t="n"/>
      <c r="AY199" s="9" t="n"/>
      <c r="AZ199" s="975" t="n"/>
      <c r="BA199" s="982" t="n"/>
      <c r="BB199" s="982" t="n"/>
      <c r="BC199" s="982" t="n"/>
      <c r="BD199" s="982" t="n"/>
      <c r="BE199" s="982" t="n"/>
    </row>
    <row r="200">
      <c r="H200" s="531" t="n"/>
      <c r="I200" s="4" t="n"/>
      <c r="J200" s="4" t="n"/>
      <c r="L200" s="4" t="n"/>
      <c r="R200" s="982" t="n"/>
      <c r="S200" s="982" t="n"/>
      <c r="T200" s="982" t="n"/>
      <c r="U200" s="982" t="n"/>
      <c r="W200" s="982" t="n"/>
      <c r="X200" s="982" t="n"/>
      <c r="Y200" s="982" t="n"/>
      <c r="Z200" s="982" t="n"/>
      <c r="AA200" s="1078" t="n"/>
      <c r="AB200" s="982" t="n"/>
      <c r="AC200" s="982" t="n"/>
      <c r="AD200" s="982" t="n"/>
      <c r="AE200" s="982" t="n"/>
      <c r="AG200" s="982" t="n"/>
      <c r="AH200" s="982" t="n"/>
      <c r="AI200" s="982" t="n"/>
      <c r="AJ200" s="982" t="n"/>
      <c r="AK200" s="982" t="n"/>
      <c r="AL200" s="982" t="n"/>
      <c r="AM200" s="982" t="n"/>
      <c r="AN200" s="982" t="n"/>
      <c r="AO200" s="982" t="n"/>
      <c r="AP200" s="982" t="n"/>
      <c r="AQ200" s="982" t="n"/>
      <c r="AR200" s="982" t="n"/>
      <c r="AS200" s="982" t="n"/>
      <c r="AT200" s="982" t="n"/>
      <c r="AV200" s="1079" t="n"/>
      <c r="AW200" s="1080" t="n"/>
      <c r="AX200" s="1080" t="n"/>
      <c r="AY200" s="9" t="n"/>
      <c r="AZ200" s="975" t="n"/>
      <c r="BA200" s="982" t="n"/>
      <c r="BB200" s="982" t="n"/>
      <c r="BC200" s="982" t="n"/>
      <c r="BD200" s="982" t="n"/>
      <c r="BE200" s="982" t="n"/>
    </row>
    <row r="201">
      <c r="H201" s="531" t="n"/>
      <c r="I201" s="4" t="n"/>
      <c r="J201" s="4" t="n"/>
      <c r="L201" s="4" t="n"/>
      <c r="R201" s="982" t="n"/>
      <c r="S201" s="982" t="n"/>
      <c r="T201" s="982" t="n"/>
      <c r="U201" s="982" t="n"/>
      <c r="W201" s="982" t="n"/>
      <c r="X201" s="982" t="n"/>
      <c r="Y201" s="982" t="n"/>
      <c r="Z201" s="982" t="n"/>
      <c r="AA201" s="1078" t="n"/>
      <c r="AB201" s="982" t="n"/>
      <c r="AC201" s="982" t="n"/>
      <c r="AD201" s="982" t="n"/>
      <c r="AE201" s="982" t="n"/>
      <c r="AG201" s="982" t="n"/>
      <c r="AH201" s="982" t="n"/>
      <c r="AI201" s="982" t="n"/>
      <c r="AJ201" s="982" t="n"/>
      <c r="AK201" s="982" t="n"/>
      <c r="AL201" s="982" t="n"/>
      <c r="AM201" s="982" t="n"/>
      <c r="AN201" s="982" t="n"/>
      <c r="AO201" s="982" t="n"/>
      <c r="AP201" s="982" t="n"/>
      <c r="AQ201" s="982" t="n"/>
      <c r="AR201" s="982" t="n"/>
      <c r="AS201" s="982" t="n"/>
      <c r="AT201" s="982" t="n"/>
      <c r="AV201" s="1079" t="n"/>
      <c r="AW201" s="1080" t="n"/>
      <c r="AX201" s="1080" t="n"/>
      <c r="AY201" s="9" t="n"/>
      <c r="AZ201" s="975" t="n"/>
      <c r="BA201" s="982" t="n"/>
      <c r="BB201" s="982" t="n"/>
      <c r="BC201" s="982" t="n"/>
      <c r="BD201" s="982" t="n"/>
      <c r="BE201" s="982" t="n"/>
    </row>
    <row r="202">
      <c r="H202" s="531" t="n"/>
      <c r="I202" s="4" t="n"/>
      <c r="J202" s="4" t="n"/>
      <c r="L202" s="4" t="n"/>
      <c r="R202" s="982" t="n"/>
      <c r="S202" s="982" t="n"/>
      <c r="T202" s="982" t="n"/>
      <c r="U202" s="982" t="n"/>
      <c r="W202" s="982" t="n"/>
      <c r="X202" s="982" t="n"/>
      <c r="Y202" s="982" t="n"/>
      <c r="Z202" s="982" t="n"/>
      <c r="AA202" s="1078" t="n"/>
      <c r="AB202" s="982" t="n"/>
      <c r="AC202" s="982" t="n"/>
      <c r="AD202" s="982" t="n"/>
      <c r="AE202" s="982" t="n"/>
      <c r="AG202" s="982" t="n"/>
      <c r="AH202" s="982" t="n"/>
      <c r="AI202" s="982" t="n"/>
      <c r="AJ202" s="982" t="n"/>
      <c r="AK202" s="982" t="n"/>
      <c r="AL202" s="982" t="n"/>
      <c r="AM202" s="982" t="n"/>
      <c r="AN202" s="982" t="n"/>
      <c r="AO202" s="982" t="n"/>
      <c r="AP202" s="982" t="n"/>
      <c r="AQ202" s="982" t="n"/>
      <c r="AR202" s="982" t="n"/>
      <c r="AS202" s="982" t="n"/>
      <c r="AT202" s="982" t="n"/>
      <c r="AV202" s="1079" t="n"/>
      <c r="AW202" s="1080" t="n"/>
      <c r="AX202" s="1080" t="n"/>
      <c r="AY202" s="9" t="n"/>
      <c r="AZ202" s="975" t="n"/>
      <c r="BA202" s="982" t="n"/>
      <c r="BB202" s="982" t="n"/>
      <c r="BC202" s="982" t="n"/>
      <c r="BD202" s="982" t="n"/>
      <c r="BE202" s="982" t="n"/>
    </row>
    <row r="203">
      <c r="H203" s="531" t="n"/>
      <c r="I203" s="4" t="n"/>
      <c r="J203" s="4" t="n"/>
      <c r="L203" s="4" t="n"/>
      <c r="R203" s="982" t="n"/>
      <c r="S203" s="982" t="n"/>
      <c r="T203" s="982" t="n"/>
      <c r="U203" s="982" t="n"/>
      <c r="W203" s="982" t="n"/>
      <c r="X203" s="982" t="n"/>
      <c r="Y203" s="982" t="n"/>
      <c r="Z203" s="982" t="n"/>
      <c r="AA203" s="1078" t="n"/>
      <c r="AB203" s="982" t="n"/>
      <c r="AC203" s="982" t="n"/>
      <c r="AD203" s="982" t="n"/>
      <c r="AE203" s="982" t="n"/>
      <c r="AG203" s="982" t="n"/>
      <c r="AH203" s="982" t="n"/>
      <c r="AI203" s="982" t="n"/>
      <c r="AJ203" s="982" t="n"/>
      <c r="AK203" s="982" t="n"/>
      <c r="AL203" s="982" t="n"/>
      <c r="AM203" s="982" t="n"/>
      <c r="AN203" s="982" t="n"/>
      <c r="AO203" s="982" t="n"/>
      <c r="AP203" s="982" t="n"/>
      <c r="AQ203" s="982" t="n"/>
      <c r="AR203" s="982" t="n"/>
      <c r="AS203" s="982" t="n"/>
      <c r="AT203" s="982" t="n"/>
      <c r="AV203" s="1079" t="n"/>
      <c r="AW203" s="1080" t="n"/>
      <c r="AX203" s="1080" t="n"/>
      <c r="AY203" s="9" t="n"/>
      <c r="AZ203" s="975" t="n"/>
      <c r="BA203" s="982" t="n"/>
      <c r="BB203" s="982" t="n"/>
      <c r="BC203" s="982" t="n"/>
      <c r="BD203" s="982" t="n"/>
      <c r="BE203" s="982" t="n"/>
    </row>
    <row r="204">
      <c r="H204" s="531" t="n"/>
      <c r="I204" s="4" t="n"/>
      <c r="J204" s="4" t="n"/>
      <c r="L204" s="4" t="n"/>
      <c r="R204" s="982" t="n"/>
      <c r="S204" s="982" t="n"/>
      <c r="T204" s="982" t="n"/>
      <c r="U204" s="982" t="n"/>
      <c r="W204" s="982" t="n"/>
      <c r="X204" s="982" t="n"/>
      <c r="Y204" s="982" t="n"/>
      <c r="Z204" s="982" t="n"/>
      <c r="AA204" s="1078" t="n"/>
      <c r="AB204" s="982" t="n"/>
      <c r="AC204" s="982" t="n"/>
      <c r="AD204" s="982" t="n"/>
      <c r="AE204" s="982" t="n"/>
      <c r="AG204" s="982" t="n"/>
      <c r="AH204" s="982" t="n"/>
      <c r="AI204" s="982" t="n"/>
      <c r="AJ204" s="982" t="n"/>
      <c r="AK204" s="982" t="n"/>
      <c r="AL204" s="982" t="n"/>
      <c r="AM204" s="982" t="n"/>
      <c r="AN204" s="982" t="n"/>
      <c r="AO204" s="982" t="n"/>
      <c r="AP204" s="982" t="n"/>
      <c r="AQ204" s="982" t="n"/>
      <c r="AR204" s="982" t="n"/>
      <c r="AS204" s="982" t="n"/>
      <c r="AT204" s="982" t="n"/>
      <c r="AV204" s="1079" t="n"/>
      <c r="AW204" s="1080" t="n"/>
      <c r="AX204" s="1080" t="n"/>
      <c r="AY204" s="9" t="n"/>
      <c r="AZ204" s="975" t="n"/>
      <c r="BA204" s="982" t="n"/>
      <c r="BB204" s="982" t="n"/>
      <c r="BC204" s="982" t="n"/>
      <c r="BD204" s="982" t="n"/>
      <c r="BE204" s="982" t="n"/>
    </row>
    <row r="205">
      <c r="H205" s="531" t="n"/>
      <c r="I205" s="4" t="n"/>
      <c r="J205" s="4" t="n"/>
      <c r="L205" s="4" t="n"/>
      <c r="R205" s="982" t="n"/>
      <c r="S205" s="982" t="n"/>
      <c r="T205" s="982" t="n"/>
      <c r="U205" s="982" t="n"/>
      <c r="W205" s="982" t="n"/>
      <c r="X205" s="982" t="n"/>
      <c r="Y205" s="982" t="n"/>
      <c r="Z205" s="982" t="n"/>
      <c r="AA205" s="1078" t="n"/>
      <c r="AB205" s="982" t="n"/>
      <c r="AC205" s="982" t="n"/>
      <c r="AD205" s="982" t="n"/>
      <c r="AE205" s="982" t="n"/>
      <c r="AG205" s="982" t="n"/>
      <c r="AH205" s="982" t="n"/>
      <c r="AI205" s="982" t="n"/>
      <c r="AJ205" s="982" t="n"/>
      <c r="AK205" s="982" t="n"/>
      <c r="AL205" s="982" t="n"/>
      <c r="AM205" s="982" t="n"/>
      <c r="AN205" s="982" t="n"/>
      <c r="AO205" s="982" t="n"/>
      <c r="AP205" s="982" t="n"/>
      <c r="AQ205" s="982" t="n"/>
      <c r="AR205" s="982" t="n"/>
      <c r="AS205" s="982" t="n"/>
      <c r="AT205" s="982" t="n"/>
      <c r="AV205" s="1079" t="n"/>
      <c r="AW205" s="1080" t="n"/>
      <c r="AX205" s="1080" t="n"/>
      <c r="AY205" s="9" t="n"/>
      <c r="AZ205" s="975" t="n"/>
      <c r="BA205" s="982" t="n"/>
      <c r="BB205" s="982" t="n"/>
      <c r="BC205" s="982" t="n"/>
      <c r="BD205" s="982" t="n"/>
      <c r="BE205" s="982" t="n"/>
    </row>
    <row r="206">
      <c r="H206" s="531" t="n"/>
      <c r="I206" s="4" t="n"/>
      <c r="J206" s="4" t="n"/>
      <c r="L206" s="4" t="n"/>
      <c r="R206" s="982" t="n"/>
      <c r="S206" s="982" t="n"/>
      <c r="T206" s="982" t="n"/>
      <c r="U206" s="982" t="n"/>
      <c r="W206" s="982" t="n"/>
      <c r="X206" s="982" t="n"/>
      <c r="Y206" s="982" t="n"/>
      <c r="Z206" s="982" t="n"/>
      <c r="AA206" s="1078" t="n"/>
      <c r="AB206" s="982" t="n"/>
      <c r="AC206" s="982" t="n"/>
      <c r="AD206" s="982" t="n"/>
      <c r="AE206" s="982" t="n"/>
      <c r="AG206" s="982" t="n"/>
      <c r="AH206" s="982" t="n"/>
      <c r="AI206" s="982" t="n"/>
      <c r="AJ206" s="982" t="n"/>
      <c r="AK206" s="982" t="n"/>
      <c r="AL206" s="982" t="n"/>
      <c r="AM206" s="982" t="n"/>
      <c r="AN206" s="982" t="n"/>
      <c r="AO206" s="982" t="n"/>
      <c r="AP206" s="982" t="n"/>
      <c r="AQ206" s="982" t="n"/>
      <c r="AR206" s="982" t="n"/>
      <c r="AS206" s="982" t="n"/>
      <c r="AT206" s="982" t="n"/>
      <c r="AV206" s="1079" t="n"/>
      <c r="AW206" s="1080" t="n"/>
      <c r="AX206" s="1080" t="n"/>
      <c r="AY206" s="9" t="n"/>
      <c r="AZ206" s="975" t="n"/>
      <c r="BA206" s="982" t="n"/>
      <c r="BB206" s="982" t="n"/>
      <c r="BC206" s="982" t="n"/>
      <c r="BD206" s="982" t="n"/>
      <c r="BE206" s="982" t="n"/>
    </row>
    <row r="207">
      <c r="H207" s="531" t="n"/>
      <c r="I207" s="4" t="n"/>
      <c r="J207" s="4" t="n"/>
      <c r="L207" s="4" t="n"/>
      <c r="R207" s="982" t="n"/>
      <c r="S207" s="982" t="n"/>
      <c r="T207" s="982" t="n"/>
      <c r="U207" s="982" t="n"/>
      <c r="W207" s="982" t="n"/>
      <c r="X207" s="982" t="n"/>
      <c r="Y207" s="982" t="n"/>
      <c r="Z207" s="982" t="n"/>
      <c r="AA207" s="1078" t="n"/>
      <c r="AB207" s="982" t="n"/>
      <c r="AC207" s="982" t="n"/>
      <c r="AD207" s="982" t="n"/>
      <c r="AE207" s="982" t="n"/>
      <c r="AG207" s="982" t="n"/>
      <c r="AH207" s="982" t="n"/>
      <c r="AI207" s="982" t="n"/>
      <c r="AJ207" s="982" t="n"/>
      <c r="AK207" s="982" t="n"/>
      <c r="AL207" s="982" t="n"/>
      <c r="AM207" s="982" t="n"/>
      <c r="AN207" s="982" t="n"/>
      <c r="AO207" s="982" t="n"/>
      <c r="AP207" s="982" t="n"/>
      <c r="AQ207" s="982" t="n"/>
      <c r="AR207" s="982" t="n"/>
      <c r="AS207" s="982" t="n"/>
      <c r="AT207" s="982" t="n"/>
      <c r="AV207" s="1079" t="n"/>
      <c r="AW207" s="1080" t="n"/>
      <c r="AX207" s="1080" t="n"/>
      <c r="AY207" s="9" t="n"/>
      <c r="AZ207" s="975" t="n"/>
      <c r="BA207" s="982" t="n"/>
      <c r="BB207" s="982" t="n"/>
      <c r="BC207" s="982" t="n"/>
      <c r="BD207" s="982" t="n"/>
      <c r="BE207" s="982" t="n"/>
    </row>
    <row r="208">
      <c r="H208" s="531" t="n"/>
      <c r="I208" s="4" t="n"/>
      <c r="J208" s="4" t="n"/>
      <c r="L208" s="4" t="n"/>
      <c r="R208" s="982" t="n"/>
      <c r="S208" s="982" t="n"/>
      <c r="T208" s="982" t="n"/>
      <c r="U208" s="982" t="n"/>
      <c r="W208" s="982" t="n"/>
      <c r="X208" s="982" t="n"/>
      <c r="Y208" s="982" t="n"/>
      <c r="Z208" s="982" t="n"/>
      <c r="AA208" s="1078" t="n"/>
      <c r="AB208" s="982" t="n"/>
      <c r="AC208" s="982" t="n"/>
      <c r="AD208" s="982" t="n"/>
      <c r="AE208" s="982" t="n"/>
      <c r="AG208" s="982" t="n"/>
      <c r="AH208" s="982" t="n"/>
      <c r="AI208" s="982" t="n"/>
      <c r="AJ208" s="982" t="n"/>
      <c r="AK208" s="982" t="n"/>
      <c r="AL208" s="982" t="n"/>
      <c r="AM208" s="982" t="n"/>
      <c r="AN208" s="982" t="n"/>
      <c r="AO208" s="982" t="n"/>
      <c r="AP208" s="982" t="n"/>
      <c r="AQ208" s="982" t="n"/>
      <c r="AR208" s="982" t="n"/>
      <c r="AS208" s="982" t="n"/>
      <c r="AT208" s="982" t="n"/>
      <c r="AV208" s="1079" t="n"/>
      <c r="AW208" s="1080" t="n"/>
      <c r="AX208" s="1080" t="n"/>
      <c r="AY208" s="9" t="n"/>
      <c r="AZ208" s="975" t="n"/>
      <c r="BA208" s="982" t="n"/>
      <c r="BB208" s="982" t="n"/>
      <c r="BC208" s="982" t="n"/>
      <c r="BD208" s="982" t="n"/>
      <c r="BE208" s="982" t="n"/>
    </row>
    <row r="209">
      <c r="H209" s="531" t="n"/>
      <c r="I209" s="4" t="n"/>
      <c r="J209" s="4" t="n"/>
      <c r="L209" s="4" t="n"/>
      <c r="R209" s="982" t="n"/>
      <c r="S209" s="982" t="n"/>
      <c r="T209" s="982" t="n"/>
      <c r="U209" s="982" t="n"/>
      <c r="W209" s="982" t="n"/>
      <c r="X209" s="982" t="n"/>
      <c r="Y209" s="982" t="n"/>
      <c r="Z209" s="982" t="n"/>
      <c r="AA209" s="1078" t="n"/>
      <c r="AB209" s="982" t="n"/>
      <c r="AC209" s="982" t="n"/>
      <c r="AD209" s="982" t="n"/>
      <c r="AE209" s="982" t="n"/>
      <c r="AG209" s="982" t="n"/>
      <c r="AH209" s="982" t="n"/>
      <c r="AI209" s="982" t="n"/>
      <c r="AJ209" s="982" t="n"/>
      <c r="AK209" s="982" t="n"/>
      <c r="AL209" s="982" t="n"/>
      <c r="AM209" s="982" t="n"/>
      <c r="AN209" s="982" t="n"/>
      <c r="AO209" s="982" t="n"/>
      <c r="AP209" s="982" t="n"/>
      <c r="AQ209" s="982" t="n"/>
      <c r="AR209" s="982" t="n"/>
      <c r="AS209" s="982" t="n"/>
      <c r="AT209" s="982" t="n"/>
      <c r="AV209" s="1079" t="n"/>
      <c r="AW209" s="1080" t="n"/>
      <c r="AX209" s="1080" t="n"/>
      <c r="AY209" s="9" t="n"/>
      <c r="AZ209" s="975" t="n"/>
      <c r="BA209" s="982" t="n"/>
      <c r="BB209" s="982" t="n"/>
      <c r="BC209" s="982" t="n"/>
      <c r="BD209" s="982" t="n"/>
      <c r="BE209" s="982" t="n"/>
    </row>
  </sheetData>
  <mergeCells count="11">
    <mergeCell ref="AB7:AG7"/>
    <mergeCell ref="AZ7:BE7"/>
    <mergeCell ref="G7:N7"/>
    <mergeCell ref="AT7:AX7"/>
    <mergeCell ref="A6:D7"/>
    <mergeCell ref="R7:U7"/>
    <mergeCell ref="AO7:AS7"/>
    <mergeCell ref="AH7:AK7"/>
    <mergeCell ref="A1:D4"/>
    <mergeCell ref="V7:X7"/>
    <mergeCell ref="Y7:AA7"/>
  </mergeCells>
  <pageMargins left="0.75" right="0.75" top="1" bottom="1" header="0.5" footer="0.5"/>
  <pageSetup orientation="portrait"/>
</worksheet>
</file>

<file path=xl/worksheets/sheet11.xml><?xml version="1.0" encoding="utf-8"?>
<worksheet xmlns="http://schemas.openxmlformats.org/spreadsheetml/2006/main">
  <sheetPr codeName="Sheet8">
    <outlinePr summaryBelow="1" summaryRight="1"/>
    <pageSetUpPr/>
  </sheetPr>
  <dimension ref="A2:B7"/>
  <sheetViews>
    <sheetView zoomScaleNormal="100" workbookViewId="0">
      <selection activeCell="B2" sqref="B2"/>
    </sheetView>
  </sheetViews>
  <sheetFormatPr baseColWidth="8" defaultRowHeight="12.75"/>
  <cols>
    <col width="10.5703125" customWidth="1" min="1" max="1"/>
    <col width="126" customWidth="1" min="2" max="2"/>
  </cols>
  <sheetData>
    <row r="2">
      <c r="A2">
        <f>IF(PLOT_TYPE=1, "EFF_Ch1", "EFF_Ch2")</f>
        <v/>
      </c>
    </row>
    <row r="5" ht="409.5" customHeight="1">
      <c r="B5" s="521" t="n"/>
    </row>
    <row r="7" ht="409.5" customHeight="1">
      <c r="B7" s="521" t="n"/>
    </row>
  </sheetData>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codeName="Sheet14">
    <outlinePr summaryBelow="1" summaryRight="1"/>
    <pageSetUpPr/>
  </sheetPr>
  <dimension ref="A2:AN113"/>
  <sheetViews>
    <sheetView topLeftCell="K1" zoomScaleNormal="100" workbookViewId="0">
      <selection activeCell="AR24" sqref="AR24"/>
    </sheetView>
  </sheetViews>
  <sheetFormatPr baseColWidth="8" defaultRowHeight="12.75"/>
  <cols>
    <col width="16.140625" customWidth="1" style="307" min="1" max="1"/>
    <col width="15.7109375" customWidth="1" style="307" min="2" max="2"/>
    <col width="16.5703125" customWidth="1" min="3" max="3"/>
    <col width="14.28515625" customWidth="1" style="30" min="4" max="4"/>
    <col width="9.7109375" customWidth="1" style="30" min="5" max="6"/>
    <col width="18.7109375" customWidth="1" style="30" min="7" max="7"/>
    <col width="5.7109375" customWidth="1" style="30" min="8" max="8"/>
    <col width="18.7109375" bestFit="1" customWidth="1" style="30" min="9" max="9"/>
    <col width="17" customWidth="1" min="10" max="10"/>
    <col width="7.7109375" customWidth="1" min="11" max="11"/>
    <col width="12.7109375" customWidth="1" min="12" max="12"/>
    <col width="8.42578125" customWidth="1" min="13" max="13"/>
    <col width="9.5703125" customWidth="1" style="299" min="15" max="16"/>
    <col width="12.140625" customWidth="1" style="650" min="17" max="18"/>
    <col width="11.140625" customWidth="1" style="650" min="19" max="19"/>
    <col width="12.140625" customWidth="1" style="650" min="20" max="20"/>
    <col width="12.140625" bestFit="1" customWidth="1" min="23" max="23"/>
    <col width="12.7109375" bestFit="1" customWidth="1" min="24" max="24"/>
    <col width="12.42578125" bestFit="1" customWidth="1" min="27" max="27"/>
    <col width="13.140625" bestFit="1" customWidth="1" min="28" max="28"/>
    <col width="11" bestFit="1" customWidth="1" min="31" max="31"/>
    <col width="12.42578125" bestFit="1" customWidth="1" min="39" max="39"/>
    <col width="13.140625" bestFit="1" customWidth="1" min="40" max="40"/>
  </cols>
  <sheetData>
    <row r="2">
      <c r="AD2" s="113" t="inlineStr">
        <is>
          <t>AEF comparison Values</t>
        </is>
      </c>
    </row>
    <row r="3">
      <c r="B3" s="308" t="n"/>
      <c r="D3" s="30">
        <f>L_infilter*0.000001</f>
        <v/>
      </c>
      <c r="L3" s="358" t="inlineStr">
        <is>
          <t>Lfilter Passive</t>
        </is>
      </c>
      <c r="M3" s="30">
        <f>'Input Filters'!O9*0.000001</f>
        <v/>
      </c>
      <c r="AD3" t="inlineStr">
        <is>
          <t>Lfilter</t>
        </is>
      </c>
      <c r="AE3">
        <f>'Input Filters'!G9*0.000001</f>
        <v/>
      </c>
    </row>
    <row r="4">
      <c r="B4" s="308" t="n"/>
      <c r="L4" s="358" t="inlineStr">
        <is>
          <t>Cfilter Passive</t>
        </is>
      </c>
      <c r="M4" s="30">
        <f>'Input Filters'!O10*0.000001</f>
        <v/>
      </c>
      <c r="AD4" t="inlineStr">
        <is>
          <t>Cinj</t>
        </is>
      </c>
      <c r="AE4">
        <f>'Input Filters'!G10*0.000001</f>
        <v/>
      </c>
    </row>
    <row r="5">
      <c r="B5" s="308" t="n"/>
      <c r="L5" s="113" t="inlineStr">
        <is>
          <t>Cdamp passive</t>
        </is>
      </c>
      <c r="M5">
        <f>'Input Filters'!O11*0.000001</f>
        <v/>
      </c>
      <c r="AD5" t="inlineStr">
        <is>
          <t>Cdamp</t>
        </is>
      </c>
      <c r="AE5">
        <f>'Input Filters'!G11*0.000001</f>
        <v/>
      </c>
    </row>
    <row r="6">
      <c r="B6" s="308" t="n"/>
      <c r="L6" s="113" t="inlineStr">
        <is>
          <t>Rdamp passive</t>
        </is>
      </c>
      <c r="M6">
        <f>'Input Filters'!O12</f>
        <v/>
      </c>
      <c r="AD6" t="inlineStr">
        <is>
          <t>Rdamp</t>
        </is>
      </c>
      <c r="AE6">
        <f>'Input Filters'!G12</f>
        <v/>
      </c>
    </row>
    <row r="7" ht="13.5" customHeight="1" thickBot="1">
      <c r="B7" s="383" t="n"/>
    </row>
    <row r="8">
      <c r="B8" s="392" t="n"/>
    </row>
    <row r="9" ht="13.5" customHeight="1" thickBot="1"/>
    <row r="10" ht="15" customHeight="1">
      <c r="A10" s="1039" t="inlineStr">
        <is>
          <t>Freq (Hz)</t>
        </is>
      </c>
      <c r="B10" s="1040" t="inlineStr">
        <is>
          <t>(kHz)</t>
        </is>
      </c>
      <c r="C10" s="663" t="n"/>
      <c r="D10" s="664" t="n"/>
      <c r="E10" s="664" t="n"/>
      <c r="F10" s="664" t="n"/>
      <c r="G10" s="664" t="n"/>
      <c r="H10" s="664" t="n"/>
      <c r="I10" s="663" t="n"/>
      <c r="J10" s="663" t="n"/>
      <c r="K10" s="663" t="n"/>
      <c r="L10" s="663" t="n"/>
      <c r="M10" s="663" t="n"/>
      <c r="N10" s="663" t="n"/>
      <c r="O10" s="665" t="n"/>
      <c r="W10" s="113" t="inlineStr">
        <is>
          <t>AEF</t>
        </is>
      </c>
      <c r="AA10" s="113" t="inlineStr">
        <is>
          <t>Passive</t>
        </is>
      </c>
      <c r="AD10" s="113" t="inlineStr">
        <is>
          <t>AEFCompare</t>
        </is>
      </c>
    </row>
    <row r="11" ht="15" customHeight="1">
      <c r="A11" s="1042" t="n"/>
      <c r="B11" s="1043" t="n"/>
      <c r="C11" s="663" t="n"/>
      <c r="D11" s="664" t="n"/>
      <c r="E11" s="664" t="n"/>
      <c r="F11" s="664" t="n"/>
      <c r="G11" s="664" t="n"/>
      <c r="H11" s="664" t="n"/>
      <c r="I11" s="889" t="inlineStr">
        <is>
          <t>AEF Numerator</t>
        </is>
      </c>
      <c r="K11" s="889" t="n"/>
      <c r="L11" s="889" t="inlineStr">
        <is>
          <t>AEF Denominator</t>
        </is>
      </c>
      <c r="P11" s="649" t="n"/>
      <c r="Q11" s="890" t="inlineStr">
        <is>
          <t>Passive</t>
        </is>
      </c>
      <c r="W11" s="113" t="inlineStr">
        <is>
          <t>Magnitude</t>
        </is>
      </c>
      <c r="X11" s="113" t="inlineStr">
        <is>
          <t>Phase</t>
        </is>
      </c>
      <c r="AA11" s="113" t="inlineStr">
        <is>
          <t>Magnitude</t>
        </is>
      </c>
      <c r="AB11" s="113" t="inlineStr">
        <is>
          <t>Phase</t>
        </is>
      </c>
      <c r="AD11" s="889" t="inlineStr">
        <is>
          <t>AEF Numerator</t>
        </is>
      </c>
      <c r="AF11" s="889" t="inlineStr">
        <is>
          <t>AEF Denominator</t>
        </is>
      </c>
    </row>
    <row r="12" ht="19.5" customHeight="1" thickBot="1">
      <c r="A12" s="1046" t="n"/>
      <c r="B12" s="351" t="n"/>
      <c r="C12" s="668" t="inlineStr">
        <is>
          <t>jω</t>
        </is>
      </c>
      <c r="D12" s="669" t="inlineStr">
        <is>
          <t>-ω^2</t>
        </is>
      </c>
      <c r="E12" s="669" t="inlineStr">
        <is>
          <t>-jω^3</t>
        </is>
      </c>
      <c r="F12" s="669" t="n"/>
      <c r="G12" s="669" t="inlineStr">
        <is>
          <t>Gop</t>
        </is>
      </c>
      <c r="H12" s="667" t="n"/>
      <c r="I12" s="664" t="n"/>
      <c r="J12" s="663" t="n"/>
      <c r="K12" s="663" t="n"/>
      <c r="L12" s="663" t="n"/>
      <c r="M12" s="663" t="n"/>
      <c r="N12" s="663" t="n"/>
      <c r="O12" s="665" t="n"/>
      <c r="Q12" s="397" t="inlineStr">
        <is>
          <t>Numerator</t>
        </is>
      </c>
      <c r="R12" s="891" t="inlineStr">
        <is>
          <t>Denominator</t>
        </is>
      </c>
      <c r="AD12" s="664" t="n"/>
      <c r="AE12" s="663" t="n"/>
      <c r="AF12" s="663" t="n"/>
      <c r="AG12" s="663" t="n"/>
      <c r="AH12" s="663" t="n"/>
      <c r="AI12" s="665" t="n"/>
      <c r="AM12" s="113" t="inlineStr">
        <is>
          <t>Magnitude</t>
        </is>
      </c>
      <c r="AN12" s="113" t="inlineStr">
        <is>
          <t>Phase</t>
        </is>
      </c>
    </row>
    <row r="13">
      <c r="A13" s="324" t="n">
        <v>1</v>
      </c>
      <c r="B13" s="352">
        <f>A13/1000</f>
        <v/>
      </c>
      <c r="C13">
        <f>COMPLEX(0,2*Pi*A13)</f>
        <v/>
      </c>
      <c r="D13" s="30">
        <f>COMPLEX(-POWER(2*Pi*A13,2),0)</f>
        <v/>
      </c>
      <c r="E13" s="30">
        <f>COMPLEX(0,-POWER(2*Pi*A13,3))</f>
        <v/>
      </c>
      <c r="G13" s="30">
        <f>IMSUM(IMPRODUCT(C13,Rcomp_AEF*Csen_AEF),Csen_AEF/Ccomp_AEF)</f>
        <v/>
      </c>
      <c r="I13" s="30">
        <f>IMPRODUCT((RdampSel*CdampSel+RdampSel*CinjSel),C13)</f>
        <v/>
      </c>
      <c r="J13">
        <f>IMSUM(1,I13)</f>
        <v/>
      </c>
      <c r="L13" s="30">
        <f>IMPRODUCT(G13,L_infilterStd*RdampSel*CinjSel*CdampSel,E13)</f>
        <v/>
      </c>
      <c r="M13">
        <f>IMPRODUCT(G13,L_infilterStd*CinjSel,D13)</f>
        <v/>
      </c>
      <c r="N13">
        <f>J13</f>
        <v/>
      </c>
      <c r="O13" s="299">
        <f>IMSUM(L13:N13)</f>
        <v/>
      </c>
      <c r="P13" s="651" t="n">
        <v>0</v>
      </c>
      <c r="Q13" s="397">
        <f>IMSUM(IMPRODUCT(C13,RdampPssv*CdampPssv),1)</f>
        <v/>
      </c>
      <c r="R13" s="397">
        <f>IMPRODUCT(RdampPssv*CdampPssv*CfilterPssv*LinfilterPssv,E13)</f>
        <v/>
      </c>
      <c r="S13" s="397">
        <f>IMPRODUCT(D13,LinfilterPssv*(CfilterPssv+CdampPssv))</f>
        <v/>
      </c>
      <c r="T13" s="397">
        <f>IMSUM(S13,R13,Q13)</f>
        <v/>
      </c>
      <c r="U13" s="652" t="n">
        <v>1</v>
      </c>
      <c r="V13">
        <f>CHOOSE(INFILTER_TYPE,U13,IMDIV(J13,O13))</f>
        <v/>
      </c>
      <c r="W13">
        <f>20*LOG10(IMABS(V13))</f>
        <v/>
      </c>
      <c r="X13">
        <f>IMARGUMENT(V13)*180/Pi</f>
        <v/>
      </c>
      <c r="Z13">
        <f>IMDIV(Q13,T13)</f>
        <v/>
      </c>
      <c r="AA13">
        <f>20*LOG10(IMABS(Z13))</f>
        <v/>
      </c>
      <c r="AB13">
        <f>IMARGUMENT(Z13)*180/Pi</f>
        <v/>
      </c>
      <c r="AD13" s="30">
        <f>IMPRODUCT((RdampCom*CdampCom+RdampCom*CinjCom),C13)</f>
        <v/>
      </c>
      <c r="AE13" s="30">
        <f>IMSUM(1,AD13)</f>
        <v/>
      </c>
      <c r="AF13" s="30">
        <f>IMPRODUCT(G13,L_infilterStd*RdampSel*CinjSel*CdampSel,E13)</f>
        <v/>
      </c>
      <c r="AG13">
        <f>IMPRODUCT(G13,LAEFCom*CinjCom,D13)</f>
        <v/>
      </c>
      <c r="AH13">
        <f>AE13</f>
        <v/>
      </c>
      <c r="AI13" s="766">
        <f>IMSUM(AF13:AH13)</f>
        <v/>
      </c>
      <c r="AK13">
        <f>IMDIV(AE13,AI13)</f>
        <v/>
      </c>
      <c r="AM13">
        <f>20*LOG10(IMABS(AK13))</f>
        <v/>
      </c>
      <c r="AN13">
        <f>IMARGUMENT(AK13)*180/Pi</f>
        <v/>
      </c>
    </row>
    <row r="14">
      <c r="A14" s="335" t="n">
        <v>2</v>
      </c>
      <c r="B14" s="352">
        <f>A14/1000</f>
        <v/>
      </c>
      <c r="C14">
        <f>COMPLEX(0,2*Pi*A14)</f>
        <v/>
      </c>
      <c r="D14" s="30">
        <f>COMPLEX(-POWER(2*Pi*A14,2),0)</f>
        <v/>
      </c>
      <c r="E14" s="30">
        <f>COMPLEX(0,-POWER(2*Pi*A14,3))</f>
        <v/>
      </c>
      <c r="G14" s="30">
        <f>IMSUM(IMPRODUCT(C14,Rcomp_AEF*Csen_AEF),Csen_AEF/Ccomp_AEF)</f>
        <v/>
      </c>
      <c r="I14" s="30">
        <f>IMPRODUCT((RdampSel*CdampSel+RdampSel*CinjSel),C14)</f>
        <v/>
      </c>
      <c r="J14">
        <f>IMSUM(1,I14)</f>
        <v/>
      </c>
      <c r="L14" s="30">
        <f>IMPRODUCT(G14,L_infilterStd*RdampSel*CinjSel*CdampSel,E14)</f>
        <v/>
      </c>
      <c r="M14">
        <f>IMPRODUCT(G14,L_infilterStd*CinjSel,D14)</f>
        <v/>
      </c>
      <c r="N14">
        <f>J14</f>
        <v/>
      </c>
      <c r="O14" s="299">
        <f>IMSUM(L14:N14)</f>
        <v/>
      </c>
      <c r="P14" s="651" t="n">
        <v>0</v>
      </c>
      <c r="Q14" s="397">
        <f>IMSUM(IMPRODUCT(C14,RdampPssv*CdampPssv),1)</f>
        <v/>
      </c>
      <c r="R14" s="397">
        <f>IMPRODUCT(RdampPssv*CdampPssv*CfilterPssv*LinfilterPssv,E14)</f>
        <v/>
      </c>
      <c r="S14" s="397">
        <f>IMPRODUCT(D14,LinfilterPssv*(CfilterPssv+CdampPssv))</f>
        <v/>
      </c>
      <c r="T14" s="397">
        <f>IMSUM(S14,R14,Q14)</f>
        <v/>
      </c>
      <c r="U14" s="652" t="n">
        <v>1</v>
      </c>
      <c r="V14">
        <f>CHOOSE(INFILTER_TYPE,U14,IMDIV(J14,O14),IMDIV(Q14,T14))</f>
        <v/>
      </c>
      <c r="W14">
        <f>20*LOG10(IMABS(V14))</f>
        <v/>
      </c>
      <c r="X14">
        <f>IMARGUMENT(V14)*180/Pi</f>
        <v/>
      </c>
      <c r="Z14">
        <f>IMDIV(Q14,T14)</f>
        <v/>
      </c>
      <c r="AA14">
        <f>20*LOG10(IMABS(Z14))</f>
        <v/>
      </c>
      <c r="AB14">
        <f>IMARGUMENT(Z14)*180/Pi</f>
        <v/>
      </c>
      <c r="AD14" s="30">
        <f>IMPRODUCT((RdampCom*CdampCom+RdampCom*CinjCom),C14)</f>
        <v/>
      </c>
      <c r="AE14" s="30">
        <f>IMSUM(1,AD14)</f>
        <v/>
      </c>
      <c r="AF14" s="30">
        <f>IMPRODUCT(G14,L_infilterStd*RdampSel*CinjSel*CdampSel,E14)</f>
        <v/>
      </c>
      <c r="AG14">
        <f>IMPRODUCT(G14,LAEFCom*CinjCom,D14)</f>
        <v/>
      </c>
      <c r="AH14">
        <f>AE14</f>
        <v/>
      </c>
      <c r="AI14" s="299">
        <f>IMSUM(AF14:AH14)</f>
        <v/>
      </c>
      <c r="AK14">
        <f>IMDIV(AE14,AI14)</f>
        <v/>
      </c>
      <c r="AM14">
        <f>20*LOG10(IMABS(AK14))</f>
        <v/>
      </c>
      <c r="AN14">
        <f>IMARGUMENT(AK14)*180/Pi</f>
        <v/>
      </c>
    </row>
    <row r="15">
      <c r="A15" s="335" t="n">
        <v>3</v>
      </c>
      <c r="B15" s="352">
        <f>A15/1000</f>
        <v/>
      </c>
      <c r="C15">
        <f>COMPLEX(0,2*Pi*A15)</f>
        <v/>
      </c>
      <c r="D15" s="30">
        <f>COMPLEX(-POWER(2*Pi*A15,2),0)</f>
        <v/>
      </c>
      <c r="E15" s="30">
        <f>COMPLEX(0,-POWER(2*Pi*A15,3))</f>
        <v/>
      </c>
      <c r="G15" s="30">
        <f>IMSUM(IMPRODUCT(C15,Rcomp_AEF*Csen_AEF),Csen_AEF/Ccomp_AEF)</f>
        <v/>
      </c>
      <c r="I15" s="30">
        <f>IMPRODUCT((RdampSel*CdampSel+RdampSel*CinjSel),C15)</f>
        <v/>
      </c>
      <c r="J15">
        <f>IMSUM(1,I15)</f>
        <v/>
      </c>
      <c r="L15" s="30">
        <f>IMPRODUCT(G15,L_infilterStd*RdampSel*CinjSel*CdampSel,E15)</f>
        <v/>
      </c>
      <c r="M15">
        <f>IMPRODUCT(G15,L_infilterStd*CinjSel,D15)</f>
        <v/>
      </c>
      <c r="N15">
        <f>J15</f>
        <v/>
      </c>
      <c r="O15" s="299">
        <f>IMSUM(L15:N15)</f>
        <v/>
      </c>
      <c r="P15" s="651" t="n">
        <v>0</v>
      </c>
      <c r="Q15" s="397">
        <f>IMSUM(IMPRODUCT(C15,RdampPssv*CdampPssv),1)</f>
        <v/>
      </c>
      <c r="R15" s="397">
        <f>IMPRODUCT(RdampPssv*CdampPssv*CfilterPssv*LinfilterPssv,E15)</f>
        <v/>
      </c>
      <c r="S15" s="397">
        <f>IMPRODUCT(D15,LinfilterPssv*(CfilterPssv+CdampPssv))</f>
        <v/>
      </c>
      <c r="T15" s="397">
        <f>IMSUM(S15,R15,Q15)</f>
        <v/>
      </c>
      <c r="U15" s="652" t="n">
        <v>1</v>
      </c>
      <c r="V15">
        <f>CHOOSE(INFILTER_TYPE,U15,IMDIV(J15,O15),IMDIV(Q15,T15))</f>
        <v/>
      </c>
      <c r="W15">
        <f>20*LOG10(IMABS(V15))</f>
        <v/>
      </c>
      <c r="X15">
        <f>IMARGUMENT(V15)*180/Pi</f>
        <v/>
      </c>
      <c r="Z15">
        <f>IMDIV(Q15,T15)</f>
        <v/>
      </c>
      <c r="AA15">
        <f>20*LOG10(IMABS(Z15))</f>
        <v/>
      </c>
      <c r="AB15">
        <f>IMARGUMENT(Z15)*180/Pi</f>
        <v/>
      </c>
      <c r="AD15" s="30">
        <f>IMPRODUCT((RdampCom*CdampCom+RdampCom*CinjCom),C15)</f>
        <v/>
      </c>
      <c r="AE15" s="30">
        <f>IMSUM(1,AD15)</f>
        <v/>
      </c>
      <c r="AF15" s="30">
        <f>IMPRODUCT(G15,L_infilterStd*RdampSel*CinjSel*CdampSel,E15)</f>
        <v/>
      </c>
      <c r="AG15">
        <f>IMPRODUCT(G15,LAEFCom*CinjCom,D15)</f>
        <v/>
      </c>
      <c r="AH15">
        <f>AE15</f>
        <v/>
      </c>
      <c r="AI15" s="299">
        <f>IMSUM(AF15:AH15)</f>
        <v/>
      </c>
      <c r="AK15">
        <f>IMDIV(AE15,AI15)</f>
        <v/>
      </c>
      <c r="AM15">
        <f>20*LOG10(IMABS(AK15))</f>
        <v/>
      </c>
      <c r="AN15">
        <f>IMARGUMENT(AK15)*180/Pi</f>
        <v/>
      </c>
    </row>
    <row r="16">
      <c r="A16" s="324" t="n">
        <v>4</v>
      </c>
      <c r="B16" s="352">
        <f>A16/1000</f>
        <v/>
      </c>
      <c r="C16">
        <f>COMPLEX(0,2*Pi*A16)</f>
        <v/>
      </c>
      <c r="D16" s="30">
        <f>COMPLEX(-POWER(2*Pi*A16,2),0)</f>
        <v/>
      </c>
      <c r="E16" s="30">
        <f>COMPLEX(0,-POWER(2*Pi*A16,3))</f>
        <v/>
      </c>
      <c r="G16" s="30">
        <f>IMSUM(IMPRODUCT(C16,Rcomp_AEF*Csen_AEF),Csen_AEF/Ccomp_AEF)</f>
        <v/>
      </c>
      <c r="I16" s="30">
        <f>IMPRODUCT((RdampSel*CdampSel+RdampSel*CinjSel),C16)</f>
        <v/>
      </c>
      <c r="J16">
        <f>IMSUM(1,I16)</f>
        <v/>
      </c>
      <c r="L16" s="30">
        <f>IMPRODUCT(G16,L_infilterStd*RdampSel*CinjSel*CdampSel,E16)</f>
        <v/>
      </c>
      <c r="M16">
        <f>IMPRODUCT(G16,L_infilterStd*CinjSel,D16)</f>
        <v/>
      </c>
      <c r="N16">
        <f>J16</f>
        <v/>
      </c>
      <c r="O16" s="299">
        <f>IMSUM(L16:N16)</f>
        <v/>
      </c>
      <c r="P16" s="651" t="n">
        <v>0</v>
      </c>
      <c r="Q16" s="397">
        <f>IMSUM(IMPRODUCT(C16,RdampPssv*CdampPssv),1)</f>
        <v/>
      </c>
      <c r="R16" s="397">
        <f>IMPRODUCT(RdampPssv*CdampPssv*CfilterPssv*LinfilterPssv,E16)</f>
        <v/>
      </c>
      <c r="S16" s="397">
        <f>IMPRODUCT(D16,LinfilterPssv*(CfilterPssv+CdampPssv))</f>
        <v/>
      </c>
      <c r="T16" s="397">
        <f>IMSUM(S16,R16,Q16)</f>
        <v/>
      </c>
      <c r="U16" s="652" t="n">
        <v>1</v>
      </c>
      <c r="V16">
        <f>CHOOSE(INFILTER_TYPE,U16,IMDIV(J16,O16),IMDIV(Q16,T16))</f>
        <v/>
      </c>
      <c r="W16">
        <f>20*LOG10(IMABS(V16))</f>
        <v/>
      </c>
      <c r="X16">
        <f>IMARGUMENT(V16)*180/Pi</f>
        <v/>
      </c>
      <c r="Z16">
        <f>IMDIV(Q16,T16)</f>
        <v/>
      </c>
      <c r="AA16">
        <f>20*LOG10(IMABS(Z16))</f>
        <v/>
      </c>
      <c r="AB16">
        <f>IMARGUMENT(Z16)*180/Pi</f>
        <v/>
      </c>
      <c r="AD16" s="30">
        <f>IMPRODUCT((RdampCom*CdampCom+RdampCom*CinjCom),C16)</f>
        <v/>
      </c>
      <c r="AE16" s="30">
        <f>IMSUM(1,AD16)</f>
        <v/>
      </c>
      <c r="AF16" s="30">
        <f>IMPRODUCT(G16,L_infilterStd*RdampSel*CinjSel*CdampSel,E16)</f>
        <v/>
      </c>
      <c r="AG16">
        <f>IMPRODUCT(G16,LAEFCom*CinjCom,D16)</f>
        <v/>
      </c>
      <c r="AH16">
        <f>AE16</f>
        <v/>
      </c>
      <c r="AI16" s="299">
        <f>IMSUM(AF16:AH16)</f>
        <v/>
      </c>
      <c r="AK16">
        <f>IMDIV(AE16,AI16)</f>
        <v/>
      </c>
      <c r="AM16">
        <f>20*LOG10(IMABS(AK16))</f>
        <v/>
      </c>
      <c r="AN16">
        <f>IMARGUMENT(AK16)*180/Pi</f>
        <v/>
      </c>
    </row>
    <row r="17">
      <c r="A17" s="335" t="n">
        <v>5</v>
      </c>
      <c r="B17" s="352">
        <f>A17/1000</f>
        <v/>
      </c>
      <c r="C17">
        <f>COMPLEX(0,2*Pi*A17)</f>
        <v/>
      </c>
      <c r="D17" s="30">
        <f>COMPLEX(-POWER(2*Pi*A17,2),0)</f>
        <v/>
      </c>
      <c r="E17" s="30">
        <f>COMPLEX(0,-POWER(2*Pi*A17,3))</f>
        <v/>
      </c>
      <c r="G17" s="30">
        <f>IMSUM(IMPRODUCT(C17,Rcomp_AEF*Csen_AEF),Csen_AEF/Ccomp_AEF)</f>
        <v/>
      </c>
      <c r="I17" s="30">
        <f>IMPRODUCT((RdampSel*CdampSel+RdampSel*CinjSel),C17)</f>
        <v/>
      </c>
      <c r="J17">
        <f>IMSUM(1,I17)</f>
        <v/>
      </c>
      <c r="L17" s="30">
        <f>IMPRODUCT(G17,L_infilterStd*RdampSel*CinjSel*CdampSel,E17)</f>
        <v/>
      </c>
      <c r="M17">
        <f>IMPRODUCT(G17,L_infilterStd*CinjSel,D17)</f>
        <v/>
      </c>
      <c r="N17">
        <f>J17</f>
        <v/>
      </c>
      <c r="O17" s="299">
        <f>IMSUM(L17:N17)</f>
        <v/>
      </c>
      <c r="P17" s="651" t="n">
        <v>0</v>
      </c>
      <c r="Q17" s="397">
        <f>IMSUM(IMPRODUCT(C17,RdampPssv*CdampPssv),1)</f>
        <v/>
      </c>
      <c r="R17" s="397">
        <f>IMPRODUCT(RdampPssv*CdampPssv*CfilterPssv*LinfilterPssv,E17)</f>
        <v/>
      </c>
      <c r="S17" s="397">
        <f>IMPRODUCT(D17,LinfilterPssv*(CfilterPssv+CdampPssv))</f>
        <v/>
      </c>
      <c r="T17" s="397">
        <f>IMSUM(S17,R17,Q17)</f>
        <v/>
      </c>
      <c r="U17" s="652" t="n">
        <v>1</v>
      </c>
      <c r="V17">
        <f>CHOOSE(INFILTER_TYPE,U17,IMDIV(J17,O17),IMDIV(Q17,T17))</f>
        <v/>
      </c>
      <c r="W17">
        <f>20*LOG10(IMABS(V17))</f>
        <v/>
      </c>
      <c r="X17">
        <f>IMARGUMENT(V17)*180/Pi</f>
        <v/>
      </c>
      <c r="Z17">
        <f>IMDIV(Q17,T17)</f>
        <v/>
      </c>
      <c r="AA17">
        <f>20*LOG10(IMABS(Z17))</f>
        <v/>
      </c>
      <c r="AB17">
        <f>IMARGUMENT(Z17)*180/Pi</f>
        <v/>
      </c>
      <c r="AD17" s="30">
        <f>IMPRODUCT((RdampCom*CdampCom+RdampCom*CinjCom),C17)</f>
        <v/>
      </c>
      <c r="AE17" s="30">
        <f>IMSUM(1,AD17)</f>
        <v/>
      </c>
      <c r="AF17" s="30">
        <f>IMPRODUCT(G17,L_infilterStd*RdampSel*CinjSel*CdampSel,E17)</f>
        <v/>
      </c>
      <c r="AG17">
        <f>IMPRODUCT(G17,LAEFCom*CinjCom,D17)</f>
        <v/>
      </c>
      <c r="AH17">
        <f>AE17</f>
        <v/>
      </c>
      <c r="AI17" s="299">
        <f>IMSUM(AF17:AH17)</f>
        <v/>
      </c>
      <c r="AK17">
        <f>IMDIV(AE17,AI17)</f>
        <v/>
      </c>
      <c r="AM17">
        <f>20*LOG10(IMABS(AK17))</f>
        <v/>
      </c>
      <c r="AN17">
        <f>IMARGUMENT(AK17)*180/Pi</f>
        <v/>
      </c>
    </row>
    <row r="18">
      <c r="A18" s="335" t="n">
        <v>6</v>
      </c>
      <c r="B18" s="352">
        <f>A18/1000</f>
        <v/>
      </c>
      <c r="C18">
        <f>COMPLEX(0,2*Pi*A18)</f>
        <v/>
      </c>
      <c r="D18" s="30">
        <f>COMPLEX(-POWER(2*Pi*A18,2),0)</f>
        <v/>
      </c>
      <c r="E18" s="30">
        <f>COMPLEX(0,-POWER(2*Pi*A18,3))</f>
        <v/>
      </c>
      <c r="G18" s="30">
        <f>IMSUM(IMPRODUCT(C18,Rcomp_AEF*Csen_AEF),Csen_AEF/Ccomp_AEF)</f>
        <v/>
      </c>
      <c r="I18" s="30">
        <f>IMPRODUCT((RdampSel*CdampSel+RdampSel*CinjSel),C18)</f>
        <v/>
      </c>
      <c r="J18">
        <f>IMSUM(1,I18)</f>
        <v/>
      </c>
      <c r="L18" s="30">
        <f>IMPRODUCT(G18,L_infilterStd*RdampSel*CinjSel*CdampSel,E18)</f>
        <v/>
      </c>
      <c r="M18">
        <f>IMPRODUCT(G18,L_infilterStd*CinjSel,D18)</f>
        <v/>
      </c>
      <c r="N18">
        <f>J18</f>
        <v/>
      </c>
      <c r="O18" s="299">
        <f>IMSUM(L18:N18)</f>
        <v/>
      </c>
      <c r="P18" s="651" t="n">
        <v>0</v>
      </c>
      <c r="Q18" s="397">
        <f>IMSUM(IMPRODUCT(C18,RdampPssv*CdampPssv),1)</f>
        <v/>
      </c>
      <c r="R18" s="397">
        <f>IMPRODUCT(RdampPssv*CdampPssv*CfilterPssv*LinfilterPssv,E18)</f>
        <v/>
      </c>
      <c r="S18" s="397">
        <f>IMPRODUCT(D18,LinfilterPssv*(CfilterPssv+CdampPssv))</f>
        <v/>
      </c>
      <c r="T18" s="397">
        <f>IMSUM(S18,R18,Q18)</f>
        <v/>
      </c>
      <c r="U18" s="652" t="n">
        <v>1</v>
      </c>
      <c r="V18">
        <f>CHOOSE(INFILTER_TYPE,U18,IMDIV(J18,O18),IMDIV(Q18,T18))</f>
        <v/>
      </c>
      <c r="W18">
        <f>20*LOG10(IMABS(V18))</f>
        <v/>
      </c>
      <c r="X18">
        <f>IMARGUMENT(V18)*180/Pi</f>
        <v/>
      </c>
      <c r="Z18">
        <f>IMDIV(Q18,T18)</f>
        <v/>
      </c>
      <c r="AA18">
        <f>20*LOG10(IMABS(Z18))</f>
        <v/>
      </c>
      <c r="AB18">
        <f>IMARGUMENT(Z18)*180/Pi</f>
        <v/>
      </c>
      <c r="AD18" s="30">
        <f>IMPRODUCT((RdampCom*CdampCom+RdampCom*CinjCom),C18)</f>
        <v/>
      </c>
      <c r="AE18" s="30">
        <f>IMSUM(1,AD18)</f>
        <v/>
      </c>
      <c r="AF18" s="30">
        <f>IMPRODUCT(G18,L_infilterStd*RdampSel*CinjSel*CdampSel,E18)</f>
        <v/>
      </c>
      <c r="AG18">
        <f>IMPRODUCT(G18,LAEFCom*CinjCom,D18)</f>
        <v/>
      </c>
      <c r="AH18">
        <f>AE18</f>
        <v/>
      </c>
      <c r="AI18" s="299">
        <f>IMSUM(AF18:AH18)</f>
        <v/>
      </c>
      <c r="AK18">
        <f>IMDIV(AE18,AI18)</f>
        <v/>
      </c>
      <c r="AM18">
        <f>20*LOG10(IMABS(AK18))</f>
        <v/>
      </c>
      <c r="AN18">
        <f>IMARGUMENT(AK18)*180/Pi</f>
        <v/>
      </c>
    </row>
    <row r="19">
      <c r="A19" s="324" t="n">
        <v>7</v>
      </c>
      <c r="B19" s="352">
        <f>A19/1000</f>
        <v/>
      </c>
      <c r="C19">
        <f>COMPLEX(0,2*Pi*A19)</f>
        <v/>
      </c>
      <c r="D19" s="30">
        <f>COMPLEX(-POWER(2*Pi*A19,2),0)</f>
        <v/>
      </c>
      <c r="E19" s="30">
        <f>COMPLEX(0,-POWER(2*Pi*A19,3))</f>
        <v/>
      </c>
      <c r="G19" s="30">
        <f>IMSUM(IMPRODUCT(C19,Rcomp_AEF*Csen_AEF),Csen_AEF/Ccomp_AEF)</f>
        <v/>
      </c>
      <c r="I19" s="30">
        <f>IMPRODUCT((RdampSel*CdampSel+RdampSel*CinjSel),C19)</f>
        <v/>
      </c>
      <c r="J19">
        <f>IMSUM(1,I19)</f>
        <v/>
      </c>
      <c r="L19" s="30">
        <f>IMPRODUCT(G19,L_infilterStd*RdampSel*CinjSel*CdampSel,E19)</f>
        <v/>
      </c>
      <c r="M19">
        <f>IMPRODUCT(G19,L_infilterStd*CinjSel,D19)</f>
        <v/>
      </c>
      <c r="N19">
        <f>J19</f>
        <v/>
      </c>
      <c r="O19" s="299">
        <f>IMSUM(L19:N19)</f>
        <v/>
      </c>
      <c r="P19" s="651" t="n">
        <v>0</v>
      </c>
      <c r="Q19" s="397">
        <f>IMSUM(IMPRODUCT(C19,RdampPssv*CdampPssv),1)</f>
        <v/>
      </c>
      <c r="R19" s="397">
        <f>IMPRODUCT(RdampPssv*CdampPssv*CfilterPssv*LinfilterPssv,E19)</f>
        <v/>
      </c>
      <c r="S19" s="397">
        <f>IMPRODUCT(D19,LinfilterPssv*(CfilterPssv+CdampPssv))</f>
        <v/>
      </c>
      <c r="T19" s="397">
        <f>IMSUM(S19,R19,Q19)</f>
        <v/>
      </c>
      <c r="U19" s="652" t="n">
        <v>1</v>
      </c>
      <c r="V19">
        <f>CHOOSE(INFILTER_TYPE,U19,IMDIV(J19,O19),IMDIV(Q19,T19))</f>
        <v/>
      </c>
      <c r="W19">
        <f>20*LOG10(IMABS(V19))</f>
        <v/>
      </c>
      <c r="X19">
        <f>IMARGUMENT(V19)*180/Pi</f>
        <v/>
      </c>
      <c r="Z19">
        <f>IMDIV(Q19,T19)</f>
        <v/>
      </c>
      <c r="AA19">
        <f>20*LOG10(IMABS(Z19))</f>
        <v/>
      </c>
      <c r="AB19">
        <f>IMARGUMENT(Z19)*180/Pi</f>
        <v/>
      </c>
      <c r="AD19" s="30">
        <f>IMPRODUCT((RdampCom*CdampCom+RdampCom*CinjCom),C19)</f>
        <v/>
      </c>
      <c r="AE19" s="30">
        <f>IMSUM(1,AD19)</f>
        <v/>
      </c>
      <c r="AF19" s="30">
        <f>IMPRODUCT(G19,L_infilterStd*RdampSel*CinjSel*CdampSel,E19)</f>
        <v/>
      </c>
      <c r="AG19">
        <f>IMPRODUCT(G19,LAEFCom*CinjCom,D19)</f>
        <v/>
      </c>
      <c r="AH19">
        <f>AE19</f>
        <v/>
      </c>
      <c r="AI19" s="299">
        <f>IMSUM(AF19:AH19)</f>
        <v/>
      </c>
      <c r="AK19">
        <f>IMDIV(AE19,AI19)</f>
        <v/>
      </c>
      <c r="AM19">
        <f>20*LOG10(IMABS(AK19))</f>
        <v/>
      </c>
      <c r="AN19">
        <f>IMARGUMENT(AK19)*180/Pi</f>
        <v/>
      </c>
    </row>
    <row r="20">
      <c r="A20" s="335" t="n">
        <v>8</v>
      </c>
      <c r="B20" s="352">
        <f>A20/1000</f>
        <v/>
      </c>
      <c r="C20">
        <f>COMPLEX(0,2*Pi*A20)</f>
        <v/>
      </c>
      <c r="D20" s="30">
        <f>COMPLEX(-POWER(2*Pi*A20,2),0)</f>
        <v/>
      </c>
      <c r="E20" s="30">
        <f>COMPLEX(0,-POWER(2*Pi*A20,3))</f>
        <v/>
      </c>
      <c r="G20" s="30">
        <f>IMSUM(IMPRODUCT(C20,Rcomp_AEF*Csen_AEF),Csen_AEF/Ccomp_AEF)</f>
        <v/>
      </c>
      <c r="I20" s="30">
        <f>IMPRODUCT((RdampSel*CdampSel+RdampSel*CinjSel),C20)</f>
        <v/>
      </c>
      <c r="J20">
        <f>IMSUM(1,I20)</f>
        <v/>
      </c>
      <c r="L20" s="30">
        <f>IMPRODUCT(G20,L_infilterStd*RdampSel*CinjSel*CdampSel,E20)</f>
        <v/>
      </c>
      <c r="M20">
        <f>IMPRODUCT(G20,L_infilterStd*CinjSel,D20)</f>
        <v/>
      </c>
      <c r="N20">
        <f>J20</f>
        <v/>
      </c>
      <c r="O20" s="299">
        <f>IMSUM(L20:N20)</f>
        <v/>
      </c>
      <c r="P20" s="651" t="n">
        <v>0</v>
      </c>
      <c r="Q20" s="397">
        <f>IMSUM(IMPRODUCT(C20,RdampPssv*CdampPssv),1)</f>
        <v/>
      </c>
      <c r="R20" s="397">
        <f>IMPRODUCT(RdampPssv*CdampPssv*CfilterPssv*LinfilterPssv,E20)</f>
        <v/>
      </c>
      <c r="S20" s="397">
        <f>IMPRODUCT(D20,LinfilterPssv*(CfilterPssv+CdampPssv))</f>
        <v/>
      </c>
      <c r="T20" s="397">
        <f>IMSUM(S20,R20,Q20)</f>
        <v/>
      </c>
      <c r="U20" s="652" t="n">
        <v>1</v>
      </c>
      <c r="V20">
        <f>CHOOSE(INFILTER_TYPE,U20,IMDIV(J20,O20),IMDIV(Q20,T20))</f>
        <v/>
      </c>
      <c r="W20">
        <f>20*LOG10(IMABS(V20))</f>
        <v/>
      </c>
      <c r="X20">
        <f>IMARGUMENT(V20)*180/Pi</f>
        <v/>
      </c>
      <c r="Z20">
        <f>IMDIV(Q20,T20)</f>
        <v/>
      </c>
      <c r="AA20">
        <f>20*LOG10(IMABS(Z20))</f>
        <v/>
      </c>
      <c r="AB20">
        <f>IMARGUMENT(Z20)*180/Pi</f>
        <v/>
      </c>
      <c r="AD20" s="30">
        <f>IMPRODUCT((RdampCom*CdampCom+RdampCom*CinjCom),C20)</f>
        <v/>
      </c>
      <c r="AE20" s="30">
        <f>IMSUM(1,AD20)</f>
        <v/>
      </c>
      <c r="AF20" s="30">
        <f>IMPRODUCT(G20,L_infilterStd*RdampSel*CinjSel*CdampSel,E20)</f>
        <v/>
      </c>
      <c r="AG20">
        <f>IMPRODUCT(G20,LAEFCom*CinjCom,D20)</f>
        <v/>
      </c>
      <c r="AH20">
        <f>AE20</f>
        <v/>
      </c>
      <c r="AI20" s="299">
        <f>IMSUM(AF20:AH20)</f>
        <v/>
      </c>
      <c r="AK20">
        <f>IMDIV(AE20,AI20)</f>
        <v/>
      </c>
      <c r="AM20">
        <f>20*LOG10(IMABS(AK20))</f>
        <v/>
      </c>
      <c r="AN20">
        <f>IMARGUMENT(AK20)*180/Pi</f>
        <v/>
      </c>
    </row>
    <row r="21">
      <c r="A21" s="335" t="n">
        <v>9</v>
      </c>
      <c r="B21" s="352">
        <f>A21/1000</f>
        <v/>
      </c>
      <c r="C21">
        <f>COMPLEX(0,2*Pi*A21)</f>
        <v/>
      </c>
      <c r="D21" s="30">
        <f>COMPLEX(-POWER(2*Pi*A21,2),0)</f>
        <v/>
      </c>
      <c r="E21" s="30">
        <f>COMPLEX(0,-POWER(2*Pi*A21,3))</f>
        <v/>
      </c>
      <c r="G21" s="30">
        <f>IMSUM(IMPRODUCT(C21,Rcomp_AEF*Csen_AEF),Csen_AEF/Ccomp_AEF)</f>
        <v/>
      </c>
      <c r="I21" s="30">
        <f>IMPRODUCT((RdampSel*CdampSel+RdampSel*CinjSel),C21)</f>
        <v/>
      </c>
      <c r="J21">
        <f>IMSUM(1,I21)</f>
        <v/>
      </c>
      <c r="L21" s="30">
        <f>IMPRODUCT(G21,L_infilterStd*RdampSel*CinjSel*CdampSel,E21)</f>
        <v/>
      </c>
      <c r="M21">
        <f>IMPRODUCT(G21,L_infilterStd*CinjSel,D21)</f>
        <v/>
      </c>
      <c r="N21">
        <f>J21</f>
        <v/>
      </c>
      <c r="O21" s="299">
        <f>IMSUM(L21:N21)</f>
        <v/>
      </c>
      <c r="P21" s="651" t="n">
        <v>0</v>
      </c>
      <c r="Q21" s="397">
        <f>IMSUM(IMPRODUCT(C21,RdampPssv*CdampPssv),1)</f>
        <v/>
      </c>
      <c r="R21" s="397">
        <f>IMPRODUCT(RdampPssv*CdampPssv*CfilterPssv*LinfilterPssv,E21)</f>
        <v/>
      </c>
      <c r="S21" s="397">
        <f>IMPRODUCT(D21,LinfilterPssv*(CfilterPssv+CdampPssv))</f>
        <v/>
      </c>
      <c r="T21" s="397">
        <f>IMSUM(S21,R21,Q21)</f>
        <v/>
      </c>
      <c r="U21" s="652" t="n">
        <v>1</v>
      </c>
      <c r="V21">
        <f>CHOOSE(INFILTER_TYPE,U21,IMDIV(J21,O21),IMDIV(Q21,T21))</f>
        <v/>
      </c>
      <c r="W21">
        <f>20*LOG10(IMABS(V21))</f>
        <v/>
      </c>
      <c r="X21">
        <f>IMARGUMENT(V21)*180/Pi</f>
        <v/>
      </c>
      <c r="Z21">
        <f>IMDIV(Q21,T21)</f>
        <v/>
      </c>
      <c r="AA21">
        <f>20*LOG10(IMABS(Z21))</f>
        <v/>
      </c>
      <c r="AB21">
        <f>IMARGUMENT(Z21)*180/Pi</f>
        <v/>
      </c>
      <c r="AD21" s="30">
        <f>IMPRODUCT((RdampCom*CdampCom+RdampCom*CinjCom),C21)</f>
        <v/>
      </c>
      <c r="AE21" s="30">
        <f>IMSUM(1,AD21)</f>
        <v/>
      </c>
      <c r="AF21" s="30">
        <f>IMPRODUCT(G21,L_infilterStd*RdampSel*CinjSel*CdampSel,E21)</f>
        <v/>
      </c>
      <c r="AG21">
        <f>IMPRODUCT(G21,LAEFCom*CinjCom,D21)</f>
        <v/>
      </c>
      <c r="AH21">
        <f>AE21</f>
        <v/>
      </c>
      <c r="AI21" s="299">
        <f>IMSUM(AF21:AH21)</f>
        <v/>
      </c>
      <c r="AK21">
        <f>IMDIV(AE21,AI21)</f>
        <v/>
      </c>
      <c r="AM21">
        <f>20*LOG10(IMABS(AK21))</f>
        <v/>
      </c>
      <c r="AN21">
        <f>IMARGUMENT(AK21)*180/Pi</f>
        <v/>
      </c>
    </row>
    <row r="22">
      <c r="A22" s="324" t="n">
        <v>10</v>
      </c>
      <c r="B22" s="352">
        <f>A22/1000</f>
        <v/>
      </c>
      <c r="C22">
        <f>COMPLEX(0,2*Pi*A22)</f>
        <v/>
      </c>
      <c r="D22" s="30">
        <f>COMPLEX(-POWER(2*Pi*A22,2),0)</f>
        <v/>
      </c>
      <c r="E22" s="30">
        <f>COMPLEX(0,-POWER(2*Pi*A22,3))</f>
        <v/>
      </c>
      <c r="G22" s="30">
        <f>IMSUM(IMPRODUCT(C22,Rcomp_AEF*Csen_AEF),Csen_AEF/Ccomp_AEF)</f>
        <v/>
      </c>
      <c r="I22" s="30">
        <f>IMPRODUCT((RdampSel*CdampSel+RdampSel*CinjSel),C22)</f>
        <v/>
      </c>
      <c r="J22">
        <f>IMSUM(1,I22)</f>
        <v/>
      </c>
      <c r="L22" s="30">
        <f>IMPRODUCT(G22,L_infilterStd*RdampSel*CinjSel*CdampSel,E22)</f>
        <v/>
      </c>
      <c r="M22">
        <f>IMPRODUCT(G22,L_infilterStd*CinjSel,D22)</f>
        <v/>
      </c>
      <c r="N22">
        <f>J22</f>
        <v/>
      </c>
      <c r="O22" s="299">
        <f>IMSUM(L22:N22)</f>
        <v/>
      </c>
      <c r="P22" s="651" t="n">
        <v>0</v>
      </c>
      <c r="Q22" s="397">
        <f>IMSUM(IMPRODUCT(C22,RdampPssv*CdampPssv),1)</f>
        <v/>
      </c>
      <c r="R22" s="397">
        <f>IMPRODUCT(RdampPssv*CdampPssv*CfilterPssv*LinfilterPssv,E22)</f>
        <v/>
      </c>
      <c r="S22" s="397">
        <f>IMPRODUCT(D22,LinfilterPssv*(CfilterPssv+CdampPssv))</f>
        <v/>
      </c>
      <c r="T22" s="397">
        <f>IMSUM(S22,R22,Q22)</f>
        <v/>
      </c>
      <c r="U22" s="652" t="n">
        <v>1</v>
      </c>
      <c r="V22">
        <f>CHOOSE(INFILTER_TYPE,U22,IMDIV(J22,O22),IMDIV(Q22,T22))</f>
        <v/>
      </c>
      <c r="W22">
        <f>20*LOG10(IMABS(V22))</f>
        <v/>
      </c>
      <c r="X22">
        <f>IMARGUMENT(V22)*180/Pi</f>
        <v/>
      </c>
      <c r="Z22">
        <f>IMDIV(Q22,T22)</f>
        <v/>
      </c>
      <c r="AA22">
        <f>20*LOG10(IMABS(Z22))</f>
        <v/>
      </c>
      <c r="AB22">
        <f>IMARGUMENT(Z22)*180/Pi</f>
        <v/>
      </c>
      <c r="AD22" s="30">
        <f>IMPRODUCT((RdampCom*CdampCom+RdampCom*CinjCom),C22)</f>
        <v/>
      </c>
      <c r="AE22" s="30">
        <f>IMSUM(1,AD22)</f>
        <v/>
      </c>
      <c r="AF22" s="30">
        <f>IMPRODUCT(G22,L_infilterStd*RdampSel*CinjSel*CdampSel,E22)</f>
        <v/>
      </c>
      <c r="AG22">
        <f>IMPRODUCT(G22,LAEFCom*CinjCom,D22)</f>
        <v/>
      </c>
      <c r="AH22">
        <f>AE22</f>
        <v/>
      </c>
      <c r="AI22" s="299">
        <f>IMSUM(AF22:AH22)</f>
        <v/>
      </c>
      <c r="AK22">
        <f>IMDIV(AE22,AI22)</f>
        <v/>
      </c>
      <c r="AM22">
        <f>20*LOG10(IMABS(AK22))</f>
        <v/>
      </c>
      <c r="AN22">
        <f>IMARGUMENT(AK22)*180/Pi</f>
        <v/>
      </c>
    </row>
    <row r="23">
      <c r="A23" s="335" t="n">
        <v>20</v>
      </c>
      <c r="B23" s="352">
        <f>A23/1000</f>
        <v/>
      </c>
      <c r="C23">
        <f>COMPLEX(0,2*Pi*A23)</f>
        <v/>
      </c>
      <c r="D23" s="30">
        <f>COMPLEX(-POWER(2*Pi*A23,2),0)</f>
        <v/>
      </c>
      <c r="E23" s="30">
        <f>COMPLEX(0,-POWER(2*Pi*A23,3))</f>
        <v/>
      </c>
      <c r="G23" s="30">
        <f>IMSUM(IMPRODUCT(C23,Rcomp_AEF*Csen_AEF),Csen_AEF/Ccomp_AEF)</f>
        <v/>
      </c>
      <c r="I23" s="30">
        <f>IMPRODUCT((RdampSel*CdampSel+RdampSel*CinjSel),C23)</f>
        <v/>
      </c>
      <c r="J23">
        <f>IMSUM(1,I23)</f>
        <v/>
      </c>
      <c r="L23" s="30">
        <f>IMPRODUCT(G23,L_infilterStd*RdampSel*CinjSel*CdampSel,E23)</f>
        <v/>
      </c>
      <c r="M23">
        <f>IMPRODUCT(G23,L_infilterStd*CinjSel,D23)</f>
        <v/>
      </c>
      <c r="N23">
        <f>J23</f>
        <v/>
      </c>
      <c r="O23" s="299">
        <f>IMSUM(L23:N23)</f>
        <v/>
      </c>
      <c r="P23" s="651" t="n">
        <v>0</v>
      </c>
      <c r="Q23" s="397">
        <f>IMSUM(IMPRODUCT(C23,RdampPssv*CdampPssv),1)</f>
        <v/>
      </c>
      <c r="R23" s="397">
        <f>IMPRODUCT(RdampPssv*CdampPssv*CfilterPssv*LinfilterPssv,E23)</f>
        <v/>
      </c>
      <c r="S23" s="397">
        <f>IMPRODUCT(D23,LinfilterPssv*(CfilterPssv+CdampPssv))</f>
        <v/>
      </c>
      <c r="T23" s="397">
        <f>IMSUM(S23,R23,Q23)</f>
        <v/>
      </c>
      <c r="U23" s="652" t="n">
        <v>1</v>
      </c>
      <c r="V23">
        <f>CHOOSE(INFILTER_TYPE,U23,IMDIV(J23,O23),IMDIV(Q23,T23))</f>
        <v/>
      </c>
      <c r="W23">
        <f>20*LOG10(IMABS(V23))</f>
        <v/>
      </c>
      <c r="X23">
        <f>IMARGUMENT(V23)*180/Pi</f>
        <v/>
      </c>
      <c r="Z23">
        <f>IMDIV(Q23,T23)</f>
        <v/>
      </c>
      <c r="AA23">
        <f>20*LOG10(IMABS(Z23))</f>
        <v/>
      </c>
      <c r="AB23">
        <f>IMARGUMENT(Z23)*180/Pi</f>
        <v/>
      </c>
      <c r="AD23" s="30">
        <f>IMPRODUCT((RdampCom*CdampCom+RdampCom*CinjCom),C23)</f>
        <v/>
      </c>
      <c r="AE23" s="30">
        <f>IMSUM(1,AD23)</f>
        <v/>
      </c>
      <c r="AF23" s="30">
        <f>IMPRODUCT(G23,L_infilterStd*RdampSel*CinjSel*CdampSel,E23)</f>
        <v/>
      </c>
      <c r="AG23">
        <f>IMPRODUCT(G23,LAEFCom*CinjCom,D23)</f>
        <v/>
      </c>
      <c r="AH23">
        <f>AE23</f>
        <v/>
      </c>
      <c r="AI23" s="299">
        <f>IMSUM(AF23:AH23)</f>
        <v/>
      </c>
      <c r="AK23">
        <f>IMDIV(AE23,AI23)</f>
        <v/>
      </c>
      <c r="AM23">
        <f>20*LOG10(IMABS(AK23))</f>
        <v/>
      </c>
      <c r="AN23">
        <f>IMARGUMENT(AK23)*180/Pi</f>
        <v/>
      </c>
    </row>
    <row r="24">
      <c r="A24" s="324" t="n">
        <v>30</v>
      </c>
      <c r="B24" s="352">
        <f>A24/1000</f>
        <v/>
      </c>
      <c r="C24">
        <f>COMPLEX(0,2*Pi*A24)</f>
        <v/>
      </c>
      <c r="D24" s="30">
        <f>COMPLEX(-POWER(2*Pi*A24,2),0)</f>
        <v/>
      </c>
      <c r="E24" s="30">
        <f>COMPLEX(0,-POWER(2*Pi*A24,3))</f>
        <v/>
      </c>
      <c r="G24" s="30">
        <f>IMSUM(IMPRODUCT(C24,Rcomp_AEF*Csen_AEF),Csen_AEF/Ccomp_AEF)</f>
        <v/>
      </c>
      <c r="I24" s="30">
        <f>IMPRODUCT((RdampSel*CdampSel+RdampSel*CinjSel),C24)</f>
        <v/>
      </c>
      <c r="J24">
        <f>IMSUM(1,I24)</f>
        <v/>
      </c>
      <c r="L24" s="30">
        <f>IMPRODUCT(G24,L_infilterStd*RdampSel*CinjSel*CdampSel,E24)</f>
        <v/>
      </c>
      <c r="M24">
        <f>IMPRODUCT(G24,L_infilterStd*CinjSel,D24)</f>
        <v/>
      </c>
      <c r="N24">
        <f>J24</f>
        <v/>
      </c>
      <c r="O24" s="299">
        <f>IMSUM(L24:N24)</f>
        <v/>
      </c>
      <c r="P24" s="651" t="n">
        <v>0</v>
      </c>
      <c r="Q24" s="397">
        <f>IMSUM(IMPRODUCT(C24,RdampPssv*CdampPssv),1)</f>
        <v/>
      </c>
      <c r="R24" s="397">
        <f>IMPRODUCT(RdampPssv*CdampPssv*CfilterPssv*LinfilterPssv,E24)</f>
        <v/>
      </c>
      <c r="S24" s="397">
        <f>IMPRODUCT(D24,LinfilterPssv*(CfilterPssv+CdampPssv))</f>
        <v/>
      </c>
      <c r="T24" s="397">
        <f>IMSUM(S24,R24,Q24)</f>
        <v/>
      </c>
      <c r="U24" s="652" t="n">
        <v>1</v>
      </c>
      <c r="V24">
        <f>CHOOSE(INFILTER_TYPE,U24,IMDIV(J24,O24),IMDIV(Q24,T24))</f>
        <v/>
      </c>
      <c r="W24">
        <f>20*LOG10(IMABS(V24))</f>
        <v/>
      </c>
      <c r="X24">
        <f>IMARGUMENT(V24)*180/Pi</f>
        <v/>
      </c>
      <c r="Z24">
        <f>IMDIV(Q24,T24)</f>
        <v/>
      </c>
      <c r="AA24">
        <f>20*LOG10(IMABS(Z24))</f>
        <v/>
      </c>
      <c r="AB24">
        <f>IMARGUMENT(Z24)*180/Pi</f>
        <v/>
      </c>
      <c r="AD24" s="30">
        <f>IMPRODUCT((RdampCom*CdampCom+RdampCom*CinjCom),C24)</f>
        <v/>
      </c>
      <c r="AE24" s="30">
        <f>IMSUM(1,AD24)</f>
        <v/>
      </c>
      <c r="AF24" s="30">
        <f>IMPRODUCT(G24,L_infilterStd*RdampSel*CinjSel*CdampSel,E24)</f>
        <v/>
      </c>
      <c r="AG24">
        <f>IMPRODUCT(G24,LAEFCom*CinjCom,D24)</f>
        <v/>
      </c>
      <c r="AH24">
        <f>AE24</f>
        <v/>
      </c>
      <c r="AI24" s="299">
        <f>IMSUM(AF24:AH24)</f>
        <v/>
      </c>
      <c r="AK24">
        <f>IMDIV(AE24,AI24)</f>
        <v/>
      </c>
      <c r="AM24">
        <f>20*LOG10(IMABS(AK24))</f>
        <v/>
      </c>
      <c r="AN24">
        <f>IMARGUMENT(AK24)*180/Pi</f>
        <v/>
      </c>
    </row>
    <row r="25">
      <c r="A25" s="335" t="n">
        <v>40</v>
      </c>
      <c r="B25" s="352">
        <f>A25/1000</f>
        <v/>
      </c>
      <c r="C25">
        <f>COMPLEX(0,2*Pi*A25)</f>
        <v/>
      </c>
      <c r="D25" s="30">
        <f>COMPLEX(-POWER(2*Pi*A25,2),0)</f>
        <v/>
      </c>
      <c r="E25" s="30">
        <f>COMPLEX(0,-POWER(2*Pi*A25,3))</f>
        <v/>
      </c>
      <c r="G25" s="30">
        <f>IMSUM(IMPRODUCT(C25,Rcomp_AEF*Csen_AEF),Csen_AEF/Ccomp_AEF)</f>
        <v/>
      </c>
      <c r="I25" s="30">
        <f>IMPRODUCT((RdampSel*CdampSel+RdampSel*CinjSel),C25)</f>
        <v/>
      </c>
      <c r="J25">
        <f>IMSUM(1,I25)</f>
        <v/>
      </c>
      <c r="L25" s="30">
        <f>IMPRODUCT(G25,L_infilterStd*RdampSel*CinjSel*CdampSel,E25)</f>
        <v/>
      </c>
      <c r="M25">
        <f>IMPRODUCT(G25,L_infilterStd*CinjSel,D25)</f>
        <v/>
      </c>
      <c r="N25">
        <f>J25</f>
        <v/>
      </c>
      <c r="O25" s="299">
        <f>IMSUM(L25:N25)</f>
        <v/>
      </c>
      <c r="P25" s="651" t="n">
        <v>0</v>
      </c>
      <c r="Q25" s="397">
        <f>IMSUM(IMPRODUCT(C25,RdampPssv*CdampPssv),1)</f>
        <v/>
      </c>
      <c r="R25" s="397">
        <f>IMPRODUCT(RdampPssv*CdampPssv*CfilterPssv*LinfilterPssv,E25)</f>
        <v/>
      </c>
      <c r="S25" s="397">
        <f>IMPRODUCT(D25,LinfilterPssv*(CfilterPssv+CdampPssv))</f>
        <v/>
      </c>
      <c r="T25" s="397">
        <f>IMSUM(S25,R25,Q25)</f>
        <v/>
      </c>
      <c r="U25" s="652" t="n">
        <v>1</v>
      </c>
      <c r="V25">
        <f>CHOOSE(INFILTER_TYPE,U25,IMDIV(J25,O25),IMDIV(Q25,T25))</f>
        <v/>
      </c>
      <c r="W25">
        <f>20*LOG10(IMABS(V25))</f>
        <v/>
      </c>
      <c r="X25">
        <f>IMARGUMENT(V25)*180/Pi</f>
        <v/>
      </c>
      <c r="Z25">
        <f>IMDIV(Q25,T25)</f>
        <v/>
      </c>
      <c r="AA25">
        <f>20*LOG10(IMABS(Z25))</f>
        <v/>
      </c>
      <c r="AB25">
        <f>IMARGUMENT(Z25)*180/Pi</f>
        <v/>
      </c>
      <c r="AD25" s="30">
        <f>IMPRODUCT((RdampCom*CdampCom+RdampCom*CinjCom),C25)</f>
        <v/>
      </c>
      <c r="AE25" s="30">
        <f>IMSUM(1,AD25)</f>
        <v/>
      </c>
      <c r="AF25" s="30">
        <f>IMPRODUCT(G25,L_infilterStd*RdampSel*CinjSel*CdampSel,E25)</f>
        <v/>
      </c>
      <c r="AG25">
        <f>IMPRODUCT(G25,LAEFCom*CinjCom,D25)</f>
        <v/>
      </c>
      <c r="AH25">
        <f>AE25</f>
        <v/>
      </c>
      <c r="AI25" s="299">
        <f>IMSUM(AF25:AH25)</f>
        <v/>
      </c>
      <c r="AK25">
        <f>IMDIV(AE25,AI25)</f>
        <v/>
      </c>
      <c r="AM25">
        <f>20*LOG10(IMABS(AK25))</f>
        <v/>
      </c>
      <c r="AN25">
        <f>IMARGUMENT(AK25)*180/Pi</f>
        <v/>
      </c>
    </row>
    <row r="26">
      <c r="A26" s="324" t="n">
        <v>50</v>
      </c>
      <c r="B26" s="352">
        <f>A26/1000</f>
        <v/>
      </c>
      <c r="C26">
        <f>COMPLEX(0,2*Pi*A26)</f>
        <v/>
      </c>
      <c r="D26" s="30">
        <f>COMPLEX(-POWER(2*Pi*A26,2),0)</f>
        <v/>
      </c>
      <c r="E26" s="30">
        <f>COMPLEX(0,-POWER(2*Pi*A26,3))</f>
        <v/>
      </c>
      <c r="G26" s="30">
        <f>IMSUM(IMPRODUCT(C26,Rcomp_AEF*Csen_AEF),Csen_AEF/Ccomp_AEF)</f>
        <v/>
      </c>
      <c r="I26" s="30">
        <f>IMPRODUCT((RdampSel*CdampSel+RdampSel*CinjSel),C26)</f>
        <v/>
      </c>
      <c r="J26">
        <f>IMSUM(1,I26)</f>
        <v/>
      </c>
      <c r="L26" s="30">
        <f>IMPRODUCT(G26,L_infilterStd*RdampSel*CinjSel*CdampSel,E26)</f>
        <v/>
      </c>
      <c r="M26">
        <f>IMPRODUCT(G26,L_infilterStd*CinjSel,D26)</f>
        <v/>
      </c>
      <c r="N26">
        <f>J26</f>
        <v/>
      </c>
      <c r="O26" s="299">
        <f>IMSUM(L26:N26)</f>
        <v/>
      </c>
      <c r="P26" s="651" t="n">
        <v>0</v>
      </c>
      <c r="Q26" s="397">
        <f>IMSUM(IMPRODUCT(C26,RdampPssv*CdampPssv),1)</f>
        <v/>
      </c>
      <c r="R26" s="397">
        <f>IMPRODUCT(RdampPssv*CdampPssv*CfilterPssv*LinfilterPssv,E26)</f>
        <v/>
      </c>
      <c r="S26" s="397">
        <f>IMPRODUCT(D26,LinfilterPssv*(CfilterPssv+CdampPssv))</f>
        <v/>
      </c>
      <c r="T26" s="397">
        <f>IMSUM(S26,R26,Q26)</f>
        <v/>
      </c>
      <c r="U26" s="652" t="n">
        <v>1</v>
      </c>
      <c r="V26">
        <f>CHOOSE(INFILTER_TYPE,U26,IMDIV(J26,O26),IMDIV(Q26,T26))</f>
        <v/>
      </c>
      <c r="W26">
        <f>20*LOG10(IMABS(V26))</f>
        <v/>
      </c>
      <c r="X26">
        <f>IMARGUMENT(V26)*180/Pi</f>
        <v/>
      </c>
      <c r="Z26">
        <f>IMDIV(Q26,T26)</f>
        <v/>
      </c>
      <c r="AA26">
        <f>20*LOG10(IMABS(Z26))</f>
        <v/>
      </c>
      <c r="AB26">
        <f>IMARGUMENT(Z26)*180/Pi</f>
        <v/>
      </c>
      <c r="AD26" s="30">
        <f>IMPRODUCT((RdampCom*CdampCom+RdampCom*CinjCom),C26)</f>
        <v/>
      </c>
      <c r="AE26" s="30">
        <f>IMSUM(1,AD26)</f>
        <v/>
      </c>
      <c r="AF26" s="30">
        <f>IMPRODUCT(G26,L_infilterStd*RdampSel*CinjSel*CdampSel,E26)</f>
        <v/>
      </c>
      <c r="AG26">
        <f>IMPRODUCT(G26,LAEFCom*CinjCom,D26)</f>
        <v/>
      </c>
      <c r="AH26">
        <f>AE26</f>
        <v/>
      </c>
      <c r="AI26" s="299">
        <f>IMSUM(AF26:AH26)</f>
        <v/>
      </c>
      <c r="AK26">
        <f>IMDIV(AE26,AI26)</f>
        <v/>
      </c>
      <c r="AM26">
        <f>20*LOG10(IMABS(AK26))</f>
        <v/>
      </c>
      <c r="AN26">
        <f>IMARGUMENT(AK26)*180/Pi</f>
        <v/>
      </c>
    </row>
    <row r="27">
      <c r="A27" s="335" t="n">
        <v>60</v>
      </c>
      <c r="B27" s="352">
        <f>A27/1000</f>
        <v/>
      </c>
      <c r="C27">
        <f>COMPLEX(0,2*Pi*A27)</f>
        <v/>
      </c>
      <c r="D27" s="30">
        <f>COMPLEX(-POWER(2*Pi*A27,2),0)</f>
        <v/>
      </c>
      <c r="E27" s="30">
        <f>COMPLEX(0,-POWER(2*Pi*A27,3))</f>
        <v/>
      </c>
      <c r="G27" s="30">
        <f>IMSUM(IMPRODUCT(C27,Rcomp_AEF*Csen_AEF),Csen_AEF/Ccomp_AEF)</f>
        <v/>
      </c>
      <c r="I27" s="30">
        <f>IMPRODUCT((RdampSel*CdampSel+RdampSel*CinjSel),C27)</f>
        <v/>
      </c>
      <c r="J27">
        <f>IMSUM(1,I27)</f>
        <v/>
      </c>
      <c r="L27" s="30">
        <f>IMPRODUCT(G27,L_infilterStd*RdampSel*CinjSel*CdampSel,E27)</f>
        <v/>
      </c>
      <c r="M27">
        <f>IMPRODUCT(G27,L_infilterStd*CinjSel,D27)</f>
        <v/>
      </c>
      <c r="N27">
        <f>J27</f>
        <v/>
      </c>
      <c r="O27" s="299">
        <f>IMSUM(L27:N27)</f>
        <v/>
      </c>
      <c r="P27" s="651" t="n">
        <v>0</v>
      </c>
      <c r="Q27" s="397">
        <f>IMSUM(IMPRODUCT(C27,RdampPssv*CdampPssv),1)</f>
        <v/>
      </c>
      <c r="R27" s="397">
        <f>IMPRODUCT(RdampPssv*CdampPssv*CfilterPssv*LinfilterPssv,E27)</f>
        <v/>
      </c>
      <c r="S27" s="397">
        <f>IMPRODUCT(D27,LinfilterPssv*(CfilterPssv+CdampPssv))</f>
        <v/>
      </c>
      <c r="T27" s="397">
        <f>IMSUM(S27,R27,Q27)</f>
        <v/>
      </c>
      <c r="U27" s="652" t="n">
        <v>1</v>
      </c>
      <c r="V27">
        <f>CHOOSE(INFILTER_TYPE,U27,IMDIV(J27,O27),IMDIV(Q27,T27))</f>
        <v/>
      </c>
      <c r="W27">
        <f>20*LOG10(IMABS(V27))</f>
        <v/>
      </c>
      <c r="X27">
        <f>IMARGUMENT(V27)*180/Pi</f>
        <v/>
      </c>
      <c r="Z27">
        <f>IMDIV(Q27,T27)</f>
        <v/>
      </c>
      <c r="AA27">
        <f>20*LOG10(IMABS(Z27))</f>
        <v/>
      </c>
      <c r="AB27">
        <f>IMARGUMENT(Z27)*180/Pi</f>
        <v/>
      </c>
      <c r="AD27" s="30">
        <f>IMPRODUCT((RdampCom*CdampCom+RdampCom*CinjCom),C27)</f>
        <v/>
      </c>
      <c r="AE27" s="30">
        <f>IMSUM(1,AD27)</f>
        <v/>
      </c>
      <c r="AF27" s="30">
        <f>IMPRODUCT(G27,L_infilterStd*RdampSel*CinjSel*CdampSel,E27)</f>
        <v/>
      </c>
      <c r="AG27">
        <f>IMPRODUCT(G27,LAEFCom*CinjCom,D27)</f>
        <v/>
      </c>
      <c r="AH27">
        <f>AE27</f>
        <v/>
      </c>
      <c r="AI27" s="299">
        <f>IMSUM(AF27:AH27)</f>
        <v/>
      </c>
      <c r="AK27">
        <f>IMDIV(AE27,AI27)</f>
        <v/>
      </c>
      <c r="AM27">
        <f>20*LOG10(IMABS(AK27))</f>
        <v/>
      </c>
      <c r="AN27">
        <f>IMARGUMENT(AK27)*180/Pi</f>
        <v/>
      </c>
    </row>
    <row r="28">
      <c r="A28" s="324" t="n">
        <v>70</v>
      </c>
      <c r="B28" s="352">
        <f>A28/1000</f>
        <v/>
      </c>
      <c r="C28">
        <f>COMPLEX(0,2*Pi*A28)</f>
        <v/>
      </c>
      <c r="D28" s="30">
        <f>COMPLEX(-POWER(2*Pi*A28,2),0)</f>
        <v/>
      </c>
      <c r="E28" s="30">
        <f>COMPLEX(0,-POWER(2*Pi*A28,3))</f>
        <v/>
      </c>
      <c r="G28" s="30">
        <f>IMSUM(IMPRODUCT(C28,Rcomp_AEF*Csen_AEF),Csen_AEF/Ccomp_AEF)</f>
        <v/>
      </c>
      <c r="I28" s="30">
        <f>IMPRODUCT((RdampSel*CdampSel+RdampSel*CinjSel),C28)</f>
        <v/>
      </c>
      <c r="J28">
        <f>IMSUM(1,I28)</f>
        <v/>
      </c>
      <c r="L28" s="30">
        <f>IMPRODUCT(G28,L_infilterStd*RdampSel*CinjSel*CdampSel,E28)</f>
        <v/>
      </c>
      <c r="M28">
        <f>IMPRODUCT(G28,L_infilterStd*CinjSel,D28)</f>
        <v/>
      </c>
      <c r="N28">
        <f>J28</f>
        <v/>
      </c>
      <c r="O28" s="299">
        <f>IMSUM(L28:N28)</f>
        <v/>
      </c>
      <c r="P28" s="651" t="n">
        <v>0</v>
      </c>
      <c r="Q28" s="397">
        <f>IMSUM(IMPRODUCT(C28,RdampPssv*CdampPssv),1)</f>
        <v/>
      </c>
      <c r="R28" s="397">
        <f>IMPRODUCT(RdampPssv*CdampPssv*CfilterPssv*LinfilterPssv,E28)</f>
        <v/>
      </c>
      <c r="S28" s="397">
        <f>IMPRODUCT(D28,LinfilterPssv*(CfilterPssv+CdampPssv))</f>
        <v/>
      </c>
      <c r="T28" s="397">
        <f>IMSUM(S28,R28,Q28)</f>
        <v/>
      </c>
      <c r="U28" s="652" t="n">
        <v>1</v>
      </c>
      <c r="V28">
        <f>CHOOSE(INFILTER_TYPE,U28,IMDIV(J28,O28),IMDIV(Q28,T28))</f>
        <v/>
      </c>
      <c r="W28">
        <f>20*LOG10(IMABS(V28))</f>
        <v/>
      </c>
      <c r="X28">
        <f>IMARGUMENT(V28)*180/Pi</f>
        <v/>
      </c>
      <c r="Z28">
        <f>IMDIV(Q28,T28)</f>
        <v/>
      </c>
      <c r="AA28">
        <f>20*LOG10(IMABS(Z28))</f>
        <v/>
      </c>
      <c r="AB28">
        <f>IMARGUMENT(Z28)*180/Pi</f>
        <v/>
      </c>
      <c r="AD28" s="30">
        <f>IMPRODUCT((RdampCom*CdampCom+RdampCom*CinjCom),C28)</f>
        <v/>
      </c>
      <c r="AE28" s="30">
        <f>IMSUM(1,AD28)</f>
        <v/>
      </c>
      <c r="AF28" s="30">
        <f>IMPRODUCT(G28,L_infilterStd*RdampSel*CinjSel*CdampSel,E28)</f>
        <v/>
      </c>
      <c r="AG28">
        <f>IMPRODUCT(G28,LAEFCom*CinjCom,D28)</f>
        <v/>
      </c>
      <c r="AH28">
        <f>AE28</f>
        <v/>
      </c>
      <c r="AI28" s="299">
        <f>IMSUM(AF28:AH28)</f>
        <v/>
      </c>
      <c r="AK28">
        <f>IMDIV(AE28,AI28)</f>
        <v/>
      </c>
      <c r="AM28">
        <f>20*LOG10(IMABS(AK28))</f>
        <v/>
      </c>
      <c r="AN28">
        <f>IMARGUMENT(AK28)*180/Pi</f>
        <v/>
      </c>
    </row>
    <row r="29">
      <c r="A29" s="335" t="n">
        <v>80</v>
      </c>
      <c r="B29" s="352">
        <f>A29/1000</f>
        <v/>
      </c>
      <c r="C29">
        <f>COMPLEX(0,2*Pi*A29)</f>
        <v/>
      </c>
      <c r="D29" s="30">
        <f>COMPLEX(-POWER(2*Pi*A29,2),0)</f>
        <v/>
      </c>
      <c r="E29" s="30">
        <f>COMPLEX(0,-POWER(2*Pi*A29,3))</f>
        <v/>
      </c>
      <c r="G29" s="30">
        <f>IMSUM(IMPRODUCT(C29,Rcomp_AEF*Csen_AEF),Csen_AEF/Ccomp_AEF)</f>
        <v/>
      </c>
      <c r="I29" s="30">
        <f>IMPRODUCT((RdampSel*CdampSel+RdampSel*CinjSel),C29)</f>
        <v/>
      </c>
      <c r="J29">
        <f>IMSUM(1,I29)</f>
        <v/>
      </c>
      <c r="L29" s="30">
        <f>IMPRODUCT(G29,L_infilterStd*RdampSel*CinjSel*CdampSel,E29)</f>
        <v/>
      </c>
      <c r="M29">
        <f>IMPRODUCT(G29,L_infilterStd*CinjSel,D29)</f>
        <v/>
      </c>
      <c r="N29">
        <f>J29</f>
        <v/>
      </c>
      <c r="O29" s="299">
        <f>IMSUM(L29:N29)</f>
        <v/>
      </c>
      <c r="P29" s="651" t="n">
        <v>0</v>
      </c>
      <c r="Q29" s="397">
        <f>IMSUM(IMPRODUCT(C29,RdampPssv*CdampPssv),1)</f>
        <v/>
      </c>
      <c r="R29" s="397">
        <f>IMPRODUCT(RdampPssv*CdampPssv*CfilterPssv*LinfilterPssv,E29)</f>
        <v/>
      </c>
      <c r="S29" s="397">
        <f>IMPRODUCT(D29,LinfilterPssv*(CfilterPssv+CdampPssv))</f>
        <v/>
      </c>
      <c r="T29" s="397">
        <f>IMSUM(S29,R29,Q29)</f>
        <v/>
      </c>
      <c r="U29" s="652" t="n">
        <v>1</v>
      </c>
      <c r="V29">
        <f>CHOOSE(INFILTER_TYPE,U29,IMDIV(J29,O29),IMDIV(Q29,T29))</f>
        <v/>
      </c>
      <c r="W29">
        <f>20*LOG10(IMABS(V29))</f>
        <v/>
      </c>
      <c r="X29">
        <f>IMARGUMENT(V29)*180/Pi</f>
        <v/>
      </c>
      <c r="Z29">
        <f>IMDIV(Q29,T29)</f>
        <v/>
      </c>
      <c r="AA29">
        <f>20*LOG10(IMABS(Z29))</f>
        <v/>
      </c>
      <c r="AB29">
        <f>IMARGUMENT(Z29)*180/Pi</f>
        <v/>
      </c>
      <c r="AD29" s="30">
        <f>IMPRODUCT((RdampCom*CdampCom+RdampCom*CinjCom),C29)</f>
        <v/>
      </c>
      <c r="AE29" s="30">
        <f>IMSUM(1,AD29)</f>
        <v/>
      </c>
      <c r="AF29" s="30">
        <f>IMPRODUCT(G29,L_infilterStd*RdampSel*CinjSel*CdampSel,E29)</f>
        <v/>
      </c>
      <c r="AG29">
        <f>IMPRODUCT(G29,LAEFCom*CinjCom,D29)</f>
        <v/>
      </c>
      <c r="AH29">
        <f>AE29</f>
        <v/>
      </c>
      <c r="AI29" s="299">
        <f>IMSUM(AF29:AH29)</f>
        <v/>
      </c>
      <c r="AK29">
        <f>IMDIV(AE29,AI29)</f>
        <v/>
      </c>
      <c r="AM29">
        <f>20*LOG10(IMABS(AK29))</f>
        <v/>
      </c>
      <c r="AN29">
        <f>IMARGUMENT(AK29)*180/Pi</f>
        <v/>
      </c>
    </row>
    <row r="30">
      <c r="A30" s="324" t="n">
        <v>90</v>
      </c>
      <c r="B30" s="352">
        <f>A30/1000</f>
        <v/>
      </c>
      <c r="C30">
        <f>COMPLEX(0,2*Pi*A30)</f>
        <v/>
      </c>
      <c r="D30" s="30">
        <f>COMPLEX(-POWER(2*Pi*A30,2),0)</f>
        <v/>
      </c>
      <c r="E30" s="30">
        <f>COMPLEX(0,-POWER(2*Pi*A30,3))</f>
        <v/>
      </c>
      <c r="G30" s="30">
        <f>IMSUM(IMPRODUCT(C30,Rcomp_AEF*Csen_AEF),Csen_AEF/Ccomp_AEF)</f>
        <v/>
      </c>
      <c r="I30" s="30">
        <f>IMPRODUCT((RdampSel*CdampSel+RdampSel*CinjSel),C30)</f>
        <v/>
      </c>
      <c r="J30">
        <f>IMSUM(1,I30)</f>
        <v/>
      </c>
      <c r="L30" s="30">
        <f>IMPRODUCT(G30,L_infilterStd*RdampSel*CinjSel*CdampSel,E30)</f>
        <v/>
      </c>
      <c r="M30">
        <f>IMPRODUCT(G30,L_infilterStd*CinjSel,D30)</f>
        <v/>
      </c>
      <c r="N30">
        <f>J30</f>
        <v/>
      </c>
      <c r="O30" s="299">
        <f>IMSUM(L30:N30)</f>
        <v/>
      </c>
      <c r="P30" s="651" t="n">
        <v>0</v>
      </c>
      <c r="Q30" s="397">
        <f>IMSUM(IMPRODUCT(C30,RdampPssv*CdampPssv),1)</f>
        <v/>
      </c>
      <c r="R30" s="397">
        <f>IMPRODUCT(RdampPssv*CdampPssv*CfilterPssv*LinfilterPssv,E30)</f>
        <v/>
      </c>
      <c r="S30" s="397">
        <f>IMPRODUCT(D30,LinfilterPssv*(CfilterPssv+CdampPssv))</f>
        <v/>
      </c>
      <c r="T30" s="397">
        <f>IMSUM(S30,R30,Q30)</f>
        <v/>
      </c>
      <c r="U30" s="652" t="n">
        <v>1</v>
      </c>
      <c r="V30">
        <f>CHOOSE(INFILTER_TYPE,U30,IMDIV(J30,O30),IMDIV(Q30,T30))</f>
        <v/>
      </c>
      <c r="W30">
        <f>20*LOG10(IMABS(V30))</f>
        <v/>
      </c>
      <c r="X30">
        <f>IMARGUMENT(V30)*180/Pi</f>
        <v/>
      </c>
      <c r="Z30">
        <f>IMDIV(Q30,T30)</f>
        <v/>
      </c>
      <c r="AA30">
        <f>20*LOG10(IMABS(Z30))</f>
        <v/>
      </c>
      <c r="AB30">
        <f>IMARGUMENT(Z30)*180/Pi</f>
        <v/>
      </c>
      <c r="AD30" s="30">
        <f>IMPRODUCT((RdampCom*CdampCom+RdampCom*CinjCom),C30)</f>
        <v/>
      </c>
      <c r="AE30" s="30">
        <f>IMSUM(1,AD30)</f>
        <v/>
      </c>
      <c r="AF30" s="30">
        <f>IMPRODUCT(G30,L_infilterStd*RdampSel*CinjSel*CdampSel,E30)</f>
        <v/>
      </c>
      <c r="AG30">
        <f>IMPRODUCT(G30,LAEFCom*CinjCom,D30)</f>
        <v/>
      </c>
      <c r="AH30">
        <f>AE30</f>
        <v/>
      </c>
      <c r="AI30" s="299">
        <f>IMSUM(AF30:AH30)</f>
        <v/>
      </c>
      <c r="AK30">
        <f>IMDIV(AE30,AI30)</f>
        <v/>
      </c>
      <c r="AM30">
        <f>20*LOG10(IMABS(AK30))</f>
        <v/>
      </c>
      <c r="AN30">
        <f>IMARGUMENT(AK30)*180/Pi</f>
        <v/>
      </c>
    </row>
    <row r="31">
      <c r="A31" s="335" t="n">
        <v>100</v>
      </c>
      <c r="B31" s="352">
        <f>A31/1000</f>
        <v/>
      </c>
      <c r="C31">
        <f>COMPLEX(0,2*Pi*A31)</f>
        <v/>
      </c>
      <c r="D31" s="30">
        <f>COMPLEX(-POWER(2*Pi*A31,2),0)</f>
        <v/>
      </c>
      <c r="E31" s="30">
        <f>COMPLEX(0,-POWER(2*Pi*A31,3))</f>
        <v/>
      </c>
      <c r="G31" s="30">
        <f>IMSUM(IMPRODUCT(C31,Rcomp_AEF*Csen_AEF),Csen_AEF/Ccomp_AEF)</f>
        <v/>
      </c>
      <c r="I31" s="30">
        <f>IMPRODUCT((RdampSel*CdampSel+RdampSel*CinjSel),C31)</f>
        <v/>
      </c>
      <c r="J31">
        <f>IMSUM(1,I31)</f>
        <v/>
      </c>
      <c r="L31" s="30">
        <f>IMPRODUCT(G31,L_infilterStd*RdampSel*CinjSel*CdampSel,E31)</f>
        <v/>
      </c>
      <c r="M31">
        <f>IMPRODUCT(G31,L_infilterStd*CinjSel,D31)</f>
        <v/>
      </c>
      <c r="N31">
        <f>J31</f>
        <v/>
      </c>
      <c r="O31" s="299">
        <f>IMSUM(L31:N31)</f>
        <v/>
      </c>
      <c r="P31" s="651" t="n">
        <v>0</v>
      </c>
      <c r="Q31" s="397">
        <f>IMSUM(IMPRODUCT(C31,RdampPssv*CdampPssv),1)</f>
        <v/>
      </c>
      <c r="R31" s="397">
        <f>IMPRODUCT(RdampPssv*CdampPssv*CfilterPssv*LinfilterPssv,E31)</f>
        <v/>
      </c>
      <c r="S31" s="397">
        <f>IMPRODUCT(D31,LinfilterPssv*(CfilterPssv+CdampPssv))</f>
        <v/>
      </c>
      <c r="T31" s="397">
        <f>IMSUM(S31,R31,Q31)</f>
        <v/>
      </c>
      <c r="U31" s="652" t="n">
        <v>1</v>
      </c>
      <c r="V31">
        <f>CHOOSE(INFILTER_TYPE,U31,IMDIV(J31,O31),IMDIV(Q31,T31))</f>
        <v/>
      </c>
      <c r="W31">
        <f>20*LOG10(IMABS(V31))</f>
        <v/>
      </c>
      <c r="X31">
        <f>IMARGUMENT(V31)*180/Pi</f>
        <v/>
      </c>
      <c r="Z31">
        <f>IMDIV(Q31,T31)</f>
        <v/>
      </c>
      <c r="AA31">
        <f>20*LOG10(IMABS(Z31))</f>
        <v/>
      </c>
      <c r="AB31">
        <f>IMARGUMENT(Z31)*180/Pi</f>
        <v/>
      </c>
      <c r="AD31" s="30">
        <f>IMPRODUCT((RdampCom*CdampCom+RdampCom*CinjCom),C31)</f>
        <v/>
      </c>
      <c r="AE31" s="30">
        <f>IMSUM(1,AD31)</f>
        <v/>
      </c>
      <c r="AF31" s="30">
        <f>IMPRODUCT(G31,L_infilterStd*RdampSel*CinjSel*CdampSel,E31)</f>
        <v/>
      </c>
      <c r="AG31">
        <f>IMPRODUCT(G31,LAEFCom*CinjCom,D31)</f>
        <v/>
      </c>
      <c r="AH31">
        <f>AE31</f>
        <v/>
      </c>
      <c r="AI31" s="299">
        <f>IMSUM(AF31:AH31)</f>
        <v/>
      </c>
      <c r="AK31">
        <f>IMDIV(AE31,AI31)</f>
        <v/>
      </c>
      <c r="AM31">
        <f>20*LOG10(IMABS(AK31))</f>
        <v/>
      </c>
      <c r="AN31">
        <f>IMARGUMENT(AK31)*180/Pi</f>
        <v/>
      </c>
    </row>
    <row r="32">
      <c r="A32" s="335" t="n">
        <v>200</v>
      </c>
      <c r="B32" s="352">
        <f>A32/1000</f>
        <v/>
      </c>
      <c r="C32">
        <f>COMPLEX(0,2*Pi*A32)</f>
        <v/>
      </c>
      <c r="D32" s="30">
        <f>COMPLEX(-POWER(2*Pi*A32,2),0)</f>
        <v/>
      </c>
      <c r="E32" s="30">
        <f>COMPLEX(0,-POWER(2*Pi*A32,3))</f>
        <v/>
      </c>
      <c r="G32" s="30">
        <f>IMSUM(IMPRODUCT(C32,Rcomp_AEF*Csen_AEF),Csen_AEF/Ccomp_AEF)</f>
        <v/>
      </c>
      <c r="I32" s="30">
        <f>IMPRODUCT((RdampSel*CdampSel+RdampSel*CinjSel),C32)</f>
        <v/>
      </c>
      <c r="J32">
        <f>IMSUM(1,I32)</f>
        <v/>
      </c>
      <c r="L32" s="30">
        <f>IMPRODUCT(G32,L_infilterStd*RdampSel*CinjSel*CdampSel,E32)</f>
        <v/>
      </c>
      <c r="M32">
        <f>IMPRODUCT(G32,L_infilterStd*CinjSel,D32)</f>
        <v/>
      </c>
      <c r="N32">
        <f>J32</f>
        <v/>
      </c>
      <c r="O32" s="299">
        <f>IMSUM(L32:N32)</f>
        <v/>
      </c>
      <c r="P32" s="651" t="n">
        <v>0</v>
      </c>
      <c r="Q32" s="397">
        <f>IMSUM(IMPRODUCT(C32,RdampPssv*CdampPssv),1)</f>
        <v/>
      </c>
      <c r="R32" s="397">
        <f>IMPRODUCT(RdampPssv*CdampPssv*CfilterPssv*LinfilterPssv,E32)</f>
        <v/>
      </c>
      <c r="S32" s="397">
        <f>IMPRODUCT(D32,LinfilterPssv*(CfilterPssv+CdampPssv))</f>
        <v/>
      </c>
      <c r="T32" s="397">
        <f>IMSUM(S32,R32,Q32)</f>
        <v/>
      </c>
      <c r="U32" s="652" t="n">
        <v>1</v>
      </c>
      <c r="V32">
        <f>CHOOSE(INFILTER_TYPE,U32,IMDIV(J32,O32),IMDIV(Q32,T32))</f>
        <v/>
      </c>
      <c r="W32">
        <f>20*LOG10(IMABS(V32))</f>
        <v/>
      </c>
      <c r="X32">
        <f>IMARGUMENT(V32)*180/Pi</f>
        <v/>
      </c>
      <c r="Z32">
        <f>IMDIV(Q32,T32)</f>
        <v/>
      </c>
      <c r="AA32">
        <f>20*LOG10(IMABS(Z32))</f>
        <v/>
      </c>
      <c r="AB32">
        <f>IMARGUMENT(Z32)*180/Pi</f>
        <v/>
      </c>
      <c r="AD32" s="30">
        <f>IMPRODUCT((RdampCom*CdampCom+RdampCom*CinjCom),C32)</f>
        <v/>
      </c>
      <c r="AE32" s="30">
        <f>IMSUM(1,AD32)</f>
        <v/>
      </c>
      <c r="AF32" s="30">
        <f>IMPRODUCT(G32,L_infilterStd*RdampSel*CinjSel*CdampSel,E32)</f>
        <v/>
      </c>
      <c r="AG32">
        <f>IMPRODUCT(G32,LAEFCom*CinjCom,D32)</f>
        <v/>
      </c>
      <c r="AH32">
        <f>AE32</f>
        <v/>
      </c>
      <c r="AI32" s="299">
        <f>IMSUM(AF32:AH32)</f>
        <v/>
      </c>
      <c r="AK32">
        <f>IMDIV(AE32,AI32)</f>
        <v/>
      </c>
      <c r="AM32">
        <f>20*LOG10(IMABS(AK32))</f>
        <v/>
      </c>
      <c r="AN32">
        <f>IMARGUMENT(AK32)*180/Pi</f>
        <v/>
      </c>
    </row>
    <row r="33">
      <c r="A33" s="335" t="n">
        <v>300</v>
      </c>
      <c r="B33" s="352">
        <f>A33/1000</f>
        <v/>
      </c>
      <c r="C33">
        <f>COMPLEX(0,2*Pi*A33)</f>
        <v/>
      </c>
      <c r="D33" s="30">
        <f>COMPLEX(-POWER(2*Pi*A33,2),0)</f>
        <v/>
      </c>
      <c r="E33" s="30">
        <f>COMPLEX(0,-POWER(2*Pi*A33,3))</f>
        <v/>
      </c>
      <c r="G33" s="30">
        <f>IMSUM(IMPRODUCT(C33,Rcomp_AEF*Csen_AEF),Csen_AEF/Ccomp_AEF)</f>
        <v/>
      </c>
      <c r="I33" s="30">
        <f>IMPRODUCT((RdampSel*CdampSel+RdampSel*CinjSel),C33)</f>
        <v/>
      </c>
      <c r="J33">
        <f>IMSUM(1,I33)</f>
        <v/>
      </c>
      <c r="L33" s="30">
        <f>IMPRODUCT(G33,L_infilterStd*RdampSel*CinjSel*CdampSel,E33)</f>
        <v/>
      </c>
      <c r="M33">
        <f>IMPRODUCT(G33,L_infilterStd*CinjSel,D33)</f>
        <v/>
      </c>
      <c r="N33">
        <f>J33</f>
        <v/>
      </c>
      <c r="O33" s="299">
        <f>IMSUM(L33:N33)</f>
        <v/>
      </c>
      <c r="P33" s="651" t="n">
        <v>0</v>
      </c>
      <c r="Q33" s="397">
        <f>IMSUM(IMPRODUCT(C33,RdampPssv*CdampPssv),1)</f>
        <v/>
      </c>
      <c r="R33" s="397">
        <f>IMPRODUCT(RdampPssv*CdampPssv*CfilterPssv*LinfilterPssv,E33)</f>
        <v/>
      </c>
      <c r="S33" s="397">
        <f>IMPRODUCT(D33,LinfilterPssv*(CfilterPssv+CdampPssv))</f>
        <v/>
      </c>
      <c r="T33" s="397">
        <f>IMSUM(S33,R33,Q33)</f>
        <v/>
      </c>
      <c r="U33" s="652" t="n">
        <v>1</v>
      </c>
      <c r="V33">
        <f>CHOOSE(INFILTER_TYPE,U33,IMDIV(J33,O33),IMDIV(Q33,T33))</f>
        <v/>
      </c>
      <c r="W33">
        <f>20*LOG10(IMABS(V33))</f>
        <v/>
      </c>
      <c r="X33">
        <f>IMARGUMENT(V33)*180/Pi</f>
        <v/>
      </c>
      <c r="Z33">
        <f>IMDIV(Q33,T33)</f>
        <v/>
      </c>
      <c r="AA33">
        <f>20*LOG10(IMABS(Z33))</f>
        <v/>
      </c>
      <c r="AB33">
        <f>IMARGUMENT(Z33)*180/Pi</f>
        <v/>
      </c>
      <c r="AD33" s="30">
        <f>IMPRODUCT((RdampCom*CdampCom+RdampCom*CinjCom),C33)</f>
        <v/>
      </c>
      <c r="AE33" s="30">
        <f>IMSUM(1,AD33)</f>
        <v/>
      </c>
      <c r="AF33" s="30">
        <f>IMPRODUCT(G33,L_infilterStd*RdampSel*CinjSel*CdampSel,E33)</f>
        <v/>
      </c>
      <c r="AG33">
        <f>IMPRODUCT(G33,LAEFCom*CinjCom,D33)</f>
        <v/>
      </c>
      <c r="AH33">
        <f>AE33</f>
        <v/>
      </c>
      <c r="AI33" s="299">
        <f>IMSUM(AF33:AH33)</f>
        <v/>
      </c>
      <c r="AK33">
        <f>IMDIV(AE33,AI33)</f>
        <v/>
      </c>
      <c r="AM33">
        <f>20*LOG10(IMABS(AK33))</f>
        <v/>
      </c>
      <c r="AN33">
        <f>IMARGUMENT(AK33)*180/Pi</f>
        <v/>
      </c>
    </row>
    <row r="34">
      <c r="A34" s="335" t="n">
        <v>400</v>
      </c>
      <c r="B34" s="352">
        <f>A34/1000</f>
        <v/>
      </c>
      <c r="C34">
        <f>COMPLEX(0,2*Pi*A34)</f>
        <v/>
      </c>
      <c r="D34" s="30">
        <f>COMPLEX(-POWER(2*Pi*A34,2),0)</f>
        <v/>
      </c>
      <c r="E34" s="30">
        <f>COMPLEX(0,-POWER(2*Pi*A34,3))</f>
        <v/>
      </c>
      <c r="G34" s="30">
        <f>IMSUM(IMPRODUCT(C34,Rcomp_AEF*Csen_AEF),Csen_AEF/Ccomp_AEF)</f>
        <v/>
      </c>
      <c r="I34" s="30">
        <f>IMPRODUCT((RdampSel*CdampSel+RdampSel*CinjSel),C34)</f>
        <v/>
      </c>
      <c r="J34">
        <f>IMSUM(1,I34)</f>
        <v/>
      </c>
      <c r="L34" s="30">
        <f>IMPRODUCT(G34,L_infilterStd*RdampSel*CinjSel*CdampSel,E34)</f>
        <v/>
      </c>
      <c r="M34">
        <f>IMPRODUCT(G34,L_infilterStd*CinjSel,D34)</f>
        <v/>
      </c>
      <c r="N34">
        <f>J34</f>
        <v/>
      </c>
      <c r="O34" s="299">
        <f>IMSUM(L34:N34)</f>
        <v/>
      </c>
      <c r="P34" s="651" t="n">
        <v>0</v>
      </c>
      <c r="Q34" s="397">
        <f>IMSUM(IMPRODUCT(C34,RdampPssv*CdampPssv),1)</f>
        <v/>
      </c>
      <c r="R34" s="397">
        <f>IMPRODUCT(RdampPssv*CdampPssv*CfilterPssv*LinfilterPssv,E34)</f>
        <v/>
      </c>
      <c r="S34" s="397">
        <f>IMPRODUCT(D34,LinfilterPssv*(CfilterPssv+CdampPssv))</f>
        <v/>
      </c>
      <c r="T34" s="397">
        <f>IMSUM(S34,R34,Q34)</f>
        <v/>
      </c>
      <c r="U34" s="652" t="n">
        <v>1</v>
      </c>
      <c r="V34">
        <f>CHOOSE(INFILTER_TYPE,U34,IMDIV(J34,O34),IMDIV(Q34,T34))</f>
        <v/>
      </c>
      <c r="W34">
        <f>20*LOG10(IMABS(V34))</f>
        <v/>
      </c>
      <c r="X34">
        <f>IMARGUMENT(V34)*180/Pi</f>
        <v/>
      </c>
      <c r="Z34">
        <f>IMDIV(Q34,T34)</f>
        <v/>
      </c>
      <c r="AA34">
        <f>20*LOG10(IMABS(Z34))</f>
        <v/>
      </c>
      <c r="AB34">
        <f>IMARGUMENT(Z34)*180/Pi</f>
        <v/>
      </c>
      <c r="AD34" s="30">
        <f>IMPRODUCT((RdampCom*CdampCom+RdampCom*CinjCom),C34)</f>
        <v/>
      </c>
      <c r="AE34" s="30">
        <f>IMSUM(1,AD34)</f>
        <v/>
      </c>
      <c r="AF34" s="30">
        <f>IMPRODUCT(G34,L_infilterStd*RdampSel*CinjSel*CdampSel,E34)</f>
        <v/>
      </c>
      <c r="AG34">
        <f>IMPRODUCT(G34,LAEFCom*CinjCom,D34)</f>
        <v/>
      </c>
      <c r="AH34">
        <f>AE34</f>
        <v/>
      </c>
      <c r="AI34" s="299">
        <f>IMSUM(AF34:AH34)</f>
        <v/>
      </c>
      <c r="AK34">
        <f>IMDIV(AE34,AI34)</f>
        <v/>
      </c>
      <c r="AM34">
        <f>20*LOG10(IMABS(AK34))</f>
        <v/>
      </c>
      <c r="AN34">
        <f>IMARGUMENT(AK34)*180/Pi</f>
        <v/>
      </c>
    </row>
    <row r="35">
      <c r="A35" s="335" t="n">
        <v>500</v>
      </c>
      <c r="B35" s="352">
        <f>A35/1000</f>
        <v/>
      </c>
      <c r="C35">
        <f>COMPLEX(0,2*Pi*A35)</f>
        <v/>
      </c>
      <c r="D35" s="30">
        <f>COMPLEX(-POWER(2*Pi*A35,2),0)</f>
        <v/>
      </c>
      <c r="E35" s="30">
        <f>COMPLEX(0,-POWER(2*Pi*A35,3))</f>
        <v/>
      </c>
      <c r="G35" s="30">
        <f>IMSUM(IMPRODUCT(C35,Rcomp_AEF*Csen_AEF),Csen_AEF/Ccomp_AEF)</f>
        <v/>
      </c>
      <c r="I35" s="30">
        <f>IMPRODUCT((RdampSel*CdampSel+RdampSel*CinjSel),C35)</f>
        <v/>
      </c>
      <c r="J35">
        <f>IMSUM(1,I35)</f>
        <v/>
      </c>
      <c r="L35" s="30">
        <f>IMPRODUCT(G35,L_infilterStd*RdampSel*CinjSel*CdampSel,E35)</f>
        <v/>
      </c>
      <c r="M35">
        <f>IMPRODUCT(G35,L_infilterStd*CinjSel,D35)</f>
        <v/>
      </c>
      <c r="N35">
        <f>J35</f>
        <v/>
      </c>
      <c r="O35" s="299">
        <f>IMSUM(L35:N35)</f>
        <v/>
      </c>
      <c r="P35" s="651" t="n">
        <v>0</v>
      </c>
      <c r="Q35" s="397">
        <f>IMSUM(IMPRODUCT(C35,RdampPssv*CdampPssv),1)</f>
        <v/>
      </c>
      <c r="R35" s="397">
        <f>IMPRODUCT(RdampPssv*CdampPssv*CfilterPssv*LinfilterPssv,E35)</f>
        <v/>
      </c>
      <c r="S35" s="397">
        <f>IMPRODUCT(D35,LinfilterPssv*(CfilterPssv+CdampPssv))</f>
        <v/>
      </c>
      <c r="T35" s="397">
        <f>IMSUM(S35,R35,Q35)</f>
        <v/>
      </c>
      <c r="U35" s="652" t="n">
        <v>1</v>
      </c>
      <c r="V35">
        <f>CHOOSE(INFILTER_TYPE,U35,IMDIV(J35,O35),IMDIV(Q35,T35))</f>
        <v/>
      </c>
      <c r="W35">
        <f>20*LOG10(IMABS(V35))</f>
        <v/>
      </c>
      <c r="X35">
        <f>IMARGUMENT(V35)*180/Pi</f>
        <v/>
      </c>
      <c r="Z35">
        <f>IMDIV(Q35,T35)</f>
        <v/>
      </c>
      <c r="AA35">
        <f>20*LOG10(IMABS(Z35))</f>
        <v/>
      </c>
      <c r="AB35">
        <f>IMARGUMENT(Z35)*180/Pi</f>
        <v/>
      </c>
      <c r="AD35" s="30">
        <f>IMPRODUCT((RdampCom*CdampCom+RdampCom*CinjCom),C35)</f>
        <v/>
      </c>
      <c r="AE35" s="30">
        <f>IMSUM(1,AD35)</f>
        <v/>
      </c>
      <c r="AF35" s="30">
        <f>IMPRODUCT(G35,L_infilterStd*RdampSel*CinjSel*CdampSel,E35)</f>
        <v/>
      </c>
      <c r="AG35">
        <f>IMPRODUCT(G35,LAEFCom*CinjCom,D35)</f>
        <v/>
      </c>
      <c r="AH35">
        <f>AE35</f>
        <v/>
      </c>
      <c r="AI35" s="299">
        <f>IMSUM(AF35:AH35)</f>
        <v/>
      </c>
      <c r="AK35">
        <f>IMDIV(AE35,AI35)</f>
        <v/>
      </c>
      <c r="AM35">
        <f>20*LOG10(IMABS(AK35))</f>
        <v/>
      </c>
      <c r="AN35">
        <f>IMARGUMENT(AK35)*180/Pi</f>
        <v/>
      </c>
    </row>
    <row r="36">
      <c r="A36" s="335" t="n">
        <v>600</v>
      </c>
      <c r="B36" s="352">
        <f>A36/1000</f>
        <v/>
      </c>
      <c r="C36">
        <f>COMPLEX(0,2*Pi*A36)</f>
        <v/>
      </c>
      <c r="D36" s="30">
        <f>COMPLEX(-POWER(2*Pi*A36,2),0)</f>
        <v/>
      </c>
      <c r="E36" s="30">
        <f>COMPLEX(0,-POWER(2*Pi*A36,3))</f>
        <v/>
      </c>
      <c r="G36" s="30">
        <f>IMSUM(IMPRODUCT(C36,Rcomp_AEF*Csen_AEF),Csen_AEF/Ccomp_AEF)</f>
        <v/>
      </c>
      <c r="I36" s="30">
        <f>IMPRODUCT((RdampSel*CdampSel+RdampSel*CinjSel),C36)</f>
        <v/>
      </c>
      <c r="J36">
        <f>IMSUM(1,I36)</f>
        <v/>
      </c>
      <c r="L36" s="30">
        <f>IMPRODUCT(G36,L_infilterStd*RdampSel*CinjSel*CdampSel,E36)</f>
        <v/>
      </c>
      <c r="M36">
        <f>IMPRODUCT(G36,L_infilterStd*CinjSel,D36)</f>
        <v/>
      </c>
      <c r="N36">
        <f>J36</f>
        <v/>
      </c>
      <c r="O36" s="299">
        <f>IMSUM(L36:N36)</f>
        <v/>
      </c>
      <c r="P36" s="651" t="n">
        <v>0</v>
      </c>
      <c r="Q36" s="397">
        <f>IMSUM(IMPRODUCT(C36,RdampPssv*CdampPssv),1)</f>
        <v/>
      </c>
      <c r="R36" s="397">
        <f>IMPRODUCT(RdampPssv*CdampPssv*CfilterPssv*LinfilterPssv,E36)</f>
        <v/>
      </c>
      <c r="S36" s="397">
        <f>IMPRODUCT(D36,LinfilterPssv*(CfilterPssv+CdampPssv))</f>
        <v/>
      </c>
      <c r="T36" s="397">
        <f>IMSUM(S36,R36,Q36)</f>
        <v/>
      </c>
      <c r="U36" s="652" t="n">
        <v>1</v>
      </c>
      <c r="V36">
        <f>CHOOSE(INFILTER_TYPE,U36,IMDIV(J36,O36),IMDIV(Q36,T36))</f>
        <v/>
      </c>
      <c r="W36">
        <f>20*LOG10(IMABS(V36))</f>
        <v/>
      </c>
      <c r="X36">
        <f>IMARGUMENT(V36)*180/Pi</f>
        <v/>
      </c>
      <c r="Z36">
        <f>IMDIV(Q36,T36)</f>
        <v/>
      </c>
      <c r="AA36">
        <f>20*LOG10(IMABS(Z36))</f>
        <v/>
      </c>
      <c r="AB36">
        <f>IMARGUMENT(Z36)*180/Pi</f>
        <v/>
      </c>
      <c r="AD36" s="30">
        <f>IMPRODUCT((RdampCom*CdampCom+RdampCom*CinjCom),C36)</f>
        <v/>
      </c>
      <c r="AE36" s="30">
        <f>IMSUM(1,AD36)</f>
        <v/>
      </c>
      <c r="AF36" s="30">
        <f>IMPRODUCT(G36,L_infilterStd*RdampSel*CinjSel*CdampSel,E36)</f>
        <v/>
      </c>
      <c r="AG36">
        <f>IMPRODUCT(G36,LAEFCom*CinjCom,D36)</f>
        <v/>
      </c>
      <c r="AH36">
        <f>AE36</f>
        <v/>
      </c>
      <c r="AI36" s="299">
        <f>IMSUM(AF36:AH36)</f>
        <v/>
      </c>
      <c r="AK36">
        <f>IMDIV(AE36,AI36)</f>
        <v/>
      </c>
      <c r="AM36">
        <f>20*LOG10(IMABS(AK36))</f>
        <v/>
      </c>
      <c r="AN36">
        <f>IMARGUMENT(AK36)*180/Pi</f>
        <v/>
      </c>
    </row>
    <row r="37">
      <c r="A37" s="335" t="n">
        <v>700</v>
      </c>
      <c r="B37" s="352">
        <f>A37/1000</f>
        <v/>
      </c>
      <c r="C37">
        <f>COMPLEX(0,2*Pi*A37)</f>
        <v/>
      </c>
      <c r="D37" s="30">
        <f>COMPLEX(-POWER(2*Pi*A37,2),0)</f>
        <v/>
      </c>
      <c r="E37" s="30">
        <f>COMPLEX(0,-POWER(2*Pi*A37,3))</f>
        <v/>
      </c>
      <c r="G37" s="30">
        <f>IMSUM(IMPRODUCT(C37,Rcomp_AEF*Csen_AEF),Csen_AEF/Ccomp_AEF)</f>
        <v/>
      </c>
      <c r="I37" s="30">
        <f>IMPRODUCT((RdampSel*CdampSel+RdampSel*CinjSel),C37)</f>
        <v/>
      </c>
      <c r="J37">
        <f>IMSUM(1,I37)</f>
        <v/>
      </c>
      <c r="L37" s="30">
        <f>IMPRODUCT(G37,L_infilterStd*RdampSel*CinjSel*CdampSel,E37)</f>
        <v/>
      </c>
      <c r="M37">
        <f>IMPRODUCT(G37,L_infilterStd*CinjSel,D37)</f>
        <v/>
      </c>
      <c r="N37">
        <f>J37</f>
        <v/>
      </c>
      <c r="O37" s="299">
        <f>IMSUM(L37:N37)</f>
        <v/>
      </c>
      <c r="P37" s="651" t="n">
        <v>0</v>
      </c>
      <c r="Q37" s="397">
        <f>IMSUM(IMPRODUCT(C37,RdampPssv*CdampPssv),1)</f>
        <v/>
      </c>
      <c r="R37" s="397">
        <f>IMPRODUCT(RdampPssv*CdampPssv*CfilterPssv*LinfilterPssv,E37)</f>
        <v/>
      </c>
      <c r="S37" s="397">
        <f>IMPRODUCT(D37,LinfilterPssv*(CfilterPssv+CdampPssv))</f>
        <v/>
      </c>
      <c r="T37" s="397">
        <f>IMSUM(S37,R37,Q37)</f>
        <v/>
      </c>
      <c r="U37" s="652" t="n">
        <v>1</v>
      </c>
      <c r="V37">
        <f>CHOOSE(INFILTER_TYPE,U37,IMDIV(J37,O37),IMDIV(Q37,T37))</f>
        <v/>
      </c>
      <c r="W37">
        <f>20*LOG10(IMABS(V37))</f>
        <v/>
      </c>
      <c r="X37">
        <f>IMARGUMENT(V37)*180/Pi</f>
        <v/>
      </c>
      <c r="Z37">
        <f>IMDIV(Q37,T37)</f>
        <v/>
      </c>
      <c r="AA37">
        <f>20*LOG10(IMABS(Z37))</f>
        <v/>
      </c>
      <c r="AB37">
        <f>IMARGUMENT(Z37)*180/Pi</f>
        <v/>
      </c>
      <c r="AD37" s="30">
        <f>IMPRODUCT((RdampCom*CdampCom+RdampCom*CinjCom),C37)</f>
        <v/>
      </c>
      <c r="AE37" s="30">
        <f>IMSUM(1,AD37)</f>
        <v/>
      </c>
      <c r="AF37" s="30">
        <f>IMPRODUCT(G37,L_infilterStd*RdampSel*CinjSel*CdampSel,E37)</f>
        <v/>
      </c>
      <c r="AG37">
        <f>IMPRODUCT(G37,LAEFCom*CinjCom,D37)</f>
        <v/>
      </c>
      <c r="AH37">
        <f>AE37</f>
        <v/>
      </c>
      <c r="AI37" s="299">
        <f>IMSUM(AF37:AH37)</f>
        <v/>
      </c>
      <c r="AK37">
        <f>IMDIV(AE37,AI37)</f>
        <v/>
      </c>
      <c r="AM37">
        <f>20*LOG10(IMABS(AK37))</f>
        <v/>
      </c>
      <c r="AN37">
        <f>IMARGUMENT(AK37)*180/Pi</f>
        <v/>
      </c>
    </row>
    <row r="38">
      <c r="A38" s="335" t="n">
        <v>800</v>
      </c>
      <c r="B38" s="352">
        <f>A38/1000</f>
        <v/>
      </c>
      <c r="C38">
        <f>COMPLEX(0,2*Pi*A38)</f>
        <v/>
      </c>
      <c r="D38" s="30">
        <f>COMPLEX(-POWER(2*Pi*A38,2),0)</f>
        <v/>
      </c>
      <c r="E38" s="30">
        <f>COMPLEX(0,-POWER(2*Pi*A38,3))</f>
        <v/>
      </c>
      <c r="G38" s="30">
        <f>IMSUM(IMPRODUCT(C38,Rcomp_AEF*Csen_AEF),Csen_AEF/Ccomp_AEF)</f>
        <v/>
      </c>
      <c r="I38" s="30">
        <f>IMPRODUCT((RdampSel*CdampSel+RdampSel*CinjSel),C38)</f>
        <v/>
      </c>
      <c r="J38">
        <f>IMSUM(1,I38)</f>
        <v/>
      </c>
      <c r="L38" s="30">
        <f>IMPRODUCT(G38,L_infilterStd*RdampSel*CinjSel*CdampSel,E38)</f>
        <v/>
      </c>
      <c r="M38">
        <f>IMPRODUCT(G38,L_infilterStd*CinjSel,D38)</f>
        <v/>
      </c>
      <c r="N38">
        <f>J38</f>
        <v/>
      </c>
      <c r="O38" s="299">
        <f>IMSUM(L38:N38)</f>
        <v/>
      </c>
      <c r="P38" s="651" t="n">
        <v>0</v>
      </c>
      <c r="Q38" s="397">
        <f>IMSUM(IMPRODUCT(C38,RdampPssv*CdampPssv),1)</f>
        <v/>
      </c>
      <c r="R38" s="397">
        <f>IMPRODUCT(RdampPssv*CdampPssv*CfilterPssv*LinfilterPssv,E38)</f>
        <v/>
      </c>
      <c r="S38" s="397">
        <f>IMPRODUCT(D38,LinfilterPssv*(CfilterPssv+CdampPssv))</f>
        <v/>
      </c>
      <c r="T38" s="397">
        <f>IMSUM(S38,R38,Q38)</f>
        <v/>
      </c>
      <c r="U38" s="652" t="n">
        <v>1</v>
      </c>
      <c r="V38">
        <f>CHOOSE(INFILTER_TYPE,U38,IMDIV(J38,O38),IMDIV(Q38,T38))</f>
        <v/>
      </c>
      <c r="W38">
        <f>20*LOG10(IMABS(V38))</f>
        <v/>
      </c>
      <c r="X38">
        <f>IMARGUMENT(V38)*180/Pi</f>
        <v/>
      </c>
      <c r="Z38">
        <f>IMDIV(Q38,T38)</f>
        <v/>
      </c>
      <c r="AA38">
        <f>20*LOG10(IMABS(Z38))</f>
        <v/>
      </c>
      <c r="AB38">
        <f>IMARGUMENT(Z38)*180/Pi</f>
        <v/>
      </c>
      <c r="AD38" s="30">
        <f>IMPRODUCT((RdampCom*CdampCom+RdampCom*CinjCom),C38)</f>
        <v/>
      </c>
      <c r="AE38" s="30">
        <f>IMSUM(1,AD38)</f>
        <v/>
      </c>
      <c r="AF38" s="30">
        <f>IMPRODUCT(G38,L_infilterStd*RdampSel*CinjSel*CdampSel,E38)</f>
        <v/>
      </c>
      <c r="AG38">
        <f>IMPRODUCT(G38,LAEFCom*CinjCom,D38)</f>
        <v/>
      </c>
      <c r="AH38">
        <f>AE38</f>
        <v/>
      </c>
      <c r="AI38" s="299">
        <f>IMSUM(AF38:AH38)</f>
        <v/>
      </c>
      <c r="AK38">
        <f>IMDIV(AE38,AI38)</f>
        <v/>
      </c>
      <c r="AM38">
        <f>20*LOG10(IMABS(AK38))</f>
        <v/>
      </c>
      <c r="AN38">
        <f>IMARGUMENT(AK38)*180/Pi</f>
        <v/>
      </c>
    </row>
    <row r="39">
      <c r="A39" s="335" t="n">
        <v>900</v>
      </c>
      <c r="B39" s="352">
        <f>A39/1000</f>
        <v/>
      </c>
      <c r="C39">
        <f>COMPLEX(0,2*Pi*A39)</f>
        <v/>
      </c>
      <c r="D39" s="30">
        <f>COMPLEX(-POWER(2*Pi*A39,2),0)</f>
        <v/>
      </c>
      <c r="E39" s="30">
        <f>COMPLEX(0,-POWER(2*Pi*A39,3))</f>
        <v/>
      </c>
      <c r="G39" s="30">
        <f>IMSUM(IMPRODUCT(C39,Rcomp_AEF*Csen_AEF),Csen_AEF/Ccomp_AEF)</f>
        <v/>
      </c>
      <c r="I39" s="30">
        <f>IMPRODUCT((RdampSel*CdampSel+RdampSel*CinjSel),C39)</f>
        <v/>
      </c>
      <c r="J39">
        <f>IMSUM(1,I39)</f>
        <v/>
      </c>
      <c r="L39" s="30">
        <f>IMPRODUCT(G39,L_infilterStd*RdampSel*CinjSel*CdampSel,E39)</f>
        <v/>
      </c>
      <c r="M39">
        <f>IMPRODUCT(G39,L_infilterStd*CinjSel,D39)</f>
        <v/>
      </c>
      <c r="N39">
        <f>J39</f>
        <v/>
      </c>
      <c r="O39" s="299">
        <f>IMSUM(L39:N39)</f>
        <v/>
      </c>
      <c r="P39" s="651" t="n">
        <v>0</v>
      </c>
      <c r="Q39" s="397">
        <f>IMSUM(IMPRODUCT(C39,RdampPssv*CdampPssv),1)</f>
        <v/>
      </c>
      <c r="R39" s="397">
        <f>IMPRODUCT(RdampPssv*CdampPssv*CfilterPssv*LinfilterPssv,E39)</f>
        <v/>
      </c>
      <c r="S39" s="397">
        <f>IMPRODUCT(D39,LinfilterPssv*(CfilterPssv+CdampPssv))</f>
        <v/>
      </c>
      <c r="T39" s="397">
        <f>IMSUM(S39,R39,Q39)</f>
        <v/>
      </c>
      <c r="U39" s="652" t="n">
        <v>1</v>
      </c>
      <c r="V39">
        <f>CHOOSE(INFILTER_TYPE,U39,IMDIV(J39,O39),IMDIV(Q39,T39))</f>
        <v/>
      </c>
      <c r="W39">
        <f>20*LOG10(IMABS(V39))</f>
        <v/>
      </c>
      <c r="X39">
        <f>IMARGUMENT(V39)*180/Pi</f>
        <v/>
      </c>
      <c r="Z39">
        <f>IMDIV(Q39,T39)</f>
        <v/>
      </c>
      <c r="AA39">
        <f>20*LOG10(IMABS(Z39))</f>
        <v/>
      </c>
      <c r="AB39">
        <f>IMARGUMENT(Z39)*180/Pi</f>
        <v/>
      </c>
      <c r="AD39" s="30">
        <f>IMPRODUCT((RdampCom*CdampCom+RdampCom*CinjCom),C39)</f>
        <v/>
      </c>
      <c r="AE39" s="30">
        <f>IMSUM(1,AD39)</f>
        <v/>
      </c>
      <c r="AF39" s="30">
        <f>IMPRODUCT(G39,L_infilterStd*RdampSel*CinjSel*CdampSel,E39)</f>
        <v/>
      </c>
      <c r="AG39">
        <f>IMPRODUCT(G39,LAEFCom*CinjCom,D39)</f>
        <v/>
      </c>
      <c r="AH39">
        <f>AE39</f>
        <v/>
      </c>
      <c r="AI39" s="299">
        <f>IMSUM(AF39:AH39)</f>
        <v/>
      </c>
      <c r="AK39">
        <f>IMDIV(AE39,AI39)</f>
        <v/>
      </c>
      <c r="AM39">
        <f>20*LOG10(IMABS(AK39))</f>
        <v/>
      </c>
      <c r="AN39">
        <f>IMARGUMENT(AK39)*180/Pi</f>
        <v/>
      </c>
    </row>
    <row r="40">
      <c r="A40" s="335" t="n">
        <v>1000</v>
      </c>
      <c r="B40" s="352">
        <f>A40/1000</f>
        <v/>
      </c>
      <c r="C40">
        <f>COMPLEX(0,2*Pi*A40)</f>
        <v/>
      </c>
      <c r="D40" s="30">
        <f>COMPLEX(-POWER(2*Pi*A40,2),0)</f>
        <v/>
      </c>
      <c r="E40" s="30">
        <f>COMPLEX(0,-POWER(2*Pi*A40,3))</f>
        <v/>
      </c>
      <c r="G40" s="30">
        <f>IMSUM(IMPRODUCT(C40,Rcomp_AEF*Csen_AEF),Csen_AEF/Ccomp_AEF)</f>
        <v/>
      </c>
      <c r="I40" s="30">
        <f>IMPRODUCT((RdampSel*CdampSel+RdampSel*CinjSel),C40)</f>
        <v/>
      </c>
      <c r="J40">
        <f>IMSUM(1,I40)</f>
        <v/>
      </c>
      <c r="L40" s="30">
        <f>IMPRODUCT(G40,L_infilterStd*RdampSel*CinjSel*CdampSel,E40)</f>
        <v/>
      </c>
      <c r="M40">
        <f>IMPRODUCT(G40,L_infilterStd*CinjSel,D40)</f>
        <v/>
      </c>
      <c r="N40">
        <f>J40</f>
        <v/>
      </c>
      <c r="O40" s="299">
        <f>IMSUM(L40:N40)</f>
        <v/>
      </c>
      <c r="P40" s="651" t="n">
        <v>0</v>
      </c>
      <c r="Q40" s="397">
        <f>IMSUM(IMPRODUCT(C40,RdampPssv*CdampPssv),1)</f>
        <v/>
      </c>
      <c r="R40" s="397">
        <f>IMPRODUCT(RdampPssv*CdampPssv*CfilterPssv*LinfilterPssv,E40)</f>
        <v/>
      </c>
      <c r="S40" s="397">
        <f>IMPRODUCT(D40,LinfilterPssv*(CfilterPssv+CdampPssv))</f>
        <v/>
      </c>
      <c r="T40" s="397">
        <f>IMSUM(S40,R40,Q40)</f>
        <v/>
      </c>
      <c r="U40" s="652" t="n">
        <v>1</v>
      </c>
      <c r="V40">
        <f>CHOOSE(INFILTER_TYPE,U40,IMDIV(J40,O40),IMDIV(Q40,T40))</f>
        <v/>
      </c>
      <c r="W40">
        <f>20*LOG10(IMABS(V40))</f>
        <v/>
      </c>
      <c r="X40">
        <f>IMARGUMENT(V40)*180/Pi</f>
        <v/>
      </c>
      <c r="Z40">
        <f>IMDIV(Q40,T40)</f>
        <v/>
      </c>
      <c r="AA40">
        <f>20*LOG10(IMABS(Z40))</f>
        <v/>
      </c>
      <c r="AB40">
        <f>IMARGUMENT(Z40)*180/Pi</f>
        <v/>
      </c>
      <c r="AD40" s="30">
        <f>IMPRODUCT((RdampCom*CdampCom+RdampCom*CinjCom),C40)</f>
        <v/>
      </c>
      <c r="AE40" s="30">
        <f>IMSUM(1,AD40)</f>
        <v/>
      </c>
      <c r="AF40" s="30">
        <f>IMPRODUCT(G40,L_infilterStd*RdampSel*CinjSel*CdampSel,E40)</f>
        <v/>
      </c>
      <c r="AG40">
        <f>IMPRODUCT(G40,LAEFCom*CinjCom,D40)</f>
        <v/>
      </c>
      <c r="AH40">
        <f>AE40</f>
        <v/>
      </c>
      <c r="AI40" s="299">
        <f>IMSUM(AF40:AH40)</f>
        <v/>
      </c>
      <c r="AK40">
        <f>IMDIV(AE40,AI40)</f>
        <v/>
      </c>
      <c r="AM40">
        <f>20*LOG10(IMABS(AK40))</f>
        <v/>
      </c>
      <c r="AN40">
        <f>IMARGUMENT(AK40)*180/Pi</f>
        <v/>
      </c>
    </row>
    <row r="41">
      <c r="A41" s="335" t="n">
        <v>2000</v>
      </c>
      <c r="B41" s="352">
        <f>A41/1000</f>
        <v/>
      </c>
      <c r="C41">
        <f>COMPLEX(0,2*Pi*A41)</f>
        <v/>
      </c>
      <c r="D41" s="30">
        <f>COMPLEX(-POWER(2*Pi*A41,2),0)</f>
        <v/>
      </c>
      <c r="E41" s="30">
        <f>COMPLEX(0,-POWER(2*Pi*A41,3))</f>
        <v/>
      </c>
      <c r="G41" s="30">
        <f>IMSUM(IMPRODUCT(C41,Rcomp_AEF*Csen_AEF),Csen_AEF/Ccomp_AEF)</f>
        <v/>
      </c>
      <c r="I41" s="30">
        <f>IMPRODUCT((RdampSel*CdampSel+RdampSel*CinjSel),C41)</f>
        <v/>
      </c>
      <c r="J41">
        <f>IMSUM(1,I41)</f>
        <v/>
      </c>
      <c r="L41" s="30">
        <f>IMPRODUCT(G41,L_infilterStd*RdampSel*CinjSel*CdampSel,E41)</f>
        <v/>
      </c>
      <c r="M41">
        <f>IMPRODUCT(G41,L_infilterStd*CinjSel,D41)</f>
        <v/>
      </c>
      <c r="N41">
        <f>J41</f>
        <v/>
      </c>
      <c r="O41" s="299">
        <f>IMSUM(L41:N41)</f>
        <v/>
      </c>
      <c r="P41" s="651" t="n">
        <v>0</v>
      </c>
      <c r="Q41" s="397">
        <f>IMSUM(IMPRODUCT(C41,RdampPssv*CdampPssv),1)</f>
        <v/>
      </c>
      <c r="R41" s="397">
        <f>IMPRODUCT(RdampPssv*CdampPssv*CfilterPssv*LinfilterPssv,E41)</f>
        <v/>
      </c>
      <c r="S41" s="397">
        <f>IMPRODUCT(D41,LinfilterPssv*(CfilterPssv+CdampPssv))</f>
        <v/>
      </c>
      <c r="T41" s="397">
        <f>IMSUM(S41,R41,Q41)</f>
        <v/>
      </c>
      <c r="U41" s="652" t="n">
        <v>1</v>
      </c>
      <c r="V41">
        <f>CHOOSE(INFILTER_TYPE,U41,IMDIV(J41,O41),IMDIV(Q41,T41))</f>
        <v/>
      </c>
      <c r="W41">
        <f>20*LOG10(IMABS(V41))</f>
        <v/>
      </c>
      <c r="X41">
        <f>IMARGUMENT(V41)*180/Pi</f>
        <v/>
      </c>
      <c r="Z41">
        <f>IMDIV(Q41,T41)</f>
        <v/>
      </c>
      <c r="AA41">
        <f>20*LOG10(IMABS(Z41))</f>
        <v/>
      </c>
      <c r="AB41">
        <f>IMARGUMENT(Z41)*180/Pi</f>
        <v/>
      </c>
      <c r="AD41" s="30">
        <f>IMPRODUCT((RdampCom*CdampCom+RdampCom*CinjCom),C41)</f>
        <v/>
      </c>
      <c r="AE41" s="30">
        <f>IMSUM(1,AD41)</f>
        <v/>
      </c>
      <c r="AF41" s="30">
        <f>IMPRODUCT(G41,L_infilterStd*RdampSel*CinjSel*CdampSel,E41)</f>
        <v/>
      </c>
      <c r="AG41">
        <f>IMPRODUCT(G41,LAEFCom*CinjCom,D41)</f>
        <v/>
      </c>
      <c r="AH41">
        <f>AE41</f>
        <v/>
      </c>
      <c r="AI41" s="299">
        <f>IMSUM(AF41:AH41)</f>
        <v/>
      </c>
      <c r="AK41">
        <f>IMDIV(AE41,AI41)</f>
        <v/>
      </c>
      <c r="AM41">
        <f>20*LOG10(IMABS(AK41))</f>
        <v/>
      </c>
      <c r="AN41">
        <f>IMARGUMENT(AK41)*180/Pi</f>
        <v/>
      </c>
    </row>
    <row r="42">
      <c r="A42" s="335" t="n">
        <v>3000</v>
      </c>
      <c r="B42" s="352">
        <f>A42/1000</f>
        <v/>
      </c>
      <c r="C42">
        <f>COMPLEX(0,2*Pi*A42)</f>
        <v/>
      </c>
      <c r="D42" s="30">
        <f>COMPLEX(-POWER(2*Pi*A42,2),0)</f>
        <v/>
      </c>
      <c r="E42" s="30">
        <f>COMPLEX(0,-POWER(2*Pi*A42,3))</f>
        <v/>
      </c>
      <c r="G42" s="30">
        <f>IMSUM(IMPRODUCT(C42,Rcomp_AEF*Csen_AEF),Csen_AEF/Ccomp_AEF)</f>
        <v/>
      </c>
      <c r="I42" s="30">
        <f>IMPRODUCT((RdampSel*CdampSel+RdampSel*CinjSel),C42)</f>
        <v/>
      </c>
      <c r="J42">
        <f>IMSUM(1,I42)</f>
        <v/>
      </c>
      <c r="L42" s="30">
        <f>IMPRODUCT(G42,L_infilterStd*RdampSel*CinjSel*CdampSel,E42)</f>
        <v/>
      </c>
      <c r="M42">
        <f>IMPRODUCT(G42,L_infilterStd*CinjSel,D42)</f>
        <v/>
      </c>
      <c r="N42">
        <f>J42</f>
        <v/>
      </c>
      <c r="O42" s="299">
        <f>IMSUM(L42:N42)</f>
        <v/>
      </c>
      <c r="P42" s="651" t="n">
        <v>0</v>
      </c>
      <c r="Q42" s="397">
        <f>IMSUM(IMPRODUCT(C42,RdampPssv*CdampPssv),1)</f>
        <v/>
      </c>
      <c r="R42" s="397">
        <f>IMPRODUCT(RdampPssv*CdampPssv*CfilterPssv*LinfilterPssv,E42)</f>
        <v/>
      </c>
      <c r="S42" s="397">
        <f>IMPRODUCT(D42,LinfilterPssv*(CfilterPssv+CdampPssv))</f>
        <v/>
      </c>
      <c r="T42" s="397">
        <f>IMSUM(S42,R42,Q42)</f>
        <v/>
      </c>
      <c r="U42" s="652" t="n">
        <v>1</v>
      </c>
      <c r="V42">
        <f>CHOOSE(INFILTER_TYPE,U42,IMDIV(J42,O42),IMDIV(Q42,T42))</f>
        <v/>
      </c>
      <c r="W42">
        <f>20*LOG10(IMABS(V42))</f>
        <v/>
      </c>
      <c r="X42">
        <f>IMARGUMENT(V42)*180/Pi</f>
        <v/>
      </c>
      <c r="Z42">
        <f>IMDIV(Q42,T42)</f>
        <v/>
      </c>
      <c r="AA42">
        <f>20*LOG10(IMABS(Z42))</f>
        <v/>
      </c>
      <c r="AB42">
        <f>IMARGUMENT(Z42)*180/Pi</f>
        <v/>
      </c>
      <c r="AD42" s="30">
        <f>IMPRODUCT((RdampCom*CdampCom+RdampCom*CinjCom),C42)</f>
        <v/>
      </c>
      <c r="AE42" s="30">
        <f>IMSUM(1,AD42)</f>
        <v/>
      </c>
      <c r="AF42" s="30">
        <f>IMPRODUCT(G42,L_infilterStd*RdampSel*CinjSel*CdampSel,E42)</f>
        <v/>
      </c>
      <c r="AG42">
        <f>IMPRODUCT(G42,LAEFCom*CinjCom,D42)</f>
        <v/>
      </c>
      <c r="AH42">
        <f>AE42</f>
        <v/>
      </c>
      <c r="AI42" s="299">
        <f>IMSUM(AF42:AH42)</f>
        <v/>
      </c>
      <c r="AK42">
        <f>IMDIV(AE42,AI42)</f>
        <v/>
      </c>
      <c r="AM42">
        <f>20*LOG10(IMABS(AK42))</f>
        <v/>
      </c>
      <c r="AN42">
        <f>IMARGUMENT(AK42)*180/Pi</f>
        <v/>
      </c>
    </row>
    <row r="43">
      <c r="A43" s="335" t="n">
        <v>4000</v>
      </c>
      <c r="B43" s="352">
        <f>A43/1000</f>
        <v/>
      </c>
      <c r="C43">
        <f>COMPLEX(0,2*Pi*A43)</f>
        <v/>
      </c>
      <c r="D43" s="30">
        <f>COMPLEX(-POWER(2*Pi*A43,2),0)</f>
        <v/>
      </c>
      <c r="E43" s="30">
        <f>COMPLEX(0,-POWER(2*Pi*A43,3))</f>
        <v/>
      </c>
      <c r="G43" s="30">
        <f>IMSUM(IMPRODUCT(C43,Rcomp_AEF*Csen_AEF),Csen_AEF/Ccomp_AEF)</f>
        <v/>
      </c>
      <c r="I43" s="30">
        <f>IMPRODUCT((RdampSel*CdampSel+RdampSel*CinjSel),C43)</f>
        <v/>
      </c>
      <c r="J43">
        <f>IMSUM(1,I43)</f>
        <v/>
      </c>
      <c r="L43" s="30">
        <f>IMPRODUCT(G43,L_infilterStd*RdampSel*CinjSel*CdampSel,E43)</f>
        <v/>
      </c>
      <c r="M43">
        <f>IMPRODUCT(G43,L_infilterStd*CinjSel,D43)</f>
        <v/>
      </c>
      <c r="N43">
        <f>J43</f>
        <v/>
      </c>
      <c r="O43" s="299">
        <f>IMSUM(L43:N43)</f>
        <v/>
      </c>
      <c r="P43" s="651" t="n">
        <v>0</v>
      </c>
      <c r="Q43" s="397">
        <f>IMSUM(IMPRODUCT(C43,RdampPssv*CdampPssv),1)</f>
        <v/>
      </c>
      <c r="R43" s="397">
        <f>IMPRODUCT(RdampPssv*CdampPssv*CfilterPssv*LinfilterPssv,E43)</f>
        <v/>
      </c>
      <c r="S43" s="397">
        <f>IMPRODUCT(D43,LinfilterPssv*(CfilterPssv+CdampPssv))</f>
        <v/>
      </c>
      <c r="T43" s="397">
        <f>IMSUM(S43,R43,Q43)</f>
        <v/>
      </c>
      <c r="U43" s="652" t="n">
        <v>1</v>
      </c>
      <c r="V43">
        <f>CHOOSE(INFILTER_TYPE,U43,IMDIV(J43,O43),IMDIV(Q43,T43))</f>
        <v/>
      </c>
      <c r="W43">
        <f>20*LOG10(IMABS(V43))</f>
        <v/>
      </c>
      <c r="X43">
        <f>IMARGUMENT(V43)*180/Pi</f>
        <v/>
      </c>
      <c r="Z43">
        <f>IMDIV(Q43,T43)</f>
        <v/>
      </c>
      <c r="AA43">
        <f>20*LOG10(IMABS(Z43))</f>
        <v/>
      </c>
      <c r="AB43">
        <f>IMARGUMENT(Z43)*180/Pi</f>
        <v/>
      </c>
      <c r="AD43" s="30">
        <f>IMPRODUCT((RdampCom*CdampCom+RdampCom*CinjCom),C43)</f>
        <v/>
      </c>
      <c r="AE43" s="30">
        <f>IMSUM(1,AD43)</f>
        <v/>
      </c>
      <c r="AF43" s="30">
        <f>IMPRODUCT(G43,L_infilterStd*RdampSel*CinjSel*CdampSel,E43)</f>
        <v/>
      </c>
      <c r="AG43">
        <f>IMPRODUCT(G43,LAEFCom*CinjCom,D43)</f>
        <v/>
      </c>
      <c r="AH43">
        <f>AE43</f>
        <v/>
      </c>
      <c r="AI43" s="299">
        <f>IMSUM(AF43:AH43)</f>
        <v/>
      </c>
      <c r="AK43">
        <f>IMDIV(AE43,AI43)</f>
        <v/>
      </c>
      <c r="AM43">
        <f>20*LOG10(IMABS(AK43))</f>
        <v/>
      </c>
      <c r="AN43">
        <f>IMARGUMENT(AK43)*180/Pi</f>
        <v/>
      </c>
    </row>
    <row r="44">
      <c r="A44" s="335" t="n">
        <v>5000</v>
      </c>
      <c r="B44" s="352">
        <f>A44/1000</f>
        <v/>
      </c>
      <c r="C44">
        <f>COMPLEX(0,2*Pi*A44)</f>
        <v/>
      </c>
      <c r="D44" s="30">
        <f>COMPLEX(-POWER(2*Pi*A44,2),0)</f>
        <v/>
      </c>
      <c r="E44" s="30">
        <f>COMPLEX(0,-POWER(2*Pi*A44,3))</f>
        <v/>
      </c>
      <c r="G44" s="30">
        <f>IMSUM(IMPRODUCT(C44,Rcomp_AEF*Csen_AEF),Csen_AEF/Ccomp_AEF)</f>
        <v/>
      </c>
      <c r="I44" s="30">
        <f>IMPRODUCT((RdampSel*CdampSel+RdampSel*CinjSel),C44)</f>
        <v/>
      </c>
      <c r="J44">
        <f>IMSUM(1,I44)</f>
        <v/>
      </c>
      <c r="L44" s="30">
        <f>IMPRODUCT(G44,L_infilterStd*RdampSel*CinjSel*CdampSel,E44)</f>
        <v/>
      </c>
      <c r="M44">
        <f>IMPRODUCT(G44,L_infilterStd*CinjSel,D44)</f>
        <v/>
      </c>
      <c r="N44">
        <f>J44</f>
        <v/>
      </c>
      <c r="O44" s="299">
        <f>IMSUM(L44:N44)</f>
        <v/>
      </c>
      <c r="P44" s="651" t="n">
        <v>0</v>
      </c>
      <c r="Q44" s="397">
        <f>IMSUM(IMPRODUCT(C44,RdampPssv*CdampPssv),1)</f>
        <v/>
      </c>
      <c r="R44" s="397">
        <f>IMPRODUCT(RdampPssv*CdampPssv*CfilterPssv*LinfilterPssv,E44)</f>
        <v/>
      </c>
      <c r="S44" s="397">
        <f>IMPRODUCT(D44,LinfilterPssv*(CfilterPssv+CdampPssv))</f>
        <v/>
      </c>
      <c r="T44" s="397">
        <f>IMSUM(S44,R44,Q44)</f>
        <v/>
      </c>
      <c r="U44" s="652" t="n">
        <v>1</v>
      </c>
      <c r="V44">
        <f>CHOOSE(INFILTER_TYPE,U44,IMDIV(J44,O44),IMDIV(Q44,T44))</f>
        <v/>
      </c>
      <c r="W44">
        <f>20*LOG10(IMABS(V44))</f>
        <v/>
      </c>
      <c r="X44">
        <f>IMARGUMENT(V44)*180/Pi</f>
        <v/>
      </c>
      <c r="Z44">
        <f>IMDIV(Q44,T44)</f>
        <v/>
      </c>
      <c r="AA44">
        <f>20*LOG10(IMABS(Z44))</f>
        <v/>
      </c>
      <c r="AB44">
        <f>IMARGUMENT(Z44)*180/Pi</f>
        <v/>
      </c>
      <c r="AD44" s="30">
        <f>IMPRODUCT((RdampCom*CdampCom+RdampCom*CinjCom),C44)</f>
        <v/>
      </c>
      <c r="AE44" s="30">
        <f>IMSUM(1,AD44)</f>
        <v/>
      </c>
      <c r="AF44" s="30">
        <f>IMPRODUCT(G44,L_infilterStd*RdampSel*CinjSel*CdampSel,E44)</f>
        <v/>
      </c>
      <c r="AG44">
        <f>IMPRODUCT(G44,LAEFCom*CinjCom,D44)</f>
        <v/>
      </c>
      <c r="AH44">
        <f>AE44</f>
        <v/>
      </c>
      <c r="AI44" s="299">
        <f>IMSUM(AF44:AH44)</f>
        <v/>
      </c>
      <c r="AK44">
        <f>IMDIV(AE44,AI44)</f>
        <v/>
      </c>
      <c r="AM44">
        <f>20*LOG10(IMABS(AK44))</f>
        <v/>
      </c>
      <c r="AN44">
        <f>IMARGUMENT(AK44)*180/Pi</f>
        <v/>
      </c>
    </row>
    <row r="45">
      <c r="A45" s="335" t="n">
        <v>6000</v>
      </c>
      <c r="B45" s="352">
        <f>A45/1000</f>
        <v/>
      </c>
      <c r="C45">
        <f>COMPLEX(0,2*Pi*A45)</f>
        <v/>
      </c>
      <c r="D45" s="30">
        <f>COMPLEX(-POWER(2*Pi*A45,2),0)</f>
        <v/>
      </c>
      <c r="E45" s="30">
        <f>COMPLEX(0,-POWER(2*Pi*A45,3))</f>
        <v/>
      </c>
      <c r="G45" s="30">
        <f>IMSUM(IMPRODUCT(C45,Rcomp_AEF*Csen_AEF),Csen_AEF/Ccomp_AEF)</f>
        <v/>
      </c>
      <c r="I45" s="30">
        <f>IMPRODUCT((RdampSel*CdampSel+RdampSel*CinjSel),C45)</f>
        <v/>
      </c>
      <c r="J45">
        <f>IMSUM(1,I45)</f>
        <v/>
      </c>
      <c r="L45" s="30">
        <f>IMPRODUCT(G45,L_infilterStd*RdampSel*CinjSel*CdampSel,E45)</f>
        <v/>
      </c>
      <c r="M45">
        <f>IMPRODUCT(G45,L_infilterStd*CinjSel,D45)</f>
        <v/>
      </c>
      <c r="N45">
        <f>J45</f>
        <v/>
      </c>
      <c r="O45" s="299">
        <f>IMSUM(L45:N45)</f>
        <v/>
      </c>
      <c r="P45" s="651" t="n">
        <v>0</v>
      </c>
      <c r="Q45" s="397">
        <f>IMSUM(IMPRODUCT(C45,RdampPssv*CdampPssv),1)</f>
        <v/>
      </c>
      <c r="R45" s="397">
        <f>IMPRODUCT(RdampPssv*CdampPssv*CfilterPssv*LinfilterPssv,E45)</f>
        <v/>
      </c>
      <c r="S45" s="397">
        <f>IMPRODUCT(D45,LinfilterPssv*(CfilterPssv+CdampPssv))</f>
        <v/>
      </c>
      <c r="T45" s="397">
        <f>IMSUM(S45,R45,Q45)</f>
        <v/>
      </c>
      <c r="U45" s="652" t="n">
        <v>1</v>
      </c>
      <c r="V45">
        <f>CHOOSE(INFILTER_TYPE,U45,IMDIV(J45,O45),IMDIV(Q45,T45))</f>
        <v/>
      </c>
      <c r="W45">
        <f>20*LOG10(IMABS(V45))</f>
        <v/>
      </c>
      <c r="X45">
        <f>IMARGUMENT(V45)*180/Pi</f>
        <v/>
      </c>
      <c r="Z45">
        <f>IMDIV(Q45,T45)</f>
        <v/>
      </c>
      <c r="AA45">
        <f>20*LOG10(IMABS(Z45))</f>
        <v/>
      </c>
      <c r="AB45">
        <f>IMARGUMENT(Z45)*180/Pi</f>
        <v/>
      </c>
      <c r="AD45" s="30">
        <f>IMPRODUCT((RdampCom*CdampCom+RdampCom*CinjCom),C45)</f>
        <v/>
      </c>
      <c r="AE45" s="30">
        <f>IMSUM(1,AD45)</f>
        <v/>
      </c>
      <c r="AF45" s="30">
        <f>IMPRODUCT(G45,L_infilterStd*RdampSel*CinjSel*CdampSel,E45)</f>
        <v/>
      </c>
      <c r="AG45">
        <f>IMPRODUCT(G45,LAEFCom*CinjCom,D45)</f>
        <v/>
      </c>
      <c r="AH45">
        <f>AE45</f>
        <v/>
      </c>
      <c r="AI45" s="299">
        <f>IMSUM(AF45:AH45)</f>
        <v/>
      </c>
      <c r="AK45">
        <f>IMDIV(AE45,AI45)</f>
        <v/>
      </c>
      <c r="AM45">
        <f>20*LOG10(IMABS(AK45))</f>
        <v/>
      </c>
      <c r="AN45">
        <f>IMARGUMENT(AK45)*180/Pi</f>
        <v/>
      </c>
    </row>
    <row r="46">
      <c r="A46" s="335" t="n">
        <v>7000</v>
      </c>
      <c r="B46" s="352">
        <f>A46/1000</f>
        <v/>
      </c>
      <c r="C46">
        <f>COMPLEX(0,2*Pi*A46)</f>
        <v/>
      </c>
      <c r="D46" s="30">
        <f>COMPLEX(-POWER(2*Pi*A46,2),0)</f>
        <v/>
      </c>
      <c r="E46" s="30">
        <f>COMPLEX(0,-POWER(2*Pi*A46,3))</f>
        <v/>
      </c>
      <c r="G46" s="30">
        <f>IMSUM(IMPRODUCT(C46,Rcomp_AEF*Csen_AEF),Csen_AEF/Ccomp_AEF)</f>
        <v/>
      </c>
      <c r="I46" s="30">
        <f>IMPRODUCT((RdampSel*CdampSel+RdampSel*CinjSel),C46)</f>
        <v/>
      </c>
      <c r="J46">
        <f>IMSUM(1,I46)</f>
        <v/>
      </c>
      <c r="L46" s="30">
        <f>IMPRODUCT(G46,L_infilterStd*RdampSel*CinjSel*CdampSel,E46)</f>
        <v/>
      </c>
      <c r="M46">
        <f>IMPRODUCT(G46,L_infilterStd*CinjSel,D46)</f>
        <v/>
      </c>
      <c r="N46">
        <f>J46</f>
        <v/>
      </c>
      <c r="O46" s="299">
        <f>IMSUM(L46:N46)</f>
        <v/>
      </c>
      <c r="P46" s="651" t="n">
        <v>0</v>
      </c>
      <c r="Q46" s="397">
        <f>IMSUM(IMPRODUCT(C46,RdampPssv*CdampPssv),1)</f>
        <v/>
      </c>
      <c r="R46" s="397">
        <f>IMPRODUCT(RdampPssv*CdampPssv*CfilterPssv*LinfilterPssv,E46)</f>
        <v/>
      </c>
      <c r="S46" s="397">
        <f>IMPRODUCT(D46,LinfilterPssv*(CfilterPssv+CdampPssv))</f>
        <v/>
      </c>
      <c r="T46" s="397">
        <f>IMSUM(S46,R46,Q46)</f>
        <v/>
      </c>
      <c r="U46" s="652" t="n">
        <v>1</v>
      </c>
      <c r="V46">
        <f>CHOOSE(INFILTER_TYPE,U46,IMDIV(J46,O46),IMDIV(Q46,T46))</f>
        <v/>
      </c>
      <c r="W46">
        <f>20*LOG10(IMABS(V46))</f>
        <v/>
      </c>
      <c r="X46">
        <f>IMARGUMENT(V46)*180/Pi</f>
        <v/>
      </c>
      <c r="Z46">
        <f>IMDIV(Q46,T46)</f>
        <v/>
      </c>
      <c r="AA46">
        <f>20*LOG10(IMABS(Z46))</f>
        <v/>
      </c>
      <c r="AB46">
        <f>IMARGUMENT(Z46)*180/Pi</f>
        <v/>
      </c>
      <c r="AD46" s="30">
        <f>IMPRODUCT((RdampCom*CdampCom+RdampCom*CinjCom),C46)</f>
        <v/>
      </c>
      <c r="AE46" s="30">
        <f>IMSUM(1,AD46)</f>
        <v/>
      </c>
      <c r="AF46" s="30">
        <f>IMPRODUCT(G46,L_infilterStd*RdampSel*CinjSel*CdampSel,E46)</f>
        <v/>
      </c>
      <c r="AG46">
        <f>IMPRODUCT(G46,LAEFCom*CinjCom,D46)</f>
        <v/>
      </c>
      <c r="AH46">
        <f>AE46</f>
        <v/>
      </c>
      <c r="AI46" s="299">
        <f>IMSUM(AF46:AH46)</f>
        <v/>
      </c>
      <c r="AK46">
        <f>IMDIV(AE46,AI46)</f>
        <v/>
      </c>
      <c r="AM46">
        <f>20*LOG10(IMABS(AK46))</f>
        <v/>
      </c>
      <c r="AN46">
        <f>IMARGUMENT(AK46)*180/Pi</f>
        <v/>
      </c>
    </row>
    <row r="47">
      <c r="A47" s="335" t="n">
        <v>8000</v>
      </c>
      <c r="B47" s="352">
        <f>A47/1000</f>
        <v/>
      </c>
      <c r="C47">
        <f>COMPLEX(0,2*Pi*A47)</f>
        <v/>
      </c>
      <c r="D47" s="30">
        <f>COMPLEX(-POWER(2*Pi*A47,2),0)</f>
        <v/>
      </c>
      <c r="E47" s="30">
        <f>COMPLEX(0,-POWER(2*Pi*A47,3))</f>
        <v/>
      </c>
      <c r="G47" s="30">
        <f>IMSUM(IMPRODUCT(C47,Rcomp_AEF*Csen_AEF),Csen_AEF/Ccomp_AEF)</f>
        <v/>
      </c>
      <c r="I47" s="30">
        <f>IMPRODUCT((RdampSel*CdampSel+RdampSel*CinjSel),C47)</f>
        <v/>
      </c>
      <c r="J47">
        <f>IMSUM(1,I47)</f>
        <v/>
      </c>
      <c r="L47" s="30">
        <f>IMPRODUCT(G47,L_infilterStd*RdampSel*CinjSel*CdampSel,E47)</f>
        <v/>
      </c>
      <c r="M47">
        <f>IMPRODUCT(G47,L_infilterStd*CinjSel,D47)</f>
        <v/>
      </c>
      <c r="N47">
        <f>J47</f>
        <v/>
      </c>
      <c r="O47" s="299">
        <f>IMSUM(L47:N47)</f>
        <v/>
      </c>
      <c r="P47" s="651" t="n">
        <v>0</v>
      </c>
      <c r="Q47" s="397">
        <f>IMSUM(IMPRODUCT(C47,RdampPssv*CdampPssv),1)</f>
        <v/>
      </c>
      <c r="R47" s="397">
        <f>IMPRODUCT(RdampPssv*CdampPssv*CfilterPssv*LinfilterPssv,E47)</f>
        <v/>
      </c>
      <c r="S47" s="397">
        <f>IMPRODUCT(D47,LinfilterPssv*(CfilterPssv+CdampPssv))</f>
        <v/>
      </c>
      <c r="T47" s="397">
        <f>IMSUM(S47,R47,Q47)</f>
        <v/>
      </c>
      <c r="U47" s="652" t="n">
        <v>1</v>
      </c>
      <c r="V47">
        <f>CHOOSE(INFILTER_TYPE,U47,IMDIV(J47,O47),IMDIV(Q47,T47))</f>
        <v/>
      </c>
      <c r="W47">
        <f>20*LOG10(IMABS(V47))</f>
        <v/>
      </c>
      <c r="X47">
        <f>IMARGUMENT(V47)*180/Pi</f>
        <v/>
      </c>
      <c r="Z47">
        <f>IMDIV(Q47,T47)</f>
        <v/>
      </c>
      <c r="AA47">
        <f>20*LOG10(IMABS(Z47))</f>
        <v/>
      </c>
      <c r="AB47">
        <f>IMARGUMENT(Z47)*180/Pi</f>
        <v/>
      </c>
      <c r="AD47" s="30">
        <f>IMPRODUCT((RdampCom*CdampCom+RdampCom*CinjCom),C47)</f>
        <v/>
      </c>
      <c r="AE47" s="30">
        <f>IMSUM(1,AD47)</f>
        <v/>
      </c>
      <c r="AF47" s="30">
        <f>IMPRODUCT(G47,L_infilterStd*RdampSel*CinjSel*CdampSel,E47)</f>
        <v/>
      </c>
      <c r="AG47">
        <f>IMPRODUCT(G47,LAEFCom*CinjCom,D47)</f>
        <v/>
      </c>
      <c r="AH47">
        <f>AE47</f>
        <v/>
      </c>
      <c r="AI47" s="299">
        <f>IMSUM(AF47:AH47)</f>
        <v/>
      </c>
      <c r="AK47">
        <f>IMDIV(AE47,AI47)</f>
        <v/>
      </c>
      <c r="AM47">
        <f>20*LOG10(IMABS(AK47))</f>
        <v/>
      </c>
      <c r="AN47">
        <f>IMARGUMENT(AK47)*180/Pi</f>
        <v/>
      </c>
    </row>
    <row r="48">
      <c r="A48" s="335" t="n">
        <v>9000</v>
      </c>
      <c r="B48" s="352">
        <f>A48/1000</f>
        <v/>
      </c>
      <c r="C48">
        <f>COMPLEX(0,2*Pi*A48)</f>
        <v/>
      </c>
      <c r="D48" s="30">
        <f>COMPLEX(-POWER(2*Pi*A48,2),0)</f>
        <v/>
      </c>
      <c r="E48" s="30">
        <f>COMPLEX(0,-POWER(2*Pi*A48,3))</f>
        <v/>
      </c>
      <c r="G48" s="30">
        <f>IMSUM(IMPRODUCT(C48,Rcomp_AEF*Csen_AEF),Csen_AEF/Ccomp_AEF)</f>
        <v/>
      </c>
      <c r="I48" s="30">
        <f>IMPRODUCT((RdampSel*CdampSel+RdampSel*CinjSel),C48)</f>
        <v/>
      </c>
      <c r="J48">
        <f>IMSUM(1,I48)</f>
        <v/>
      </c>
      <c r="L48" s="30">
        <f>IMPRODUCT(G48,L_infilterStd*RdampSel*CinjSel*CdampSel,E48)</f>
        <v/>
      </c>
      <c r="M48">
        <f>IMPRODUCT(G48,L_infilterStd*CinjSel,D48)</f>
        <v/>
      </c>
      <c r="N48">
        <f>J48</f>
        <v/>
      </c>
      <c r="O48" s="299">
        <f>IMSUM(L48:N48)</f>
        <v/>
      </c>
      <c r="P48" s="651" t="n">
        <v>0</v>
      </c>
      <c r="Q48" s="397">
        <f>IMSUM(IMPRODUCT(C48,RdampPssv*CdampPssv),1)</f>
        <v/>
      </c>
      <c r="R48" s="397">
        <f>IMPRODUCT(RdampPssv*CdampPssv*CfilterPssv*LinfilterPssv,E48)</f>
        <v/>
      </c>
      <c r="S48" s="397">
        <f>IMPRODUCT(D48,LinfilterPssv*(CfilterPssv+CdampPssv))</f>
        <v/>
      </c>
      <c r="T48" s="397">
        <f>IMSUM(S48,R48,Q48)</f>
        <v/>
      </c>
      <c r="U48" s="652" t="n">
        <v>1</v>
      </c>
      <c r="V48">
        <f>CHOOSE(INFILTER_TYPE,U48,IMDIV(J48,O48),IMDIV(Q48,T48))</f>
        <v/>
      </c>
      <c r="W48">
        <f>20*LOG10(IMABS(V48))</f>
        <v/>
      </c>
      <c r="X48">
        <f>IMARGUMENT(V48)*180/Pi</f>
        <v/>
      </c>
      <c r="Z48">
        <f>IMDIV(Q48,T48)</f>
        <v/>
      </c>
      <c r="AA48">
        <f>20*LOG10(IMABS(Z48))</f>
        <v/>
      </c>
      <c r="AB48">
        <f>IMARGUMENT(Z48)*180/Pi</f>
        <v/>
      </c>
      <c r="AD48" s="30">
        <f>IMPRODUCT((RdampCom*CdampCom+RdampCom*CinjCom),C48)</f>
        <v/>
      </c>
      <c r="AE48" s="30">
        <f>IMSUM(1,AD48)</f>
        <v/>
      </c>
      <c r="AF48" s="30">
        <f>IMPRODUCT(G48,L_infilterStd*RdampSel*CinjSel*CdampSel,E48)</f>
        <v/>
      </c>
      <c r="AG48">
        <f>IMPRODUCT(G48,LAEFCom*CinjCom,D48)</f>
        <v/>
      </c>
      <c r="AH48">
        <f>AE48</f>
        <v/>
      </c>
      <c r="AI48" s="299">
        <f>IMSUM(AF48:AH48)</f>
        <v/>
      </c>
      <c r="AK48">
        <f>IMDIV(AE48,AI48)</f>
        <v/>
      </c>
      <c r="AM48">
        <f>20*LOG10(IMABS(AK48))</f>
        <v/>
      </c>
      <c r="AN48">
        <f>IMARGUMENT(AK48)*180/Pi</f>
        <v/>
      </c>
    </row>
    <row r="49">
      <c r="A49" s="335" t="n">
        <v>10000</v>
      </c>
      <c r="B49" s="352">
        <f>A49/1000</f>
        <v/>
      </c>
      <c r="C49">
        <f>COMPLEX(0,2*Pi*A49)</f>
        <v/>
      </c>
      <c r="D49" s="30">
        <f>COMPLEX(-POWER(2*Pi*A49,2),0)</f>
        <v/>
      </c>
      <c r="E49" s="30">
        <f>COMPLEX(0,-POWER(2*Pi*A49,3))</f>
        <v/>
      </c>
      <c r="G49" s="30">
        <f>IMSUM(IMPRODUCT(C49,Rcomp_AEF*Csen_AEF),Csen_AEF/Ccomp_AEF)</f>
        <v/>
      </c>
      <c r="I49" s="30">
        <f>IMPRODUCT((RdampSel*CdampSel+RdampSel*CinjSel),C49)</f>
        <v/>
      </c>
      <c r="J49">
        <f>IMSUM(1,I49)</f>
        <v/>
      </c>
      <c r="L49" s="30">
        <f>IMPRODUCT(G49,L_infilterStd*RdampSel*CinjSel*CdampSel,E49)</f>
        <v/>
      </c>
      <c r="M49">
        <f>IMPRODUCT(G49,L_infilterStd*CinjSel,D49)</f>
        <v/>
      </c>
      <c r="N49">
        <f>J49</f>
        <v/>
      </c>
      <c r="O49" s="299">
        <f>IMSUM(L49:N49)</f>
        <v/>
      </c>
      <c r="P49" s="651" t="n">
        <v>0</v>
      </c>
      <c r="Q49" s="397">
        <f>IMSUM(IMPRODUCT(C49,RdampPssv*CdampPssv),1)</f>
        <v/>
      </c>
      <c r="R49" s="397">
        <f>IMPRODUCT(RdampPssv*CdampPssv*CfilterPssv*LinfilterPssv,E49)</f>
        <v/>
      </c>
      <c r="S49" s="397">
        <f>IMPRODUCT(D49,LinfilterPssv*(CfilterPssv+CdampPssv))</f>
        <v/>
      </c>
      <c r="T49" s="397">
        <f>IMSUM(S49,R49,Q49)</f>
        <v/>
      </c>
      <c r="U49" s="652" t="n">
        <v>1</v>
      </c>
      <c r="V49">
        <f>CHOOSE(INFILTER_TYPE,U49,IMDIV(J49,O49),IMDIV(Q49,T49))</f>
        <v/>
      </c>
      <c r="W49">
        <f>20*LOG10(IMABS(V49))</f>
        <v/>
      </c>
      <c r="X49">
        <f>IMARGUMENT(V49)*180/Pi</f>
        <v/>
      </c>
      <c r="Z49">
        <f>IMDIV(Q49,T49)</f>
        <v/>
      </c>
      <c r="AA49">
        <f>20*LOG10(IMABS(Z49))</f>
        <v/>
      </c>
      <c r="AB49">
        <f>IMARGUMENT(Z49)*180/Pi</f>
        <v/>
      </c>
      <c r="AD49" s="30">
        <f>IMPRODUCT((RdampCom*CdampCom+RdampCom*CinjCom),C49)</f>
        <v/>
      </c>
      <c r="AE49" s="30">
        <f>IMSUM(1,AD49)</f>
        <v/>
      </c>
      <c r="AF49" s="30">
        <f>IMPRODUCT(G49,L_infilterStd*RdampSel*CinjSel*CdampSel,E49)</f>
        <v/>
      </c>
      <c r="AG49">
        <f>IMPRODUCT(G49,LAEFCom*CinjCom,D49)</f>
        <v/>
      </c>
      <c r="AH49">
        <f>AE49</f>
        <v/>
      </c>
      <c r="AI49" s="299">
        <f>IMSUM(AF49:AH49)</f>
        <v/>
      </c>
      <c r="AK49">
        <f>IMDIV(AE49,AI49)</f>
        <v/>
      </c>
      <c r="AM49">
        <f>20*LOG10(IMABS(AK49))</f>
        <v/>
      </c>
      <c r="AN49">
        <f>IMARGUMENT(AK49)*180/Pi</f>
        <v/>
      </c>
    </row>
    <row r="50">
      <c r="A50" s="335" t="n">
        <v>11000</v>
      </c>
      <c r="B50" s="352">
        <f>A50/1000</f>
        <v/>
      </c>
      <c r="C50">
        <f>COMPLEX(0,2*Pi*A50)</f>
        <v/>
      </c>
      <c r="D50" s="30">
        <f>COMPLEX(-POWER(2*Pi*A50,2),0)</f>
        <v/>
      </c>
      <c r="E50" s="30">
        <f>COMPLEX(0,-POWER(2*Pi*A50,3))</f>
        <v/>
      </c>
      <c r="G50" s="30">
        <f>IMSUM(IMPRODUCT(C50,Rcomp_AEF*Csen_AEF),Csen_AEF/Ccomp_AEF)</f>
        <v/>
      </c>
      <c r="I50" s="30">
        <f>IMPRODUCT((RdampSel*CdampSel+RdampSel*CinjSel),C50)</f>
        <v/>
      </c>
      <c r="J50">
        <f>IMSUM(1,I50)</f>
        <v/>
      </c>
      <c r="L50" s="30">
        <f>IMPRODUCT(G50,L_infilterStd*RdampSel*CinjSel*CdampSel,E50)</f>
        <v/>
      </c>
      <c r="M50">
        <f>IMPRODUCT(G50,L_infilterStd*CinjSel,D50)</f>
        <v/>
      </c>
      <c r="N50">
        <f>J50</f>
        <v/>
      </c>
      <c r="O50" s="299">
        <f>IMSUM(L50:N50)</f>
        <v/>
      </c>
      <c r="P50" s="651" t="n">
        <v>0</v>
      </c>
      <c r="Q50" s="397">
        <f>IMSUM(IMPRODUCT(C50,RdampPssv*CdampPssv),1)</f>
        <v/>
      </c>
      <c r="R50" s="397">
        <f>IMPRODUCT(RdampPssv*CdampPssv*CfilterPssv*LinfilterPssv,E50)</f>
        <v/>
      </c>
      <c r="S50" s="397">
        <f>IMPRODUCT(D50,LinfilterPssv*(CfilterPssv+CdampPssv))</f>
        <v/>
      </c>
      <c r="T50" s="397">
        <f>IMSUM(S50,R50,Q50)</f>
        <v/>
      </c>
      <c r="U50" s="652" t="n">
        <v>1</v>
      </c>
      <c r="V50">
        <f>CHOOSE(INFILTER_TYPE,U50,IMDIV(J50,O50),IMDIV(Q50,T50))</f>
        <v/>
      </c>
      <c r="W50">
        <f>20*LOG10(IMABS(V50))</f>
        <v/>
      </c>
      <c r="X50">
        <f>IMARGUMENT(V50)*180/Pi</f>
        <v/>
      </c>
      <c r="Z50">
        <f>IMDIV(Q50,T50)</f>
        <v/>
      </c>
      <c r="AA50">
        <f>20*LOG10(IMABS(Z50))</f>
        <v/>
      </c>
      <c r="AB50">
        <f>IMARGUMENT(Z50)*180/Pi</f>
        <v/>
      </c>
      <c r="AD50" s="30">
        <f>IMPRODUCT((RdampCom*CdampCom+RdampCom*CinjCom),C50)</f>
        <v/>
      </c>
      <c r="AE50" s="30">
        <f>IMSUM(1,AD50)</f>
        <v/>
      </c>
      <c r="AF50" s="30">
        <f>IMPRODUCT(G50,L_infilterStd*RdampSel*CinjSel*CdampSel,E50)</f>
        <v/>
      </c>
      <c r="AG50">
        <f>IMPRODUCT(G50,LAEFCom*CinjCom,D50)</f>
        <v/>
      </c>
      <c r="AH50">
        <f>AE50</f>
        <v/>
      </c>
      <c r="AI50" s="299">
        <f>IMSUM(AF50:AH50)</f>
        <v/>
      </c>
      <c r="AK50">
        <f>IMDIV(AE50,AI50)</f>
        <v/>
      </c>
      <c r="AM50">
        <f>20*LOG10(IMABS(AK50))</f>
        <v/>
      </c>
      <c r="AN50">
        <f>IMARGUMENT(AK50)*180/Pi</f>
        <v/>
      </c>
    </row>
    <row r="51">
      <c r="A51" s="335" t="n">
        <v>12000</v>
      </c>
      <c r="B51" s="352">
        <f>A51/1000</f>
        <v/>
      </c>
      <c r="C51">
        <f>COMPLEX(0,2*Pi*A51)</f>
        <v/>
      </c>
      <c r="D51" s="30">
        <f>COMPLEX(-POWER(2*Pi*A51,2),0)</f>
        <v/>
      </c>
      <c r="E51" s="30">
        <f>COMPLEX(0,-POWER(2*Pi*A51,3))</f>
        <v/>
      </c>
      <c r="G51" s="30">
        <f>IMSUM(IMPRODUCT(C51,Rcomp_AEF*Csen_AEF),Csen_AEF/Ccomp_AEF)</f>
        <v/>
      </c>
      <c r="I51" s="30">
        <f>IMPRODUCT((RdampSel*CdampSel+RdampSel*CinjSel),C51)</f>
        <v/>
      </c>
      <c r="J51">
        <f>IMSUM(1,I51)</f>
        <v/>
      </c>
      <c r="L51" s="30">
        <f>IMPRODUCT(G51,L_infilterStd*RdampSel*CinjSel*CdampSel,E51)</f>
        <v/>
      </c>
      <c r="M51">
        <f>IMPRODUCT(G51,L_infilterStd*CinjSel,D51)</f>
        <v/>
      </c>
      <c r="N51">
        <f>J51</f>
        <v/>
      </c>
      <c r="O51" s="299">
        <f>IMSUM(L51:N51)</f>
        <v/>
      </c>
      <c r="P51" s="651" t="n">
        <v>0</v>
      </c>
      <c r="Q51" s="397">
        <f>IMSUM(IMPRODUCT(C51,RdampPssv*CdampPssv),1)</f>
        <v/>
      </c>
      <c r="R51" s="397">
        <f>IMPRODUCT(RdampPssv*CdampPssv*CfilterPssv*LinfilterPssv,E51)</f>
        <v/>
      </c>
      <c r="S51" s="397">
        <f>IMPRODUCT(D51,LinfilterPssv*(CfilterPssv+CdampPssv))</f>
        <v/>
      </c>
      <c r="T51" s="397">
        <f>IMSUM(S51,R51,Q51)</f>
        <v/>
      </c>
      <c r="U51" s="652" t="n">
        <v>1</v>
      </c>
      <c r="V51">
        <f>CHOOSE(INFILTER_TYPE,U51,IMDIV(J51,O51),IMDIV(Q51,T51))</f>
        <v/>
      </c>
      <c r="W51">
        <f>20*LOG10(IMABS(V51))</f>
        <v/>
      </c>
      <c r="X51">
        <f>IMARGUMENT(V51)*180/Pi</f>
        <v/>
      </c>
      <c r="Z51">
        <f>IMDIV(Q51,T51)</f>
        <v/>
      </c>
      <c r="AA51">
        <f>20*LOG10(IMABS(Z51))</f>
        <v/>
      </c>
      <c r="AB51">
        <f>IMARGUMENT(Z51)*180/Pi</f>
        <v/>
      </c>
      <c r="AD51" s="30">
        <f>IMPRODUCT((RdampCom*CdampCom+RdampCom*CinjCom),C51)</f>
        <v/>
      </c>
      <c r="AE51" s="30">
        <f>IMSUM(1,AD51)</f>
        <v/>
      </c>
      <c r="AF51" s="30">
        <f>IMPRODUCT(G51,L_infilterStd*RdampSel*CinjSel*CdampSel,E51)</f>
        <v/>
      </c>
      <c r="AG51">
        <f>IMPRODUCT(G51,LAEFCom*CinjCom,D51)</f>
        <v/>
      </c>
      <c r="AH51">
        <f>AE51</f>
        <v/>
      </c>
      <c r="AI51" s="299">
        <f>IMSUM(AF51:AH51)</f>
        <v/>
      </c>
      <c r="AK51">
        <f>IMDIV(AE51,AI51)</f>
        <v/>
      </c>
      <c r="AM51">
        <f>20*LOG10(IMABS(AK51))</f>
        <v/>
      </c>
      <c r="AN51">
        <f>IMARGUMENT(AK51)*180/Pi</f>
        <v/>
      </c>
    </row>
    <row r="52">
      <c r="A52" s="335" t="n">
        <v>13000</v>
      </c>
      <c r="B52" s="352">
        <f>A52/1000</f>
        <v/>
      </c>
      <c r="C52">
        <f>COMPLEX(0,2*Pi*A52)</f>
        <v/>
      </c>
      <c r="D52" s="30">
        <f>COMPLEX(-POWER(2*Pi*A52,2),0)</f>
        <v/>
      </c>
      <c r="E52" s="30">
        <f>COMPLEX(0,-POWER(2*Pi*A52,3))</f>
        <v/>
      </c>
      <c r="G52" s="30">
        <f>IMSUM(IMPRODUCT(C52,Rcomp_AEF*Csen_AEF),Csen_AEF/Ccomp_AEF)</f>
        <v/>
      </c>
      <c r="I52" s="30">
        <f>IMPRODUCT((RdampSel*CdampSel+RdampSel*CinjSel),C52)</f>
        <v/>
      </c>
      <c r="J52">
        <f>IMSUM(1,I52)</f>
        <v/>
      </c>
      <c r="L52" s="30">
        <f>IMPRODUCT(G52,L_infilterStd*RdampSel*CinjSel*CdampSel,E52)</f>
        <v/>
      </c>
      <c r="M52">
        <f>IMPRODUCT(G52,L_infilterStd*CinjSel,D52)</f>
        <v/>
      </c>
      <c r="N52">
        <f>J52</f>
        <v/>
      </c>
      <c r="O52" s="299">
        <f>IMSUM(L52:N52)</f>
        <v/>
      </c>
      <c r="P52" s="651" t="n">
        <v>0</v>
      </c>
      <c r="Q52" s="397">
        <f>IMSUM(IMPRODUCT(C52,RdampPssv*CdampPssv),1)</f>
        <v/>
      </c>
      <c r="R52" s="397">
        <f>IMPRODUCT(RdampPssv*CdampPssv*CfilterPssv*LinfilterPssv,E52)</f>
        <v/>
      </c>
      <c r="S52" s="397">
        <f>IMPRODUCT(D52,LinfilterPssv*(CfilterPssv+CdampPssv))</f>
        <v/>
      </c>
      <c r="T52" s="397">
        <f>IMSUM(S52,R52,Q52)</f>
        <v/>
      </c>
      <c r="U52" s="652" t="n">
        <v>1</v>
      </c>
      <c r="V52">
        <f>CHOOSE(INFILTER_TYPE,U52,IMDIV(J52,O52),IMDIV(Q52,T52))</f>
        <v/>
      </c>
      <c r="W52">
        <f>20*LOG10(IMABS(V52))</f>
        <v/>
      </c>
      <c r="X52">
        <f>IMARGUMENT(V52)*180/Pi</f>
        <v/>
      </c>
      <c r="Z52">
        <f>IMDIV(Q52,T52)</f>
        <v/>
      </c>
      <c r="AA52">
        <f>20*LOG10(IMABS(Z52))</f>
        <v/>
      </c>
      <c r="AB52">
        <f>IMARGUMENT(Z52)*180/Pi</f>
        <v/>
      </c>
      <c r="AD52" s="30">
        <f>IMPRODUCT((RdampCom*CdampCom+RdampCom*CinjCom),C52)</f>
        <v/>
      </c>
      <c r="AE52" s="30">
        <f>IMSUM(1,AD52)</f>
        <v/>
      </c>
      <c r="AF52" s="30">
        <f>IMPRODUCT(G52,L_infilterStd*RdampSel*CinjSel*CdampSel,E52)</f>
        <v/>
      </c>
      <c r="AG52">
        <f>IMPRODUCT(G52,LAEFCom*CinjCom,D52)</f>
        <v/>
      </c>
      <c r="AH52">
        <f>AE52</f>
        <v/>
      </c>
      <c r="AI52" s="299">
        <f>IMSUM(AF52:AH52)</f>
        <v/>
      </c>
      <c r="AK52">
        <f>IMDIV(AE52,AI52)</f>
        <v/>
      </c>
      <c r="AM52">
        <f>20*LOG10(IMABS(AK52))</f>
        <v/>
      </c>
      <c r="AN52">
        <f>IMARGUMENT(AK52)*180/Pi</f>
        <v/>
      </c>
    </row>
    <row r="53">
      <c r="A53" s="335" t="n">
        <v>15000</v>
      </c>
      <c r="B53" s="352">
        <f>A53/1000</f>
        <v/>
      </c>
      <c r="C53">
        <f>COMPLEX(0,2*Pi*A53)</f>
        <v/>
      </c>
      <c r="D53" s="30">
        <f>COMPLEX(-POWER(2*Pi*A53,2),0)</f>
        <v/>
      </c>
      <c r="E53" s="30">
        <f>COMPLEX(0,-POWER(2*Pi*A53,3))</f>
        <v/>
      </c>
      <c r="G53" s="30">
        <f>IMSUM(IMPRODUCT(C53,Rcomp_AEF*Csen_AEF),Csen_AEF/Ccomp_AEF)</f>
        <v/>
      </c>
      <c r="I53" s="30">
        <f>IMPRODUCT((RdampSel*CdampSel+RdampSel*CinjSel),C53)</f>
        <v/>
      </c>
      <c r="J53">
        <f>IMSUM(1,I53)</f>
        <v/>
      </c>
      <c r="L53" s="30">
        <f>IMPRODUCT(G53,L_infilterStd*RdampSel*CinjSel*CdampSel,E53)</f>
        <v/>
      </c>
      <c r="M53">
        <f>IMPRODUCT(G53,L_infilterStd*CinjSel,D53)</f>
        <v/>
      </c>
      <c r="N53">
        <f>J53</f>
        <v/>
      </c>
      <c r="O53" s="299">
        <f>IMSUM(L53:N53)</f>
        <v/>
      </c>
      <c r="P53" s="651" t="n">
        <v>0</v>
      </c>
      <c r="Q53" s="397">
        <f>IMSUM(IMPRODUCT(C53,RdampPssv*CdampPssv),1)</f>
        <v/>
      </c>
      <c r="R53" s="397">
        <f>IMPRODUCT(RdampPssv*CdampPssv*CfilterPssv*LinfilterPssv,E53)</f>
        <v/>
      </c>
      <c r="S53" s="397">
        <f>IMPRODUCT(D53,LinfilterPssv*(CfilterPssv+CdampPssv))</f>
        <v/>
      </c>
      <c r="T53" s="397">
        <f>IMSUM(S53,R53,Q53)</f>
        <v/>
      </c>
      <c r="U53" s="652" t="n">
        <v>1</v>
      </c>
      <c r="V53">
        <f>CHOOSE(INFILTER_TYPE,U53,IMDIV(J53,O53),IMDIV(Q53,T53))</f>
        <v/>
      </c>
      <c r="W53">
        <f>20*LOG10(IMABS(V53))</f>
        <v/>
      </c>
      <c r="X53">
        <f>IMARGUMENT(V53)*180/Pi</f>
        <v/>
      </c>
      <c r="Z53">
        <f>IMDIV(Q53,T53)</f>
        <v/>
      </c>
      <c r="AA53">
        <f>20*LOG10(IMABS(Z53))</f>
        <v/>
      </c>
      <c r="AB53">
        <f>IMARGUMENT(Z53)*180/Pi</f>
        <v/>
      </c>
      <c r="AD53" s="30">
        <f>IMPRODUCT((RdampCom*CdampCom+RdampCom*CinjCom),C53)</f>
        <v/>
      </c>
      <c r="AE53" s="30">
        <f>IMSUM(1,AD53)</f>
        <v/>
      </c>
      <c r="AF53" s="30">
        <f>IMPRODUCT(G53,L_infilterStd*RdampSel*CinjSel*CdampSel,E53)</f>
        <v/>
      </c>
      <c r="AG53">
        <f>IMPRODUCT(G53,LAEFCom*CinjCom,D53)</f>
        <v/>
      </c>
      <c r="AH53">
        <f>AE53</f>
        <v/>
      </c>
      <c r="AI53" s="299">
        <f>IMSUM(AF53:AH53)</f>
        <v/>
      </c>
      <c r="AK53">
        <f>IMDIV(AE53,AI53)</f>
        <v/>
      </c>
      <c r="AM53">
        <f>20*LOG10(IMABS(AK53))</f>
        <v/>
      </c>
      <c r="AN53">
        <f>IMARGUMENT(AK53)*180/Pi</f>
        <v/>
      </c>
    </row>
    <row r="54">
      <c r="A54" s="335" t="n">
        <v>16000</v>
      </c>
      <c r="B54" s="352">
        <f>A54/1000</f>
        <v/>
      </c>
      <c r="C54">
        <f>COMPLEX(0,2*Pi*A54)</f>
        <v/>
      </c>
      <c r="D54" s="30">
        <f>COMPLEX(-POWER(2*Pi*A54,2),0)</f>
        <v/>
      </c>
      <c r="E54" s="30">
        <f>COMPLEX(0,-POWER(2*Pi*A54,3))</f>
        <v/>
      </c>
      <c r="G54" s="30">
        <f>IMSUM(IMPRODUCT(C54,Rcomp_AEF*Csen_AEF),Csen_AEF/Ccomp_AEF)</f>
        <v/>
      </c>
      <c r="I54" s="30">
        <f>IMPRODUCT((RdampSel*CdampSel+RdampSel*CinjSel),C54)</f>
        <v/>
      </c>
      <c r="J54">
        <f>IMSUM(1,I54)</f>
        <v/>
      </c>
      <c r="L54" s="30">
        <f>IMPRODUCT(G54,L_infilterStd*RdampSel*CinjSel*CdampSel,E54)</f>
        <v/>
      </c>
      <c r="M54">
        <f>IMPRODUCT(G54,L_infilterStd*CinjSel,D54)</f>
        <v/>
      </c>
      <c r="N54">
        <f>J54</f>
        <v/>
      </c>
      <c r="O54" s="299">
        <f>IMSUM(L54:N54)</f>
        <v/>
      </c>
      <c r="P54" s="651" t="n">
        <v>0</v>
      </c>
      <c r="Q54" s="397">
        <f>IMSUM(IMPRODUCT(C54,RdampPssv*CdampPssv),1)</f>
        <v/>
      </c>
      <c r="R54" s="397">
        <f>IMPRODUCT(RdampPssv*CdampPssv*CfilterPssv*LinfilterPssv,E54)</f>
        <v/>
      </c>
      <c r="S54" s="397">
        <f>IMPRODUCT(D54,LinfilterPssv*(CfilterPssv+CdampPssv))</f>
        <v/>
      </c>
      <c r="T54" s="397">
        <f>IMSUM(S54,R54,Q54)</f>
        <v/>
      </c>
      <c r="U54" s="652" t="n">
        <v>1</v>
      </c>
      <c r="V54">
        <f>CHOOSE(INFILTER_TYPE,U54,IMDIV(J54,O54),IMDIV(Q54,T54))</f>
        <v/>
      </c>
      <c r="W54">
        <f>20*LOG10(IMABS(V54))</f>
        <v/>
      </c>
      <c r="X54">
        <f>IMARGUMENT(V54)*180/Pi</f>
        <v/>
      </c>
      <c r="Z54">
        <f>IMDIV(Q54,T54)</f>
        <v/>
      </c>
      <c r="AA54">
        <f>20*LOG10(IMABS(Z54))</f>
        <v/>
      </c>
      <c r="AB54">
        <f>IMARGUMENT(Z54)*180/Pi</f>
        <v/>
      </c>
      <c r="AD54" s="30">
        <f>IMPRODUCT((RdampCom*CdampCom+RdampCom*CinjCom),C54)</f>
        <v/>
      </c>
      <c r="AE54" s="30">
        <f>IMSUM(1,AD54)</f>
        <v/>
      </c>
      <c r="AF54" s="30">
        <f>IMPRODUCT(G54,L_infilterStd*RdampSel*CinjSel*CdampSel,E54)</f>
        <v/>
      </c>
      <c r="AG54">
        <f>IMPRODUCT(G54,LAEFCom*CinjCom,D54)</f>
        <v/>
      </c>
      <c r="AH54">
        <f>AE54</f>
        <v/>
      </c>
      <c r="AI54" s="299">
        <f>IMSUM(AF54:AH54)</f>
        <v/>
      </c>
      <c r="AK54">
        <f>IMDIV(AE54,AI54)</f>
        <v/>
      </c>
      <c r="AM54">
        <f>20*LOG10(IMABS(AK54))</f>
        <v/>
      </c>
      <c r="AN54">
        <f>IMARGUMENT(AK54)*180/Pi</f>
        <v/>
      </c>
    </row>
    <row r="55">
      <c r="A55" s="335" t="n">
        <v>17500</v>
      </c>
      <c r="B55" s="352">
        <f>A55/1000</f>
        <v/>
      </c>
      <c r="C55">
        <f>COMPLEX(0,2*Pi*A55)</f>
        <v/>
      </c>
      <c r="D55" s="30">
        <f>COMPLEX(-POWER(2*Pi*A55,2),0)</f>
        <v/>
      </c>
      <c r="E55" s="30">
        <f>COMPLEX(0,-POWER(2*Pi*A55,3))</f>
        <v/>
      </c>
      <c r="G55" s="30">
        <f>IMSUM(IMPRODUCT(C55,Rcomp_AEF*Csen_AEF),Csen_AEF/Ccomp_AEF)</f>
        <v/>
      </c>
      <c r="I55" s="30">
        <f>IMPRODUCT((RdampSel*CdampSel+RdampSel*CinjSel),C55)</f>
        <v/>
      </c>
      <c r="J55">
        <f>IMSUM(1,I55)</f>
        <v/>
      </c>
      <c r="L55" s="30">
        <f>IMPRODUCT(G55,L_infilterStd*RdampSel*CinjSel*CdampSel,E55)</f>
        <v/>
      </c>
      <c r="M55">
        <f>IMPRODUCT(G55,L_infilterStd*CinjSel,D55)</f>
        <v/>
      </c>
      <c r="N55">
        <f>J55</f>
        <v/>
      </c>
      <c r="O55" s="299">
        <f>IMSUM(L55:N55)</f>
        <v/>
      </c>
      <c r="P55" s="651" t="n">
        <v>0</v>
      </c>
      <c r="Q55" s="397">
        <f>IMSUM(IMPRODUCT(C55,RdampPssv*CdampPssv),1)</f>
        <v/>
      </c>
      <c r="R55" s="397">
        <f>IMPRODUCT(RdampPssv*CdampPssv*CfilterPssv*LinfilterPssv,E55)</f>
        <v/>
      </c>
      <c r="S55" s="397">
        <f>IMPRODUCT(D55,LinfilterPssv*(CfilterPssv+CdampPssv))</f>
        <v/>
      </c>
      <c r="T55" s="397">
        <f>IMSUM(S55,R55,Q55)</f>
        <v/>
      </c>
      <c r="U55" s="652" t="n">
        <v>1</v>
      </c>
      <c r="V55">
        <f>CHOOSE(INFILTER_TYPE,U55,IMDIV(J55,O55),IMDIV(Q55,T55))</f>
        <v/>
      </c>
      <c r="W55">
        <f>20*LOG10(IMABS(V55))</f>
        <v/>
      </c>
      <c r="X55">
        <f>IMARGUMENT(V55)*180/Pi</f>
        <v/>
      </c>
      <c r="Z55">
        <f>IMDIV(Q55,T55)</f>
        <v/>
      </c>
      <c r="AA55">
        <f>20*LOG10(IMABS(Z55))</f>
        <v/>
      </c>
      <c r="AB55">
        <f>IMARGUMENT(Z55)*180/Pi</f>
        <v/>
      </c>
      <c r="AD55" s="30">
        <f>IMPRODUCT((RdampCom*CdampCom+RdampCom*CinjCom),C55)</f>
        <v/>
      </c>
      <c r="AE55" s="30">
        <f>IMSUM(1,AD55)</f>
        <v/>
      </c>
      <c r="AF55" s="30">
        <f>IMPRODUCT(G55,L_infilterStd*RdampSel*CinjSel*CdampSel,E55)</f>
        <v/>
      </c>
      <c r="AG55">
        <f>IMPRODUCT(G55,LAEFCom*CinjCom,D55)</f>
        <v/>
      </c>
      <c r="AH55">
        <f>AE55</f>
        <v/>
      </c>
      <c r="AI55" s="299">
        <f>IMSUM(AF55:AH55)</f>
        <v/>
      </c>
      <c r="AK55">
        <f>IMDIV(AE55,AI55)</f>
        <v/>
      </c>
      <c r="AM55">
        <f>20*LOG10(IMABS(AK55))</f>
        <v/>
      </c>
      <c r="AN55">
        <f>IMARGUMENT(AK55)*180/Pi</f>
        <v/>
      </c>
    </row>
    <row r="56">
      <c r="A56" s="335" t="n">
        <v>19000</v>
      </c>
      <c r="B56" s="352">
        <f>A56/1000</f>
        <v/>
      </c>
      <c r="C56">
        <f>COMPLEX(0,2*Pi*A56)</f>
        <v/>
      </c>
      <c r="D56" s="30">
        <f>COMPLEX(-POWER(2*Pi*A56,2),0)</f>
        <v/>
      </c>
      <c r="E56" s="30">
        <f>COMPLEX(0,-POWER(2*Pi*A56,3))</f>
        <v/>
      </c>
      <c r="G56" s="30">
        <f>IMSUM(IMPRODUCT(C56,Rcomp_AEF*Csen_AEF),Csen_AEF/Ccomp_AEF)</f>
        <v/>
      </c>
      <c r="I56" s="30">
        <f>IMPRODUCT((RdampSel*CdampSel+RdampSel*CinjSel),C56)</f>
        <v/>
      </c>
      <c r="J56">
        <f>IMSUM(1,I56)</f>
        <v/>
      </c>
      <c r="L56" s="30">
        <f>IMPRODUCT(G56,L_infilterStd*RdampSel*CinjSel*CdampSel,E56)</f>
        <v/>
      </c>
      <c r="M56">
        <f>IMPRODUCT(G56,L_infilterStd*CinjSel,D56)</f>
        <v/>
      </c>
      <c r="N56">
        <f>J56</f>
        <v/>
      </c>
      <c r="O56" s="299">
        <f>IMSUM(L56:N56)</f>
        <v/>
      </c>
      <c r="P56" s="651" t="n">
        <v>0</v>
      </c>
      <c r="Q56" s="397">
        <f>IMSUM(IMPRODUCT(C56,RdampPssv*CdampPssv),1)</f>
        <v/>
      </c>
      <c r="R56" s="397">
        <f>IMPRODUCT(RdampPssv*CdampPssv*CfilterPssv*LinfilterPssv,E56)</f>
        <v/>
      </c>
      <c r="S56" s="397">
        <f>IMPRODUCT(D56,LinfilterPssv*(CfilterPssv+CdampPssv))</f>
        <v/>
      </c>
      <c r="T56" s="397">
        <f>IMSUM(S56,R56,Q56)</f>
        <v/>
      </c>
      <c r="U56" s="652" t="n">
        <v>1</v>
      </c>
      <c r="V56">
        <f>CHOOSE(INFILTER_TYPE,U56,IMDIV(J56,O56),IMDIV(Q56,T56))</f>
        <v/>
      </c>
      <c r="W56">
        <f>20*LOG10(IMABS(V56))</f>
        <v/>
      </c>
      <c r="X56">
        <f>IMARGUMENT(V56)*180/Pi</f>
        <v/>
      </c>
      <c r="Z56">
        <f>IMDIV(Q56,T56)</f>
        <v/>
      </c>
      <c r="AA56">
        <f>20*LOG10(IMABS(Z56))</f>
        <v/>
      </c>
      <c r="AB56">
        <f>IMARGUMENT(Z56)*180/Pi</f>
        <v/>
      </c>
      <c r="AD56" s="30">
        <f>IMPRODUCT((RdampCom*CdampCom+RdampCom*CinjCom),C56)</f>
        <v/>
      </c>
      <c r="AE56" s="30">
        <f>IMSUM(1,AD56)</f>
        <v/>
      </c>
      <c r="AF56" s="30">
        <f>IMPRODUCT(G56,L_infilterStd*RdampSel*CinjSel*CdampSel,E56)</f>
        <v/>
      </c>
      <c r="AG56">
        <f>IMPRODUCT(G56,LAEFCom*CinjCom,D56)</f>
        <v/>
      </c>
      <c r="AH56">
        <f>AE56</f>
        <v/>
      </c>
      <c r="AI56" s="299">
        <f>IMSUM(AF56:AH56)</f>
        <v/>
      </c>
      <c r="AK56">
        <f>IMDIV(AE56,AI56)</f>
        <v/>
      </c>
      <c r="AM56">
        <f>20*LOG10(IMABS(AK56))</f>
        <v/>
      </c>
      <c r="AN56">
        <f>IMARGUMENT(AK56)*180/Pi</f>
        <v/>
      </c>
    </row>
    <row r="57">
      <c r="A57" s="335" t="n">
        <v>20000</v>
      </c>
      <c r="B57" s="352">
        <f>A57/1000</f>
        <v/>
      </c>
      <c r="C57">
        <f>COMPLEX(0,2*Pi*A57)</f>
        <v/>
      </c>
      <c r="D57" s="30">
        <f>COMPLEX(-POWER(2*Pi*A57,2),0)</f>
        <v/>
      </c>
      <c r="E57" s="30">
        <f>COMPLEX(0,-POWER(2*Pi*A57,3))</f>
        <v/>
      </c>
      <c r="G57" s="30">
        <f>IMSUM(IMPRODUCT(C57,Rcomp_AEF*Csen_AEF),Csen_AEF/Ccomp_AEF)</f>
        <v/>
      </c>
      <c r="I57" s="30">
        <f>IMPRODUCT((RdampSel*CdampSel+RdampSel*CinjSel),C57)</f>
        <v/>
      </c>
      <c r="J57">
        <f>IMSUM(1,I57)</f>
        <v/>
      </c>
      <c r="L57" s="30">
        <f>IMPRODUCT(G57,L_infilterStd*RdampSel*CinjSel*CdampSel,E57)</f>
        <v/>
      </c>
      <c r="M57">
        <f>IMPRODUCT(G57,L_infilterStd*CinjSel,D57)</f>
        <v/>
      </c>
      <c r="N57">
        <f>J57</f>
        <v/>
      </c>
      <c r="O57" s="299">
        <f>IMSUM(L57:N57)</f>
        <v/>
      </c>
      <c r="P57" s="651" t="n">
        <v>0</v>
      </c>
      <c r="Q57" s="397">
        <f>IMSUM(IMPRODUCT(C57,RdampPssv*CdampPssv),1)</f>
        <v/>
      </c>
      <c r="R57" s="397">
        <f>IMPRODUCT(RdampPssv*CdampPssv*CfilterPssv*LinfilterPssv,E57)</f>
        <v/>
      </c>
      <c r="S57" s="397">
        <f>IMPRODUCT(D57,LinfilterPssv*(CfilterPssv+CdampPssv))</f>
        <v/>
      </c>
      <c r="T57" s="397">
        <f>IMSUM(S57,R57,Q57)</f>
        <v/>
      </c>
      <c r="U57" s="652" t="n">
        <v>1</v>
      </c>
      <c r="V57">
        <f>CHOOSE(INFILTER_TYPE,U57,IMDIV(J57,O57),IMDIV(Q57,T57))</f>
        <v/>
      </c>
      <c r="W57">
        <f>20*LOG10(IMABS(V57))</f>
        <v/>
      </c>
      <c r="X57">
        <f>IMARGUMENT(V57)*180/Pi</f>
        <v/>
      </c>
      <c r="Z57">
        <f>IMDIV(Q57,T57)</f>
        <v/>
      </c>
      <c r="AA57">
        <f>20*LOG10(IMABS(Z57))</f>
        <v/>
      </c>
      <c r="AB57">
        <f>IMARGUMENT(Z57)*180/Pi</f>
        <v/>
      </c>
      <c r="AD57" s="30">
        <f>IMPRODUCT((RdampCom*CdampCom+RdampCom*CinjCom),C57)</f>
        <v/>
      </c>
      <c r="AE57" s="30">
        <f>IMSUM(1,AD57)</f>
        <v/>
      </c>
      <c r="AF57" s="30">
        <f>IMPRODUCT(G57,L_infilterStd*RdampSel*CinjSel*CdampSel,E57)</f>
        <v/>
      </c>
      <c r="AG57">
        <f>IMPRODUCT(G57,LAEFCom*CinjCom,D57)</f>
        <v/>
      </c>
      <c r="AH57">
        <f>AE57</f>
        <v/>
      </c>
      <c r="AI57" s="299">
        <f>IMSUM(AF57:AH57)</f>
        <v/>
      </c>
      <c r="AK57">
        <f>IMDIV(AE57,AI57)</f>
        <v/>
      </c>
      <c r="AM57">
        <f>20*LOG10(IMABS(AK57))</f>
        <v/>
      </c>
      <c r="AN57">
        <f>IMARGUMENT(AK57)*180/Pi</f>
        <v/>
      </c>
    </row>
    <row r="58">
      <c r="A58" s="335" t="n">
        <v>25000</v>
      </c>
      <c r="B58" s="352">
        <f>A58/1000</f>
        <v/>
      </c>
      <c r="C58">
        <f>COMPLEX(0,2*Pi*A58)</f>
        <v/>
      </c>
      <c r="D58" s="30">
        <f>COMPLEX(-POWER(2*Pi*A58,2),0)</f>
        <v/>
      </c>
      <c r="E58" s="30">
        <f>COMPLEX(0,-POWER(2*Pi*A58,3))</f>
        <v/>
      </c>
      <c r="G58" s="30">
        <f>IMSUM(IMPRODUCT(C58,Rcomp_AEF*Csen_AEF),Csen_AEF/Ccomp_AEF)</f>
        <v/>
      </c>
      <c r="I58" s="30">
        <f>IMPRODUCT((RdampSel*CdampSel+RdampSel*CinjSel),C58)</f>
        <v/>
      </c>
      <c r="J58">
        <f>IMSUM(1,I58)</f>
        <v/>
      </c>
      <c r="L58" s="30">
        <f>IMPRODUCT(G58,L_infilterStd*RdampSel*CinjSel*CdampSel,E58)</f>
        <v/>
      </c>
      <c r="M58">
        <f>IMPRODUCT(G58,L_infilterStd*CinjSel,D58)</f>
        <v/>
      </c>
      <c r="N58">
        <f>J58</f>
        <v/>
      </c>
      <c r="O58" s="299">
        <f>IMSUM(L58:N58)</f>
        <v/>
      </c>
      <c r="P58" s="651" t="n">
        <v>0</v>
      </c>
      <c r="Q58" s="397">
        <f>IMSUM(IMPRODUCT(C58,RdampPssv*CdampPssv),1)</f>
        <v/>
      </c>
      <c r="R58" s="397">
        <f>IMPRODUCT(RdampPssv*CdampPssv*CfilterPssv*LinfilterPssv,E58)</f>
        <v/>
      </c>
      <c r="S58" s="397">
        <f>IMPRODUCT(D58,LinfilterPssv*(CfilterPssv+CdampPssv))</f>
        <v/>
      </c>
      <c r="T58" s="397">
        <f>IMSUM(S58,R58,Q58)</f>
        <v/>
      </c>
      <c r="U58" s="652" t="n">
        <v>1</v>
      </c>
      <c r="V58">
        <f>CHOOSE(INFILTER_TYPE,U58,IMDIV(J58,O58),IMDIV(Q58,T58))</f>
        <v/>
      </c>
      <c r="W58">
        <f>20*LOG10(IMABS(V58))</f>
        <v/>
      </c>
      <c r="X58">
        <f>IMARGUMENT(V58)*180/Pi</f>
        <v/>
      </c>
      <c r="Z58">
        <f>IMDIV(Q58,T58)</f>
        <v/>
      </c>
      <c r="AA58">
        <f>20*LOG10(IMABS(Z58))</f>
        <v/>
      </c>
      <c r="AB58">
        <f>IMARGUMENT(Z58)*180/Pi</f>
        <v/>
      </c>
      <c r="AD58" s="30">
        <f>IMPRODUCT((RdampCom*CdampCom+RdampCom*CinjCom),C58)</f>
        <v/>
      </c>
      <c r="AE58" s="30">
        <f>IMSUM(1,AD58)</f>
        <v/>
      </c>
      <c r="AF58" s="30">
        <f>IMPRODUCT(G58,L_infilterStd*RdampSel*CinjSel*CdampSel,E58)</f>
        <v/>
      </c>
      <c r="AG58">
        <f>IMPRODUCT(G58,LAEFCom*CinjCom,D58)</f>
        <v/>
      </c>
      <c r="AH58">
        <f>AE58</f>
        <v/>
      </c>
      <c r="AI58" s="299">
        <f>IMSUM(AF58:AH58)</f>
        <v/>
      </c>
      <c r="AK58">
        <f>IMDIV(AE58,AI58)</f>
        <v/>
      </c>
      <c r="AM58">
        <f>20*LOG10(IMABS(AK58))</f>
        <v/>
      </c>
      <c r="AN58">
        <f>IMARGUMENT(AK58)*180/Pi</f>
        <v/>
      </c>
    </row>
    <row r="59">
      <c r="A59" s="335" t="n">
        <v>30000</v>
      </c>
      <c r="B59" s="352">
        <f>A59/1000</f>
        <v/>
      </c>
      <c r="C59">
        <f>COMPLEX(0,2*Pi*A59)</f>
        <v/>
      </c>
      <c r="D59" s="30">
        <f>COMPLEX(-POWER(2*Pi*A59,2),0)</f>
        <v/>
      </c>
      <c r="E59" s="30">
        <f>COMPLEX(0,-POWER(2*Pi*A59,3))</f>
        <v/>
      </c>
      <c r="G59" s="30">
        <f>IMSUM(IMPRODUCT(C59,Rcomp_AEF*Csen_AEF),Csen_AEF/Ccomp_AEF)</f>
        <v/>
      </c>
      <c r="I59" s="30">
        <f>IMPRODUCT((RdampSel*CdampSel+RdampSel*CinjSel),C59)</f>
        <v/>
      </c>
      <c r="J59">
        <f>IMSUM(1,I59)</f>
        <v/>
      </c>
      <c r="L59" s="30">
        <f>IMPRODUCT(G59,L_infilterStd*RdampSel*CinjSel*CdampSel,E59)</f>
        <v/>
      </c>
      <c r="M59">
        <f>IMPRODUCT(G59,L_infilterStd*CinjSel,D59)</f>
        <v/>
      </c>
      <c r="N59">
        <f>J59</f>
        <v/>
      </c>
      <c r="O59" s="299">
        <f>IMSUM(L59:N59)</f>
        <v/>
      </c>
      <c r="P59" s="651" t="n">
        <v>0</v>
      </c>
      <c r="Q59" s="397">
        <f>IMSUM(IMPRODUCT(C59,RdampPssv*CdampPssv),1)</f>
        <v/>
      </c>
      <c r="R59" s="397">
        <f>IMPRODUCT(RdampPssv*CdampPssv*CfilterPssv*LinfilterPssv,E59)</f>
        <v/>
      </c>
      <c r="S59" s="397">
        <f>IMPRODUCT(D59,LinfilterPssv*(CfilterPssv+CdampPssv))</f>
        <v/>
      </c>
      <c r="T59" s="397">
        <f>IMSUM(S59,R59,Q59)</f>
        <v/>
      </c>
      <c r="U59" s="652" t="n">
        <v>1</v>
      </c>
      <c r="V59">
        <f>CHOOSE(INFILTER_TYPE,U59,IMDIV(J59,O59),IMDIV(Q59,T59))</f>
        <v/>
      </c>
      <c r="W59">
        <f>20*LOG10(IMABS(V59))</f>
        <v/>
      </c>
      <c r="X59">
        <f>IMARGUMENT(V59)*180/Pi</f>
        <v/>
      </c>
      <c r="Z59">
        <f>IMDIV(Q59,T59)</f>
        <v/>
      </c>
      <c r="AA59">
        <f>20*LOG10(IMABS(Z59))</f>
        <v/>
      </c>
      <c r="AB59">
        <f>IMARGUMENT(Z59)*180/Pi</f>
        <v/>
      </c>
      <c r="AD59" s="30">
        <f>IMPRODUCT((RdampCom*CdampCom+RdampCom*CinjCom),C59)</f>
        <v/>
      </c>
      <c r="AE59" s="30">
        <f>IMSUM(1,AD59)</f>
        <v/>
      </c>
      <c r="AF59" s="30">
        <f>IMPRODUCT(G59,L_infilterStd*RdampSel*CinjSel*CdampSel,E59)</f>
        <v/>
      </c>
      <c r="AG59">
        <f>IMPRODUCT(G59,LAEFCom*CinjCom,D59)</f>
        <v/>
      </c>
      <c r="AH59">
        <f>AE59</f>
        <v/>
      </c>
      <c r="AI59" s="299">
        <f>IMSUM(AF59:AH59)</f>
        <v/>
      </c>
      <c r="AK59">
        <f>IMDIV(AE59,AI59)</f>
        <v/>
      </c>
      <c r="AM59">
        <f>20*LOG10(IMABS(AK59))</f>
        <v/>
      </c>
      <c r="AN59">
        <f>IMARGUMENT(AK59)*180/Pi</f>
        <v/>
      </c>
    </row>
    <row r="60">
      <c r="A60" s="335" t="n">
        <v>35000</v>
      </c>
      <c r="B60" s="352">
        <f>A60/1000</f>
        <v/>
      </c>
      <c r="C60">
        <f>COMPLEX(0,2*Pi*A60)</f>
        <v/>
      </c>
      <c r="D60" s="30">
        <f>COMPLEX(-POWER(2*Pi*A60,2),0)</f>
        <v/>
      </c>
      <c r="E60" s="30">
        <f>COMPLEX(0,-POWER(2*Pi*A60,3))</f>
        <v/>
      </c>
      <c r="G60" s="30">
        <f>IMSUM(IMPRODUCT(C60,Rcomp_AEF*Csen_AEF),Csen_AEF/Ccomp_AEF)</f>
        <v/>
      </c>
      <c r="I60" s="30">
        <f>IMPRODUCT((RdampSel*CdampSel+RdampSel*CinjSel),C60)</f>
        <v/>
      </c>
      <c r="J60">
        <f>IMSUM(1,I60)</f>
        <v/>
      </c>
      <c r="L60" s="30">
        <f>IMPRODUCT(G60,L_infilterStd*RdampSel*CinjSel*CdampSel,E60)</f>
        <v/>
      </c>
      <c r="M60">
        <f>IMPRODUCT(G60,L_infilterStd*CinjSel,D60)</f>
        <v/>
      </c>
      <c r="N60">
        <f>J60</f>
        <v/>
      </c>
      <c r="O60" s="299">
        <f>IMSUM(L60:N60)</f>
        <v/>
      </c>
      <c r="P60" s="651" t="n">
        <v>0</v>
      </c>
      <c r="Q60" s="397">
        <f>IMSUM(IMPRODUCT(C60,RdampPssv*CdampPssv),1)</f>
        <v/>
      </c>
      <c r="R60" s="397">
        <f>IMPRODUCT(RdampPssv*CdampPssv*CfilterPssv*LinfilterPssv,E60)</f>
        <v/>
      </c>
      <c r="S60" s="397">
        <f>IMPRODUCT(D60,LinfilterPssv*(CfilterPssv+CdampPssv))</f>
        <v/>
      </c>
      <c r="T60" s="397">
        <f>IMSUM(S60,R60,Q60)</f>
        <v/>
      </c>
      <c r="U60" s="652" t="n">
        <v>1</v>
      </c>
      <c r="V60">
        <f>CHOOSE(INFILTER_TYPE,U60,IMDIV(J60,O60),IMDIV(Q60,T60))</f>
        <v/>
      </c>
      <c r="W60">
        <f>20*LOG10(IMABS(V60))</f>
        <v/>
      </c>
      <c r="X60">
        <f>IMARGUMENT(V60)*180/Pi</f>
        <v/>
      </c>
      <c r="Z60">
        <f>IMDIV(Q60,T60)</f>
        <v/>
      </c>
      <c r="AA60">
        <f>20*LOG10(IMABS(Z60))</f>
        <v/>
      </c>
      <c r="AB60">
        <f>IMARGUMENT(Z60)*180/Pi</f>
        <v/>
      </c>
      <c r="AD60" s="30">
        <f>IMPRODUCT((RdampCom*CdampCom+RdampCom*CinjCom),C60)</f>
        <v/>
      </c>
      <c r="AE60" s="30">
        <f>IMSUM(1,AD60)</f>
        <v/>
      </c>
      <c r="AF60" s="30">
        <f>IMPRODUCT(G60,L_infilterStd*RdampSel*CinjSel*CdampSel,E60)</f>
        <v/>
      </c>
      <c r="AG60">
        <f>IMPRODUCT(G60,LAEFCom*CinjCom,D60)</f>
        <v/>
      </c>
      <c r="AH60">
        <f>AE60</f>
        <v/>
      </c>
      <c r="AI60" s="299">
        <f>IMSUM(AF60:AH60)</f>
        <v/>
      </c>
      <c r="AK60">
        <f>IMDIV(AE60,AI60)</f>
        <v/>
      </c>
      <c r="AM60">
        <f>20*LOG10(IMABS(AK60))</f>
        <v/>
      </c>
      <c r="AN60">
        <f>IMARGUMENT(AK60)*180/Pi</f>
        <v/>
      </c>
    </row>
    <row r="61">
      <c r="A61" s="335" t="n">
        <v>40000</v>
      </c>
      <c r="B61" s="352">
        <f>A61/1000</f>
        <v/>
      </c>
      <c r="C61">
        <f>COMPLEX(0,2*Pi*A61)</f>
        <v/>
      </c>
      <c r="D61" s="30">
        <f>COMPLEX(-POWER(2*Pi*A61,2),0)</f>
        <v/>
      </c>
      <c r="E61" s="30">
        <f>COMPLEX(0,-POWER(2*Pi*A61,3))</f>
        <v/>
      </c>
      <c r="G61" s="30">
        <f>IMSUM(IMPRODUCT(C61,Rcomp_AEF*Csen_AEF),Csen_AEF/Ccomp_AEF)</f>
        <v/>
      </c>
      <c r="I61" s="30">
        <f>IMPRODUCT((RdampSel*CdampSel+RdampSel*CinjSel),C61)</f>
        <v/>
      </c>
      <c r="J61">
        <f>IMSUM(1,I61)</f>
        <v/>
      </c>
      <c r="L61" s="30">
        <f>IMPRODUCT(G61,L_infilterStd*RdampSel*CinjSel*CdampSel,E61)</f>
        <v/>
      </c>
      <c r="M61">
        <f>IMPRODUCT(G61,L_infilterStd*CinjSel,D61)</f>
        <v/>
      </c>
      <c r="N61">
        <f>J61</f>
        <v/>
      </c>
      <c r="O61" s="299">
        <f>IMSUM(L61:N61)</f>
        <v/>
      </c>
      <c r="P61" s="651" t="n">
        <v>0</v>
      </c>
      <c r="Q61" s="397">
        <f>IMSUM(IMPRODUCT(C61,RdampPssv*CdampPssv),1)</f>
        <v/>
      </c>
      <c r="R61" s="397">
        <f>IMPRODUCT(RdampPssv*CdampPssv*CfilterPssv*LinfilterPssv,E61)</f>
        <v/>
      </c>
      <c r="S61" s="397">
        <f>IMPRODUCT(D61,LinfilterPssv*(CfilterPssv+CdampPssv))</f>
        <v/>
      </c>
      <c r="T61" s="397">
        <f>IMSUM(S61,R61,Q61)</f>
        <v/>
      </c>
      <c r="U61" s="652" t="n">
        <v>1</v>
      </c>
      <c r="V61">
        <f>CHOOSE(INFILTER_TYPE,U61,IMDIV(J61,O61),IMDIV(Q61,T61))</f>
        <v/>
      </c>
      <c r="W61">
        <f>20*LOG10(IMABS(V61))</f>
        <v/>
      </c>
      <c r="X61">
        <f>IMARGUMENT(V61)*180/Pi</f>
        <v/>
      </c>
      <c r="Z61">
        <f>IMDIV(Q61,T61)</f>
        <v/>
      </c>
      <c r="AA61">
        <f>20*LOG10(IMABS(Z61))</f>
        <v/>
      </c>
      <c r="AB61">
        <f>IMARGUMENT(Z61)*180/Pi</f>
        <v/>
      </c>
      <c r="AD61" s="30">
        <f>IMPRODUCT((RdampCom*CdampCom+RdampCom*CinjCom),C61)</f>
        <v/>
      </c>
      <c r="AE61" s="30">
        <f>IMSUM(1,AD61)</f>
        <v/>
      </c>
      <c r="AF61" s="30">
        <f>IMPRODUCT(G61,L_infilterStd*RdampSel*CinjSel*CdampSel,E61)</f>
        <v/>
      </c>
      <c r="AG61">
        <f>IMPRODUCT(G61,LAEFCom*CinjCom,D61)</f>
        <v/>
      </c>
      <c r="AH61">
        <f>AE61</f>
        <v/>
      </c>
      <c r="AI61" s="299">
        <f>IMSUM(AF61:AH61)</f>
        <v/>
      </c>
      <c r="AK61">
        <f>IMDIV(AE61,AI61)</f>
        <v/>
      </c>
      <c r="AM61">
        <f>20*LOG10(IMABS(AK61))</f>
        <v/>
      </c>
      <c r="AN61">
        <f>IMARGUMENT(AK61)*180/Pi</f>
        <v/>
      </c>
    </row>
    <row r="62">
      <c r="A62" s="335" t="n">
        <v>45000</v>
      </c>
      <c r="B62" s="352">
        <f>A62/1000</f>
        <v/>
      </c>
      <c r="C62">
        <f>COMPLEX(0,2*Pi*A62)</f>
        <v/>
      </c>
      <c r="D62" s="30">
        <f>COMPLEX(-POWER(2*Pi*A62,2),0)</f>
        <v/>
      </c>
      <c r="E62" s="30">
        <f>COMPLEX(0,-POWER(2*Pi*A62,3))</f>
        <v/>
      </c>
      <c r="G62" s="30">
        <f>IMSUM(IMPRODUCT(C62,Rcomp_AEF*Csen_AEF),Csen_AEF/Ccomp_AEF)</f>
        <v/>
      </c>
      <c r="I62" s="30">
        <f>IMPRODUCT((RdampSel*CdampSel+RdampSel*CinjSel),C62)</f>
        <v/>
      </c>
      <c r="J62">
        <f>IMSUM(1,I62)</f>
        <v/>
      </c>
      <c r="L62" s="30">
        <f>IMPRODUCT(G62,L_infilterStd*RdampSel*CinjSel*CdampSel,E62)</f>
        <v/>
      </c>
      <c r="M62">
        <f>IMPRODUCT(G62,L_infilterStd*CinjSel,D62)</f>
        <v/>
      </c>
      <c r="N62">
        <f>J62</f>
        <v/>
      </c>
      <c r="O62" s="299">
        <f>IMSUM(L62:N62)</f>
        <v/>
      </c>
      <c r="P62" s="651" t="n">
        <v>0</v>
      </c>
      <c r="Q62" s="397">
        <f>IMSUM(IMPRODUCT(C62,RdampPssv*CdampPssv),1)</f>
        <v/>
      </c>
      <c r="R62" s="397">
        <f>IMPRODUCT(RdampPssv*CdampPssv*CfilterPssv*LinfilterPssv,E62)</f>
        <v/>
      </c>
      <c r="S62" s="397">
        <f>IMPRODUCT(D62,LinfilterPssv*(CfilterPssv+CdampPssv))</f>
        <v/>
      </c>
      <c r="T62" s="397">
        <f>IMSUM(S62,R62,Q62)</f>
        <v/>
      </c>
      <c r="U62" s="652" t="n">
        <v>1</v>
      </c>
      <c r="V62">
        <f>CHOOSE(INFILTER_TYPE,U62,IMDIV(J62,O62),IMDIV(Q62,T62))</f>
        <v/>
      </c>
      <c r="W62">
        <f>20*LOG10(IMABS(V62))</f>
        <v/>
      </c>
      <c r="X62">
        <f>IMARGUMENT(V62)*180/Pi</f>
        <v/>
      </c>
      <c r="Z62">
        <f>IMDIV(Q62,T62)</f>
        <v/>
      </c>
      <c r="AA62">
        <f>20*LOG10(IMABS(Z62))</f>
        <v/>
      </c>
      <c r="AB62">
        <f>IMARGUMENT(Z62)*180/Pi</f>
        <v/>
      </c>
      <c r="AD62" s="30">
        <f>IMPRODUCT((RdampCom*CdampCom+RdampCom*CinjCom),C62)</f>
        <v/>
      </c>
      <c r="AE62" s="30">
        <f>IMSUM(1,AD62)</f>
        <v/>
      </c>
      <c r="AF62" s="30">
        <f>IMPRODUCT(G62,L_infilterStd*RdampSel*CinjSel*CdampSel,E62)</f>
        <v/>
      </c>
      <c r="AG62">
        <f>IMPRODUCT(G62,LAEFCom*CinjCom,D62)</f>
        <v/>
      </c>
      <c r="AH62">
        <f>AE62</f>
        <v/>
      </c>
      <c r="AI62" s="299">
        <f>IMSUM(AF62:AH62)</f>
        <v/>
      </c>
      <c r="AK62">
        <f>IMDIV(AE62,AI62)</f>
        <v/>
      </c>
      <c r="AM62">
        <f>20*LOG10(IMABS(AK62))</f>
        <v/>
      </c>
      <c r="AN62">
        <f>IMARGUMENT(AK62)*180/Pi</f>
        <v/>
      </c>
    </row>
    <row r="63">
      <c r="A63" s="335" t="n">
        <v>50000</v>
      </c>
      <c r="B63" s="352">
        <f>A63/1000</f>
        <v/>
      </c>
      <c r="C63">
        <f>COMPLEX(0,2*Pi*A63)</f>
        <v/>
      </c>
      <c r="D63" s="30">
        <f>COMPLEX(-POWER(2*Pi*A63,2),0)</f>
        <v/>
      </c>
      <c r="E63" s="30">
        <f>COMPLEX(0,-POWER(2*Pi*A63,3))</f>
        <v/>
      </c>
      <c r="G63" s="30">
        <f>IMSUM(IMPRODUCT(C63,Rcomp_AEF*Csen_AEF),Csen_AEF/Ccomp_AEF)</f>
        <v/>
      </c>
      <c r="I63" s="30">
        <f>IMPRODUCT((RdampSel*CdampSel+RdampSel*CinjSel),C63)</f>
        <v/>
      </c>
      <c r="J63">
        <f>IMSUM(1,I63)</f>
        <v/>
      </c>
      <c r="L63" s="30">
        <f>IMPRODUCT(G63,L_infilterStd*RdampSel*CinjSel*CdampSel,E63)</f>
        <v/>
      </c>
      <c r="M63">
        <f>IMPRODUCT(G63,L_infilterStd*CinjSel,D63)</f>
        <v/>
      </c>
      <c r="N63">
        <f>J63</f>
        <v/>
      </c>
      <c r="O63" s="299">
        <f>IMSUM(L63:N63)</f>
        <v/>
      </c>
      <c r="P63" s="651" t="n">
        <v>0</v>
      </c>
      <c r="Q63" s="397">
        <f>IMSUM(IMPRODUCT(C63,RdampPssv*CdampPssv),1)</f>
        <v/>
      </c>
      <c r="R63" s="397">
        <f>IMPRODUCT(RdampPssv*CdampPssv*CfilterPssv*LinfilterPssv,E63)</f>
        <v/>
      </c>
      <c r="S63" s="397">
        <f>IMPRODUCT(D63,LinfilterPssv*(CfilterPssv+CdampPssv))</f>
        <v/>
      </c>
      <c r="T63" s="397">
        <f>IMSUM(S63,R63,Q63)</f>
        <v/>
      </c>
      <c r="U63" s="652" t="n">
        <v>1</v>
      </c>
      <c r="V63">
        <f>CHOOSE(INFILTER_TYPE,U63,IMDIV(J63,O63),IMDIV(Q63,T63))</f>
        <v/>
      </c>
      <c r="W63">
        <f>20*LOG10(IMABS(V63))</f>
        <v/>
      </c>
      <c r="X63">
        <f>IMARGUMENT(V63)*180/Pi</f>
        <v/>
      </c>
      <c r="Z63">
        <f>IMDIV(Q63,T63)</f>
        <v/>
      </c>
      <c r="AA63">
        <f>20*LOG10(IMABS(Z63))</f>
        <v/>
      </c>
      <c r="AB63">
        <f>IMARGUMENT(Z63)*180/Pi</f>
        <v/>
      </c>
      <c r="AD63" s="30">
        <f>IMPRODUCT((RdampCom*CdampCom+RdampCom*CinjCom),C63)</f>
        <v/>
      </c>
      <c r="AE63" s="30">
        <f>IMSUM(1,AD63)</f>
        <v/>
      </c>
      <c r="AF63" s="30">
        <f>IMPRODUCT(G63,L_infilterStd*RdampSel*CinjSel*CdampSel,E63)</f>
        <v/>
      </c>
      <c r="AG63">
        <f>IMPRODUCT(G63,LAEFCom*CinjCom,D63)</f>
        <v/>
      </c>
      <c r="AH63">
        <f>AE63</f>
        <v/>
      </c>
      <c r="AI63" s="299">
        <f>IMSUM(AF63:AH63)</f>
        <v/>
      </c>
      <c r="AK63">
        <f>IMDIV(AE63,AI63)</f>
        <v/>
      </c>
      <c r="AM63">
        <f>20*LOG10(IMABS(AK63))</f>
        <v/>
      </c>
      <c r="AN63">
        <f>IMARGUMENT(AK63)*180/Pi</f>
        <v/>
      </c>
    </row>
    <row r="64">
      <c r="A64" s="335" t="n">
        <v>55000</v>
      </c>
      <c r="B64" s="352">
        <f>A64/1000</f>
        <v/>
      </c>
      <c r="C64">
        <f>COMPLEX(0,2*Pi*A64)</f>
        <v/>
      </c>
      <c r="D64" s="30">
        <f>COMPLEX(-POWER(2*Pi*A64,2),0)</f>
        <v/>
      </c>
      <c r="E64" s="30">
        <f>COMPLEX(0,-POWER(2*Pi*A64,3))</f>
        <v/>
      </c>
      <c r="G64" s="30">
        <f>IMSUM(IMPRODUCT(C64,Rcomp_AEF*Csen_AEF),Csen_AEF/Ccomp_AEF)</f>
        <v/>
      </c>
      <c r="I64" s="30">
        <f>IMPRODUCT((RdampSel*CdampSel+RdampSel*CinjSel),C64)</f>
        <v/>
      </c>
      <c r="J64">
        <f>IMSUM(1,I64)</f>
        <v/>
      </c>
      <c r="L64" s="30">
        <f>IMPRODUCT(G64,L_infilterStd*RdampSel*CinjSel*CdampSel,E64)</f>
        <v/>
      </c>
      <c r="M64">
        <f>IMPRODUCT(G64,L_infilterStd*CinjSel,D64)</f>
        <v/>
      </c>
      <c r="N64">
        <f>J64</f>
        <v/>
      </c>
      <c r="O64" s="299">
        <f>IMSUM(L64:N64)</f>
        <v/>
      </c>
      <c r="P64" s="651" t="n">
        <v>0</v>
      </c>
      <c r="Q64" s="397">
        <f>IMSUM(IMPRODUCT(C64,RdampPssv*CdampPssv),1)</f>
        <v/>
      </c>
      <c r="R64" s="397">
        <f>IMPRODUCT(RdampPssv*CdampPssv*CfilterPssv*LinfilterPssv,E64)</f>
        <v/>
      </c>
      <c r="S64" s="397">
        <f>IMPRODUCT(D64,LinfilterPssv*(CfilterPssv+CdampPssv))</f>
        <v/>
      </c>
      <c r="T64" s="397">
        <f>IMSUM(S64,R64,Q64)</f>
        <v/>
      </c>
      <c r="U64" s="652" t="n">
        <v>1</v>
      </c>
      <c r="V64">
        <f>CHOOSE(INFILTER_TYPE,U64,IMDIV(J64,O64),IMDIV(Q64,T64))</f>
        <v/>
      </c>
      <c r="W64">
        <f>20*LOG10(IMABS(V64))</f>
        <v/>
      </c>
      <c r="X64">
        <f>IMARGUMENT(V64)*180/Pi</f>
        <v/>
      </c>
      <c r="Z64">
        <f>IMDIV(Q64,T64)</f>
        <v/>
      </c>
      <c r="AA64">
        <f>20*LOG10(IMABS(Z64))</f>
        <v/>
      </c>
      <c r="AB64">
        <f>IMARGUMENT(Z64)*180/Pi</f>
        <v/>
      </c>
      <c r="AD64" s="30">
        <f>IMPRODUCT((RdampCom*CdampCom+RdampCom*CinjCom),C64)</f>
        <v/>
      </c>
      <c r="AE64" s="30">
        <f>IMSUM(1,AD64)</f>
        <v/>
      </c>
      <c r="AF64" s="30">
        <f>IMPRODUCT(G64,L_infilterStd*RdampSel*CinjSel*CdampSel,E64)</f>
        <v/>
      </c>
      <c r="AG64">
        <f>IMPRODUCT(G64,LAEFCom*CinjCom,D64)</f>
        <v/>
      </c>
      <c r="AH64">
        <f>AE64</f>
        <v/>
      </c>
      <c r="AI64" s="299">
        <f>IMSUM(AF64:AH64)</f>
        <v/>
      </c>
      <c r="AK64">
        <f>IMDIV(AE64,AI64)</f>
        <v/>
      </c>
      <c r="AM64">
        <f>20*LOG10(IMABS(AK64))</f>
        <v/>
      </c>
      <c r="AN64">
        <f>IMARGUMENT(AK64)*180/Pi</f>
        <v/>
      </c>
    </row>
    <row r="65">
      <c r="A65" s="335" t="n">
        <v>60000</v>
      </c>
      <c r="B65" s="352">
        <f>A65/1000</f>
        <v/>
      </c>
      <c r="C65">
        <f>COMPLEX(0,2*Pi*A65)</f>
        <v/>
      </c>
      <c r="D65" s="30">
        <f>COMPLEX(-POWER(2*Pi*A65,2),0)</f>
        <v/>
      </c>
      <c r="E65" s="30">
        <f>COMPLEX(0,-POWER(2*Pi*A65,3))</f>
        <v/>
      </c>
      <c r="G65" s="30">
        <f>IMSUM(IMPRODUCT(C65,Rcomp_AEF*Csen_AEF),Csen_AEF/Ccomp_AEF)</f>
        <v/>
      </c>
      <c r="I65" s="30">
        <f>IMPRODUCT((RdampSel*CdampSel+RdampSel*CinjSel),C65)</f>
        <v/>
      </c>
      <c r="J65">
        <f>IMSUM(1,I65)</f>
        <v/>
      </c>
      <c r="L65" s="30">
        <f>IMPRODUCT(G65,L_infilterStd*RdampSel*CinjSel*CdampSel,E65)</f>
        <v/>
      </c>
      <c r="M65">
        <f>IMPRODUCT(G65,L_infilterStd*CinjSel,D65)</f>
        <v/>
      </c>
      <c r="N65">
        <f>J65</f>
        <v/>
      </c>
      <c r="O65" s="299">
        <f>IMSUM(L65:N65)</f>
        <v/>
      </c>
      <c r="P65" s="651" t="n">
        <v>0</v>
      </c>
      <c r="Q65" s="397">
        <f>IMSUM(IMPRODUCT(C65,RdampPssv*CdampPssv),1)</f>
        <v/>
      </c>
      <c r="R65" s="397">
        <f>IMPRODUCT(RdampPssv*CdampPssv*CfilterPssv*LinfilterPssv,E65)</f>
        <v/>
      </c>
      <c r="S65" s="397">
        <f>IMPRODUCT(D65,LinfilterPssv*(CfilterPssv+CdampPssv))</f>
        <v/>
      </c>
      <c r="T65" s="397">
        <f>IMSUM(S65,R65,Q65)</f>
        <v/>
      </c>
      <c r="U65" s="652" t="n">
        <v>1</v>
      </c>
      <c r="V65">
        <f>CHOOSE(INFILTER_TYPE,U65,IMDIV(J65,O65),IMDIV(Q65,T65))</f>
        <v/>
      </c>
      <c r="W65">
        <f>20*LOG10(IMABS(V65))</f>
        <v/>
      </c>
      <c r="X65">
        <f>IMARGUMENT(V65)*180/Pi</f>
        <v/>
      </c>
      <c r="Z65">
        <f>IMDIV(Q65,T65)</f>
        <v/>
      </c>
      <c r="AA65">
        <f>20*LOG10(IMABS(Z65))</f>
        <v/>
      </c>
      <c r="AB65">
        <f>IMARGUMENT(Z65)*180/Pi</f>
        <v/>
      </c>
      <c r="AD65" s="30">
        <f>IMPRODUCT((RdampCom*CdampCom+RdampCom*CinjCom),C65)</f>
        <v/>
      </c>
      <c r="AE65" s="30">
        <f>IMSUM(1,AD65)</f>
        <v/>
      </c>
      <c r="AF65" s="30">
        <f>IMPRODUCT(G65,L_infilterStd*RdampSel*CinjSel*CdampSel,E65)</f>
        <v/>
      </c>
      <c r="AG65">
        <f>IMPRODUCT(G65,LAEFCom*CinjCom,D65)</f>
        <v/>
      </c>
      <c r="AH65">
        <f>AE65</f>
        <v/>
      </c>
      <c r="AI65" s="299">
        <f>IMSUM(AF65:AH65)</f>
        <v/>
      </c>
      <c r="AK65">
        <f>IMDIV(AE65,AI65)</f>
        <v/>
      </c>
      <c r="AM65">
        <f>20*LOG10(IMABS(AK65))</f>
        <v/>
      </c>
      <c r="AN65">
        <f>IMARGUMENT(AK65)*180/Pi</f>
        <v/>
      </c>
    </row>
    <row r="66">
      <c r="A66" s="335" t="n">
        <v>65000</v>
      </c>
      <c r="B66" s="352">
        <f>A66/1000</f>
        <v/>
      </c>
      <c r="C66">
        <f>COMPLEX(0,2*Pi*A66)</f>
        <v/>
      </c>
      <c r="D66" s="30">
        <f>COMPLEX(-POWER(2*Pi*A66,2),0)</f>
        <v/>
      </c>
      <c r="E66" s="30">
        <f>COMPLEX(0,-POWER(2*Pi*A66,3))</f>
        <v/>
      </c>
      <c r="G66" s="30">
        <f>IMSUM(IMPRODUCT(C66,Rcomp_AEF*Csen_AEF),Csen_AEF/Ccomp_AEF)</f>
        <v/>
      </c>
      <c r="I66" s="30">
        <f>IMPRODUCT((RdampSel*CdampSel+RdampSel*CinjSel),C66)</f>
        <v/>
      </c>
      <c r="J66">
        <f>IMSUM(1,I66)</f>
        <v/>
      </c>
      <c r="L66" s="30">
        <f>IMPRODUCT(G66,L_infilterStd*RdampSel*CinjSel*CdampSel,E66)</f>
        <v/>
      </c>
      <c r="M66">
        <f>IMPRODUCT(G66,L_infilterStd*CinjSel,D66)</f>
        <v/>
      </c>
      <c r="N66">
        <f>J66</f>
        <v/>
      </c>
      <c r="O66" s="299">
        <f>IMSUM(L66:N66)</f>
        <v/>
      </c>
      <c r="P66" s="651" t="n">
        <v>0</v>
      </c>
      <c r="Q66" s="397">
        <f>IMSUM(IMPRODUCT(C66,RdampPssv*CdampPssv),1)</f>
        <v/>
      </c>
      <c r="R66" s="397">
        <f>IMPRODUCT(RdampPssv*CdampPssv*CfilterPssv*LinfilterPssv,E66)</f>
        <v/>
      </c>
      <c r="S66" s="397">
        <f>IMPRODUCT(D66,LinfilterPssv*(CfilterPssv+CdampPssv))</f>
        <v/>
      </c>
      <c r="T66" s="397">
        <f>IMSUM(S66,R66,Q66)</f>
        <v/>
      </c>
      <c r="U66" s="652" t="n">
        <v>1</v>
      </c>
      <c r="V66">
        <f>CHOOSE(INFILTER_TYPE,U66,IMDIV(J66,O66),IMDIV(Q66,T66))</f>
        <v/>
      </c>
      <c r="W66">
        <f>20*LOG10(IMABS(V66))</f>
        <v/>
      </c>
      <c r="X66">
        <f>IMARGUMENT(V66)*180/Pi</f>
        <v/>
      </c>
      <c r="Z66">
        <f>IMDIV(Q66,T66)</f>
        <v/>
      </c>
      <c r="AA66">
        <f>20*LOG10(IMABS(Z66))</f>
        <v/>
      </c>
      <c r="AB66">
        <f>IMARGUMENT(Z66)*180/Pi</f>
        <v/>
      </c>
      <c r="AD66" s="30">
        <f>IMPRODUCT((RdampCom*CdampCom+RdampCom*CinjCom),C66)</f>
        <v/>
      </c>
      <c r="AE66" s="30">
        <f>IMSUM(1,AD66)</f>
        <v/>
      </c>
      <c r="AF66" s="30">
        <f>IMPRODUCT(G66,L_infilterStd*RdampSel*CinjSel*CdampSel,E66)</f>
        <v/>
      </c>
      <c r="AG66">
        <f>IMPRODUCT(G66,LAEFCom*CinjCom,D66)</f>
        <v/>
      </c>
      <c r="AH66">
        <f>AE66</f>
        <v/>
      </c>
      <c r="AI66" s="299">
        <f>IMSUM(AF66:AH66)</f>
        <v/>
      </c>
      <c r="AK66">
        <f>IMDIV(AE66,AI66)</f>
        <v/>
      </c>
      <c r="AM66">
        <f>20*LOG10(IMABS(AK66))</f>
        <v/>
      </c>
      <c r="AN66">
        <f>IMARGUMENT(AK66)*180/Pi</f>
        <v/>
      </c>
    </row>
    <row r="67">
      <c r="A67" s="335" t="n">
        <v>70000</v>
      </c>
      <c r="B67" s="352">
        <f>A67/1000</f>
        <v/>
      </c>
      <c r="C67">
        <f>COMPLEX(0,2*Pi*A67)</f>
        <v/>
      </c>
      <c r="D67" s="30">
        <f>COMPLEX(-POWER(2*Pi*A67,2),0)</f>
        <v/>
      </c>
      <c r="E67" s="30">
        <f>COMPLEX(0,-POWER(2*Pi*A67,3))</f>
        <v/>
      </c>
      <c r="G67" s="30">
        <f>IMSUM(IMPRODUCT(C67,Rcomp_AEF*Csen_AEF),Csen_AEF/Ccomp_AEF)</f>
        <v/>
      </c>
      <c r="I67" s="30">
        <f>IMPRODUCT((RdampSel*CdampSel+RdampSel*CinjSel),C67)</f>
        <v/>
      </c>
      <c r="J67">
        <f>IMSUM(1,I67)</f>
        <v/>
      </c>
      <c r="L67" s="30">
        <f>IMPRODUCT(G67,L_infilterStd*RdampSel*CinjSel*CdampSel,E67)</f>
        <v/>
      </c>
      <c r="M67">
        <f>IMPRODUCT(G67,L_infilterStd*CinjSel,D67)</f>
        <v/>
      </c>
      <c r="N67">
        <f>J67</f>
        <v/>
      </c>
      <c r="O67" s="299">
        <f>IMSUM(L67:N67)</f>
        <v/>
      </c>
      <c r="P67" s="651" t="n">
        <v>0</v>
      </c>
      <c r="Q67" s="397">
        <f>IMSUM(IMPRODUCT(C67,RdampPssv*CdampPssv),1)</f>
        <v/>
      </c>
      <c r="R67" s="397">
        <f>IMPRODUCT(RdampPssv*CdampPssv*CfilterPssv*LinfilterPssv,E67)</f>
        <v/>
      </c>
      <c r="S67" s="397">
        <f>IMPRODUCT(D67,LinfilterPssv*(CfilterPssv+CdampPssv))</f>
        <v/>
      </c>
      <c r="T67" s="397">
        <f>IMSUM(S67,R67,Q67)</f>
        <v/>
      </c>
      <c r="U67" s="652" t="n">
        <v>1</v>
      </c>
      <c r="V67">
        <f>CHOOSE(INFILTER_TYPE,U67,IMDIV(J67,O67),IMDIV(Q67,T67))</f>
        <v/>
      </c>
      <c r="W67">
        <f>20*LOG10(IMABS(V67))</f>
        <v/>
      </c>
      <c r="X67">
        <f>IMARGUMENT(V67)*180/Pi</f>
        <v/>
      </c>
      <c r="Z67">
        <f>IMDIV(Q67,T67)</f>
        <v/>
      </c>
      <c r="AA67">
        <f>20*LOG10(IMABS(Z67))</f>
        <v/>
      </c>
      <c r="AB67">
        <f>IMARGUMENT(Z67)*180/Pi</f>
        <v/>
      </c>
      <c r="AD67" s="30">
        <f>IMPRODUCT((RdampCom*CdampCom+RdampCom*CinjCom),C67)</f>
        <v/>
      </c>
      <c r="AE67" s="30">
        <f>IMSUM(1,AD67)</f>
        <v/>
      </c>
      <c r="AF67" s="30">
        <f>IMPRODUCT(G67,L_infilterStd*RdampSel*CinjSel*CdampSel,E67)</f>
        <v/>
      </c>
      <c r="AG67">
        <f>IMPRODUCT(G67,LAEFCom*CinjCom,D67)</f>
        <v/>
      </c>
      <c r="AH67">
        <f>AE67</f>
        <v/>
      </c>
      <c r="AI67" s="299">
        <f>IMSUM(AF67:AH67)</f>
        <v/>
      </c>
      <c r="AK67">
        <f>IMDIV(AE67,AI67)</f>
        <v/>
      </c>
      <c r="AM67">
        <f>20*LOG10(IMABS(AK67))</f>
        <v/>
      </c>
      <c r="AN67">
        <f>IMARGUMENT(AK67)*180/Pi</f>
        <v/>
      </c>
    </row>
    <row r="68">
      <c r="A68" s="335" t="n">
        <v>75000</v>
      </c>
      <c r="B68" s="352">
        <f>A68/1000</f>
        <v/>
      </c>
      <c r="C68">
        <f>COMPLEX(0,2*Pi*A68)</f>
        <v/>
      </c>
      <c r="D68" s="30">
        <f>COMPLEX(-POWER(2*Pi*A68,2),0)</f>
        <v/>
      </c>
      <c r="E68" s="30">
        <f>COMPLEX(0,-POWER(2*Pi*A68,3))</f>
        <v/>
      </c>
      <c r="G68" s="30">
        <f>IMSUM(IMPRODUCT(C68,Rcomp_AEF*Csen_AEF),Csen_AEF/Ccomp_AEF)</f>
        <v/>
      </c>
      <c r="I68" s="30">
        <f>IMPRODUCT((RdampSel*CdampSel+RdampSel*CinjSel),C68)</f>
        <v/>
      </c>
      <c r="J68">
        <f>IMSUM(1,I68)</f>
        <v/>
      </c>
      <c r="L68" s="30">
        <f>IMPRODUCT(G68,L_infilterStd*RdampSel*CinjSel*CdampSel,E68)</f>
        <v/>
      </c>
      <c r="M68">
        <f>IMPRODUCT(G68,L_infilterStd*CinjSel,D68)</f>
        <v/>
      </c>
      <c r="N68">
        <f>J68</f>
        <v/>
      </c>
      <c r="O68" s="299">
        <f>IMSUM(L68:N68)</f>
        <v/>
      </c>
      <c r="P68" s="651" t="n">
        <v>0</v>
      </c>
      <c r="Q68" s="397">
        <f>IMSUM(IMPRODUCT(C68,RdampPssv*CdampPssv),1)</f>
        <v/>
      </c>
      <c r="R68" s="397">
        <f>IMPRODUCT(RdampPssv*CdampPssv*CfilterPssv*LinfilterPssv,E68)</f>
        <v/>
      </c>
      <c r="S68" s="397">
        <f>IMPRODUCT(D68,LinfilterPssv*(CfilterPssv+CdampPssv))</f>
        <v/>
      </c>
      <c r="T68" s="397">
        <f>IMSUM(S68,R68,Q68)</f>
        <v/>
      </c>
      <c r="U68" s="652" t="n">
        <v>1</v>
      </c>
      <c r="V68">
        <f>CHOOSE(INFILTER_TYPE,U68,IMDIV(J68,O68),IMDIV(Q68,T68))</f>
        <v/>
      </c>
      <c r="W68">
        <f>20*LOG10(IMABS(V68))</f>
        <v/>
      </c>
      <c r="X68">
        <f>IMARGUMENT(V68)*180/Pi</f>
        <v/>
      </c>
      <c r="Z68">
        <f>IMDIV(Q68,T68)</f>
        <v/>
      </c>
      <c r="AA68">
        <f>20*LOG10(IMABS(Z68))</f>
        <v/>
      </c>
      <c r="AB68">
        <f>IMARGUMENT(Z68)*180/Pi</f>
        <v/>
      </c>
      <c r="AD68" s="30">
        <f>IMPRODUCT((RdampCom*CdampCom+RdampCom*CinjCom),C68)</f>
        <v/>
      </c>
      <c r="AE68" s="30">
        <f>IMSUM(1,AD68)</f>
        <v/>
      </c>
      <c r="AF68" s="30">
        <f>IMPRODUCT(G68,L_infilterStd*RdampSel*CinjSel*CdampSel,E68)</f>
        <v/>
      </c>
      <c r="AG68">
        <f>IMPRODUCT(G68,LAEFCom*CinjCom,D68)</f>
        <v/>
      </c>
      <c r="AH68">
        <f>AE68</f>
        <v/>
      </c>
      <c r="AI68" s="299">
        <f>IMSUM(AF68:AH68)</f>
        <v/>
      </c>
      <c r="AK68">
        <f>IMDIV(AE68,AI68)</f>
        <v/>
      </c>
      <c r="AM68">
        <f>20*LOG10(IMABS(AK68))</f>
        <v/>
      </c>
      <c r="AN68">
        <f>IMARGUMENT(AK68)*180/Pi</f>
        <v/>
      </c>
    </row>
    <row r="69">
      <c r="A69" s="335" t="n">
        <v>80000</v>
      </c>
      <c r="B69" s="352">
        <f>A69/1000</f>
        <v/>
      </c>
      <c r="C69">
        <f>COMPLEX(0,2*Pi*A69)</f>
        <v/>
      </c>
      <c r="D69" s="30">
        <f>COMPLEX(-POWER(2*Pi*A69,2),0)</f>
        <v/>
      </c>
      <c r="E69" s="30">
        <f>COMPLEX(0,-POWER(2*Pi*A69,3))</f>
        <v/>
      </c>
      <c r="G69" s="30">
        <f>IMSUM(IMPRODUCT(C69,Rcomp_AEF*Csen_AEF),Csen_AEF/Ccomp_AEF)</f>
        <v/>
      </c>
      <c r="I69" s="30">
        <f>IMPRODUCT((RdampSel*CdampSel+RdampSel*CinjSel),C69)</f>
        <v/>
      </c>
      <c r="J69">
        <f>IMSUM(1,I69)</f>
        <v/>
      </c>
      <c r="L69" s="30">
        <f>IMPRODUCT(G69,L_infilterStd*RdampSel*CinjSel*CdampSel,E69)</f>
        <v/>
      </c>
      <c r="M69">
        <f>IMPRODUCT(G69,L_infilterStd*CinjSel,D69)</f>
        <v/>
      </c>
      <c r="N69">
        <f>J69</f>
        <v/>
      </c>
      <c r="O69" s="299">
        <f>IMSUM(L69:N69)</f>
        <v/>
      </c>
      <c r="P69" s="651" t="n">
        <v>0</v>
      </c>
      <c r="Q69" s="397">
        <f>IMSUM(IMPRODUCT(C69,RdampPssv*CdampPssv),1)</f>
        <v/>
      </c>
      <c r="R69" s="397">
        <f>IMPRODUCT(RdampPssv*CdampPssv*CfilterPssv*LinfilterPssv,E69)</f>
        <v/>
      </c>
      <c r="S69" s="397">
        <f>IMPRODUCT(D69,LinfilterPssv*(CfilterPssv+CdampPssv))</f>
        <v/>
      </c>
      <c r="T69" s="397">
        <f>IMSUM(S69,R69,Q69)</f>
        <v/>
      </c>
      <c r="U69" s="652" t="n">
        <v>1</v>
      </c>
      <c r="V69">
        <f>CHOOSE(INFILTER_TYPE,U69,IMDIV(J69,O69),IMDIV(Q69,T69))</f>
        <v/>
      </c>
      <c r="W69">
        <f>20*LOG10(IMABS(V69))</f>
        <v/>
      </c>
      <c r="X69">
        <f>IMARGUMENT(V69)*180/Pi</f>
        <v/>
      </c>
      <c r="Z69">
        <f>IMDIV(Q69,T69)</f>
        <v/>
      </c>
      <c r="AA69">
        <f>20*LOG10(IMABS(Z69))</f>
        <v/>
      </c>
      <c r="AB69">
        <f>IMARGUMENT(Z69)*180/Pi</f>
        <v/>
      </c>
      <c r="AD69" s="30">
        <f>IMPRODUCT((RdampCom*CdampCom+RdampCom*CinjCom),C69)</f>
        <v/>
      </c>
      <c r="AE69" s="30">
        <f>IMSUM(1,AD69)</f>
        <v/>
      </c>
      <c r="AF69" s="30">
        <f>IMPRODUCT(G69,L_infilterStd*RdampSel*CinjSel*CdampSel,E69)</f>
        <v/>
      </c>
      <c r="AG69">
        <f>IMPRODUCT(G69,LAEFCom*CinjCom,D69)</f>
        <v/>
      </c>
      <c r="AH69">
        <f>AE69</f>
        <v/>
      </c>
      <c r="AI69" s="299">
        <f>IMSUM(AF69:AH69)</f>
        <v/>
      </c>
      <c r="AK69">
        <f>IMDIV(AE69,AI69)</f>
        <v/>
      </c>
      <c r="AM69">
        <f>20*LOG10(IMABS(AK69))</f>
        <v/>
      </c>
      <c r="AN69">
        <f>IMARGUMENT(AK69)*180/Pi</f>
        <v/>
      </c>
    </row>
    <row r="70">
      <c r="A70" s="335" t="n">
        <v>90000</v>
      </c>
      <c r="B70" s="352">
        <f>A70/1000</f>
        <v/>
      </c>
      <c r="C70">
        <f>COMPLEX(0,2*Pi*A70)</f>
        <v/>
      </c>
      <c r="D70" s="30">
        <f>COMPLEX(-POWER(2*Pi*A70,2),0)</f>
        <v/>
      </c>
      <c r="E70" s="30">
        <f>COMPLEX(0,-POWER(2*Pi*A70,3))</f>
        <v/>
      </c>
      <c r="G70" s="30">
        <f>IMSUM(IMPRODUCT(C70,Rcomp_AEF*Csen_AEF),Csen_AEF/Ccomp_AEF)</f>
        <v/>
      </c>
      <c r="I70" s="30">
        <f>IMPRODUCT((RdampSel*CdampSel+RdampSel*CinjSel),C70)</f>
        <v/>
      </c>
      <c r="J70">
        <f>IMSUM(1,I70)</f>
        <v/>
      </c>
      <c r="L70" s="30">
        <f>IMPRODUCT(G70,L_infilterStd*RdampSel*CinjSel*CdampSel,E70)</f>
        <v/>
      </c>
      <c r="M70">
        <f>IMPRODUCT(G70,L_infilterStd*CinjSel,D70)</f>
        <v/>
      </c>
      <c r="N70">
        <f>J70</f>
        <v/>
      </c>
      <c r="O70" s="299">
        <f>IMSUM(L70:N70)</f>
        <v/>
      </c>
      <c r="P70" s="651" t="n">
        <v>0</v>
      </c>
      <c r="Q70" s="397">
        <f>IMSUM(IMPRODUCT(C70,RdampPssv*CdampPssv),1)</f>
        <v/>
      </c>
      <c r="R70" s="397">
        <f>IMPRODUCT(RdampPssv*CdampPssv*CfilterPssv*LinfilterPssv,E70)</f>
        <v/>
      </c>
      <c r="S70" s="397">
        <f>IMPRODUCT(D70,LinfilterPssv*(CfilterPssv+CdampPssv))</f>
        <v/>
      </c>
      <c r="T70" s="397">
        <f>IMSUM(S70,R70,Q70)</f>
        <v/>
      </c>
      <c r="U70" s="652" t="n">
        <v>1</v>
      </c>
      <c r="V70">
        <f>CHOOSE(INFILTER_TYPE,U70,IMDIV(J70,O70),IMDIV(Q70,T70))</f>
        <v/>
      </c>
      <c r="W70">
        <f>20*LOG10(IMABS(V70))</f>
        <v/>
      </c>
      <c r="X70">
        <f>IMARGUMENT(V70)*180/Pi</f>
        <v/>
      </c>
      <c r="Z70">
        <f>IMDIV(Q70,T70)</f>
        <v/>
      </c>
      <c r="AA70">
        <f>20*LOG10(IMABS(Z70))</f>
        <v/>
      </c>
      <c r="AB70">
        <f>IMARGUMENT(Z70)*180/Pi</f>
        <v/>
      </c>
      <c r="AD70" s="30">
        <f>IMPRODUCT((RdampCom*CdampCom+RdampCom*CinjCom),C70)</f>
        <v/>
      </c>
      <c r="AE70" s="30">
        <f>IMSUM(1,AD70)</f>
        <v/>
      </c>
      <c r="AF70" s="30">
        <f>IMPRODUCT(G70,L_infilterStd*RdampSel*CinjSel*CdampSel,E70)</f>
        <v/>
      </c>
      <c r="AG70">
        <f>IMPRODUCT(G70,LAEFCom*CinjCom,D70)</f>
        <v/>
      </c>
      <c r="AH70">
        <f>AE70</f>
        <v/>
      </c>
      <c r="AI70" s="299">
        <f>IMSUM(AF70:AH70)</f>
        <v/>
      </c>
      <c r="AK70">
        <f>IMDIV(AE70,AI70)</f>
        <v/>
      </c>
      <c r="AM70">
        <f>20*LOG10(IMABS(AK70))</f>
        <v/>
      </c>
      <c r="AN70">
        <f>IMARGUMENT(AK70)*180/Pi</f>
        <v/>
      </c>
    </row>
    <row r="71">
      <c r="A71" s="335" t="n">
        <v>100000</v>
      </c>
      <c r="B71" s="352">
        <f>A71/1000</f>
        <v/>
      </c>
      <c r="C71">
        <f>COMPLEX(0,2*Pi*A71)</f>
        <v/>
      </c>
      <c r="D71" s="30">
        <f>COMPLEX(-POWER(2*Pi*A71,2),0)</f>
        <v/>
      </c>
      <c r="E71" s="30">
        <f>COMPLEX(0,-POWER(2*Pi*A71,3))</f>
        <v/>
      </c>
      <c r="G71" s="30">
        <f>IMSUM(IMPRODUCT(C71,Rcomp_AEF*Csen_AEF),Csen_AEF/Ccomp_AEF)</f>
        <v/>
      </c>
      <c r="I71" s="30">
        <f>IMPRODUCT((RdampSel*CdampSel+RdampSel*CinjSel),C71)</f>
        <v/>
      </c>
      <c r="J71">
        <f>IMSUM(1,I71)</f>
        <v/>
      </c>
      <c r="L71" s="30">
        <f>IMPRODUCT(G71,L_infilterStd*RdampSel*CinjSel*CdampSel,E71)</f>
        <v/>
      </c>
      <c r="M71">
        <f>IMPRODUCT(G71,L_infilterStd*CinjSel,D71)</f>
        <v/>
      </c>
      <c r="N71">
        <f>J71</f>
        <v/>
      </c>
      <c r="O71" s="299">
        <f>IMSUM(L71:N71)</f>
        <v/>
      </c>
      <c r="P71" s="651" t="n">
        <v>0</v>
      </c>
      <c r="Q71" s="397">
        <f>IMSUM(IMPRODUCT(C71,RdampPssv*CdampPssv),1)</f>
        <v/>
      </c>
      <c r="R71" s="397">
        <f>IMPRODUCT(RdampPssv*CdampPssv*CfilterPssv*LinfilterPssv,E71)</f>
        <v/>
      </c>
      <c r="S71" s="397">
        <f>IMPRODUCT(D71,LinfilterPssv*(CfilterPssv+CdampPssv))</f>
        <v/>
      </c>
      <c r="T71" s="397">
        <f>IMSUM(S71,R71,Q71)</f>
        <v/>
      </c>
      <c r="U71" s="652" t="n">
        <v>1</v>
      </c>
      <c r="V71">
        <f>CHOOSE(INFILTER_TYPE,U71,IMDIV(J71,O71),IMDIV(Q71,T71))</f>
        <v/>
      </c>
      <c r="W71">
        <f>20*LOG10(IMABS(V71))</f>
        <v/>
      </c>
      <c r="X71">
        <f>IMARGUMENT(V71)*180/Pi</f>
        <v/>
      </c>
      <c r="Z71">
        <f>IMDIV(Q71,T71)</f>
        <v/>
      </c>
      <c r="AA71">
        <f>20*LOG10(IMABS(Z71))</f>
        <v/>
      </c>
      <c r="AB71">
        <f>IMARGUMENT(Z71)*180/Pi</f>
        <v/>
      </c>
      <c r="AD71" s="30">
        <f>IMPRODUCT((RdampCom*CdampCom+RdampCom*CinjCom),C71)</f>
        <v/>
      </c>
      <c r="AE71" s="30">
        <f>IMSUM(1,AD71)</f>
        <v/>
      </c>
      <c r="AF71" s="30">
        <f>IMPRODUCT(G71,L_infilterStd*RdampSel*CinjSel*CdampSel,E71)</f>
        <v/>
      </c>
      <c r="AG71">
        <f>IMPRODUCT(G71,LAEFCom*CinjCom,D71)</f>
        <v/>
      </c>
      <c r="AH71">
        <f>AE71</f>
        <v/>
      </c>
      <c r="AI71" s="299">
        <f>IMSUM(AF71:AH71)</f>
        <v/>
      </c>
      <c r="AK71">
        <f>IMDIV(AE71,AI71)</f>
        <v/>
      </c>
      <c r="AM71">
        <f>20*LOG10(IMABS(AK71))</f>
        <v/>
      </c>
      <c r="AN71">
        <f>IMARGUMENT(AK71)*180/Pi</f>
        <v/>
      </c>
    </row>
    <row r="72">
      <c r="A72" s="335" t="n">
        <v>110000</v>
      </c>
      <c r="B72" s="352">
        <f>A72/1000</f>
        <v/>
      </c>
      <c r="C72">
        <f>COMPLEX(0,2*Pi*A72)</f>
        <v/>
      </c>
      <c r="D72" s="30">
        <f>COMPLEX(-POWER(2*Pi*A72,2),0)</f>
        <v/>
      </c>
      <c r="E72" s="30">
        <f>COMPLEX(0,-POWER(2*Pi*A72,3))</f>
        <v/>
      </c>
      <c r="G72" s="30">
        <f>IMSUM(IMPRODUCT(C72,Rcomp_AEF*Csen_AEF),Csen_AEF/Ccomp_AEF)</f>
        <v/>
      </c>
      <c r="I72" s="30">
        <f>IMPRODUCT((RdampSel*CdampSel+RdampSel*CinjSel),C72)</f>
        <v/>
      </c>
      <c r="J72">
        <f>IMSUM(1,I72)</f>
        <v/>
      </c>
      <c r="L72" s="30">
        <f>IMPRODUCT(G72,L_infilterStd*RdampSel*CinjSel*CdampSel,E72)</f>
        <v/>
      </c>
      <c r="M72">
        <f>IMPRODUCT(G72,L_infilterStd*CinjSel,D72)</f>
        <v/>
      </c>
      <c r="N72">
        <f>J72</f>
        <v/>
      </c>
      <c r="O72" s="299">
        <f>IMSUM(L72:N72)</f>
        <v/>
      </c>
      <c r="P72" s="651" t="n">
        <v>1</v>
      </c>
      <c r="Q72" s="397">
        <f>IMSUM(IMPRODUCT(C72,RdampPssv*CdampPssv),1)</f>
        <v/>
      </c>
      <c r="R72" s="397">
        <f>IMPRODUCT(RdampPssv*CdampPssv*CfilterPssv*LinfilterPssv,E72)</f>
        <v/>
      </c>
      <c r="S72" s="397">
        <f>IMPRODUCT(D72,LinfilterPssv*(CfilterPssv+CdampPssv))</f>
        <v/>
      </c>
      <c r="T72" s="397">
        <f>IMSUM(S72,R72,Q72)</f>
        <v/>
      </c>
      <c r="U72" s="652" t="n">
        <v>1</v>
      </c>
      <c r="V72">
        <f>CHOOSE(INFILTER_TYPE,U72,IMDIV(J72,O72),IMDIV(Q72,T72))</f>
        <v/>
      </c>
      <c r="W72">
        <f>20*LOG10(IMABS(V72))</f>
        <v/>
      </c>
      <c r="X72">
        <f>IMARGUMENT(V72)*180/Pi</f>
        <v/>
      </c>
      <c r="Z72">
        <f>IMDIV(Q72,T72)</f>
        <v/>
      </c>
      <c r="AA72">
        <f>20*LOG10(IMABS(Z72))</f>
        <v/>
      </c>
      <c r="AB72">
        <f>IMARGUMENT(Z72)*180/Pi</f>
        <v/>
      </c>
      <c r="AD72" s="30">
        <f>IMPRODUCT((RdampCom*CdampCom+RdampCom*CinjCom),C72)</f>
        <v/>
      </c>
      <c r="AE72" s="30">
        <f>IMSUM(1,AD72)</f>
        <v/>
      </c>
      <c r="AF72" s="30">
        <f>IMPRODUCT(G72,L_infilterStd*RdampSel*CinjSel*CdampSel,E72)</f>
        <v/>
      </c>
      <c r="AG72">
        <f>IMPRODUCT(G72,LAEFCom*CinjCom,D72)</f>
        <v/>
      </c>
      <c r="AH72">
        <f>AE72</f>
        <v/>
      </c>
      <c r="AI72" s="299">
        <f>IMSUM(AF72:AH72)</f>
        <v/>
      </c>
      <c r="AK72">
        <f>IMDIV(AE72,AI72)</f>
        <v/>
      </c>
      <c r="AM72">
        <f>20*LOG10(IMABS(AK72))</f>
        <v/>
      </c>
      <c r="AN72">
        <f>IMARGUMENT(AK72)*180/Pi</f>
        <v/>
      </c>
    </row>
    <row r="73">
      <c r="A73" s="335" t="n">
        <v>120000</v>
      </c>
      <c r="B73" s="352">
        <f>A73/1000</f>
        <v/>
      </c>
      <c r="C73">
        <f>COMPLEX(0,2*Pi*A73)</f>
        <v/>
      </c>
      <c r="D73" s="30">
        <f>COMPLEX(-POWER(2*Pi*A73,2),0)</f>
        <v/>
      </c>
      <c r="E73" s="30">
        <f>COMPLEX(0,-POWER(2*Pi*A73,3))</f>
        <v/>
      </c>
      <c r="G73" s="30">
        <f>IMSUM(IMPRODUCT(C73,Rcomp_AEF*Csen_AEF),Csen_AEF/Ccomp_AEF)</f>
        <v/>
      </c>
      <c r="I73" s="30">
        <f>IMPRODUCT((RdampSel*CdampSel+RdampSel*CinjSel),C73)</f>
        <v/>
      </c>
      <c r="J73">
        <f>IMSUM(1,I73)</f>
        <v/>
      </c>
      <c r="L73" s="30">
        <f>IMPRODUCT(G73,L_infilterStd*RdampSel*CinjSel*CdampSel,E73)</f>
        <v/>
      </c>
      <c r="M73">
        <f>IMPRODUCT(G73,L_infilterStd*CinjSel,D73)</f>
        <v/>
      </c>
      <c r="N73">
        <f>J73</f>
        <v/>
      </c>
      <c r="O73" s="299">
        <f>IMSUM(L73:N73)</f>
        <v/>
      </c>
      <c r="P73" s="651" t="n">
        <v>2</v>
      </c>
      <c r="Q73" s="397">
        <f>IMSUM(IMPRODUCT(C73,RdampPssv*CdampPssv),1)</f>
        <v/>
      </c>
      <c r="R73" s="397">
        <f>IMPRODUCT(RdampPssv*CdampPssv*CfilterPssv*LinfilterPssv,E73)</f>
        <v/>
      </c>
      <c r="S73" s="397">
        <f>IMPRODUCT(D73,LinfilterPssv*(CfilterPssv+CdampPssv))</f>
        <v/>
      </c>
      <c r="T73" s="397">
        <f>IMSUM(S73,R73,Q73)</f>
        <v/>
      </c>
      <c r="U73" s="652" t="n">
        <v>1</v>
      </c>
      <c r="V73">
        <f>CHOOSE(INFILTER_TYPE,U73,IMDIV(J73,O73),IMDIV(Q73,T73))</f>
        <v/>
      </c>
      <c r="W73">
        <f>20*LOG10(IMABS(V73))</f>
        <v/>
      </c>
      <c r="X73">
        <f>IMARGUMENT(V73)*180/Pi</f>
        <v/>
      </c>
      <c r="Z73">
        <f>IMDIV(Q73,T73)</f>
        <v/>
      </c>
      <c r="AA73">
        <f>20*LOG10(IMABS(Z73))</f>
        <v/>
      </c>
      <c r="AB73">
        <f>IMARGUMENT(Z73)*180/Pi</f>
        <v/>
      </c>
      <c r="AD73" s="30">
        <f>IMPRODUCT((RdampCom*CdampCom+RdampCom*CinjCom),C73)</f>
        <v/>
      </c>
      <c r="AE73" s="30">
        <f>IMSUM(1,AD73)</f>
        <v/>
      </c>
      <c r="AF73" s="30">
        <f>IMPRODUCT(G73,L_infilterStd*RdampSel*CinjSel*CdampSel,E73)</f>
        <v/>
      </c>
      <c r="AG73">
        <f>IMPRODUCT(G73,LAEFCom*CinjCom,D73)</f>
        <v/>
      </c>
      <c r="AH73">
        <f>AE73</f>
        <v/>
      </c>
      <c r="AI73" s="299">
        <f>IMSUM(AF73:AH73)</f>
        <v/>
      </c>
      <c r="AK73">
        <f>IMDIV(AE73,AI73)</f>
        <v/>
      </c>
      <c r="AM73">
        <f>20*LOG10(IMABS(AK73))</f>
        <v/>
      </c>
      <c r="AN73">
        <f>IMARGUMENT(AK73)*180/Pi</f>
        <v/>
      </c>
    </row>
    <row r="74">
      <c r="A74" s="335" t="n">
        <v>130000</v>
      </c>
      <c r="B74" s="352">
        <f>A74/1000</f>
        <v/>
      </c>
      <c r="C74">
        <f>COMPLEX(0,2*Pi*A74)</f>
        <v/>
      </c>
      <c r="D74" s="30">
        <f>COMPLEX(-POWER(2*Pi*A74,2),0)</f>
        <v/>
      </c>
      <c r="E74" s="30">
        <f>COMPLEX(0,-POWER(2*Pi*A74,3))</f>
        <v/>
      </c>
      <c r="G74" s="30">
        <f>IMSUM(IMPRODUCT(C74,Rcomp_AEF*Csen_AEF),Csen_AEF/Ccomp_AEF)</f>
        <v/>
      </c>
      <c r="I74" s="30">
        <f>IMPRODUCT((RdampSel*CdampSel+RdampSel*CinjSel),C74)</f>
        <v/>
      </c>
      <c r="J74">
        <f>IMSUM(1,I74)</f>
        <v/>
      </c>
      <c r="L74" s="30">
        <f>IMPRODUCT(G74,L_infilterStd*RdampSel*CinjSel*CdampSel,E74)</f>
        <v/>
      </c>
      <c r="M74">
        <f>IMPRODUCT(G74,L_infilterStd*CinjSel,D74)</f>
        <v/>
      </c>
      <c r="N74">
        <f>J74</f>
        <v/>
      </c>
      <c r="O74" s="299">
        <f>IMSUM(L74:N74)</f>
        <v/>
      </c>
      <c r="P74" s="651" t="n">
        <v>3</v>
      </c>
      <c r="Q74" s="397">
        <f>IMSUM(IMPRODUCT(C74,RdampPssv*CdampPssv),1)</f>
        <v/>
      </c>
      <c r="R74" s="397">
        <f>IMPRODUCT(RdampPssv*CdampPssv*CfilterPssv*LinfilterPssv,E74)</f>
        <v/>
      </c>
      <c r="S74" s="397">
        <f>IMPRODUCT(D74,LinfilterPssv*(CfilterPssv+CdampPssv))</f>
        <v/>
      </c>
      <c r="T74" s="397">
        <f>IMSUM(S74,R74,Q74)</f>
        <v/>
      </c>
      <c r="U74" s="652" t="n">
        <v>1</v>
      </c>
      <c r="V74">
        <f>CHOOSE(INFILTER_TYPE,U74,IMDIV(J74,O74),IMDIV(Q74,T74))</f>
        <v/>
      </c>
      <c r="W74">
        <f>20*LOG10(IMABS(V74))</f>
        <v/>
      </c>
      <c r="X74">
        <f>IMARGUMENT(V74)*180/Pi</f>
        <v/>
      </c>
      <c r="Z74">
        <f>IMDIV(Q74,T74)</f>
        <v/>
      </c>
      <c r="AA74">
        <f>20*LOG10(IMABS(Z74))</f>
        <v/>
      </c>
      <c r="AB74">
        <f>IMARGUMENT(Z74)*180/Pi</f>
        <v/>
      </c>
      <c r="AD74" s="30">
        <f>IMPRODUCT((RdampCom*CdampCom+RdampCom*CinjCom),C74)</f>
        <v/>
      </c>
      <c r="AE74" s="30">
        <f>IMSUM(1,AD74)</f>
        <v/>
      </c>
      <c r="AF74" s="30">
        <f>IMPRODUCT(G74,L_infilterStd*RdampSel*CinjSel*CdampSel,E74)</f>
        <v/>
      </c>
      <c r="AG74">
        <f>IMPRODUCT(G74,LAEFCom*CinjCom,D74)</f>
        <v/>
      </c>
      <c r="AH74">
        <f>AE74</f>
        <v/>
      </c>
      <c r="AI74" s="299">
        <f>IMSUM(AF74:AH74)</f>
        <v/>
      </c>
      <c r="AK74">
        <f>IMDIV(AE74,AI74)</f>
        <v/>
      </c>
      <c r="AM74">
        <f>20*LOG10(IMABS(AK74))</f>
        <v/>
      </c>
      <c r="AN74">
        <f>IMARGUMENT(AK74)*180/Pi</f>
        <v/>
      </c>
    </row>
    <row r="75">
      <c r="A75" s="335" t="n">
        <v>150000</v>
      </c>
      <c r="B75" s="352">
        <f>A75/1000</f>
        <v/>
      </c>
      <c r="C75">
        <f>COMPLEX(0,2*Pi*A75)</f>
        <v/>
      </c>
      <c r="D75" s="30">
        <f>COMPLEX(-POWER(2*Pi*A75,2),0)</f>
        <v/>
      </c>
      <c r="E75" s="30">
        <f>COMPLEX(0,-POWER(2*Pi*A75,3))</f>
        <v/>
      </c>
      <c r="G75" s="30">
        <f>IMSUM(IMPRODUCT(C75,Rcomp_AEF*Csen_AEF),Csen_AEF/Ccomp_AEF)</f>
        <v/>
      </c>
      <c r="I75" s="30">
        <f>IMPRODUCT((RdampSel*CdampSel+RdampSel*CinjSel),C75)</f>
        <v/>
      </c>
      <c r="J75">
        <f>IMSUM(1,I75)</f>
        <v/>
      </c>
      <c r="L75" s="30">
        <f>IMPRODUCT(G75,L_infilterStd*RdampSel*CinjSel*CdampSel,E75)</f>
        <v/>
      </c>
      <c r="M75">
        <f>IMPRODUCT(G75,L_infilterStd*CinjSel,D75)</f>
        <v/>
      </c>
      <c r="N75">
        <f>J75</f>
        <v/>
      </c>
      <c r="O75" s="299">
        <f>IMSUM(L75:N75)</f>
        <v/>
      </c>
      <c r="P75" s="651" t="n">
        <v>4</v>
      </c>
      <c r="Q75" s="397">
        <f>IMSUM(IMPRODUCT(C75,RdampPssv*CdampPssv),1)</f>
        <v/>
      </c>
      <c r="R75" s="397">
        <f>IMPRODUCT(RdampPssv*CdampPssv*CfilterPssv*LinfilterPssv,E75)</f>
        <v/>
      </c>
      <c r="S75" s="397">
        <f>IMPRODUCT(D75,LinfilterPssv*(CfilterPssv+CdampPssv))</f>
        <v/>
      </c>
      <c r="T75" s="397">
        <f>IMSUM(S75,R75,Q75)</f>
        <v/>
      </c>
      <c r="U75" s="652" t="n">
        <v>1</v>
      </c>
      <c r="V75">
        <f>CHOOSE(INFILTER_TYPE,U75,IMDIV(J75,O75),IMDIV(Q75,T75))</f>
        <v/>
      </c>
      <c r="W75">
        <f>20*LOG10(IMABS(V75))</f>
        <v/>
      </c>
      <c r="X75">
        <f>IMARGUMENT(V75)*180/Pi</f>
        <v/>
      </c>
      <c r="Z75">
        <f>IMDIV(Q75,T75)</f>
        <v/>
      </c>
      <c r="AA75">
        <f>20*LOG10(IMABS(Z75))</f>
        <v/>
      </c>
      <c r="AB75">
        <f>IMARGUMENT(Z75)*180/Pi</f>
        <v/>
      </c>
      <c r="AD75" s="30">
        <f>IMPRODUCT((RdampCom*CdampCom+RdampCom*CinjCom),C75)</f>
        <v/>
      </c>
      <c r="AE75" s="30">
        <f>IMSUM(1,AD75)</f>
        <v/>
      </c>
      <c r="AF75" s="30">
        <f>IMPRODUCT(G75,L_infilterStd*RdampSel*CinjSel*CdampSel,E75)</f>
        <v/>
      </c>
      <c r="AG75">
        <f>IMPRODUCT(G75,LAEFCom*CinjCom,D75)</f>
        <v/>
      </c>
      <c r="AH75">
        <f>AE75</f>
        <v/>
      </c>
      <c r="AI75" s="299">
        <f>IMSUM(AF75:AH75)</f>
        <v/>
      </c>
      <c r="AK75">
        <f>IMDIV(AE75,AI75)</f>
        <v/>
      </c>
      <c r="AM75">
        <f>20*LOG10(IMABS(AK75))</f>
        <v/>
      </c>
      <c r="AN75">
        <f>IMARGUMENT(AK75)*180/Pi</f>
        <v/>
      </c>
    </row>
    <row r="76">
      <c r="A76" s="335" t="n">
        <v>160000</v>
      </c>
      <c r="B76" s="352">
        <f>A76/1000</f>
        <v/>
      </c>
      <c r="C76">
        <f>COMPLEX(0,2*Pi*A76)</f>
        <v/>
      </c>
      <c r="D76" s="30">
        <f>COMPLEX(-POWER(2*Pi*A76,2),0)</f>
        <v/>
      </c>
      <c r="E76" s="30">
        <f>COMPLEX(0,-POWER(2*Pi*A76,3))</f>
        <v/>
      </c>
      <c r="G76" s="30">
        <f>IMSUM(IMPRODUCT(C76,Rcomp_AEF*Csen_AEF),Csen_AEF/Ccomp_AEF)</f>
        <v/>
      </c>
      <c r="I76" s="30">
        <f>IMPRODUCT((RdampSel*CdampSel+RdampSel*CinjSel),C76)</f>
        <v/>
      </c>
      <c r="J76">
        <f>IMSUM(1,I76)</f>
        <v/>
      </c>
      <c r="L76" s="30">
        <f>IMPRODUCT(G76,L_infilterStd*RdampSel*CinjSel*CdampSel,E76)</f>
        <v/>
      </c>
      <c r="M76">
        <f>IMPRODUCT(G76,L_infilterStd*CinjSel,D76)</f>
        <v/>
      </c>
      <c r="N76">
        <f>J76</f>
        <v/>
      </c>
      <c r="O76" s="299">
        <f>IMSUM(L76:N76)</f>
        <v/>
      </c>
      <c r="P76" s="651" t="n">
        <v>5</v>
      </c>
      <c r="Q76" s="397">
        <f>IMSUM(IMPRODUCT(C76,RdampPssv*CdampPssv),1)</f>
        <v/>
      </c>
      <c r="R76" s="397">
        <f>IMPRODUCT(RdampPssv*CdampPssv*CfilterPssv*LinfilterPssv,E76)</f>
        <v/>
      </c>
      <c r="S76" s="397">
        <f>IMPRODUCT(D76,LinfilterPssv*(CfilterPssv+CdampPssv))</f>
        <v/>
      </c>
      <c r="T76" s="397">
        <f>IMSUM(S76,R76,Q76)</f>
        <v/>
      </c>
      <c r="U76" s="652" t="n">
        <v>1</v>
      </c>
      <c r="V76">
        <f>CHOOSE(INFILTER_TYPE,U76,IMDIV(J76,O76),IMDIV(Q76,T76))</f>
        <v/>
      </c>
      <c r="W76">
        <f>20*LOG10(IMABS(V76))</f>
        <v/>
      </c>
      <c r="X76">
        <f>IMARGUMENT(V76)*180/Pi</f>
        <v/>
      </c>
      <c r="Z76">
        <f>IMDIV(Q76,T76)</f>
        <v/>
      </c>
      <c r="AA76">
        <f>20*LOG10(IMABS(Z76))</f>
        <v/>
      </c>
      <c r="AB76">
        <f>IMARGUMENT(Z76)*180/Pi</f>
        <v/>
      </c>
      <c r="AD76" s="30">
        <f>IMPRODUCT((RdampCom*CdampCom+RdampCom*CinjCom),C76)</f>
        <v/>
      </c>
      <c r="AE76" s="30">
        <f>IMSUM(1,AD76)</f>
        <v/>
      </c>
      <c r="AF76" s="30">
        <f>IMPRODUCT(G76,L_infilterStd*RdampSel*CinjSel*CdampSel,E76)</f>
        <v/>
      </c>
      <c r="AG76">
        <f>IMPRODUCT(G76,LAEFCom*CinjCom,D76)</f>
        <v/>
      </c>
      <c r="AH76">
        <f>AE76</f>
        <v/>
      </c>
      <c r="AI76" s="299">
        <f>IMSUM(AF76:AH76)</f>
        <v/>
      </c>
      <c r="AK76">
        <f>IMDIV(AE76,AI76)</f>
        <v/>
      </c>
      <c r="AM76">
        <f>20*LOG10(IMABS(AK76))</f>
        <v/>
      </c>
      <c r="AN76">
        <f>IMARGUMENT(AK76)*180/Pi</f>
        <v/>
      </c>
    </row>
    <row r="77">
      <c r="A77" s="335" t="n">
        <v>175000</v>
      </c>
      <c r="B77" s="352">
        <f>A77/1000</f>
        <v/>
      </c>
      <c r="C77">
        <f>COMPLEX(0,2*Pi*A77)</f>
        <v/>
      </c>
      <c r="D77" s="30">
        <f>COMPLEX(-POWER(2*Pi*A77,2),0)</f>
        <v/>
      </c>
      <c r="E77" s="30">
        <f>COMPLEX(0,-POWER(2*Pi*A77,3))</f>
        <v/>
      </c>
      <c r="G77" s="30">
        <f>IMSUM(IMPRODUCT(C77,Rcomp_AEF*Csen_AEF),Csen_AEF/Ccomp_AEF)</f>
        <v/>
      </c>
      <c r="I77" s="30">
        <f>IMPRODUCT((RdampSel*CdampSel+RdampSel*CinjSel),C77)</f>
        <v/>
      </c>
      <c r="J77">
        <f>IMSUM(1,I77)</f>
        <v/>
      </c>
      <c r="L77" s="30">
        <f>IMPRODUCT(G77,L_infilterStd*RdampSel*CinjSel*CdampSel,E77)</f>
        <v/>
      </c>
      <c r="M77">
        <f>IMPRODUCT(G77,L_infilterStd*CinjSel,D77)</f>
        <v/>
      </c>
      <c r="N77">
        <f>J77</f>
        <v/>
      </c>
      <c r="O77" s="299">
        <f>IMSUM(L77:N77)</f>
        <v/>
      </c>
      <c r="P77" s="651" t="n">
        <v>6</v>
      </c>
      <c r="Q77" s="397">
        <f>IMSUM(IMPRODUCT(C77,RdampPssv*CdampPssv),1)</f>
        <v/>
      </c>
      <c r="R77" s="397">
        <f>IMPRODUCT(RdampPssv*CdampPssv*CfilterPssv*LinfilterPssv,E77)</f>
        <v/>
      </c>
      <c r="S77" s="397">
        <f>IMPRODUCT(D77,LinfilterPssv*(CfilterPssv+CdampPssv))</f>
        <v/>
      </c>
      <c r="T77" s="397">
        <f>IMSUM(S77,R77,Q77)</f>
        <v/>
      </c>
      <c r="U77" s="652" t="n">
        <v>1</v>
      </c>
      <c r="V77">
        <f>CHOOSE(INFILTER_TYPE,U77,IMDIV(J77,O77),IMDIV(Q77,T77))</f>
        <v/>
      </c>
      <c r="W77">
        <f>20*LOG10(IMABS(V77))</f>
        <v/>
      </c>
      <c r="X77">
        <f>IMARGUMENT(V77)*180/Pi</f>
        <v/>
      </c>
      <c r="Z77">
        <f>IMDIV(Q77,T77)</f>
        <v/>
      </c>
      <c r="AA77">
        <f>20*LOG10(IMABS(Z77))</f>
        <v/>
      </c>
      <c r="AB77">
        <f>IMARGUMENT(Z77)*180/Pi</f>
        <v/>
      </c>
      <c r="AD77" s="30">
        <f>IMPRODUCT((RdampCom*CdampCom+RdampCom*CinjCom),C77)</f>
        <v/>
      </c>
      <c r="AE77" s="30">
        <f>IMSUM(1,AD77)</f>
        <v/>
      </c>
      <c r="AF77" s="30">
        <f>IMPRODUCT(G77,L_infilterStd*RdampSel*CinjSel*CdampSel,E77)</f>
        <v/>
      </c>
      <c r="AG77">
        <f>IMPRODUCT(G77,LAEFCom*CinjCom,D77)</f>
        <v/>
      </c>
      <c r="AH77">
        <f>AE77</f>
        <v/>
      </c>
      <c r="AI77" s="299">
        <f>IMSUM(AF77:AH77)</f>
        <v/>
      </c>
      <c r="AK77">
        <f>IMDIV(AE77,AI77)</f>
        <v/>
      </c>
      <c r="AM77">
        <f>20*LOG10(IMABS(AK77))</f>
        <v/>
      </c>
      <c r="AN77">
        <f>IMARGUMENT(AK77)*180/Pi</f>
        <v/>
      </c>
    </row>
    <row r="78">
      <c r="A78" s="335" t="n">
        <v>190000</v>
      </c>
      <c r="B78" s="352">
        <f>A78/1000</f>
        <v/>
      </c>
      <c r="C78">
        <f>COMPLEX(0,2*Pi*A78)</f>
        <v/>
      </c>
      <c r="D78" s="30">
        <f>COMPLEX(-POWER(2*Pi*A78,2),0)</f>
        <v/>
      </c>
      <c r="E78" s="30">
        <f>COMPLEX(0,-POWER(2*Pi*A78,3))</f>
        <v/>
      </c>
      <c r="G78" s="30">
        <f>IMSUM(IMPRODUCT(C78,Rcomp_AEF*Csen_AEF),Csen_AEF/Ccomp_AEF)</f>
        <v/>
      </c>
      <c r="I78" s="30">
        <f>IMPRODUCT((RdampSel*CdampSel+RdampSel*CinjSel),C78)</f>
        <v/>
      </c>
      <c r="J78">
        <f>IMSUM(1,I78)</f>
        <v/>
      </c>
      <c r="L78" s="30">
        <f>IMPRODUCT(G78,L_infilterStd*RdampSel*CinjSel*CdampSel,E78)</f>
        <v/>
      </c>
      <c r="M78">
        <f>IMPRODUCT(G78,L_infilterStd*CinjSel,D78)</f>
        <v/>
      </c>
      <c r="N78">
        <f>J78</f>
        <v/>
      </c>
      <c r="O78" s="299">
        <f>IMSUM(L78:N78)</f>
        <v/>
      </c>
      <c r="P78" s="651" t="n">
        <v>7</v>
      </c>
      <c r="Q78" s="397">
        <f>IMSUM(IMPRODUCT(C78,RdampPssv*CdampPssv),1)</f>
        <v/>
      </c>
      <c r="R78" s="397">
        <f>IMPRODUCT(RdampPssv*CdampPssv*CfilterPssv*LinfilterPssv,E78)</f>
        <v/>
      </c>
      <c r="S78" s="397">
        <f>IMPRODUCT(D78,LinfilterPssv*(CfilterPssv+CdampPssv))</f>
        <v/>
      </c>
      <c r="T78" s="397">
        <f>IMSUM(S78,R78,Q78)</f>
        <v/>
      </c>
      <c r="U78" s="652" t="n">
        <v>1</v>
      </c>
      <c r="V78">
        <f>CHOOSE(INFILTER_TYPE,U78,IMDIV(J78,O78),IMDIV(Q78,T78))</f>
        <v/>
      </c>
      <c r="W78">
        <f>20*LOG10(IMABS(V78))</f>
        <v/>
      </c>
      <c r="X78">
        <f>IMARGUMENT(V78)*180/Pi</f>
        <v/>
      </c>
      <c r="Z78">
        <f>IMDIV(Q78,T78)</f>
        <v/>
      </c>
      <c r="AA78">
        <f>20*LOG10(IMABS(Z78))</f>
        <v/>
      </c>
      <c r="AB78">
        <f>IMARGUMENT(Z78)*180/Pi</f>
        <v/>
      </c>
      <c r="AD78" s="30">
        <f>IMPRODUCT((RdampCom*CdampCom+RdampCom*CinjCom),C78)</f>
        <v/>
      </c>
      <c r="AE78" s="30">
        <f>IMSUM(1,AD78)</f>
        <v/>
      </c>
      <c r="AF78" s="30">
        <f>IMPRODUCT(G78,L_infilterStd*RdampSel*CinjSel*CdampSel,E78)</f>
        <v/>
      </c>
      <c r="AG78">
        <f>IMPRODUCT(G78,LAEFCom*CinjCom,D78)</f>
        <v/>
      </c>
      <c r="AH78">
        <f>AE78</f>
        <v/>
      </c>
      <c r="AI78" s="299">
        <f>IMSUM(AF78:AH78)</f>
        <v/>
      </c>
      <c r="AK78">
        <f>IMDIV(AE78,AI78)</f>
        <v/>
      </c>
      <c r="AM78">
        <f>20*LOG10(IMABS(AK78))</f>
        <v/>
      </c>
      <c r="AN78">
        <f>IMARGUMENT(AK78)*180/Pi</f>
        <v/>
      </c>
    </row>
    <row r="79">
      <c r="A79" s="653" t="n">
        <v>200000</v>
      </c>
      <c r="B79" s="352">
        <f>A79/1000</f>
        <v/>
      </c>
      <c r="C79">
        <f>COMPLEX(0,2*Pi*A79)</f>
        <v/>
      </c>
      <c r="D79" s="30">
        <f>COMPLEX(-POWER(2*Pi*A79,2),0)</f>
        <v/>
      </c>
      <c r="E79" s="30">
        <f>COMPLEX(0,-POWER(2*Pi*A79,3))</f>
        <v/>
      </c>
      <c r="G79" s="30">
        <f>IMSUM(IMPRODUCT(C79,Rcomp_AEF*Csen_AEF),Csen_AEF/Ccomp_AEF)</f>
        <v/>
      </c>
      <c r="I79" s="30">
        <f>IMPRODUCT((RdampSel*CdampSel+RdampSel*CinjSel),C79)</f>
        <v/>
      </c>
      <c r="J79">
        <f>IMSUM(1,I79)</f>
        <v/>
      </c>
      <c r="L79" s="30">
        <f>IMPRODUCT(G79,L_infilterStd*RdampSel*CinjSel*CdampSel,E79)</f>
        <v/>
      </c>
      <c r="M79">
        <f>IMPRODUCT(G79,L_infilterStd*CinjSel,D79)</f>
        <v/>
      </c>
      <c r="N79">
        <f>J79</f>
        <v/>
      </c>
      <c r="O79" s="299">
        <f>IMSUM(L79:N79)</f>
        <v/>
      </c>
      <c r="P79" s="651" t="n">
        <v>0</v>
      </c>
      <c r="Q79" s="397">
        <f>IMSUM(IMPRODUCT(C79,RdampPssv*CdampPssv),1)</f>
        <v/>
      </c>
      <c r="R79" s="397">
        <f>IMPRODUCT(RdampPssv*CdampPssv*CfilterPssv*LinfilterPssv,E79)</f>
        <v/>
      </c>
      <c r="S79" s="397">
        <f>IMPRODUCT(D79,LinfilterPssv*(CfilterPssv+CdampPssv))</f>
        <v/>
      </c>
      <c r="T79" s="397">
        <f>IMSUM(S79,R79,Q79)</f>
        <v/>
      </c>
      <c r="U79" s="652" t="n">
        <v>1</v>
      </c>
      <c r="V79">
        <f>CHOOSE(INFILTER_TYPE,U79,IMDIV(J79,O79),IMDIV(Q79,T79))</f>
        <v/>
      </c>
      <c r="W79">
        <f>20*LOG10(IMABS(V79))</f>
        <v/>
      </c>
      <c r="X79">
        <f>IMARGUMENT(V79)*180/Pi</f>
        <v/>
      </c>
      <c r="Z79">
        <f>IMDIV(Q79,T79)</f>
        <v/>
      </c>
      <c r="AA79">
        <f>20*LOG10(IMABS(Z79))</f>
        <v/>
      </c>
      <c r="AB79">
        <f>IMARGUMENT(Z79)*180/Pi</f>
        <v/>
      </c>
      <c r="AD79" s="30">
        <f>IMPRODUCT((RdampCom*CdampCom+RdampCom*CinjCom),C79)</f>
        <v/>
      </c>
      <c r="AE79" s="30">
        <f>IMSUM(1,AD79)</f>
        <v/>
      </c>
      <c r="AF79" s="30">
        <f>IMPRODUCT(G79,L_infilterStd*RdampSel*CinjSel*CdampSel,E79)</f>
        <v/>
      </c>
      <c r="AG79">
        <f>IMPRODUCT(G79,LAEFCom*CinjCom,D79)</f>
        <v/>
      </c>
      <c r="AH79">
        <f>AE79</f>
        <v/>
      </c>
      <c r="AI79" s="299">
        <f>IMSUM(AF79:AH79)</f>
        <v/>
      </c>
      <c r="AK79">
        <f>IMDIV(AE79,AI79)</f>
        <v/>
      </c>
      <c r="AM79">
        <f>20*LOG10(IMABS(AK79))</f>
        <v/>
      </c>
      <c r="AN79">
        <f>IMARGUMENT(AK79)*180/Pi</f>
        <v/>
      </c>
    </row>
    <row r="80">
      <c r="A80" s="335" t="n">
        <v>300000</v>
      </c>
      <c r="B80" s="352">
        <f>A80/1000</f>
        <v/>
      </c>
      <c r="C80">
        <f>COMPLEX(0,2*Pi*A80)</f>
        <v/>
      </c>
      <c r="D80" s="30">
        <f>COMPLEX(-POWER(2*Pi*A80,2),0)</f>
        <v/>
      </c>
      <c r="E80" s="30">
        <f>COMPLEX(0,-POWER(2*Pi*A80,3))</f>
        <v/>
      </c>
      <c r="G80" s="30">
        <f>IMSUM(IMPRODUCT(C80,Rcomp_AEF*Csen_AEF),Csen_AEF/Ccomp_AEF)</f>
        <v/>
      </c>
      <c r="I80" s="30">
        <f>IMPRODUCT((RdampSel*CdampSel+RdampSel*CinjSel),C80)</f>
        <v/>
      </c>
      <c r="J80">
        <f>IMSUM(1,I80)</f>
        <v/>
      </c>
      <c r="L80" s="30">
        <f>IMPRODUCT(G80,L_infilterStd*RdampSel*CinjSel*CdampSel,E80)</f>
        <v/>
      </c>
      <c r="M80">
        <f>IMPRODUCT(G80,L_infilterStd*CinjSel,D80)</f>
        <v/>
      </c>
      <c r="N80">
        <f>J80</f>
        <v/>
      </c>
      <c r="O80" s="299">
        <f>IMSUM(L80:N80)</f>
        <v/>
      </c>
      <c r="P80" s="651" t="n">
        <v>0</v>
      </c>
      <c r="Q80" s="397">
        <f>IMSUM(IMPRODUCT(C80,RdampPssv*CdampPssv),1)</f>
        <v/>
      </c>
      <c r="R80" s="397">
        <f>IMPRODUCT(RdampPssv*CdampPssv*CfilterPssv*LinfilterPssv,E80)</f>
        <v/>
      </c>
      <c r="S80" s="397">
        <f>IMPRODUCT(D80,LinfilterPssv*(CfilterPssv+CdampPssv))</f>
        <v/>
      </c>
      <c r="T80" s="397">
        <f>IMSUM(S80,R80,Q80)</f>
        <v/>
      </c>
      <c r="U80" s="652" t="n">
        <v>1</v>
      </c>
      <c r="V80">
        <f>CHOOSE(INFILTER_TYPE,U80,IMDIV(J80,O80),IMDIV(Q80,T80))</f>
        <v/>
      </c>
      <c r="W80">
        <f>20*LOG10(IMABS(V80))</f>
        <v/>
      </c>
      <c r="X80">
        <f>IMARGUMENT(V80)*180/Pi</f>
        <v/>
      </c>
      <c r="Z80">
        <f>IMDIV(Q80,T80)</f>
        <v/>
      </c>
      <c r="AA80">
        <f>20*LOG10(IMABS(Z80))</f>
        <v/>
      </c>
      <c r="AB80">
        <f>IMARGUMENT(Z80)*180/Pi</f>
        <v/>
      </c>
      <c r="AD80" s="30">
        <f>IMPRODUCT((RdampCom*CdampCom+RdampCom*CinjCom),C80)</f>
        <v/>
      </c>
      <c r="AE80" s="30">
        <f>IMSUM(1,AD80)</f>
        <v/>
      </c>
      <c r="AF80" s="30">
        <f>IMPRODUCT(G80,L_infilterStd*RdampSel*CinjSel*CdampSel,E80)</f>
        <v/>
      </c>
      <c r="AG80">
        <f>IMPRODUCT(G80,LAEFCom*CinjCom,D80)</f>
        <v/>
      </c>
      <c r="AH80">
        <f>AE80</f>
        <v/>
      </c>
      <c r="AI80" s="299">
        <f>IMSUM(AF80:AH80)</f>
        <v/>
      </c>
      <c r="AK80">
        <f>IMDIV(AE80,AI80)</f>
        <v/>
      </c>
      <c r="AM80">
        <f>20*LOG10(IMABS(AK80))</f>
        <v/>
      </c>
      <c r="AN80">
        <f>IMARGUMENT(AK80)*180/Pi</f>
        <v/>
      </c>
    </row>
    <row r="81">
      <c r="A81" s="653" t="n">
        <v>400000</v>
      </c>
      <c r="B81" s="352">
        <f>A81/1000</f>
        <v/>
      </c>
      <c r="C81">
        <f>COMPLEX(0,2*Pi*A81)</f>
        <v/>
      </c>
      <c r="D81" s="30">
        <f>COMPLEX(-POWER(2*Pi*A81,2),0)</f>
        <v/>
      </c>
      <c r="E81" s="30">
        <f>COMPLEX(0,-POWER(2*Pi*A81,3))</f>
        <v/>
      </c>
      <c r="G81" s="30">
        <f>IMSUM(IMPRODUCT(C81,Rcomp_AEF*Csen_AEF),Csen_AEF/Ccomp_AEF)</f>
        <v/>
      </c>
      <c r="I81" s="30">
        <f>IMPRODUCT((RdampSel*CdampSel+RdampSel*CinjSel),C81)</f>
        <v/>
      </c>
      <c r="J81">
        <f>IMSUM(1,I81)</f>
        <v/>
      </c>
      <c r="L81" s="30">
        <f>IMPRODUCT(G81,L_infilterStd*RdampSel*CinjSel*CdampSel,E81)</f>
        <v/>
      </c>
      <c r="M81">
        <f>IMPRODUCT(G81,L_infilterStd*CinjSel,D81)</f>
        <v/>
      </c>
      <c r="N81">
        <f>J81</f>
        <v/>
      </c>
      <c r="O81" s="299">
        <f>IMSUM(L81:N81)</f>
        <v/>
      </c>
      <c r="P81" s="651" t="n">
        <v>0</v>
      </c>
      <c r="Q81" s="397">
        <f>IMSUM(IMPRODUCT(C81,RdampPssv*CdampPssv),1)</f>
        <v/>
      </c>
      <c r="R81" s="397">
        <f>IMPRODUCT(RdampPssv*CdampPssv*CfilterPssv*LinfilterPssv,E81)</f>
        <v/>
      </c>
      <c r="S81" s="397">
        <f>IMPRODUCT(D81,LinfilterPssv*(CfilterPssv+CdampPssv))</f>
        <v/>
      </c>
      <c r="T81" s="397">
        <f>IMSUM(S81,R81,Q81)</f>
        <v/>
      </c>
      <c r="U81" s="652" t="n">
        <v>1</v>
      </c>
      <c r="V81">
        <f>CHOOSE(INFILTER_TYPE,U81,IMDIV(J81,O81),IMDIV(Q81,T81))</f>
        <v/>
      </c>
      <c r="W81">
        <f>20*LOG10(IMABS(V81))</f>
        <v/>
      </c>
      <c r="X81">
        <f>IMARGUMENT(V81)*180/Pi</f>
        <v/>
      </c>
      <c r="Z81">
        <f>IMDIV(Q81,T81)</f>
        <v/>
      </c>
      <c r="AA81">
        <f>20*LOG10(IMABS(Z81))</f>
        <v/>
      </c>
      <c r="AB81">
        <f>IMARGUMENT(Z81)*180/Pi</f>
        <v/>
      </c>
      <c r="AD81" s="30">
        <f>IMPRODUCT((RdampCom*CdampCom+RdampCom*CinjCom),C81)</f>
        <v/>
      </c>
      <c r="AE81" s="30">
        <f>IMSUM(1,AD81)</f>
        <v/>
      </c>
      <c r="AF81" s="30">
        <f>IMPRODUCT(G81,L_infilterStd*RdampSel*CinjSel*CdampSel,E81)</f>
        <v/>
      </c>
      <c r="AG81">
        <f>IMPRODUCT(G81,LAEFCom*CinjCom,D81)</f>
        <v/>
      </c>
      <c r="AH81">
        <f>AE81</f>
        <v/>
      </c>
      <c r="AI81" s="299">
        <f>IMSUM(AF81:AH81)</f>
        <v/>
      </c>
      <c r="AK81">
        <f>IMDIV(AE81,AI81)</f>
        <v/>
      </c>
      <c r="AM81">
        <f>20*LOG10(IMABS(AK81))</f>
        <v/>
      </c>
      <c r="AN81">
        <f>IMARGUMENT(AK81)*180/Pi</f>
        <v/>
      </c>
    </row>
    <row r="82">
      <c r="A82" s="335" t="n">
        <v>500000</v>
      </c>
      <c r="B82" s="352">
        <f>A82/1000</f>
        <v/>
      </c>
      <c r="C82">
        <f>COMPLEX(0,2*Pi*A82)</f>
        <v/>
      </c>
      <c r="D82" s="30">
        <f>COMPLEX(-POWER(2*Pi*A82,2),0)</f>
        <v/>
      </c>
      <c r="E82" s="30">
        <f>COMPLEX(0,-POWER(2*Pi*A82,3))</f>
        <v/>
      </c>
      <c r="G82" s="30">
        <f>IMSUM(IMPRODUCT(C82,Rcomp_AEF*Csen_AEF),Csen_AEF/Ccomp_AEF)</f>
        <v/>
      </c>
      <c r="I82" s="30">
        <f>IMPRODUCT((RdampSel*CdampSel+RdampSel*CinjSel),C82)</f>
        <v/>
      </c>
      <c r="J82">
        <f>IMSUM(1,I82)</f>
        <v/>
      </c>
      <c r="L82" s="30">
        <f>IMPRODUCT(G82,L_infilterStd*RdampSel*CinjSel*CdampSel,E82)</f>
        <v/>
      </c>
      <c r="M82">
        <f>IMPRODUCT(G82,L_infilterStd*CinjSel,D82)</f>
        <v/>
      </c>
      <c r="N82">
        <f>J82</f>
        <v/>
      </c>
      <c r="O82" s="299">
        <f>IMSUM(L82:N82)</f>
        <v/>
      </c>
      <c r="P82" s="651" t="n">
        <v>0</v>
      </c>
      <c r="Q82" s="397">
        <f>IMSUM(IMPRODUCT(C82,RdampPssv*CdampPssv),1)</f>
        <v/>
      </c>
      <c r="R82" s="397">
        <f>IMPRODUCT(RdampPssv*CdampPssv*CfilterPssv*LinfilterPssv,E82)</f>
        <v/>
      </c>
      <c r="S82" s="397">
        <f>IMPRODUCT(D82,LinfilterPssv*(CfilterPssv+CdampPssv))</f>
        <v/>
      </c>
      <c r="T82" s="397">
        <f>IMSUM(S82,R82,Q82)</f>
        <v/>
      </c>
      <c r="U82" s="652" t="n">
        <v>1</v>
      </c>
      <c r="V82">
        <f>CHOOSE(INFILTER_TYPE,U82,IMDIV(J82,O82),IMDIV(Q82,T82))</f>
        <v/>
      </c>
      <c r="W82">
        <f>20*LOG10(IMABS(V82))</f>
        <v/>
      </c>
      <c r="X82">
        <f>IMARGUMENT(V82)*180/Pi</f>
        <v/>
      </c>
      <c r="Z82">
        <f>IMDIV(Q82,T82)</f>
        <v/>
      </c>
      <c r="AA82">
        <f>20*LOG10(IMABS(Z82))</f>
        <v/>
      </c>
      <c r="AB82">
        <f>IMARGUMENT(Z82)*180/Pi</f>
        <v/>
      </c>
      <c r="AD82" s="30">
        <f>IMPRODUCT((RdampCom*CdampCom+RdampCom*CinjCom),C82)</f>
        <v/>
      </c>
      <c r="AE82" s="30">
        <f>IMSUM(1,AD82)</f>
        <v/>
      </c>
      <c r="AF82" s="30">
        <f>IMPRODUCT(G82,L_infilterStd*RdampSel*CinjSel*CdampSel,E82)</f>
        <v/>
      </c>
      <c r="AG82">
        <f>IMPRODUCT(G82,LAEFCom*CinjCom,D82)</f>
        <v/>
      </c>
      <c r="AH82">
        <f>AE82</f>
        <v/>
      </c>
      <c r="AI82" s="299">
        <f>IMSUM(AF82:AH82)</f>
        <v/>
      </c>
      <c r="AK82">
        <f>IMDIV(AE82,AI82)</f>
        <v/>
      </c>
      <c r="AM82">
        <f>20*LOG10(IMABS(AK82))</f>
        <v/>
      </c>
      <c r="AN82">
        <f>IMARGUMENT(AK82)*180/Pi</f>
        <v/>
      </c>
    </row>
    <row r="83">
      <c r="A83" s="653" t="n">
        <v>600000</v>
      </c>
      <c r="B83" s="352">
        <f>A83/1000</f>
        <v/>
      </c>
      <c r="C83">
        <f>COMPLEX(0,2*Pi*A83)</f>
        <v/>
      </c>
      <c r="D83" s="30">
        <f>COMPLEX(-POWER(2*Pi*A83,2),0)</f>
        <v/>
      </c>
      <c r="E83" s="30">
        <f>COMPLEX(0,-POWER(2*Pi*A83,3))</f>
        <v/>
      </c>
      <c r="G83" s="30">
        <f>IMSUM(IMPRODUCT(C83,Rcomp_AEF*Csen_AEF),Csen_AEF/Ccomp_AEF)</f>
        <v/>
      </c>
      <c r="I83" s="30">
        <f>IMPRODUCT((RdampSel*CdampSel+RdampSel*CinjSel),C83)</f>
        <v/>
      </c>
      <c r="J83">
        <f>IMSUM(1,I83)</f>
        <v/>
      </c>
      <c r="L83" s="30">
        <f>IMPRODUCT(G83,L_infilterStd*RdampSel*CinjSel*CdampSel,E83)</f>
        <v/>
      </c>
      <c r="M83">
        <f>IMPRODUCT(G83,L_infilterStd*CinjSel,D83)</f>
        <v/>
      </c>
      <c r="N83">
        <f>J83</f>
        <v/>
      </c>
      <c r="O83" s="299">
        <f>IMSUM(L83:N83)</f>
        <v/>
      </c>
      <c r="P83" s="651" t="n">
        <v>0</v>
      </c>
      <c r="Q83" s="397">
        <f>IMSUM(IMPRODUCT(C83,RdampPssv*CdampPssv),1)</f>
        <v/>
      </c>
      <c r="R83" s="397">
        <f>IMPRODUCT(RdampPssv*CdampPssv*CfilterPssv*LinfilterPssv,E83)</f>
        <v/>
      </c>
      <c r="S83" s="397">
        <f>IMPRODUCT(D83,LinfilterPssv*(CfilterPssv+CdampPssv))</f>
        <v/>
      </c>
      <c r="T83" s="397">
        <f>IMSUM(S83,R83,Q83)</f>
        <v/>
      </c>
      <c r="U83" s="652" t="n">
        <v>1</v>
      </c>
      <c r="V83">
        <f>CHOOSE(INFILTER_TYPE,U83,IMDIV(J83,O83),IMDIV(Q83,T83))</f>
        <v/>
      </c>
      <c r="W83">
        <f>20*LOG10(IMABS(V83))</f>
        <v/>
      </c>
      <c r="X83">
        <f>IMARGUMENT(V83)*180/Pi</f>
        <v/>
      </c>
      <c r="Z83">
        <f>IMDIV(Q83,T83)</f>
        <v/>
      </c>
      <c r="AA83">
        <f>20*LOG10(IMABS(Z83))</f>
        <v/>
      </c>
      <c r="AB83">
        <f>IMARGUMENT(Z83)*180/Pi</f>
        <v/>
      </c>
      <c r="AD83" s="30">
        <f>IMPRODUCT((RdampCom*CdampCom+RdampCom*CinjCom),C83)</f>
        <v/>
      </c>
      <c r="AE83" s="30">
        <f>IMSUM(1,AD83)</f>
        <v/>
      </c>
      <c r="AF83" s="30">
        <f>IMPRODUCT(G83,L_infilterStd*RdampSel*CinjSel*CdampSel,E83)</f>
        <v/>
      </c>
      <c r="AG83">
        <f>IMPRODUCT(G83,LAEFCom*CinjCom,D83)</f>
        <v/>
      </c>
      <c r="AH83">
        <f>AE83</f>
        <v/>
      </c>
      <c r="AI83" s="299">
        <f>IMSUM(AF83:AH83)</f>
        <v/>
      </c>
      <c r="AK83">
        <f>IMDIV(AE83,AI83)</f>
        <v/>
      </c>
      <c r="AM83">
        <f>20*LOG10(IMABS(AK83))</f>
        <v/>
      </c>
      <c r="AN83">
        <f>IMARGUMENT(AK83)*180/Pi</f>
        <v/>
      </c>
    </row>
    <row r="84">
      <c r="A84" s="335" t="n">
        <v>700000</v>
      </c>
      <c r="B84" s="352">
        <f>A84/1000</f>
        <v/>
      </c>
      <c r="C84">
        <f>COMPLEX(0,2*Pi*A84)</f>
        <v/>
      </c>
      <c r="D84" s="30">
        <f>COMPLEX(-POWER(2*Pi*A84,2),0)</f>
        <v/>
      </c>
      <c r="E84" s="30">
        <f>COMPLEX(0,-POWER(2*Pi*A84,3))</f>
        <v/>
      </c>
      <c r="G84" s="30">
        <f>IMSUM(IMPRODUCT(C84,Rcomp_AEF*Csen_AEF),Csen_AEF/Ccomp_AEF)</f>
        <v/>
      </c>
      <c r="I84" s="30">
        <f>IMPRODUCT((RdampSel*CdampSel+RdampSel*CinjSel),C84)</f>
        <v/>
      </c>
      <c r="J84">
        <f>IMSUM(1,I84)</f>
        <v/>
      </c>
      <c r="L84" s="30">
        <f>IMPRODUCT(G84,L_infilterStd*RdampSel*CinjSel*CdampSel,E84)</f>
        <v/>
      </c>
      <c r="M84">
        <f>IMPRODUCT(G84,L_infilterStd*CinjSel,D84)</f>
        <v/>
      </c>
      <c r="N84">
        <f>J84</f>
        <v/>
      </c>
      <c r="O84" s="299">
        <f>IMSUM(L84:N84)</f>
        <v/>
      </c>
      <c r="P84" s="651" t="n">
        <v>0</v>
      </c>
      <c r="Q84" s="397">
        <f>IMSUM(IMPRODUCT(C84,RdampPssv*CdampPssv),1)</f>
        <v/>
      </c>
      <c r="R84" s="397">
        <f>IMPRODUCT(RdampPssv*CdampPssv*CfilterPssv*LinfilterPssv,E84)</f>
        <v/>
      </c>
      <c r="S84" s="397">
        <f>IMPRODUCT(D84,LinfilterPssv*(CfilterPssv+CdampPssv))</f>
        <v/>
      </c>
      <c r="T84" s="397">
        <f>IMSUM(S84,R84,Q84)</f>
        <v/>
      </c>
      <c r="U84" s="652" t="n">
        <v>1</v>
      </c>
      <c r="V84">
        <f>CHOOSE(INFILTER_TYPE,U84,IMDIV(J84,O84),IMDIV(Q84,T84))</f>
        <v/>
      </c>
      <c r="W84">
        <f>20*LOG10(IMABS(V84))</f>
        <v/>
      </c>
      <c r="X84">
        <f>IMARGUMENT(V84)*180/Pi</f>
        <v/>
      </c>
      <c r="Z84">
        <f>IMDIV(Q84,T84)</f>
        <v/>
      </c>
      <c r="AA84">
        <f>20*LOG10(IMABS(Z84))</f>
        <v/>
      </c>
      <c r="AB84">
        <f>IMARGUMENT(Z84)*180/Pi</f>
        <v/>
      </c>
      <c r="AD84" s="30">
        <f>IMPRODUCT((RdampCom*CdampCom+RdampCom*CinjCom),C84)</f>
        <v/>
      </c>
      <c r="AE84" s="30">
        <f>IMSUM(1,AD84)</f>
        <v/>
      </c>
      <c r="AF84" s="30">
        <f>IMPRODUCT(G84,L_infilterStd*RdampSel*CinjSel*CdampSel,E84)</f>
        <v/>
      </c>
      <c r="AG84">
        <f>IMPRODUCT(G84,LAEFCom*CinjCom,D84)</f>
        <v/>
      </c>
      <c r="AH84">
        <f>AE84</f>
        <v/>
      </c>
      <c r="AI84" s="299">
        <f>IMSUM(AF84:AH84)</f>
        <v/>
      </c>
      <c r="AK84">
        <f>IMDIV(AE84,AI84)</f>
        <v/>
      </c>
      <c r="AM84">
        <f>20*LOG10(IMABS(AK84))</f>
        <v/>
      </c>
      <c r="AN84">
        <f>IMARGUMENT(AK84)*180/Pi</f>
        <v/>
      </c>
    </row>
    <row r="85">
      <c r="A85" s="653" t="n">
        <v>800000</v>
      </c>
      <c r="B85" s="352">
        <f>A85/1000</f>
        <v/>
      </c>
      <c r="C85">
        <f>COMPLEX(0,2*Pi*A85)</f>
        <v/>
      </c>
      <c r="D85" s="30">
        <f>COMPLEX(-POWER(2*Pi*A85,2),0)</f>
        <v/>
      </c>
      <c r="E85" s="30">
        <f>COMPLEX(0,-POWER(2*Pi*A85,3))</f>
        <v/>
      </c>
      <c r="G85" s="30">
        <f>IMSUM(IMPRODUCT(C85,Rcomp_AEF*Csen_AEF),Csen_AEF/Ccomp_AEF)</f>
        <v/>
      </c>
      <c r="I85" s="30">
        <f>IMPRODUCT((RdampSel*CdampSel+RdampSel*CinjSel),C85)</f>
        <v/>
      </c>
      <c r="J85">
        <f>IMSUM(1,I85)</f>
        <v/>
      </c>
      <c r="L85" s="30">
        <f>IMPRODUCT(G85,L_infilterStd*RdampSel*CinjSel*CdampSel,E85)</f>
        <v/>
      </c>
      <c r="M85">
        <f>IMPRODUCT(G85,L_infilterStd*CinjSel,D85)</f>
        <v/>
      </c>
      <c r="N85">
        <f>J85</f>
        <v/>
      </c>
      <c r="O85" s="299">
        <f>IMSUM(L85:N85)</f>
        <v/>
      </c>
      <c r="P85" s="651" t="n">
        <v>0</v>
      </c>
      <c r="Q85" s="397">
        <f>IMSUM(IMPRODUCT(C85,RdampPssv*CdampPssv),1)</f>
        <v/>
      </c>
      <c r="R85" s="397">
        <f>IMPRODUCT(RdampPssv*CdampPssv*CfilterPssv*LinfilterPssv,E85)</f>
        <v/>
      </c>
      <c r="S85" s="397">
        <f>IMPRODUCT(D85,LinfilterPssv*(CfilterPssv+CdampPssv))</f>
        <v/>
      </c>
      <c r="T85" s="397">
        <f>IMSUM(S85,R85,Q85)</f>
        <v/>
      </c>
      <c r="U85" s="652" t="n">
        <v>1</v>
      </c>
      <c r="V85">
        <f>CHOOSE(INFILTER_TYPE,U85,IMDIV(J85,O85),IMDIV(Q85,T85))</f>
        <v/>
      </c>
      <c r="W85">
        <f>20*LOG10(IMABS(V85))</f>
        <v/>
      </c>
      <c r="X85">
        <f>IMARGUMENT(V85)*180/Pi</f>
        <v/>
      </c>
      <c r="Z85">
        <f>IMDIV(Q85,T85)</f>
        <v/>
      </c>
      <c r="AA85">
        <f>20*LOG10(IMABS(Z85))</f>
        <v/>
      </c>
      <c r="AB85">
        <f>IMARGUMENT(Z85)*180/Pi</f>
        <v/>
      </c>
      <c r="AD85" s="30">
        <f>IMPRODUCT((RdampCom*CdampCom+RdampCom*CinjCom),C85)</f>
        <v/>
      </c>
      <c r="AE85" s="30">
        <f>IMSUM(1,AD85)</f>
        <v/>
      </c>
      <c r="AF85" s="30">
        <f>IMPRODUCT(G85,L_infilterStd*RdampSel*CinjSel*CdampSel,E85)</f>
        <v/>
      </c>
      <c r="AG85">
        <f>IMPRODUCT(G85,LAEFCom*CinjCom,D85)</f>
        <v/>
      </c>
      <c r="AH85">
        <f>AE85</f>
        <v/>
      </c>
      <c r="AI85" s="299">
        <f>IMSUM(AF85:AH85)</f>
        <v/>
      </c>
      <c r="AK85">
        <f>IMDIV(AE85,AI85)</f>
        <v/>
      </c>
      <c r="AM85">
        <f>20*LOG10(IMABS(AK85))</f>
        <v/>
      </c>
      <c r="AN85">
        <f>IMARGUMENT(AK85)*180/Pi</f>
        <v/>
      </c>
    </row>
    <row r="86">
      <c r="A86" s="335" t="n">
        <v>900000</v>
      </c>
      <c r="B86" s="352">
        <f>A86/1000</f>
        <v/>
      </c>
      <c r="C86">
        <f>COMPLEX(0,2*Pi*A86)</f>
        <v/>
      </c>
      <c r="D86" s="30">
        <f>COMPLEX(-POWER(2*Pi*A86,2),0)</f>
        <v/>
      </c>
      <c r="E86" s="30">
        <f>COMPLEX(0,-POWER(2*Pi*A86,3))</f>
        <v/>
      </c>
      <c r="G86" s="30">
        <f>IMSUM(IMPRODUCT(C86,Rcomp_AEF*Csen_AEF),Csen_AEF/Ccomp_AEF)</f>
        <v/>
      </c>
      <c r="I86" s="30">
        <f>IMPRODUCT((RdampSel*CdampSel+RdampSel*CinjSel),C86)</f>
        <v/>
      </c>
      <c r="J86">
        <f>IMSUM(1,I86)</f>
        <v/>
      </c>
      <c r="L86" s="30">
        <f>IMPRODUCT(G86,L_infilterStd*RdampSel*CinjSel*CdampSel,E86)</f>
        <v/>
      </c>
      <c r="M86">
        <f>IMPRODUCT(G86,L_infilterStd*CinjSel,D86)</f>
        <v/>
      </c>
      <c r="N86">
        <f>J86</f>
        <v/>
      </c>
      <c r="O86" s="299">
        <f>IMSUM(L86:N86)</f>
        <v/>
      </c>
      <c r="P86" s="651" t="n">
        <v>0</v>
      </c>
      <c r="Q86" s="397">
        <f>IMSUM(IMPRODUCT(C86,RdampPssv*CdampPssv),1)</f>
        <v/>
      </c>
      <c r="R86" s="397">
        <f>IMPRODUCT(RdampPssv*CdampPssv*CfilterPssv*LinfilterPssv,E86)</f>
        <v/>
      </c>
      <c r="S86" s="397">
        <f>IMPRODUCT(D86,LinfilterPssv*(CfilterPssv+CdampPssv))</f>
        <v/>
      </c>
      <c r="T86" s="397">
        <f>IMSUM(S86,R86,Q86)</f>
        <v/>
      </c>
      <c r="U86" s="652" t="n">
        <v>1</v>
      </c>
      <c r="V86">
        <f>CHOOSE(INFILTER_TYPE,U86,IMDIV(J86,O86),IMDIV(Q86,T86))</f>
        <v/>
      </c>
      <c r="W86">
        <f>20*LOG10(IMABS(V86))</f>
        <v/>
      </c>
      <c r="X86">
        <f>IMARGUMENT(V86)*180/Pi</f>
        <v/>
      </c>
      <c r="Z86">
        <f>IMDIV(Q86,T86)</f>
        <v/>
      </c>
      <c r="AA86">
        <f>20*LOG10(IMABS(Z86))</f>
        <v/>
      </c>
      <c r="AB86">
        <f>IMARGUMENT(Z86)*180/Pi</f>
        <v/>
      </c>
      <c r="AD86" s="30">
        <f>IMPRODUCT((RdampCom*CdampCom+RdampCom*CinjCom),C86)</f>
        <v/>
      </c>
      <c r="AE86" s="30">
        <f>IMSUM(1,AD86)</f>
        <v/>
      </c>
      <c r="AF86" s="30">
        <f>IMPRODUCT(G86,L_infilterStd*RdampSel*CinjSel*CdampSel,E86)</f>
        <v/>
      </c>
      <c r="AG86">
        <f>IMPRODUCT(G86,LAEFCom*CinjCom,D86)</f>
        <v/>
      </c>
      <c r="AH86">
        <f>AE86</f>
        <v/>
      </c>
      <c r="AI86" s="299">
        <f>IMSUM(AF86:AH86)</f>
        <v/>
      </c>
      <c r="AK86">
        <f>IMDIV(AE86,AI86)</f>
        <v/>
      </c>
      <c r="AM86">
        <f>20*LOG10(IMABS(AK86))</f>
        <v/>
      </c>
      <c r="AN86">
        <f>IMARGUMENT(AK86)*180/Pi</f>
        <v/>
      </c>
    </row>
    <row r="87">
      <c r="A87" s="653" t="n">
        <v>1000000</v>
      </c>
      <c r="B87" s="352">
        <f>A87/1000</f>
        <v/>
      </c>
      <c r="C87">
        <f>COMPLEX(0,2*Pi*A87)</f>
        <v/>
      </c>
      <c r="D87" s="30">
        <f>COMPLEX(-POWER(2*Pi*A87,2),0)</f>
        <v/>
      </c>
      <c r="E87" s="30">
        <f>COMPLEX(0,-POWER(2*Pi*A87,3))</f>
        <v/>
      </c>
      <c r="G87" s="30">
        <f>IMSUM(IMPRODUCT(C87,Rcomp_AEF*Csen_AEF),Csen_AEF/Ccomp_AEF)</f>
        <v/>
      </c>
      <c r="I87" s="30">
        <f>IMPRODUCT((RdampSel*CdampSel+RdampSel*CinjSel),C87)</f>
        <v/>
      </c>
      <c r="J87">
        <f>IMSUM(1,I87)</f>
        <v/>
      </c>
      <c r="L87" s="30">
        <f>IMPRODUCT(G87,L_infilterStd*RdampSel*CinjSel*CdampSel,E87)</f>
        <v/>
      </c>
      <c r="M87">
        <f>IMPRODUCT(G87,L_infilterStd*CinjSel,D87)</f>
        <v/>
      </c>
      <c r="N87">
        <f>J87</f>
        <v/>
      </c>
      <c r="O87" s="299">
        <f>IMSUM(L87:N87)</f>
        <v/>
      </c>
      <c r="P87" s="651" t="n">
        <v>0</v>
      </c>
      <c r="Q87" s="397">
        <f>IMSUM(IMPRODUCT(C87,RdampPssv*CdampPssv),1)</f>
        <v/>
      </c>
      <c r="R87" s="397">
        <f>IMPRODUCT(RdampPssv*CdampPssv*CfilterPssv*LinfilterPssv,E87)</f>
        <v/>
      </c>
      <c r="S87" s="397">
        <f>IMPRODUCT(D87,LinfilterPssv*(CfilterPssv+CdampPssv))</f>
        <v/>
      </c>
      <c r="T87" s="397">
        <f>IMSUM(S87,R87,Q87)</f>
        <v/>
      </c>
      <c r="U87" s="652" t="n">
        <v>1</v>
      </c>
      <c r="V87">
        <f>CHOOSE(INFILTER_TYPE,U87,IMDIV(J87,O87),IMDIV(Q87,T87))</f>
        <v/>
      </c>
      <c r="W87">
        <f>20*LOG10(IMABS(V87))</f>
        <v/>
      </c>
      <c r="X87">
        <f>IMARGUMENT(V87)*180/Pi</f>
        <v/>
      </c>
      <c r="Z87">
        <f>IMDIV(Q87,T87)</f>
        <v/>
      </c>
      <c r="AA87">
        <f>20*LOG10(IMABS(Z87))</f>
        <v/>
      </c>
      <c r="AB87">
        <f>IMARGUMENT(Z87)*180/Pi</f>
        <v/>
      </c>
      <c r="AD87" s="30">
        <f>IMPRODUCT((RdampCom*CdampCom+RdampCom*CinjCom),C87)</f>
        <v/>
      </c>
      <c r="AE87" s="30">
        <f>IMSUM(1,AD87)</f>
        <v/>
      </c>
      <c r="AF87" s="30">
        <f>IMPRODUCT(G87,L_infilterStd*RdampSel*CinjSel*CdampSel,E87)</f>
        <v/>
      </c>
      <c r="AG87">
        <f>IMPRODUCT(G87,LAEFCom*CinjCom,D87)</f>
        <v/>
      </c>
      <c r="AH87">
        <f>AE87</f>
        <v/>
      </c>
      <c r="AI87" s="299">
        <f>IMSUM(AF87:AH87)</f>
        <v/>
      </c>
      <c r="AK87">
        <f>IMDIV(AE87,AI87)</f>
        <v/>
      </c>
      <c r="AM87">
        <f>20*LOG10(IMABS(AK87))</f>
        <v/>
      </c>
      <c r="AN87">
        <f>IMARGUMENT(AK87)*180/Pi</f>
        <v/>
      </c>
    </row>
    <row r="88">
      <c r="A88" s="653" t="n">
        <v>2000000</v>
      </c>
      <c r="B88" s="352">
        <f>A88/1000</f>
        <v/>
      </c>
      <c r="C88">
        <f>COMPLEX(0,2*Pi*A88)</f>
        <v/>
      </c>
      <c r="D88" s="30">
        <f>COMPLEX(-POWER(2*Pi*A88,2),0)</f>
        <v/>
      </c>
      <c r="E88" s="30">
        <f>COMPLEX(0,-POWER(2*Pi*A88,3))</f>
        <v/>
      </c>
      <c r="G88" s="30">
        <f>IMSUM(IMPRODUCT(C88,Rcomp_AEF*Csen_AEF),Csen_AEF/Ccomp_AEF)</f>
        <v/>
      </c>
      <c r="I88" s="30">
        <f>IMPRODUCT((RdampSel*CdampSel+RdampSel*CinjSel),C88)</f>
        <v/>
      </c>
      <c r="J88">
        <f>IMSUM(1,I88)</f>
        <v/>
      </c>
      <c r="L88" s="30">
        <f>IMPRODUCT(G88,L_infilterStd*RdampSel*CinjSel*CdampSel,E88)</f>
        <v/>
      </c>
      <c r="M88">
        <f>IMPRODUCT(G88,L_infilterStd*CinjSel,D88)</f>
        <v/>
      </c>
      <c r="N88">
        <f>J88</f>
        <v/>
      </c>
      <c r="O88" s="299">
        <f>IMSUM(L88:N88)</f>
        <v/>
      </c>
      <c r="P88" s="651" t="n">
        <v>0</v>
      </c>
      <c r="Q88" s="397">
        <f>IMSUM(IMPRODUCT(C88,RdampPssv*CdampPssv),1)</f>
        <v/>
      </c>
      <c r="R88" s="397">
        <f>IMPRODUCT(RdampPssv*CdampPssv*CfilterPssv*LinfilterPssv,E88)</f>
        <v/>
      </c>
      <c r="S88" s="397">
        <f>IMPRODUCT(D88,LinfilterPssv*(CfilterPssv+CdampPssv))</f>
        <v/>
      </c>
      <c r="T88" s="397">
        <f>IMSUM(S88,R88,Q88)</f>
        <v/>
      </c>
      <c r="U88" s="652" t="n">
        <v>1</v>
      </c>
      <c r="V88">
        <f>CHOOSE(INFILTER_TYPE,U88,IMDIV(J88,O88),IMDIV(Q88,T88))</f>
        <v/>
      </c>
      <c r="W88">
        <f>20*LOG10(IMABS(V88))</f>
        <v/>
      </c>
      <c r="X88">
        <f>IMARGUMENT(V88)*180/Pi</f>
        <v/>
      </c>
      <c r="Z88">
        <f>IMDIV(Q88,T88)</f>
        <v/>
      </c>
      <c r="AA88">
        <f>20*LOG10(IMABS(Z88))</f>
        <v/>
      </c>
      <c r="AB88">
        <f>IMARGUMENT(Z88)*180/Pi</f>
        <v/>
      </c>
      <c r="AD88" s="30">
        <f>IMPRODUCT((RdampCom*CdampCom+RdampCom*CinjCom),C88)</f>
        <v/>
      </c>
      <c r="AE88" s="30">
        <f>IMSUM(1,AD88)</f>
        <v/>
      </c>
      <c r="AF88" s="30">
        <f>IMPRODUCT(G88,L_infilterStd*RdampSel*CinjSel*CdampSel,E88)</f>
        <v/>
      </c>
      <c r="AG88">
        <f>IMPRODUCT(G88,LAEFCom*CinjCom,D88)</f>
        <v/>
      </c>
      <c r="AH88">
        <f>AE88</f>
        <v/>
      </c>
      <c r="AI88" s="299">
        <f>IMSUM(AF88:AH88)</f>
        <v/>
      </c>
      <c r="AK88">
        <f>IMDIV(AE88,AI88)</f>
        <v/>
      </c>
      <c r="AM88">
        <f>20*LOG10(IMABS(AK88))</f>
        <v/>
      </c>
      <c r="AN88">
        <f>IMARGUMENT(AK88)*180/Pi</f>
        <v/>
      </c>
    </row>
    <row r="89">
      <c r="A89" s="653" t="n">
        <v>3000000</v>
      </c>
      <c r="B89" s="352">
        <f>A89/1000</f>
        <v/>
      </c>
      <c r="C89">
        <f>COMPLEX(0,2*Pi*A89)</f>
        <v/>
      </c>
      <c r="D89" s="30">
        <f>COMPLEX(-POWER(2*Pi*A89,2),0)</f>
        <v/>
      </c>
      <c r="E89" s="30">
        <f>COMPLEX(0,-POWER(2*Pi*A89,3))</f>
        <v/>
      </c>
      <c r="G89" s="30">
        <f>IMSUM(IMPRODUCT(C89,Rcomp_AEF*Csen_AEF),Csen_AEF/Ccomp_AEF)</f>
        <v/>
      </c>
      <c r="I89" s="30">
        <f>IMPRODUCT((RdampSel*CdampSel+RdampSel*CinjSel),C89)</f>
        <v/>
      </c>
      <c r="J89">
        <f>IMSUM(1,I89)</f>
        <v/>
      </c>
      <c r="L89" s="30">
        <f>IMPRODUCT(G89,L_infilterStd*RdampSel*CinjSel*CdampSel,E89)</f>
        <v/>
      </c>
      <c r="M89">
        <f>IMPRODUCT(G89,L_infilterStd*CinjSel,D89)</f>
        <v/>
      </c>
      <c r="N89">
        <f>J89</f>
        <v/>
      </c>
      <c r="O89" s="299">
        <f>IMSUM(L89:N89)</f>
        <v/>
      </c>
      <c r="P89" s="651" t="n">
        <v>0</v>
      </c>
      <c r="Q89" s="397">
        <f>IMSUM(IMPRODUCT(C89,RdampPssv*CdampPssv),1)</f>
        <v/>
      </c>
      <c r="R89" s="397">
        <f>IMPRODUCT(RdampPssv*CdampPssv*CfilterPssv*LinfilterPssv,E89)</f>
        <v/>
      </c>
      <c r="S89" s="397">
        <f>IMPRODUCT(D89,LinfilterPssv*(CfilterPssv+CdampPssv))</f>
        <v/>
      </c>
      <c r="T89" s="397">
        <f>IMSUM(S89,R89,Q89)</f>
        <v/>
      </c>
      <c r="U89" s="652" t="n">
        <v>1</v>
      </c>
      <c r="V89">
        <f>CHOOSE(INFILTER_TYPE,U89,IMDIV(J89,O89),IMDIV(Q89,T89))</f>
        <v/>
      </c>
      <c r="W89">
        <f>20*LOG10(IMABS(V89))</f>
        <v/>
      </c>
      <c r="X89">
        <f>IMARGUMENT(V89)*180/Pi</f>
        <v/>
      </c>
      <c r="Z89">
        <f>IMDIV(Q89,T89)</f>
        <v/>
      </c>
      <c r="AA89">
        <f>20*LOG10(IMABS(Z89))</f>
        <v/>
      </c>
      <c r="AB89">
        <f>IMARGUMENT(Z89)*180/Pi</f>
        <v/>
      </c>
      <c r="AD89" s="30">
        <f>IMPRODUCT((RdampCom*CdampCom+RdampCom*CinjCom),C89)</f>
        <v/>
      </c>
      <c r="AE89" s="30">
        <f>IMSUM(1,AD89)</f>
        <v/>
      </c>
      <c r="AF89" s="30">
        <f>IMPRODUCT(G89,L_infilterStd*RdampSel*CinjSel*CdampSel,E89)</f>
        <v/>
      </c>
      <c r="AG89">
        <f>IMPRODUCT(G89,LAEFCom*CinjCom,D89)</f>
        <v/>
      </c>
      <c r="AH89">
        <f>AE89</f>
        <v/>
      </c>
      <c r="AI89" s="299">
        <f>IMSUM(AF89:AH89)</f>
        <v/>
      </c>
      <c r="AK89">
        <f>IMDIV(AE89,AI89)</f>
        <v/>
      </c>
      <c r="AM89">
        <f>20*LOG10(IMABS(AK89))</f>
        <v/>
      </c>
      <c r="AN89">
        <f>IMARGUMENT(AK89)*180/Pi</f>
        <v/>
      </c>
    </row>
    <row r="90">
      <c r="A90" s="653" t="n">
        <v>4000000</v>
      </c>
      <c r="B90" s="352">
        <f>A90/1000</f>
        <v/>
      </c>
      <c r="C90">
        <f>COMPLEX(0,2*Pi*A90)</f>
        <v/>
      </c>
      <c r="D90" s="30">
        <f>COMPLEX(-POWER(2*Pi*A90,2),0)</f>
        <v/>
      </c>
      <c r="E90" s="30">
        <f>COMPLEX(0,-POWER(2*Pi*A90,3))</f>
        <v/>
      </c>
      <c r="G90" s="30">
        <f>IMSUM(IMPRODUCT(C90,Rcomp_AEF*Csen_AEF),Csen_AEF/Ccomp_AEF)</f>
        <v/>
      </c>
      <c r="I90" s="30">
        <f>IMPRODUCT((RdampSel*CdampSel+RdampSel*CinjSel),C90)</f>
        <v/>
      </c>
      <c r="J90">
        <f>IMSUM(1,I90)</f>
        <v/>
      </c>
      <c r="L90" s="30">
        <f>IMPRODUCT(G90,L_infilterStd*RdampSel*CinjSel*CdampSel,E90)</f>
        <v/>
      </c>
      <c r="M90">
        <f>IMPRODUCT(G90,L_infilterStd*CinjSel,D90)</f>
        <v/>
      </c>
      <c r="N90">
        <f>J90</f>
        <v/>
      </c>
      <c r="O90" s="299">
        <f>IMSUM(L90:N90)</f>
        <v/>
      </c>
      <c r="P90" s="651" t="n">
        <v>0</v>
      </c>
      <c r="Q90" s="397">
        <f>IMSUM(IMPRODUCT(C90,RdampPssv*CdampPssv),1)</f>
        <v/>
      </c>
      <c r="R90" s="397">
        <f>IMPRODUCT(RdampPssv*CdampPssv*CfilterPssv*LinfilterPssv,E90)</f>
        <v/>
      </c>
      <c r="S90" s="397">
        <f>IMPRODUCT(D90,LinfilterPssv*(CfilterPssv+CdampPssv))</f>
        <v/>
      </c>
      <c r="T90" s="397">
        <f>IMSUM(S90,R90,Q90)</f>
        <v/>
      </c>
      <c r="U90" s="652" t="n">
        <v>1</v>
      </c>
      <c r="V90">
        <f>CHOOSE(INFILTER_TYPE,U90,IMDIV(J90,O90),IMDIV(Q90,T90))</f>
        <v/>
      </c>
      <c r="W90">
        <f>20*LOG10(IMABS(V90))</f>
        <v/>
      </c>
      <c r="X90">
        <f>IMARGUMENT(V90)*180/Pi</f>
        <v/>
      </c>
      <c r="Z90">
        <f>IMDIV(Q90,T90)</f>
        <v/>
      </c>
      <c r="AA90">
        <f>20*LOG10(IMABS(Z90))</f>
        <v/>
      </c>
      <c r="AB90">
        <f>IMARGUMENT(Z90)*180/Pi</f>
        <v/>
      </c>
      <c r="AD90" s="30">
        <f>IMPRODUCT((RdampCom*CdampCom+RdampCom*CinjCom),C90)</f>
        <v/>
      </c>
      <c r="AE90" s="30">
        <f>IMSUM(1,AD90)</f>
        <v/>
      </c>
      <c r="AF90" s="30">
        <f>IMPRODUCT(G90,L_infilterStd*RdampSel*CinjSel*CdampSel,E90)</f>
        <v/>
      </c>
      <c r="AG90">
        <f>IMPRODUCT(G90,LAEFCom*CinjCom,D90)</f>
        <v/>
      </c>
      <c r="AH90">
        <f>AE90</f>
        <v/>
      </c>
      <c r="AI90" s="299">
        <f>IMSUM(AF90:AH90)</f>
        <v/>
      </c>
      <c r="AK90">
        <f>IMDIV(AE90,AI90)</f>
        <v/>
      </c>
      <c r="AM90">
        <f>20*LOG10(IMABS(AK90))</f>
        <v/>
      </c>
      <c r="AN90">
        <f>IMARGUMENT(AK90)*180/Pi</f>
        <v/>
      </c>
    </row>
    <row r="91">
      <c r="A91" s="653" t="n">
        <v>5000000</v>
      </c>
      <c r="B91" s="352">
        <f>A91/1000</f>
        <v/>
      </c>
      <c r="C91">
        <f>COMPLEX(0,2*Pi*A91)</f>
        <v/>
      </c>
      <c r="D91" s="30">
        <f>COMPLEX(-POWER(2*Pi*A91,2),0)</f>
        <v/>
      </c>
      <c r="E91" s="30">
        <f>COMPLEX(0,-POWER(2*Pi*A91,3))</f>
        <v/>
      </c>
      <c r="G91" s="30">
        <f>IMSUM(IMPRODUCT(C91,Rcomp_AEF*Csen_AEF),Csen_AEF/Ccomp_AEF)</f>
        <v/>
      </c>
      <c r="I91" s="30">
        <f>IMPRODUCT((RdampSel*CdampSel+RdampSel*CinjSel),C91)</f>
        <v/>
      </c>
      <c r="J91">
        <f>IMSUM(1,I91)</f>
        <v/>
      </c>
      <c r="L91" s="30">
        <f>IMPRODUCT(G91,L_infilterStd*RdampSel*CinjSel*CdampSel,E91)</f>
        <v/>
      </c>
      <c r="M91">
        <f>IMPRODUCT(G91,L_infilterStd*CinjSel,D91)</f>
        <v/>
      </c>
      <c r="N91">
        <f>J91</f>
        <v/>
      </c>
      <c r="O91" s="299">
        <f>IMSUM(L91:N91)</f>
        <v/>
      </c>
      <c r="P91" s="651" t="n">
        <v>0</v>
      </c>
      <c r="Q91" s="397">
        <f>IMSUM(IMPRODUCT(C91,RdampPssv*CdampPssv),1)</f>
        <v/>
      </c>
      <c r="R91" s="397">
        <f>IMPRODUCT(RdampPssv*CdampPssv*CfilterPssv*LinfilterPssv,E91)</f>
        <v/>
      </c>
      <c r="S91" s="397">
        <f>IMPRODUCT(D91,LinfilterPssv*(CfilterPssv+CdampPssv))</f>
        <v/>
      </c>
      <c r="T91" s="397">
        <f>IMSUM(S91,R91,Q91)</f>
        <v/>
      </c>
      <c r="U91" s="652" t="n">
        <v>1</v>
      </c>
      <c r="V91">
        <f>CHOOSE(INFILTER_TYPE,U91,IMDIV(J91,O91),IMDIV(Q91,T91))</f>
        <v/>
      </c>
      <c r="W91">
        <f>20*LOG10(IMABS(V91))</f>
        <v/>
      </c>
      <c r="X91">
        <f>IMARGUMENT(V91)*180/Pi</f>
        <v/>
      </c>
      <c r="Z91">
        <f>IMDIV(Q91,T91)</f>
        <v/>
      </c>
      <c r="AA91">
        <f>20*LOG10(IMABS(Z91))</f>
        <v/>
      </c>
      <c r="AB91">
        <f>IMARGUMENT(Z91)*180/Pi</f>
        <v/>
      </c>
      <c r="AD91" s="30">
        <f>IMPRODUCT((RdampCom*CdampCom+RdampCom*CinjCom),C91)</f>
        <v/>
      </c>
      <c r="AE91" s="30">
        <f>IMSUM(1,AD91)</f>
        <v/>
      </c>
      <c r="AF91" s="30">
        <f>IMPRODUCT(G91,L_infilterStd*RdampSel*CinjSel*CdampSel,E91)</f>
        <v/>
      </c>
      <c r="AG91">
        <f>IMPRODUCT(G91,LAEFCom*CinjCom,D91)</f>
        <v/>
      </c>
      <c r="AH91">
        <f>AE91</f>
        <v/>
      </c>
      <c r="AI91" s="299">
        <f>IMSUM(AF91:AH91)</f>
        <v/>
      </c>
      <c r="AK91">
        <f>IMDIV(AE91,AI91)</f>
        <v/>
      </c>
      <c r="AM91">
        <f>20*LOG10(IMABS(AK91))</f>
        <v/>
      </c>
      <c r="AN91">
        <f>IMARGUMENT(AK91)*180/Pi</f>
        <v/>
      </c>
    </row>
    <row r="92">
      <c r="A92" s="653" t="n">
        <v>6000000</v>
      </c>
      <c r="B92" s="352">
        <f>A92/1000</f>
        <v/>
      </c>
      <c r="C92">
        <f>COMPLEX(0,2*Pi*A92)</f>
        <v/>
      </c>
      <c r="D92" s="30">
        <f>COMPLEX(-POWER(2*Pi*A92,2),0)</f>
        <v/>
      </c>
      <c r="E92" s="30">
        <f>COMPLEX(0,-POWER(2*Pi*A92,3))</f>
        <v/>
      </c>
      <c r="G92" s="30">
        <f>IMSUM(IMPRODUCT(C92,Rcomp_AEF*Csen_AEF),Csen_AEF/Ccomp_AEF)</f>
        <v/>
      </c>
      <c r="I92" s="30">
        <f>IMPRODUCT((RdampSel*CdampSel+RdampSel*CinjSel),C92)</f>
        <v/>
      </c>
      <c r="J92">
        <f>IMSUM(1,I92)</f>
        <v/>
      </c>
      <c r="L92" s="30">
        <f>IMPRODUCT(G92,L_infilterStd*RdampSel*CinjSel*CdampSel,E92)</f>
        <v/>
      </c>
      <c r="M92">
        <f>IMPRODUCT(G92,L_infilterStd*CinjSel,D92)</f>
        <v/>
      </c>
      <c r="N92">
        <f>J92</f>
        <v/>
      </c>
      <c r="O92" s="299">
        <f>IMSUM(L92:N92)</f>
        <v/>
      </c>
      <c r="P92" s="651" t="n">
        <v>0</v>
      </c>
      <c r="Q92" s="397">
        <f>IMSUM(IMPRODUCT(C92,RdampPssv*CdampPssv),1)</f>
        <v/>
      </c>
      <c r="R92" s="397">
        <f>IMPRODUCT(RdampPssv*CdampPssv*CfilterPssv*LinfilterPssv,E92)</f>
        <v/>
      </c>
      <c r="S92" s="397">
        <f>IMPRODUCT(D92,LinfilterPssv*(CfilterPssv+CdampPssv))</f>
        <v/>
      </c>
      <c r="T92" s="397">
        <f>IMSUM(S92,R92,Q92)</f>
        <v/>
      </c>
      <c r="U92" s="652" t="n">
        <v>1</v>
      </c>
      <c r="V92">
        <f>CHOOSE(INFILTER_TYPE,U92,IMDIV(J92,O92),IMDIV(Q92,T92))</f>
        <v/>
      </c>
      <c r="W92">
        <f>20*LOG10(IMABS(V92))</f>
        <v/>
      </c>
      <c r="X92">
        <f>IMARGUMENT(V92)*180/Pi</f>
        <v/>
      </c>
      <c r="Z92">
        <f>IMDIV(Q92,T92)</f>
        <v/>
      </c>
      <c r="AA92">
        <f>20*LOG10(IMABS(Z92))</f>
        <v/>
      </c>
      <c r="AB92">
        <f>IMARGUMENT(Z92)*180/Pi</f>
        <v/>
      </c>
      <c r="AD92" s="30">
        <f>IMPRODUCT((RdampCom*CdampCom+RdampCom*CinjCom),C92)</f>
        <v/>
      </c>
      <c r="AE92" s="30">
        <f>IMSUM(1,AD92)</f>
        <v/>
      </c>
      <c r="AF92" s="30">
        <f>IMPRODUCT(G92,L_infilterStd*RdampSel*CinjSel*CdampSel,E92)</f>
        <v/>
      </c>
      <c r="AG92">
        <f>IMPRODUCT(G92,LAEFCom*CinjCom,D92)</f>
        <v/>
      </c>
      <c r="AH92">
        <f>AE92</f>
        <v/>
      </c>
      <c r="AI92" s="299">
        <f>IMSUM(AF92:AH92)</f>
        <v/>
      </c>
      <c r="AK92">
        <f>IMDIV(AE92,AI92)</f>
        <v/>
      </c>
      <c r="AM92">
        <f>20*LOG10(IMABS(AK92))</f>
        <v/>
      </c>
      <c r="AN92">
        <f>IMARGUMENT(AK92)*180/Pi</f>
        <v/>
      </c>
    </row>
    <row r="93">
      <c r="A93" s="653" t="n">
        <v>7000000</v>
      </c>
      <c r="B93" s="352">
        <f>A93/1000</f>
        <v/>
      </c>
      <c r="C93">
        <f>COMPLEX(0,2*Pi*A93)</f>
        <v/>
      </c>
      <c r="D93" s="30">
        <f>COMPLEX(-POWER(2*Pi*A93,2),0)</f>
        <v/>
      </c>
      <c r="E93" s="30">
        <f>COMPLEX(0,-POWER(2*Pi*A93,3))</f>
        <v/>
      </c>
      <c r="G93" s="30">
        <f>IMSUM(IMPRODUCT(C93,Rcomp_AEF*Csen_AEF),Csen_AEF/Ccomp_AEF)</f>
        <v/>
      </c>
      <c r="I93" s="30">
        <f>IMPRODUCT((RdampSel*CdampSel+RdampSel*CinjSel),C93)</f>
        <v/>
      </c>
      <c r="J93">
        <f>IMSUM(1,I93)</f>
        <v/>
      </c>
      <c r="L93" s="30">
        <f>IMPRODUCT(G93,L_infilterStd*RdampSel*CinjSel*CdampSel,E93)</f>
        <v/>
      </c>
      <c r="M93">
        <f>IMPRODUCT(G93,L_infilterStd*CinjSel,D93)</f>
        <v/>
      </c>
      <c r="N93">
        <f>J93</f>
        <v/>
      </c>
      <c r="O93" s="299">
        <f>IMSUM(L93:N93)</f>
        <v/>
      </c>
      <c r="P93" s="651" t="n">
        <v>0</v>
      </c>
      <c r="Q93" s="397">
        <f>IMSUM(IMPRODUCT(C93,RdampPssv*CdampPssv),1)</f>
        <v/>
      </c>
      <c r="R93" s="397">
        <f>IMPRODUCT(RdampPssv*CdampPssv*CfilterPssv*LinfilterPssv,E93)</f>
        <v/>
      </c>
      <c r="S93" s="397">
        <f>IMPRODUCT(D93,LinfilterPssv*(CfilterPssv+CdampPssv))</f>
        <v/>
      </c>
      <c r="T93" s="397">
        <f>IMSUM(S93,R93,Q93)</f>
        <v/>
      </c>
      <c r="U93" s="652" t="n">
        <v>1</v>
      </c>
      <c r="V93">
        <f>CHOOSE(INFILTER_TYPE,U93,IMDIV(J93,O93),IMDIV(Q93,T93))</f>
        <v/>
      </c>
      <c r="W93">
        <f>20*LOG10(IMABS(V93))</f>
        <v/>
      </c>
      <c r="X93">
        <f>IMARGUMENT(V93)*180/Pi</f>
        <v/>
      </c>
      <c r="Z93">
        <f>IMDIV(Q93,T93)</f>
        <v/>
      </c>
      <c r="AA93">
        <f>20*LOG10(IMABS(Z93))</f>
        <v/>
      </c>
      <c r="AB93">
        <f>IMARGUMENT(Z93)*180/Pi</f>
        <v/>
      </c>
      <c r="AD93" s="30">
        <f>IMPRODUCT((RdampCom*CdampCom+RdampCom*CinjCom),C93)</f>
        <v/>
      </c>
      <c r="AE93" s="30">
        <f>IMSUM(1,AD93)</f>
        <v/>
      </c>
      <c r="AF93" s="30">
        <f>IMPRODUCT(G93,L_infilterStd*RdampSel*CinjSel*CdampSel,E93)</f>
        <v/>
      </c>
      <c r="AG93">
        <f>IMPRODUCT(G93,LAEFCom*CinjCom,D93)</f>
        <v/>
      </c>
      <c r="AH93">
        <f>AE93</f>
        <v/>
      </c>
      <c r="AI93" s="299">
        <f>IMSUM(AF93:AH93)</f>
        <v/>
      </c>
      <c r="AK93">
        <f>IMDIV(AE93,AI93)</f>
        <v/>
      </c>
      <c r="AM93">
        <f>20*LOG10(IMABS(AK93))</f>
        <v/>
      </c>
      <c r="AN93">
        <f>IMARGUMENT(AK93)*180/Pi</f>
        <v/>
      </c>
    </row>
    <row r="94">
      <c r="A94" s="653" t="n">
        <v>8000000</v>
      </c>
      <c r="B94" s="352">
        <f>A94/1000</f>
        <v/>
      </c>
      <c r="C94">
        <f>COMPLEX(0,2*Pi*A94)</f>
        <v/>
      </c>
      <c r="D94" s="30">
        <f>COMPLEX(-POWER(2*Pi*A94,2),0)</f>
        <v/>
      </c>
      <c r="E94" s="30">
        <f>COMPLEX(0,-POWER(2*Pi*A94,3))</f>
        <v/>
      </c>
      <c r="G94" s="30">
        <f>IMSUM(IMPRODUCT(C94,Rcomp_AEF*Csen_AEF),Csen_AEF/Ccomp_AEF)</f>
        <v/>
      </c>
      <c r="I94" s="30">
        <f>IMPRODUCT((RdampSel*CdampSel+RdampSel*CinjSel),C94)</f>
        <v/>
      </c>
      <c r="J94">
        <f>IMSUM(1,I94)</f>
        <v/>
      </c>
      <c r="L94" s="30">
        <f>IMPRODUCT(G94,L_infilterStd*RdampSel*CinjSel*CdampSel,E94)</f>
        <v/>
      </c>
      <c r="M94">
        <f>IMPRODUCT(G94,L_infilterStd*CinjSel,D94)</f>
        <v/>
      </c>
      <c r="N94">
        <f>J94</f>
        <v/>
      </c>
      <c r="O94" s="299">
        <f>IMSUM(L94:N94)</f>
        <v/>
      </c>
      <c r="P94" s="651" t="n">
        <v>0</v>
      </c>
      <c r="Q94" s="397">
        <f>IMSUM(IMPRODUCT(C94,RdampPssv*CdampPssv),1)</f>
        <v/>
      </c>
      <c r="R94" s="397">
        <f>IMPRODUCT(RdampPssv*CdampPssv*CfilterPssv*LinfilterPssv,E94)</f>
        <v/>
      </c>
      <c r="S94" s="397">
        <f>IMPRODUCT(D94,LinfilterPssv*(CfilterPssv+CdampPssv))</f>
        <v/>
      </c>
      <c r="T94" s="397">
        <f>IMSUM(S94,R94,Q94)</f>
        <v/>
      </c>
      <c r="U94" s="652" t="n">
        <v>1</v>
      </c>
      <c r="V94">
        <f>CHOOSE(INFILTER_TYPE,U94,IMDIV(J94,O94),IMDIV(Q94,T94))</f>
        <v/>
      </c>
      <c r="W94">
        <f>20*LOG10(IMABS(V94))</f>
        <v/>
      </c>
      <c r="X94">
        <f>IMARGUMENT(V94)*180/Pi</f>
        <v/>
      </c>
      <c r="Z94">
        <f>IMDIV(Q94,T94)</f>
        <v/>
      </c>
      <c r="AA94">
        <f>20*LOG10(IMABS(Z94))</f>
        <v/>
      </c>
      <c r="AB94">
        <f>IMARGUMENT(Z94)*180/Pi</f>
        <v/>
      </c>
      <c r="AD94" s="30">
        <f>IMPRODUCT((RdampCom*CdampCom+RdampCom*CinjCom),C94)</f>
        <v/>
      </c>
      <c r="AE94" s="30">
        <f>IMSUM(1,AD94)</f>
        <v/>
      </c>
      <c r="AF94" s="30">
        <f>IMPRODUCT(G94,L_infilterStd*RdampSel*CinjSel*CdampSel,E94)</f>
        <v/>
      </c>
      <c r="AG94">
        <f>IMPRODUCT(G94,LAEFCom*CinjCom,D94)</f>
        <v/>
      </c>
      <c r="AH94">
        <f>AE94</f>
        <v/>
      </c>
      <c r="AI94" s="299">
        <f>IMSUM(AF94:AH94)</f>
        <v/>
      </c>
      <c r="AK94">
        <f>IMDIV(AE94,AI94)</f>
        <v/>
      </c>
      <c r="AM94">
        <f>20*LOG10(IMABS(AK94))</f>
        <v/>
      </c>
      <c r="AN94">
        <f>IMARGUMENT(AK94)*180/Pi</f>
        <v/>
      </c>
    </row>
    <row r="95">
      <c r="A95" s="653" t="n">
        <v>9000000</v>
      </c>
      <c r="B95" s="352">
        <f>A95/1000</f>
        <v/>
      </c>
      <c r="C95">
        <f>COMPLEX(0,2*Pi*A95)</f>
        <v/>
      </c>
      <c r="D95" s="30">
        <f>COMPLEX(-POWER(2*Pi*A95,2),0)</f>
        <v/>
      </c>
      <c r="E95" s="30">
        <f>COMPLEX(0,-POWER(2*Pi*A95,3))</f>
        <v/>
      </c>
      <c r="G95" s="30">
        <f>IMSUM(IMPRODUCT(C95,Rcomp_AEF*Csen_AEF),Csen_AEF/Ccomp_AEF)</f>
        <v/>
      </c>
      <c r="I95" s="30">
        <f>IMPRODUCT((RdampSel*CdampSel+RdampSel*CinjSel),C95)</f>
        <v/>
      </c>
      <c r="J95">
        <f>IMSUM(1,I95)</f>
        <v/>
      </c>
      <c r="L95" s="30">
        <f>IMPRODUCT(G95,L_infilterStd*RdampSel*CinjSel*CdampSel,E95)</f>
        <v/>
      </c>
      <c r="M95">
        <f>IMPRODUCT(G95,L_infilterStd*CinjSel,D95)</f>
        <v/>
      </c>
      <c r="N95">
        <f>J95</f>
        <v/>
      </c>
      <c r="O95" s="299">
        <f>IMSUM(L95:N95)</f>
        <v/>
      </c>
      <c r="P95" s="651" t="n">
        <v>0</v>
      </c>
      <c r="Q95" s="397">
        <f>IMSUM(IMPRODUCT(C95,RdampPssv*CdampPssv),1)</f>
        <v/>
      </c>
      <c r="R95" s="397">
        <f>IMPRODUCT(RdampPssv*CdampPssv*CfilterPssv*LinfilterPssv,E95)</f>
        <v/>
      </c>
      <c r="S95" s="397">
        <f>IMPRODUCT(D95,LinfilterPssv*(CfilterPssv+CdampPssv))</f>
        <v/>
      </c>
      <c r="T95" s="397">
        <f>IMSUM(S95,R95,Q95)</f>
        <v/>
      </c>
      <c r="U95" s="652" t="n">
        <v>1</v>
      </c>
      <c r="V95">
        <f>CHOOSE(INFILTER_TYPE,U95,IMDIV(J95,O95),IMDIV(Q95,T95))</f>
        <v/>
      </c>
      <c r="W95">
        <f>20*LOG10(IMABS(V95))</f>
        <v/>
      </c>
      <c r="X95">
        <f>IMARGUMENT(V95)*180/Pi</f>
        <v/>
      </c>
      <c r="Z95">
        <f>IMDIV(Q95,T95)</f>
        <v/>
      </c>
      <c r="AA95">
        <f>20*LOG10(IMABS(Z95))</f>
        <v/>
      </c>
      <c r="AB95">
        <f>IMARGUMENT(Z95)*180/Pi</f>
        <v/>
      </c>
      <c r="AD95" s="30">
        <f>IMPRODUCT((RdampCom*CdampCom+RdampCom*CinjCom),C95)</f>
        <v/>
      </c>
      <c r="AE95" s="30">
        <f>IMSUM(1,AD95)</f>
        <v/>
      </c>
      <c r="AF95" s="30">
        <f>IMPRODUCT(G95,L_infilterStd*RdampSel*CinjSel*CdampSel,E95)</f>
        <v/>
      </c>
      <c r="AG95">
        <f>IMPRODUCT(G95,LAEFCom*CinjCom,D95)</f>
        <v/>
      </c>
      <c r="AH95">
        <f>AE95</f>
        <v/>
      </c>
      <c r="AI95" s="299">
        <f>IMSUM(AF95:AH95)</f>
        <v/>
      </c>
      <c r="AK95">
        <f>IMDIV(AE95,AI95)</f>
        <v/>
      </c>
      <c r="AM95">
        <f>20*LOG10(IMABS(AK95))</f>
        <v/>
      </c>
      <c r="AN95">
        <f>IMARGUMENT(AK95)*180/Pi</f>
        <v/>
      </c>
    </row>
    <row r="96">
      <c r="A96" s="653" t="n">
        <v>10000000</v>
      </c>
      <c r="B96" s="352">
        <f>A96/1000</f>
        <v/>
      </c>
      <c r="C96">
        <f>COMPLEX(0,2*Pi*A96)</f>
        <v/>
      </c>
      <c r="D96" s="30">
        <f>COMPLEX(-POWER(2*Pi*A96,2),0)</f>
        <v/>
      </c>
      <c r="E96" s="30">
        <f>COMPLEX(0,-POWER(2*Pi*A96,3))</f>
        <v/>
      </c>
      <c r="G96" s="30">
        <f>IMSUM(IMPRODUCT(C96,Rcomp_AEF*Csen_AEF),Csen_AEF/Ccomp_AEF)</f>
        <v/>
      </c>
      <c r="I96" s="30">
        <f>IMPRODUCT((RdampSel*CdampSel+RdampSel*CinjSel),C96)</f>
        <v/>
      </c>
      <c r="J96">
        <f>IMSUM(1,I96)</f>
        <v/>
      </c>
      <c r="L96" s="30">
        <f>IMPRODUCT(G96,L_infilterStd*RdampSel*CinjSel*CdampSel,E96)</f>
        <v/>
      </c>
      <c r="M96">
        <f>IMPRODUCT(G96,L_infilterStd*CinjSel,D96)</f>
        <v/>
      </c>
      <c r="N96">
        <f>J96</f>
        <v/>
      </c>
      <c r="O96" s="299">
        <f>IMSUM(L96:N96)</f>
        <v/>
      </c>
      <c r="P96" s="651" t="n">
        <v>0</v>
      </c>
      <c r="Q96" s="397">
        <f>IMSUM(IMPRODUCT(C96,RdampPssv*CdampPssv),1)</f>
        <v/>
      </c>
      <c r="R96" s="397">
        <f>IMPRODUCT(RdampPssv*CdampPssv*CfilterPssv*LinfilterPssv,E96)</f>
        <v/>
      </c>
      <c r="S96" s="397">
        <f>IMPRODUCT(D96,LinfilterPssv*(CfilterPssv+CdampPssv))</f>
        <v/>
      </c>
      <c r="T96" s="397">
        <f>IMSUM(S96,R96,Q96)</f>
        <v/>
      </c>
      <c r="U96" s="652" t="n">
        <v>1</v>
      </c>
      <c r="V96">
        <f>CHOOSE(INFILTER_TYPE,U96,IMDIV(J96,O96),IMDIV(Q96,T96))</f>
        <v/>
      </c>
      <c r="W96">
        <f>20*LOG10(IMABS(V96))</f>
        <v/>
      </c>
      <c r="X96">
        <f>IMARGUMENT(V96)*180/Pi</f>
        <v/>
      </c>
      <c r="Z96">
        <f>IMDIV(Q96,T96)</f>
        <v/>
      </c>
      <c r="AA96">
        <f>20*LOG10(IMABS(Z96))</f>
        <v/>
      </c>
      <c r="AB96">
        <f>IMARGUMENT(Z96)*180/Pi</f>
        <v/>
      </c>
      <c r="AD96" s="30">
        <f>IMPRODUCT((RdampCom*CdampCom+RdampCom*CinjCom),C96)</f>
        <v/>
      </c>
      <c r="AE96" s="30">
        <f>IMSUM(1,AD96)</f>
        <v/>
      </c>
      <c r="AF96" s="30">
        <f>IMPRODUCT(G96,L_infilterStd*RdampSel*CinjSel*CdampSel,E96)</f>
        <v/>
      </c>
      <c r="AG96">
        <f>IMPRODUCT(G96,LAEFCom*CinjCom,D96)</f>
        <v/>
      </c>
      <c r="AH96">
        <f>AE96</f>
        <v/>
      </c>
      <c r="AI96" s="299">
        <f>IMSUM(AF96:AH96)</f>
        <v/>
      </c>
      <c r="AK96">
        <f>IMDIV(AE96,AI96)</f>
        <v/>
      </c>
      <c r="AM96">
        <f>20*LOG10(IMABS(AK96))</f>
        <v/>
      </c>
      <c r="AN96">
        <f>IMARGUMENT(AK96)*180/Pi</f>
        <v/>
      </c>
    </row>
    <row r="97">
      <c r="A97" s="307">
        <f>Fsw</f>
        <v/>
      </c>
      <c r="B97" s="352">
        <f>A97/1000</f>
        <v/>
      </c>
      <c r="C97">
        <f>COMPLEX(0,2*Pi*A97)</f>
        <v/>
      </c>
      <c r="D97" s="30">
        <f>COMPLEX(-POWER(2*Pi*A97,2),0)</f>
        <v/>
      </c>
      <c r="E97" s="30">
        <f>COMPLEX(0,-POWER(2*Pi*A97,3))</f>
        <v/>
      </c>
      <c r="G97" s="30">
        <f>IMSUM(IMPRODUCT(C97,Rcomp_AEF*Csen_AEF),Csen_AEF/Ccomp_AEF)</f>
        <v/>
      </c>
      <c r="I97" s="30">
        <f>IMPRODUCT((RdampSel*CdampSel+RdampSel*CinjSel),C97)</f>
        <v/>
      </c>
      <c r="J97">
        <f>IMSUM(1,I97)</f>
        <v/>
      </c>
      <c r="L97" s="30">
        <f>IMPRODUCT(G97,L_infilterStd*RdampSel*CinjSel*CdampSel,E97)</f>
        <v/>
      </c>
      <c r="M97">
        <f>IMPRODUCT(G97,L_infilterStd*CinjSel,D97)</f>
        <v/>
      </c>
      <c r="N97">
        <f>J97</f>
        <v/>
      </c>
      <c r="O97" s="299">
        <f>IMSUM(L97:N97)</f>
        <v/>
      </c>
      <c r="P97" s="651" t="n">
        <v>2</v>
      </c>
      <c r="Q97" s="397">
        <f>IMSUM(IMPRODUCT(C97,RdampPssv*CdampPssv),1)</f>
        <v/>
      </c>
      <c r="R97" s="397">
        <f>IMPRODUCT(RdampPssv*CdampPssv*CfilterPssv*LinfilterPssv,E97)</f>
        <v/>
      </c>
      <c r="S97" s="397">
        <f>IMPRODUCT(D97,LinfilterPssv*(CfilterPssv+CdampPssv))</f>
        <v/>
      </c>
      <c r="T97" s="397">
        <f>IMSUM(S97,R97,Q97)</f>
        <v/>
      </c>
      <c r="U97" s="652" t="n">
        <v>1</v>
      </c>
      <c r="V97">
        <f>CHOOSE(INFILTER_TYPE,U97,IMDIV(J97,O97),IMDIV(Q97,T97))</f>
        <v/>
      </c>
      <c r="W97">
        <f>20*LOG10(IMABS(V97))</f>
        <v/>
      </c>
      <c r="X97">
        <f>IMARGUMENT(V97)*180/Pi</f>
        <v/>
      </c>
      <c r="Z97">
        <f>IMDIV(Q97,T97)</f>
        <v/>
      </c>
      <c r="AA97">
        <f>20*LOG10(IMABS(Z97))</f>
        <v/>
      </c>
      <c r="AB97">
        <f>IMARGUMENT(Z97)*180/Pi</f>
        <v/>
      </c>
      <c r="AD97" s="30">
        <f>IMPRODUCT((RdampCom*CdampCom+RdampCom*CinjCom),C97)</f>
        <v/>
      </c>
      <c r="AE97" s="30">
        <f>IMSUM(1,AD97)</f>
        <v/>
      </c>
      <c r="AF97" s="30">
        <f>IMPRODUCT(G97,L_infilterStd*RdampSel*CinjSel*CdampSel,E97)</f>
        <v/>
      </c>
      <c r="AG97">
        <f>IMPRODUCT(G97,LAEFCom*CinjCom,D97)</f>
        <v/>
      </c>
      <c r="AH97">
        <f>AE97</f>
        <v/>
      </c>
      <c r="AI97" s="299">
        <f>IMSUM(AF97:AH97)</f>
        <v/>
      </c>
      <c r="AK97">
        <f>IMDIV(AE97,AI97)</f>
        <v/>
      </c>
      <c r="AM97">
        <f>20*LOG10(IMABS(AK97))</f>
        <v/>
      </c>
      <c r="AN97">
        <f>IMARGUMENT(AK97)*180/Pi</f>
        <v/>
      </c>
    </row>
    <row r="98">
      <c r="A98" s="416" t="n"/>
      <c r="B98" s="342" t="n"/>
    </row>
    <row r="99">
      <c r="A99" s="416" t="n"/>
      <c r="B99" s="342" t="n"/>
    </row>
    <row r="100">
      <c r="A100" s="393" t="n"/>
    </row>
    <row r="101">
      <c r="A101" s="393" t="n"/>
    </row>
    <row r="102">
      <c r="A102" s="393" t="n"/>
    </row>
    <row r="112">
      <c r="A112" s="347" t="n"/>
    </row>
    <row r="113">
      <c r="A113" s="347" t="n"/>
    </row>
  </sheetData>
  <mergeCells count="8">
    <mergeCell ref="A10:A12"/>
    <mergeCell ref="I11:J11"/>
    <mergeCell ref="R12:T12"/>
    <mergeCell ref="AD11:AE11"/>
    <mergeCell ref="Q11:T11"/>
    <mergeCell ref="B10:B11"/>
    <mergeCell ref="L11:O11"/>
    <mergeCell ref="AF11:AI11"/>
  </mergeCells>
  <pageMargins left="0.7" right="0.7" top="0.75" bottom="0.75" header="0.3" footer="0.3"/>
  <pageSetup orientation="portrait"/>
</worksheet>
</file>

<file path=xl/worksheets/sheet13.xml><?xml version="1.0" encoding="utf-8"?>
<worksheet xmlns="http://schemas.openxmlformats.org/spreadsheetml/2006/main">
  <sheetPr codeName="Sheet6">
    <outlinePr summaryBelow="1" summaryRight="1"/>
    <pageSetUpPr/>
  </sheetPr>
  <dimension ref="A2:T159"/>
  <sheetViews>
    <sheetView topLeftCell="H1" zoomScale="115" zoomScaleNormal="115" workbookViewId="0">
      <selection activeCell="R12" sqref="R12"/>
    </sheetView>
  </sheetViews>
  <sheetFormatPr baseColWidth="8" defaultRowHeight="12.75"/>
  <cols>
    <col width="17.28515625" customWidth="1" min="1" max="1"/>
    <col width="12" bestFit="1" customWidth="1" min="2" max="2"/>
    <col width="12.42578125" bestFit="1" customWidth="1" min="3" max="4"/>
    <col width="12.42578125" bestFit="1" customWidth="1" min="7" max="9"/>
    <col width="11.42578125" bestFit="1" customWidth="1" min="10" max="10"/>
    <col width="11.42578125" customWidth="1" min="11" max="12"/>
    <col width="10.42578125" customWidth="1" min="13" max="13"/>
    <col width="10" customWidth="1" min="14" max="15"/>
    <col width="12.140625" customWidth="1" min="17" max="17"/>
    <col width="12.42578125" bestFit="1" customWidth="1" min="18" max="18"/>
    <col width="15.42578125" customWidth="1" min="19" max="19"/>
  </cols>
  <sheetData>
    <row r="2">
      <c r="A2" t="inlineStr">
        <is>
          <t>Capacitors</t>
        </is>
      </c>
      <c r="B2" t="inlineStr">
        <is>
          <t>Css</t>
        </is>
      </c>
      <c r="C2" t="inlineStr">
        <is>
          <t>Cc1ea</t>
        </is>
      </c>
      <c r="D2" t="inlineStr">
        <is>
          <t>Cc2ea</t>
        </is>
      </c>
      <c r="E2" t="inlineStr">
        <is>
          <t>Cout</t>
        </is>
      </c>
      <c r="F2" t="inlineStr">
        <is>
          <t>Cin</t>
        </is>
      </c>
      <c r="G2" s="113" t="inlineStr">
        <is>
          <t>Cres</t>
        </is>
      </c>
      <c r="H2" s="113" t="inlineStr">
        <is>
          <t>Cdither</t>
        </is>
      </c>
      <c r="I2" s="113" t="inlineStr">
        <is>
          <t>Cc3ea</t>
        </is>
      </c>
      <c r="J2" s="113" t="inlineStr">
        <is>
          <t>Cc4ea</t>
        </is>
      </c>
      <c r="K2" s="113" t="inlineStr">
        <is>
          <t>Cin_Passive</t>
        </is>
      </c>
      <c r="L2" s="113" t="inlineStr">
        <is>
          <t>Cdamp_Pssv</t>
        </is>
      </c>
      <c r="M2" s="113" t="inlineStr">
        <is>
          <t>Cinj_AEF</t>
        </is>
      </c>
      <c r="N2" s="113" t="inlineStr">
        <is>
          <t>Cdamp_AEF</t>
        </is>
      </c>
      <c r="O2" s="113" t="n"/>
    </row>
    <row r="3">
      <c r="A3" t="inlineStr">
        <is>
          <t>Inputs</t>
        </is>
      </c>
      <c r="B3">
        <f>Css</f>
        <v/>
      </c>
      <c r="C3">
        <f>Cc1ea</f>
        <v/>
      </c>
      <c r="D3">
        <f>Cc2ea</f>
        <v/>
      </c>
      <c r="E3">
        <f>Cout</f>
        <v/>
      </c>
      <c r="F3">
        <f>Cin</f>
        <v/>
      </c>
      <c r="G3">
        <f>Cres</f>
        <v/>
      </c>
      <c r="H3">
        <f>Cdither_init</f>
        <v/>
      </c>
      <c r="I3">
        <f>Cc3ea</f>
        <v/>
      </c>
      <c r="J3">
        <f>Cc4ea</f>
        <v/>
      </c>
      <c r="K3" s="30">
        <f>'Variable Management'!B292*0.000001</f>
        <v/>
      </c>
      <c r="L3" s="30">
        <f>K3*4</f>
        <v/>
      </c>
      <c r="M3">
        <f>Cinj_AEF*0.000001</f>
        <v/>
      </c>
      <c r="N3">
        <f>'Variable Management'!B295*0.000001</f>
        <v/>
      </c>
      <c r="Q3" t="inlineStr">
        <is>
          <t>Resistors</t>
        </is>
      </c>
      <c r="R3" t="inlineStr">
        <is>
          <t>inputs</t>
        </is>
      </c>
      <c r="S3" s="2" t="inlineStr">
        <is>
          <t>Standard Result</t>
        </is>
      </c>
    </row>
    <row r="4">
      <c r="A4" s="7" t="inlineStr">
        <is>
          <t>Standard Result</t>
        </is>
      </c>
      <c r="B4" s="7">
        <f>SUM(B6:B158)/1000000000000</f>
        <v/>
      </c>
      <c r="C4" s="7">
        <f>IF(C3="OPEN","OPEN",SUM(C6:C158)/1000000000000)</f>
        <v/>
      </c>
      <c r="D4" s="7">
        <f>SUM(D6:D158)/1000000000000</f>
        <v/>
      </c>
      <c r="E4" s="7">
        <f>SUM(E6:E158)/1000000000000</f>
        <v/>
      </c>
      <c r="F4" s="7">
        <f>SUM(F6:F158)/1000000000000</f>
        <v/>
      </c>
      <c r="G4" s="7">
        <f>SUM(G6:G158)/1000000000000</f>
        <v/>
      </c>
      <c r="H4" s="7">
        <f>IF(H3="OPEN","OPEN",SUM(H6:H158)/1000000000000)</f>
        <v/>
      </c>
      <c r="I4" s="7">
        <f>IF(I3="OPEN","OPEN",SUM(I6:I158)/1000000000000)</f>
        <v/>
      </c>
      <c r="J4" s="7">
        <f>IF(J3="OPEN","OPEN",SUM(J6:J158)/1000000000000)</f>
        <v/>
      </c>
      <c r="K4" s="7">
        <f>IF(K3="OPEN","OPEN",SUM(K6:K158)/1000000000000)</f>
        <v/>
      </c>
      <c r="L4" s="7">
        <f>IF(L3="OPEN","OPEN",SUM(L6:L158)/1000000000000)</f>
        <v/>
      </c>
      <c r="M4" s="7">
        <f>IF(M3="OPEN","OPEN",SUM(M6:M158)/1000000000000)</f>
        <v/>
      </c>
      <c r="N4" s="7">
        <f>IF(N3="OPEN","OPEN",SUM(N6:N158)/1000000000000)</f>
        <v/>
      </c>
      <c r="O4" s="7" t="n"/>
      <c r="Q4" s="113" t="inlineStr">
        <is>
          <t>Rt</t>
        </is>
      </c>
      <c r="R4">
        <f>Rfadj</f>
        <v/>
      </c>
      <c r="S4" s="2">
        <f>IF(R4&gt;(INT(0.5+100*POWER(10,IF(96*(LOG(R4)-INT(LOG(R4)))-ROUND(96*(LOG(R4)-INT(LOG(R4))),0)&lt;0,ROUND(96*(LOG(R4)-INT(LOG(R4))),0)-1,ROUND(96*(LOG(R4)-INT(LOG(R4))),0))/96))*POWER(10,INT(LOG(R4))-2)+INT(0.5+100*POWER(10,(IF(96*(LOG(R4)-INT(LOG(R4)))-ROUND(96*(LOG(R4)-INT(LOG(R4))),0)&lt;0,ROUND(96*(LOG(R4)-INT(LOG(R4))),0)-1,ROUND(96*(LOG(R4)-INT(LOG(R4))),0))+1)/96))*POWER(10,INT(LOG(R4))-2))/2,INT(0.5+100*POWER(10,(IF(96*(LOG(R4)-INT(LOG(R4)))-ROUND(96*(LOG(R4)-INT(LOG(R4))),0)&lt;0,ROUND(96*(LOG(R4)-INT(LOG(R4))),0)-1,ROUND(96*(LOG(R4)-INT(LOG(R4))),0))+1)/96))*POWER(10,INT(LOG(R4))-2),INT(0.5+100*POWER(10,IF(96*(LOG(R4)-INT(LOG(R4)))-ROUND(96*(LOG(R4)-INT(LOG(R4))),0)&lt;0,ROUND(96*(LOG(R4)-INT(LOG(R4))),0)-1,ROUND(96*(LOG(R4)-INT(LOG(R4))),0))/96))*POWER(10,INT(LOG(R4))-2))</f>
        <v/>
      </c>
      <c r="T4" s="45" t="inlineStr">
        <is>
          <t>Ω</t>
        </is>
      </c>
    </row>
    <row r="5">
      <c r="A5" t="inlineStr">
        <is>
          <t>(pF)</t>
        </is>
      </c>
      <c r="S5" s="2" t="n"/>
      <c r="T5" s="45" t="n"/>
    </row>
    <row r="6">
      <c r="A6" t="n">
        <v>0.47</v>
      </c>
      <c r="B6">
        <f>IF(IF((B$3*10^12-$A7)*(B$3*10^12-$A6)*-1&lt;0,0,1)*IF(ABS(B$3*10^12-$A7)&gt;(B$3*10^12-$A6),$A6,$A7)=B7,0,IF((B$3*10^12-$A7)*(B$3*10^12-$A6)*-1&lt;0,0,1)*IF(ABS(B$3*10^12-$A7)&gt;(B$3*10^12-$A6),$A6,$A7))</f>
        <v/>
      </c>
      <c r="C6">
        <f>IF(IF((C$3*10^12-$A7)*(C$3*10^12-$A6)*-1&lt;0,0,1)*IF(ABS(C$3*10^12-$A7)&gt;(C$3*10^12-$A6),$A6,$A7)=C7,0,IF((C$3*10^12-$A7)*(C$3*10^12-$A6)*-1&lt;0,0,1)*IF(ABS(C$3*10^12-$A7)&gt;(C$3*10^12-$A6),$A6,$A7))</f>
        <v/>
      </c>
      <c r="D6">
        <f>IF(IF((D$3*10^12-$A7)*(D$3*10^12-$A6)*-1&lt;0,0,1)*IF(ABS(D$3*10^12-$A7)&gt;(D$3*10^12-$A6),$A6,$A7)=D7,0,IF((D$3*10^12-$A7)*(D$3*10^12-$A6)*-1&lt;0,0,1)*IF(ABS(D$3*10^12-$A7)&gt;(D$3*10^12-$A6),$A6,$A7))</f>
        <v/>
      </c>
      <c r="E6">
        <f>IF(IF((E$3*10^12-$A7)*(E$3*10^12-$A6)*-1&lt;0,0,1)*IF(ABS(E$3*10^12-$A7)&gt;(E$3*10^12-$A6),$A6,$A7)=E7,0,IF((E$3*10^12-$A7)*(E$3*10^12-$A6)*-1&lt;0,0,1)*IF(ABS(E$3*10^12-$A7)&gt;(E$3*10^12-$A6),$A6,$A7))</f>
        <v/>
      </c>
      <c r="F6">
        <f>IF(IF((F$3*10^12-$A7)*(F$3*10^12-$A6)*-1&lt;0,0,1)*IF(ABS(F$3*10^12-$A7)&gt;(F$3*10^12-$A6),$A6,$A7)=F7,0,IF((F$3*10^12-$A7)*(F$3*10^12-$A6)*-1&lt;0,0,1)*IF(ABS(F$3*10^12-$A7)&gt;(F$3*10^12-$A6),$A6,$A7))</f>
        <v/>
      </c>
      <c r="G6">
        <f>IF(IF((G$3*10^12-$A7)*(G$3*10^12-$A6)*-1&lt;0,0,1)*IF(ABS(G$3*10^12-$A7)&gt;(G$3*10^12-$A6),$A6,$A7)=G7,0,IF((G$3*10^12-$A7)*(G$3*10^12-$A6)*-1&lt;0,0,1)*IF(ABS(G$3*10^12-$A7)&gt;(G$3*10^12-$A6),$A6,$A7))</f>
        <v/>
      </c>
      <c r="H6">
        <f>IF(IF((H$3*10^12-$A7)*(H$3*10^12-$A6)*-1&lt;0,0,1)*IF(ABS(H$3*10^12-$A7)&gt;(H$3*10^12-$A6),$A6,$A7)=H7,0,IF((H$3*10^12-$A7)*(H$3*10^12-$A6)*-1&lt;0,0,1)*IF(ABS(H$3*10^12-$A7)&gt;(H$3*10^12-$A6),$A6,$A7))</f>
        <v/>
      </c>
      <c r="I6">
        <f>IF(IF((I$3*10^12-$A7)*(I$3*10^12-$A6)*-1&lt;0,0,1)*IF(ABS(I$3*10^12-$A7)&gt;(I$3*10^12-$A6),$A6,$A7)=I7,0,IF((I$3*10^12-$A7)*(I$3*10^12-$A6)*-1&lt;0,0,1)*IF(ABS(I$3*10^12-$A7)&gt;(I$3*10^12-$A6),$A6,$A7))</f>
        <v/>
      </c>
      <c r="J6">
        <f>IF(IF((J$3*10^12-$A7)*(J$3*10^12-$A6)*-1&lt;0,0,1)*IF(ABS(J$3*10^12-$A7)&gt;(J$3*10^12-$A6),$A6,$A7)=J7,0,IF((J$3*10^12-$A7)*(J$3*10^12-$A6)*-1&lt;0,0,1)*IF(ABS(J$3*10^12-$A7)&gt;(J$3*10^12-$A6),$A6,$A7))</f>
        <v/>
      </c>
      <c r="K6">
        <f>IF(IF((K$3*10^12-$A7)*(K$3*10^12-$A6)*-1&lt;0,0,1)*IF(ABS(K$3*10^12-$A7)&gt;(K$3*10^12-$A6),$A6,$A7)=K7,0,IF((K$3*10^12-$A7)*(K$3*10^12-$A6)*-1&lt;0,0,1)*IF(ABS(K$3*10^12-$A7)&gt;(K$3*10^12-$A6),$A6,$A7))</f>
        <v/>
      </c>
      <c r="L6">
        <f>IF(IF((L$3*10^12-$A7)*(L$3*10^12-$A6)*-1&lt;0,0,1)*IF(ABS(L$3*10^12-$A7)&gt;(L$3*10^12-$A6),$A6,$A7)=L7,0,IF((L$3*10^12-$A7)*(L$3*10^12-$A6)*-1&lt;0,0,1)*IF(ABS(L$3*10^12-$A7)&gt;(L$3*10^12-$A6),$A6,$A7))</f>
        <v/>
      </c>
      <c r="M6">
        <f>IF(IF((M$3*10^12-$A7)*(M$3*10^12-$A6)*-1&lt;0,0,1)*IF(ABS(M$3*10^12-$A7)&gt;(M$3*10^12-$A6),$A6,$A7)=M7,0,IF((M$3*10^12-$A7)*(M$3*10^12-$A6)*-1&lt;0,0,1)*IF(ABS(M$3*10^12-$A7)&gt;(M$3*10^12-$A6),$A6,$A7))</f>
        <v/>
      </c>
      <c r="N6">
        <f>IF(IF((N$3*10^12-$A7)*(N$3*10^12-$A6)*-1&lt;0,0,1)*IF(ABS(N$3*10^12-$A7)&gt;(N$3*10^12-$A6),$A6,$A7)=N7,0,IF((N$3*10^12-$A7)*(N$3*10^12-$A6)*-1&lt;0,0,1)*IF(ABS(N$3*10^12-$A7)&gt;(N$3*10^12-$A6),$A6,$A7))</f>
        <v/>
      </c>
      <c r="Q6" s="113" t="n"/>
      <c r="R6" s="1085" t="n"/>
      <c r="S6" s="2" t="n"/>
      <c r="T6" s="45" t="n"/>
    </row>
    <row r="7">
      <c r="A7" t="n">
        <v>0.5600000000000001</v>
      </c>
      <c r="B7">
        <f>IF(IF((B$3*10^12-$A8)*(B$3*10^12-$A7)*-1&lt;0,0,1)*IF(ABS(B$3*10^12-$A8)&gt;(B$3*10^12-$A7),$A7,$A8)=B8,0,IF((B$3*10^12-$A8)*(B$3*10^12-$A7)*-1&lt;0,0,1)*IF(ABS(B$3*10^12-$A8)&gt;(B$3*10^12-$A7),$A7,$A8))</f>
        <v/>
      </c>
      <c r="C7">
        <f>IF(IF((C$3*10^12-$A8)*(C$3*10^12-$A7)*-1&lt;0,0,1)*IF(ABS(C$3*10^12-$A8)&gt;(C$3*10^12-$A7),$A7,$A8)=C8,0,IF((C$3*10^12-$A8)*(C$3*10^12-$A7)*-1&lt;0,0,1)*IF(ABS(C$3*10^12-$A8)&gt;(C$3*10^12-$A7),$A7,$A8))</f>
        <v/>
      </c>
      <c r="D7">
        <f>IF(IF((D$3*10^12-$A8)*(D$3*10^12-$A7)*-1&lt;0,0,1)*IF(ABS(D$3*10^12-$A8)&gt;(D$3*10^12-$A7),$A7,$A8)=D8,0,IF((D$3*10^12-$A8)*(D$3*10^12-$A7)*-1&lt;0,0,1)*IF(ABS(D$3*10^12-$A8)&gt;(D$3*10^12-$A7),$A7,$A8))</f>
        <v/>
      </c>
      <c r="E7">
        <f>IF(IF((E$3*10^12-$A8)*(E$3*10^12-$A7)*-1&lt;0,0,1)*IF(ABS(E$3*10^12-$A8)&gt;(E$3*10^12-$A7),$A7,$A8)=E8,0,IF((E$3*10^12-$A8)*(E$3*10^12-$A7)*-1&lt;0,0,1)*IF(ABS(E$3*10^12-$A8)&gt;(E$3*10^12-$A7),$A7,$A8))</f>
        <v/>
      </c>
      <c r="F7">
        <f>IF(IF((F$3*10^12-$A8)*(F$3*10^12-$A7)*-1&lt;0,0,1)*IF(ABS(F$3*10^12-$A8)&gt;(F$3*10^12-$A7),$A7,$A8)=F8,0,IF((F$3*10^12-$A8)*(F$3*10^12-$A7)*-1&lt;0,0,1)*IF(ABS(F$3*10^12-$A8)&gt;(F$3*10^12-$A7),$A7,$A8))</f>
        <v/>
      </c>
      <c r="G7">
        <f>IF(IF((G$3*10^12-$A8)*(G$3*10^12-$A7)*-1&lt;0,0,1)*IF(ABS(G$3*10^12-$A8)&gt;(G$3*10^12-$A7),$A7,$A8)=G8,0,IF((G$3*10^12-$A8)*(G$3*10^12-$A7)*-1&lt;0,0,1)*IF(ABS(G$3*10^12-$A8)&gt;(G$3*10^12-$A7),$A7,$A8))</f>
        <v/>
      </c>
      <c r="H7">
        <f>IF(IF((H$3*10^12-$A8)*(H$3*10^12-$A7)*-1&lt;0,0,1)*IF(ABS(H$3*10^12-$A8)&gt;(H$3*10^12-$A7),$A7,$A8)=H8,0,IF((H$3*10^12-$A8)*(H$3*10^12-$A7)*-1&lt;0,0,1)*IF(ABS(H$3*10^12-$A8)&gt;(H$3*10^12-$A7),$A7,$A8))</f>
        <v/>
      </c>
      <c r="I7">
        <f>IF(IF((I$3*10^12-$A8)*(I$3*10^12-$A7)*-1&lt;0,0,1)*IF(ABS(I$3*10^12-$A8)&gt;(I$3*10^12-$A7),$A7,$A8)=I8,0,IF((I$3*10^12-$A8)*(I$3*10^12-$A7)*-1&lt;0,0,1)*IF(ABS(I$3*10^12-$A8)&gt;(I$3*10^12-$A7),$A7,$A8))</f>
        <v/>
      </c>
      <c r="J7">
        <f>IF(IF((J$3*10^12-$A8)*(J$3*10^12-$A7)*-1&lt;0,0,1)*IF(ABS(J$3*10^12-$A8)&gt;(J$3*10^12-$A7),$A7,$A8)=J8,0,IF((J$3*10^12-$A8)*(J$3*10^12-$A7)*-1&lt;0,0,1)*IF(ABS(J$3*10^12-$A8)&gt;(J$3*10^12-$A7),$A7,$A8))</f>
        <v/>
      </c>
      <c r="K7">
        <f>IF(IF((K$3*10^12-$A8)*(K$3*10^12-$A7)*-1&lt;0,0,1)*IF(ABS(K$3*10^12-$A8)&gt;(K$3*10^12-$A7),$A7,$A8)=K8,0,IF((K$3*10^12-$A8)*(K$3*10^12-$A7)*-1&lt;0,0,1)*IF(ABS(K$3*10^12-$A8)&gt;(K$3*10^12-$A7),$A7,$A8))</f>
        <v/>
      </c>
      <c r="L7">
        <f>IF(IF((L$3*10^12-$A8)*(L$3*10^12-$A7)*-1&lt;0,0,1)*IF(ABS(L$3*10^12-$A8)&gt;(L$3*10^12-$A7),$A7,$A8)=L8,0,IF((L$3*10^12-$A8)*(L$3*10^12-$A7)*-1&lt;0,0,1)*IF(ABS(L$3*10^12-$A8)&gt;(L$3*10^12-$A7),$A7,$A8))</f>
        <v/>
      </c>
      <c r="M7">
        <f>IF(IF((M$3*10^12-$A8)*(M$3*10^12-$A7)*-1&lt;0,0,1)*IF(ABS(M$3*10^12-$A8)&gt;(M$3*10^12-$A7),$A7,$A8)=M8,0,IF((M$3*10^12-$A8)*(M$3*10^12-$A7)*-1&lt;0,0,1)*IF(ABS(M$3*10^12-$A8)&gt;(M$3*10^12-$A7),$A7,$A8))</f>
        <v/>
      </c>
      <c r="N7">
        <f>IF(IF((N$3*10^12-$A8)*(N$3*10^12-$A7)*-1&lt;0,0,1)*IF(ABS(N$3*10^12-$A8)&gt;(N$3*10^12-$A7),$A7,$A8)=N8,0,IF((N$3*10^12-$A8)*(N$3*10^12-$A7)*-1&lt;0,0,1)*IF(ABS(N$3*10^12-$A8)&gt;(N$3*10^12-$A7),$A7,$A8))</f>
        <v/>
      </c>
      <c r="Q7" t="inlineStr">
        <is>
          <t>Rc1ea</t>
        </is>
      </c>
      <c r="R7">
        <f>Rcea1</f>
        <v/>
      </c>
      <c r="S7" s="2">
        <f>IF(R7&gt;(INT(0.5+100*POWER(10,IF(96*(LOG(R7)-INT(LOG(R7)))-ROUND(96*(LOG(R7)-INT(LOG(R7))),0)&lt;0,ROUND(96*(LOG(R7)-INT(LOG(R7))),0)-1,ROUND(96*(LOG(R7)-INT(LOG(R7))),0))/96))*POWER(10,INT(LOG(R7))-2)+INT(0.5+100*POWER(10,(IF(96*(LOG(R7)-INT(LOG(R7)))-ROUND(96*(LOG(R7)-INT(LOG(R7))),0)&lt;0,ROUND(96*(LOG(R7)-INT(LOG(R7))),0)-1,ROUND(96*(LOG(R7)-INT(LOG(R7))),0))+1)/96))*POWER(10,INT(LOG(R7))-2))/2,INT(0.5+100*POWER(10,(IF(96*(LOG(R7)-INT(LOG(R7)))-ROUND(96*(LOG(R7)-INT(LOG(R7))),0)&lt;0,ROUND(96*(LOG(R7)-INT(LOG(R7))),0)-1,ROUND(96*(LOG(R7)-INT(LOG(R7))),0))+1)/96))*POWER(10,INT(LOG(R7))-2),INT(0.5+100*POWER(10,IF(96*(LOG(R7)-INT(LOG(R7)))-ROUND(96*(LOG(R7)-INT(LOG(R7))),0)&lt;0,ROUND(96*(LOG(R7)-INT(LOG(R7))),0)-1,ROUND(96*(LOG(R7)-INT(LOG(R7))),0))/96))*POWER(10,INT(LOG(R7))-2))</f>
        <v/>
      </c>
      <c r="T7" s="45" t="inlineStr">
        <is>
          <t>Ω</t>
        </is>
      </c>
    </row>
    <row r="8">
      <c r="A8" t="n">
        <v>0.68</v>
      </c>
      <c r="B8">
        <f>IF(IF((B$3*10^12-$A9)*(B$3*10^12-$A8)*-1&lt;0,0,1)*IF(ABS(B$3*10^12-$A9)&gt;(B$3*10^12-$A8),$A8,$A9)=B9,0,IF((B$3*10^12-$A9)*(B$3*10^12-$A8)*-1&lt;0,0,1)*IF(ABS(B$3*10^12-$A9)&gt;(B$3*10^12-$A8),$A8,$A9))</f>
        <v/>
      </c>
      <c r="C8">
        <f>IF(IF((C$3*10^12-$A9)*(C$3*10^12-$A8)*-1&lt;0,0,1)*IF(ABS(C$3*10^12-$A9)&gt;(C$3*10^12-$A8),$A8,$A9)=C9,0,IF((C$3*10^12-$A9)*(C$3*10^12-$A8)*-1&lt;0,0,1)*IF(ABS(C$3*10^12-$A9)&gt;(C$3*10^12-$A8),$A8,$A9))</f>
        <v/>
      </c>
      <c r="D8">
        <f>IF(IF((D$3*10^12-$A9)*(D$3*10^12-$A8)*-1&lt;0,0,1)*IF(ABS(D$3*10^12-$A9)&gt;(D$3*10^12-$A8),$A8,$A9)=D9,0,IF((D$3*10^12-$A9)*(D$3*10^12-$A8)*-1&lt;0,0,1)*IF(ABS(D$3*10^12-$A9)&gt;(D$3*10^12-$A8),$A8,$A9))</f>
        <v/>
      </c>
      <c r="E8">
        <f>IF(IF((E$3*10^12-$A9)*(E$3*10^12-$A8)*-1&lt;0,0,1)*IF(ABS(E$3*10^12-$A9)&gt;(E$3*10^12-$A8),$A8,$A9)=E9,0,IF((E$3*10^12-$A9)*(E$3*10^12-$A8)*-1&lt;0,0,1)*IF(ABS(E$3*10^12-$A9)&gt;(E$3*10^12-$A8),$A8,$A9))</f>
        <v/>
      </c>
      <c r="F8">
        <f>IF(IF((F$3*10^12-$A9)*(F$3*10^12-$A8)*-1&lt;0,0,1)*IF(ABS(F$3*10^12-$A9)&gt;(F$3*10^12-$A8),$A8,$A9)=F9,0,IF((F$3*10^12-$A9)*(F$3*10^12-$A8)*-1&lt;0,0,1)*IF(ABS(F$3*10^12-$A9)&gt;(F$3*10^12-$A8),$A8,$A9))</f>
        <v/>
      </c>
      <c r="G8">
        <f>IF(IF((G$3*10^12-$A9)*(G$3*10^12-$A8)*-1&lt;0,0,1)*IF(ABS(G$3*10^12-$A9)&gt;(G$3*10^12-$A8),$A8,$A9)=G9,0,IF((G$3*10^12-$A9)*(G$3*10^12-$A8)*-1&lt;0,0,1)*IF(ABS(G$3*10^12-$A9)&gt;(G$3*10^12-$A8),$A8,$A9))</f>
        <v/>
      </c>
      <c r="H8">
        <f>IF(IF((H$3*10^12-$A9)*(H$3*10^12-$A8)*-1&lt;0,0,1)*IF(ABS(H$3*10^12-$A9)&gt;(H$3*10^12-$A8),$A8,$A9)=H9,0,IF((H$3*10^12-$A9)*(H$3*10^12-$A8)*-1&lt;0,0,1)*IF(ABS(H$3*10^12-$A9)&gt;(H$3*10^12-$A8),$A8,$A9))</f>
        <v/>
      </c>
      <c r="I8">
        <f>IF(IF((I$3*10^12-$A9)*(I$3*10^12-$A8)*-1&lt;0,0,1)*IF(ABS(I$3*10^12-$A9)&gt;(I$3*10^12-$A8),$A8,$A9)=I9,0,IF((I$3*10^12-$A9)*(I$3*10^12-$A8)*-1&lt;0,0,1)*IF(ABS(I$3*10^12-$A9)&gt;(I$3*10^12-$A8),$A8,$A9))</f>
        <v/>
      </c>
      <c r="J8">
        <f>IF(IF((J$3*10^12-$A9)*(J$3*10^12-$A8)*-1&lt;0,0,1)*IF(ABS(J$3*10^12-$A9)&gt;(J$3*10^12-$A8),$A8,$A9)=J9,0,IF((J$3*10^12-$A9)*(J$3*10^12-$A8)*-1&lt;0,0,1)*IF(ABS(J$3*10^12-$A9)&gt;(J$3*10^12-$A8),$A8,$A9))</f>
        <v/>
      </c>
      <c r="K8">
        <f>IF(IF((K$3*10^12-$A9)*(K$3*10^12-$A8)*-1&lt;0,0,1)*IF(ABS(K$3*10^12-$A9)&gt;(K$3*10^12-$A8),$A8,$A9)=K9,0,IF((K$3*10^12-$A9)*(K$3*10^12-$A8)*-1&lt;0,0,1)*IF(ABS(K$3*10^12-$A9)&gt;(K$3*10^12-$A8),$A8,$A9))</f>
        <v/>
      </c>
      <c r="L8">
        <f>IF(IF((L$3*10^12-$A9)*(L$3*10^12-$A8)*-1&lt;0,0,1)*IF(ABS(L$3*10^12-$A9)&gt;(L$3*10^12-$A8),$A8,$A9)=L9,0,IF((L$3*10^12-$A9)*(L$3*10^12-$A8)*-1&lt;0,0,1)*IF(ABS(L$3*10^12-$A9)&gt;(L$3*10^12-$A8),$A8,$A9))</f>
        <v/>
      </c>
      <c r="M8">
        <f>IF(IF((M$3*10^12-$A9)*(M$3*10^12-$A8)*-1&lt;0,0,1)*IF(ABS(M$3*10^12-$A9)&gt;(M$3*10^12-$A8),$A8,$A9)=M9,0,IF((M$3*10^12-$A9)*(M$3*10^12-$A8)*-1&lt;0,0,1)*IF(ABS(M$3*10^12-$A9)&gt;(M$3*10^12-$A8),$A8,$A9))</f>
        <v/>
      </c>
      <c r="N8">
        <f>IF(IF((N$3*10^12-$A9)*(N$3*10^12-$A8)*-1&lt;0,0,1)*IF(ABS(N$3*10^12-$A9)&gt;(N$3*10^12-$A8),$A8,$A9)=N9,0,IF((N$3*10^12-$A9)*(N$3*10^12-$A8)*-1&lt;0,0,1)*IF(ABS(N$3*10^12-$A9)&gt;(N$3*10^12-$A8),$A8,$A9))</f>
        <v/>
      </c>
      <c r="Q8" t="inlineStr">
        <is>
          <t>Rc1ea</t>
        </is>
      </c>
      <c r="R8">
        <f>Rcea2</f>
        <v/>
      </c>
      <c r="S8" s="2">
        <f>IF(R8&gt;(INT(0.5+100*POWER(10,IF(96*(LOG(R8)-INT(LOG(R8)))-ROUND(96*(LOG(R8)-INT(LOG(R8))),0)&lt;0,ROUND(96*(LOG(R8)-INT(LOG(R8))),0)-1,ROUND(96*(LOG(R8)-INT(LOG(R8))),0))/96))*POWER(10,INT(LOG(R8))-2)+INT(0.5+100*POWER(10,(IF(96*(LOG(R8)-INT(LOG(R8)))-ROUND(96*(LOG(R8)-INT(LOG(R8))),0)&lt;0,ROUND(96*(LOG(R8)-INT(LOG(R8))),0)-1,ROUND(96*(LOG(R8)-INT(LOG(R8))),0))+1)/96))*POWER(10,INT(LOG(R8))-2))/2,INT(0.5+100*POWER(10,(IF(96*(LOG(R8)-INT(LOG(R8)))-ROUND(96*(LOG(R8)-INT(LOG(R8))),0)&lt;0,ROUND(96*(LOG(R8)-INT(LOG(R8))),0)-1,ROUND(96*(LOG(R8)-INT(LOG(R8))),0))+1)/96))*POWER(10,INT(LOG(R8))-2),INT(0.5+100*POWER(10,IF(96*(LOG(R8)-INT(LOG(R8)))-ROUND(96*(LOG(R8)-INT(LOG(R8))),0)&lt;0,ROUND(96*(LOG(R8)-INT(LOG(R8))),0)-1,ROUND(96*(LOG(R8)-INT(LOG(R8))),0))/96))*POWER(10,INT(LOG(R8))-2))</f>
        <v/>
      </c>
      <c r="T8" s="45" t="inlineStr">
        <is>
          <t>Ω</t>
        </is>
      </c>
    </row>
    <row r="9">
      <c r="A9" t="n">
        <v>0.82</v>
      </c>
      <c r="B9">
        <f>IF(IF((B$3*10^12-$A10)*(B$3*10^12-$A9)*-1&lt;0,0,1)*IF(ABS(B$3*10^12-$A10)&gt;(B$3*10^12-$A9),$A9,$A10)=B10,0,IF((B$3*10^12-$A10)*(B$3*10^12-$A9)*-1&lt;0,0,1)*IF(ABS(B$3*10^12-$A10)&gt;(B$3*10^12-$A9),$A9,$A10))</f>
        <v/>
      </c>
      <c r="C9">
        <f>IF(IF((C$3*10^12-$A10)*(C$3*10^12-$A9)*-1&lt;0,0,1)*IF(ABS(C$3*10^12-$A10)&gt;(C$3*10^12-$A9),$A9,$A10)=C10,0,IF((C$3*10^12-$A10)*(C$3*10^12-$A9)*-1&lt;0,0,1)*IF(ABS(C$3*10^12-$A10)&gt;(C$3*10^12-$A9),$A9,$A10))</f>
        <v/>
      </c>
      <c r="D9">
        <f>IF(IF((D$3*10^12-$A10)*(D$3*10^12-$A9)*-1&lt;0,0,1)*IF(ABS(D$3*10^12-$A10)&gt;(D$3*10^12-$A9),$A9,$A10)=D10,0,IF((D$3*10^12-$A10)*(D$3*10^12-$A9)*-1&lt;0,0,1)*IF(ABS(D$3*10^12-$A10)&gt;(D$3*10^12-$A9),$A9,$A10))</f>
        <v/>
      </c>
      <c r="E9">
        <f>IF(IF((E$3*10^12-$A10)*(E$3*10^12-$A9)*-1&lt;0,0,1)*IF(ABS(E$3*10^12-$A10)&gt;(E$3*10^12-$A9),$A9,$A10)=E10,0,IF((E$3*10^12-$A10)*(E$3*10^12-$A9)*-1&lt;0,0,1)*IF(ABS(E$3*10^12-$A10)&gt;(E$3*10^12-$A9),$A9,$A10))</f>
        <v/>
      </c>
      <c r="F9">
        <f>IF(IF((F$3*10^12-$A10)*(F$3*10^12-$A9)*-1&lt;0,0,1)*IF(ABS(F$3*10^12-$A10)&gt;(F$3*10^12-$A9),$A9,$A10)=F10,0,IF((F$3*10^12-$A10)*(F$3*10^12-$A9)*-1&lt;0,0,1)*IF(ABS(F$3*10^12-$A10)&gt;(F$3*10^12-$A9),$A9,$A10))</f>
        <v/>
      </c>
      <c r="G9">
        <f>IF(IF((G$3*10^12-$A10)*(G$3*10^12-$A9)*-1&lt;0,0,1)*IF(ABS(G$3*10^12-$A10)&gt;(G$3*10^12-$A9),$A9,$A10)=G10,0,IF((G$3*10^12-$A10)*(G$3*10^12-$A9)*-1&lt;0,0,1)*IF(ABS(G$3*10^12-$A10)&gt;(G$3*10^12-$A9),$A9,$A10))</f>
        <v/>
      </c>
      <c r="H9">
        <f>IF(IF((H$3*10^12-$A10)*(H$3*10^12-$A9)*-1&lt;0,0,1)*IF(ABS(H$3*10^12-$A10)&gt;(H$3*10^12-$A9),$A9,$A10)=H10,0,IF((H$3*10^12-$A10)*(H$3*10^12-$A9)*-1&lt;0,0,1)*IF(ABS(H$3*10^12-$A10)&gt;(H$3*10^12-$A9),$A9,$A10))</f>
        <v/>
      </c>
      <c r="I9">
        <f>IF(IF((I$3*10^12-$A10)*(I$3*10^12-$A9)*-1&lt;0,0,1)*IF(ABS(I$3*10^12-$A10)&gt;(I$3*10^12-$A9),$A9,$A10)=I10,0,IF((I$3*10^12-$A10)*(I$3*10^12-$A9)*-1&lt;0,0,1)*IF(ABS(I$3*10^12-$A10)&gt;(I$3*10^12-$A9),$A9,$A10))</f>
        <v/>
      </c>
      <c r="J9">
        <f>IF(IF((J$3*10^12-$A10)*(J$3*10^12-$A9)*-1&lt;0,0,1)*IF(ABS(J$3*10^12-$A10)&gt;(J$3*10^12-$A9),$A9,$A10)=J10,0,IF((J$3*10^12-$A10)*(J$3*10^12-$A9)*-1&lt;0,0,1)*IF(ABS(J$3*10^12-$A10)&gt;(J$3*10^12-$A9),$A9,$A10))</f>
        <v/>
      </c>
      <c r="K9">
        <f>IF(IF((K$3*10^12-$A10)*(K$3*10^12-$A9)*-1&lt;0,0,1)*IF(ABS(K$3*10^12-$A10)&gt;(K$3*10^12-$A9),$A9,$A10)=K10,0,IF((K$3*10^12-$A10)*(K$3*10^12-$A9)*-1&lt;0,0,1)*IF(ABS(K$3*10^12-$A10)&gt;(K$3*10^12-$A9),$A9,$A10))</f>
        <v/>
      </c>
      <c r="L9">
        <f>IF(IF((L$3*10^12-$A10)*(L$3*10^12-$A9)*-1&lt;0,0,1)*IF(ABS(L$3*10^12-$A10)&gt;(L$3*10^12-$A9),$A9,$A10)=L10,0,IF((L$3*10^12-$A10)*(L$3*10^12-$A9)*-1&lt;0,0,1)*IF(ABS(L$3*10^12-$A10)&gt;(L$3*10^12-$A9),$A9,$A10))</f>
        <v/>
      </c>
      <c r="M9">
        <f>IF(IF((M$3*10^12-$A10)*(M$3*10^12-$A9)*-1&lt;0,0,1)*IF(ABS(M$3*10^12-$A10)&gt;(M$3*10^12-$A9),$A9,$A10)=M10,0,IF((M$3*10^12-$A10)*(M$3*10^12-$A9)*-1&lt;0,0,1)*IF(ABS(M$3*10^12-$A10)&gt;(M$3*10^12-$A9),$A9,$A10))</f>
        <v/>
      </c>
      <c r="N9">
        <f>IF(IF((N$3*10^12-$A10)*(N$3*10^12-$A9)*-1&lt;0,0,1)*IF(ABS(N$3*10^12-$A10)&gt;(N$3*10^12-$A9),$A9,$A10)=N10,0,IF((N$3*10^12-$A10)*(N$3*10^12-$A9)*-1&lt;0,0,1)*IF(ABS(N$3*10^12-$A10)&gt;(N$3*10^12-$A9),$A9,$A10))</f>
        <v/>
      </c>
    </row>
    <row r="10">
      <c r="A10" t="n">
        <v>1</v>
      </c>
      <c r="B10">
        <f>IF(IF((B$3*10^12-$A11)*(B$3*10^12-$A10)*-1&lt;0,0,1)*IF(ABS(B$3*10^12-$A11)&gt;(B$3*10^12-$A10),$A10,$A11)=B11,0,IF((B$3*10^12-$A11)*(B$3*10^12-$A10)*-1&lt;0,0,1)*IF(ABS(B$3*10^12-$A11)&gt;(B$3*10^12-$A10),$A10,$A11))</f>
        <v/>
      </c>
      <c r="C10">
        <f>IF(IF((C$3*10^12-$A11)*(C$3*10^12-$A10)*-1&lt;0,0,1)*IF(ABS(C$3*10^12-$A11)&gt;(C$3*10^12-$A10),$A10,$A11)=C11,0,IF((C$3*10^12-$A11)*(C$3*10^12-$A10)*-1&lt;0,0,1)*IF(ABS(C$3*10^12-$A11)&gt;(C$3*10^12-$A10),$A10,$A11))</f>
        <v/>
      </c>
      <c r="D10">
        <f>IF(IF((D$3*10^12-$A11)*(D$3*10^12-$A10)*-1&lt;0,0,1)*IF(ABS(D$3*10^12-$A11)&gt;(D$3*10^12-$A10),$A10,$A11)=D11,0,IF((D$3*10^12-$A11)*(D$3*10^12-$A10)*-1&lt;0,0,1)*IF(ABS(D$3*10^12-$A11)&gt;(D$3*10^12-$A10),$A10,$A11))</f>
        <v/>
      </c>
      <c r="E10">
        <f>IF(IF((E$3*10^12-$A11)*(E$3*10^12-$A10)*-1&lt;0,0,1)*IF(ABS(E$3*10^12-$A11)&gt;(E$3*10^12-$A10),$A10,$A11)=E11,0,IF((E$3*10^12-$A11)*(E$3*10^12-$A10)*-1&lt;0,0,1)*IF(ABS(E$3*10^12-$A11)&gt;(E$3*10^12-$A10),$A10,$A11))</f>
        <v/>
      </c>
      <c r="F10">
        <f>IF(IF((F$3*10^12-$A11)*(F$3*10^12-$A10)*-1&lt;0,0,1)*IF(ABS(F$3*10^12-$A11)&gt;(F$3*10^12-$A10),$A10,$A11)=F11,0,IF((F$3*10^12-$A11)*(F$3*10^12-$A10)*-1&lt;0,0,1)*IF(ABS(F$3*10^12-$A11)&gt;(F$3*10^12-$A10),$A10,$A11))</f>
        <v/>
      </c>
      <c r="G10">
        <f>IF(IF((G$3*10^12-$A11)*(G$3*10^12-$A10)*-1&lt;0,0,1)*IF(ABS(G$3*10^12-$A11)&gt;(G$3*10^12-$A10),$A10,$A11)=G11,0,IF((G$3*10^12-$A11)*(G$3*10^12-$A10)*-1&lt;0,0,1)*IF(ABS(G$3*10^12-$A11)&gt;(G$3*10^12-$A10),$A10,$A11))</f>
        <v/>
      </c>
      <c r="H10">
        <f>IF(IF((H$3*10^12-$A11)*(H$3*10^12-$A10)*-1&lt;0,0,1)*IF(ABS(H$3*10^12-$A11)&gt;(H$3*10^12-$A10),$A10,$A11)=H11,0,IF((H$3*10^12-$A11)*(H$3*10^12-$A10)*-1&lt;0,0,1)*IF(ABS(H$3*10^12-$A11)&gt;(H$3*10^12-$A10),$A10,$A11))</f>
        <v/>
      </c>
      <c r="I10">
        <f>IF(IF((I$3*10^12-$A11)*(I$3*10^12-$A10)*-1&lt;0,0,1)*IF(ABS(I$3*10^12-$A11)&gt;(I$3*10^12-$A10),$A10,$A11)=I11,0,IF((I$3*10^12-$A11)*(I$3*10^12-$A10)*-1&lt;0,0,1)*IF(ABS(I$3*10^12-$A11)&gt;(I$3*10^12-$A10),$A10,$A11))</f>
        <v/>
      </c>
      <c r="J10">
        <f>IF(IF((J$3*10^12-$A11)*(J$3*10^12-$A10)*-1&lt;0,0,1)*IF(ABS(J$3*10^12-$A11)&gt;(J$3*10^12-$A10),$A10,$A11)=J11,0,IF((J$3*10^12-$A11)*(J$3*10^12-$A10)*-1&lt;0,0,1)*IF(ABS(J$3*10^12-$A11)&gt;(J$3*10^12-$A10),$A10,$A11))</f>
        <v/>
      </c>
      <c r="K10">
        <f>IF(IF((K$3*10^12-$A11)*(K$3*10^12-$A10)*-1&lt;0,0,1)*IF(ABS(K$3*10^12-$A11)&gt;(K$3*10^12-$A10),$A10,$A11)=K11,0,IF((K$3*10^12-$A11)*(K$3*10^12-$A10)*-1&lt;0,0,1)*IF(ABS(K$3*10^12-$A11)&gt;(K$3*10^12-$A10),$A10,$A11))</f>
        <v/>
      </c>
      <c r="L10">
        <f>IF(IF((L$3*10^12-$A11)*(L$3*10^12-$A10)*-1&lt;0,0,1)*IF(ABS(L$3*10^12-$A11)&gt;(L$3*10^12-$A10),$A10,$A11)=L11,0,IF((L$3*10^12-$A11)*(L$3*10^12-$A10)*-1&lt;0,0,1)*IF(ABS(L$3*10^12-$A11)&gt;(L$3*10^12-$A10),$A10,$A11))</f>
        <v/>
      </c>
      <c r="M10">
        <f>IF(IF((M$3*10^12-$A11)*(M$3*10^12-$A10)*-1&lt;0,0,1)*IF(ABS(M$3*10^12-$A11)&gt;(M$3*10^12-$A10),$A10,$A11)=M11,0,IF((M$3*10^12-$A11)*(M$3*10^12-$A10)*-1&lt;0,0,1)*IF(ABS(M$3*10^12-$A11)&gt;(M$3*10^12-$A10),$A10,$A11))</f>
        <v/>
      </c>
      <c r="N10">
        <f>IF(IF((N$3*10^12-$A11)*(N$3*10^12-$A10)*-1&lt;0,0,1)*IF(ABS(N$3*10^12-$A11)&gt;(N$3*10^12-$A10),$A10,$A11)=N11,0,IF((N$3*10^12-$A11)*(N$3*10^12-$A10)*-1&lt;0,0,1)*IF(ABS(N$3*10^12-$A11)&gt;(N$3*10^12-$A10),$A10,$A11))</f>
        <v/>
      </c>
      <c r="Q10" t="inlineStr">
        <is>
          <t>Rfb1</t>
        </is>
      </c>
      <c r="R10">
        <f>Rfb1_</f>
        <v/>
      </c>
      <c r="S10" s="2">
        <f>IF(R10&gt;(INT(0.5+100*POWER(10,IF(96*(LOG(R10)-INT(LOG(R10)))-ROUND(96*(LOG(R10)-INT(LOG(R10))),0)&lt;0,ROUND(96*(LOG(R10)-INT(LOG(R10))),0)-1,ROUND(96*(LOG(R10)-INT(LOG(R10))),0))/96))*POWER(10,INT(LOG(R10))-2)+INT(0.5+100*POWER(10,(IF(96*(LOG(R10)-INT(LOG(R10)))-ROUND(96*(LOG(R10)-INT(LOG(R10))),0)&lt;0,ROUND(96*(LOG(R10)-INT(LOG(R10))),0)-1,ROUND(96*(LOG(R10)-INT(LOG(R10))),0))+1)/96))*POWER(10,INT(LOG(R10))-2))/2,INT(0.5+100*POWER(10,(IF(96*(LOG(R10)-INT(LOG(R10)))-ROUND(96*(LOG(R10)-INT(LOG(R10))),0)&lt;0,ROUND(96*(LOG(R10)-INT(LOG(R10))),0)-1,ROUND(96*(LOG(R10)-INT(LOG(R10))),0))+1)/96))*POWER(10,INT(LOG(R10))-2),INT(0.5+100*POWER(10,IF(96*(LOG(R10)-INT(LOG(R10)))-ROUND(96*(LOG(R10)-INT(LOG(R10))),0)&lt;0,ROUND(96*(LOG(R10)-INT(LOG(R10))),0)-1,ROUND(96*(LOG(R10)-INT(LOG(R10))),0))/96))*POWER(10,INT(LOG(R10))-2))</f>
        <v/>
      </c>
      <c r="T10" s="45" t="inlineStr">
        <is>
          <t>Ω</t>
        </is>
      </c>
    </row>
    <row r="11">
      <c r="A11" t="n">
        <v>1.2</v>
      </c>
      <c r="B11">
        <f>IF(IF((B$3*10^12-$A12)*(B$3*10^12-$A11)*-1&lt;0,0,1)*IF(ABS(B$3*10^12-$A12)&gt;(B$3*10^12-$A11),$A11,$A12)=B12,0,IF((B$3*10^12-$A12)*(B$3*10^12-$A11)*-1&lt;0,0,1)*IF(ABS(B$3*10^12-$A12)&gt;(B$3*10^12-$A11),$A11,$A12))</f>
        <v/>
      </c>
      <c r="C11">
        <f>IF(IF((C$3*10^12-$A12)*(C$3*10^12-$A11)*-1&lt;0,0,1)*IF(ABS(C$3*10^12-$A12)&gt;(C$3*10^12-$A11),$A11,$A12)=C12,0,IF((C$3*10^12-$A12)*(C$3*10^12-$A11)*-1&lt;0,0,1)*IF(ABS(C$3*10^12-$A12)&gt;(C$3*10^12-$A11),$A11,$A12))</f>
        <v/>
      </c>
      <c r="D11">
        <f>IF(IF((D$3*10^12-$A12)*(D$3*10^12-$A11)*-1&lt;0,0,1)*IF(ABS(D$3*10^12-$A12)&gt;(D$3*10^12-$A11),$A11,$A12)=D12,0,IF((D$3*10^12-$A12)*(D$3*10^12-$A11)*-1&lt;0,0,1)*IF(ABS(D$3*10^12-$A12)&gt;(D$3*10^12-$A11),$A11,$A12))</f>
        <v/>
      </c>
      <c r="E11">
        <f>IF(IF((E$3*10^12-$A12)*(E$3*10^12-$A11)*-1&lt;0,0,1)*IF(ABS(E$3*10^12-$A12)&gt;(E$3*10^12-$A11),$A11,$A12)=E12,0,IF((E$3*10^12-$A12)*(E$3*10^12-$A11)*-1&lt;0,0,1)*IF(ABS(E$3*10^12-$A12)&gt;(E$3*10^12-$A11),$A11,$A12))</f>
        <v/>
      </c>
      <c r="F11">
        <f>IF(IF((F$3*10^12-$A12)*(F$3*10^12-$A11)*-1&lt;0,0,1)*IF(ABS(F$3*10^12-$A12)&gt;(F$3*10^12-$A11),$A11,$A12)=F12,0,IF((F$3*10^12-$A12)*(F$3*10^12-$A11)*-1&lt;0,0,1)*IF(ABS(F$3*10^12-$A12)&gt;(F$3*10^12-$A11),$A11,$A12))</f>
        <v/>
      </c>
      <c r="G11">
        <f>IF(IF((G$3*10^12-$A12)*(G$3*10^12-$A11)*-1&lt;0,0,1)*IF(ABS(G$3*10^12-$A12)&gt;(G$3*10^12-$A11),$A11,$A12)=G12,0,IF((G$3*10^12-$A12)*(G$3*10^12-$A11)*-1&lt;0,0,1)*IF(ABS(G$3*10^12-$A12)&gt;(G$3*10^12-$A11),$A11,$A12))</f>
        <v/>
      </c>
      <c r="H11">
        <f>IF(IF((H$3*10^12-$A12)*(H$3*10^12-$A11)*-1&lt;0,0,1)*IF(ABS(H$3*10^12-$A12)&gt;(H$3*10^12-$A11),$A11,$A12)=H12,0,IF((H$3*10^12-$A12)*(H$3*10^12-$A11)*-1&lt;0,0,1)*IF(ABS(H$3*10^12-$A12)&gt;(H$3*10^12-$A11),$A11,$A12))</f>
        <v/>
      </c>
      <c r="I11">
        <f>IF(IF((I$3*10^12-$A12)*(I$3*10^12-$A11)*-1&lt;0,0,1)*IF(ABS(I$3*10^12-$A12)&gt;(I$3*10^12-$A11),$A11,$A12)=I12,0,IF((I$3*10^12-$A12)*(I$3*10^12-$A11)*-1&lt;0,0,1)*IF(ABS(I$3*10^12-$A12)&gt;(I$3*10^12-$A11),$A11,$A12))</f>
        <v/>
      </c>
      <c r="J11">
        <f>IF(IF((J$3*10^12-$A12)*(J$3*10^12-$A11)*-1&lt;0,0,1)*IF(ABS(J$3*10^12-$A12)&gt;(J$3*10^12-$A11),$A11,$A12)=J12,0,IF((J$3*10^12-$A12)*(J$3*10^12-$A11)*-1&lt;0,0,1)*IF(ABS(J$3*10^12-$A12)&gt;(J$3*10^12-$A11),$A11,$A12))</f>
        <v/>
      </c>
      <c r="K11">
        <f>IF(IF((K$3*10^12-$A12)*(K$3*10^12-$A11)*-1&lt;0,0,1)*IF(ABS(K$3*10^12-$A12)&gt;(K$3*10^12-$A11),$A11,$A12)=K12,0,IF((K$3*10^12-$A12)*(K$3*10^12-$A11)*-1&lt;0,0,1)*IF(ABS(K$3*10^12-$A12)&gt;(K$3*10^12-$A11),$A11,$A12))</f>
        <v/>
      </c>
      <c r="L11">
        <f>IF(IF((L$3*10^12-$A12)*(L$3*10^12-$A11)*-1&lt;0,0,1)*IF(ABS(L$3*10^12-$A12)&gt;(L$3*10^12-$A11),$A11,$A12)=L12,0,IF((L$3*10^12-$A12)*(L$3*10^12-$A11)*-1&lt;0,0,1)*IF(ABS(L$3*10^12-$A12)&gt;(L$3*10^12-$A11),$A11,$A12))</f>
        <v/>
      </c>
      <c r="M11">
        <f>IF(IF((M$3*10^12-$A12)*(M$3*10^12-$A11)*-1&lt;0,0,1)*IF(ABS(M$3*10^12-$A12)&gt;(M$3*10^12-$A11),$A11,$A12)=M12,0,IF((M$3*10^12-$A12)*(M$3*10^12-$A11)*-1&lt;0,0,1)*IF(ABS(M$3*10^12-$A12)&gt;(M$3*10^12-$A11),$A11,$A12))</f>
        <v/>
      </c>
      <c r="N11">
        <f>IF(IF((N$3*10^12-$A12)*(N$3*10^12-$A11)*-1&lt;0,0,1)*IF(ABS(N$3*10^12-$A12)&gt;(N$3*10^12-$A11),$A11,$A12)=N12,0,IF((N$3*10^12-$A12)*(N$3*10^12-$A11)*-1&lt;0,0,1)*IF(ABS(N$3*10^12-$A12)&gt;(N$3*10^12-$A11),$A11,$A12))</f>
        <v/>
      </c>
      <c r="Q11" t="inlineStr">
        <is>
          <t>Rfb2</t>
        </is>
      </c>
      <c r="R11" s="975">
        <f>Rfb2_</f>
        <v/>
      </c>
      <c r="S11" s="2">
        <f>IF(R11="OPEN","OPEN",IF(R11&gt;(INT(0.5+100*POWER(10,IF(96*(LOG(R11)-INT(LOG(R11)))-ROUND(96*(LOG(R11)-INT(LOG(R11))),0)&lt;0,ROUND(96*(LOG(R11)-INT(LOG(R11))),0)-1,ROUND(96*(LOG(R11)-INT(LOG(R11))),0))/96))*POWER(10,INT(LOG(R11))-2)+INT(0.5+100*POWER(10,(IF(96*(LOG(R11)-INT(LOG(R11)))-ROUND(96*(LOG(R11)-INT(LOG(R11))),0)&lt;0,ROUND(96*(LOG(R11)-INT(LOG(R11))),0)-1,ROUND(96*(LOG(R11)-INT(LOG(R11))),0))+1)/96))*POWER(10,INT(LOG(R11))-2))/2,INT(0.5+100*POWER(10,(IF(96*(LOG(R11)-INT(LOG(R11)))-ROUND(96*(LOG(R11)-INT(LOG(R11))),0)&lt;0,ROUND(96*(LOG(R11)-INT(LOG(R11))),0)-1,ROUND(96*(LOG(R11)-INT(LOG(R11))),0))+1)/96))*POWER(10,INT(LOG(R11))-2),INT(0.5+100*POWER(10,IF(96*(LOG(R11)-INT(LOG(R11)))-ROUND(96*(LOG(R11)-INT(LOG(R11))),0)&lt;0,ROUND(96*(LOG(R11)-INT(LOG(R11))),0)-1,ROUND(96*(LOG(R11)-INT(LOG(R11))),0))/96))*POWER(10,INT(LOG(R11))-2)))</f>
        <v/>
      </c>
      <c r="T11" s="45" t="inlineStr">
        <is>
          <t>Ω</t>
        </is>
      </c>
    </row>
    <row r="12">
      <c r="A12" t="n">
        <v>1.5</v>
      </c>
      <c r="B12">
        <f>IF(IF((B$3*10^12-$A13)*(B$3*10^12-$A12)*-1&lt;0,0,1)*IF(ABS(B$3*10^12-$A13)&gt;(B$3*10^12-$A12),$A12,$A13)=B13,0,IF((B$3*10^12-$A13)*(B$3*10^12-$A12)*-1&lt;0,0,1)*IF(ABS(B$3*10^12-$A13)&gt;(B$3*10^12-$A12),$A12,$A13))</f>
        <v/>
      </c>
      <c r="C12">
        <f>IF(IF((C$3*10^12-$A13)*(C$3*10^12-$A12)*-1&lt;0,0,1)*IF(ABS(C$3*10^12-$A13)&gt;(C$3*10^12-$A12),$A12,$A13)=C13,0,IF((C$3*10^12-$A13)*(C$3*10^12-$A12)*-1&lt;0,0,1)*IF(ABS(C$3*10^12-$A13)&gt;(C$3*10^12-$A12),$A12,$A13))</f>
        <v/>
      </c>
      <c r="D12">
        <f>IF(IF((D$3*10^12-$A13)*(D$3*10^12-$A12)*-1&lt;0,0,1)*IF(ABS(D$3*10^12-$A13)&gt;(D$3*10^12-$A12),$A12,$A13)=D13,0,IF((D$3*10^12-$A13)*(D$3*10^12-$A12)*-1&lt;0,0,1)*IF(ABS(D$3*10^12-$A13)&gt;(D$3*10^12-$A12),$A12,$A13))</f>
        <v/>
      </c>
      <c r="E12">
        <f>IF(IF((E$3*10^12-$A13)*(E$3*10^12-$A12)*-1&lt;0,0,1)*IF(ABS(E$3*10^12-$A13)&gt;(E$3*10^12-$A12),$A12,$A13)=E13,0,IF((E$3*10^12-$A13)*(E$3*10^12-$A12)*-1&lt;0,0,1)*IF(ABS(E$3*10^12-$A13)&gt;(E$3*10^12-$A12),$A12,$A13))</f>
        <v/>
      </c>
      <c r="F12">
        <f>IF(IF((F$3*10^12-$A13)*(F$3*10^12-$A12)*-1&lt;0,0,1)*IF(ABS(F$3*10^12-$A13)&gt;(F$3*10^12-$A12),$A12,$A13)=F13,0,IF((F$3*10^12-$A13)*(F$3*10^12-$A12)*-1&lt;0,0,1)*IF(ABS(F$3*10^12-$A13)&gt;(F$3*10^12-$A12),$A12,$A13))</f>
        <v/>
      </c>
      <c r="G12">
        <f>IF(IF((G$3*10^12-$A13)*(G$3*10^12-$A12)*-1&lt;0,0,1)*IF(ABS(G$3*10^12-$A13)&gt;(G$3*10^12-$A12),$A12,$A13)=G13,0,IF((G$3*10^12-$A13)*(G$3*10^12-$A12)*-1&lt;0,0,1)*IF(ABS(G$3*10^12-$A13)&gt;(G$3*10^12-$A12),$A12,$A13))</f>
        <v/>
      </c>
      <c r="H12">
        <f>IF(IF((H$3*10^12-$A13)*(H$3*10^12-$A12)*-1&lt;0,0,1)*IF(ABS(H$3*10^12-$A13)&gt;(H$3*10^12-$A12),$A12,$A13)=H13,0,IF((H$3*10^12-$A13)*(H$3*10^12-$A12)*-1&lt;0,0,1)*IF(ABS(H$3*10^12-$A13)&gt;(H$3*10^12-$A12),$A12,$A13))</f>
        <v/>
      </c>
      <c r="I12">
        <f>IF(IF((I$3*10^12-$A13)*(I$3*10^12-$A12)*-1&lt;0,0,1)*IF(ABS(I$3*10^12-$A13)&gt;(I$3*10^12-$A12),$A12,$A13)=I13,0,IF((I$3*10^12-$A13)*(I$3*10^12-$A12)*-1&lt;0,0,1)*IF(ABS(I$3*10^12-$A13)&gt;(I$3*10^12-$A12),$A12,$A13))</f>
        <v/>
      </c>
      <c r="J12">
        <f>IF(IF((J$3*10^12-$A13)*(J$3*10^12-$A12)*-1&lt;0,0,1)*IF(ABS(J$3*10^12-$A13)&gt;(J$3*10^12-$A12),$A12,$A13)=J13,0,IF((J$3*10^12-$A13)*(J$3*10^12-$A12)*-1&lt;0,0,1)*IF(ABS(J$3*10^12-$A13)&gt;(J$3*10^12-$A12),$A12,$A13))</f>
        <v/>
      </c>
      <c r="K12">
        <f>IF(IF((K$3*10^12-$A13)*(K$3*10^12-$A12)*-1&lt;0,0,1)*IF(ABS(K$3*10^12-$A13)&gt;(K$3*10^12-$A12),$A12,$A13)=K13,0,IF((K$3*10^12-$A13)*(K$3*10^12-$A12)*-1&lt;0,0,1)*IF(ABS(K$3*10^12-$A13)&gt;(K$3*10^12-$A12),$A12,$A13))</f>
        <v/>
      </c>
      <c r="L12">
        <f>IF(IF((L$3*10^12-$A13)*(L$3*10^12-$A12)*-1&lt;0,0,1)*IF(ABS(L$3*10^12-$A13)&gt;(L$3*10^12-$A12),$A12,$A13)=L13,0,IF((L$3*10^12-$A13)*(L$3*10^12-$A12)*-1&lt;0,0,1)*IF(ABS(L$3*10^12-$A13)&gt;(L$3*10^12-$A12),$A12,$A13))</f>
        <v/>
      </c>
      <c r="M12">
        <f>IF(IF((M$3*10^12-$A13)*(M$3*10^12-$A12)*-1&lt;0,0,1)*IF(ABS(M$3*10^12-$A13)&gt;(M$3*10^12-$A12),$A12,$A13)=M13,0,IF((M$3*10^12-$A13)*(M$3*10^12-$A12)*-1&lt;0,0,1)*IF(ABS(M$3*10^12-$A13)&gt;(M$3*10^12-$A12),$A12,$A13))</f>
        <v/>
      </c>
      <c r="N12">
        <f>IF(IF((N$3*10^12-$A13)*(N$3*10^12-$A12)*-1&lt;0,0,1)*IF(ABS(N$3*10^12-$A13)&gt;(N$3*10^12-$A12),$A12,$A13)=N13,0,IF((N$3*10^12-$A13)*(N$3*10^12-$A12)*-1&lt;0,0,1)*IF(ABS(N$3*10^12-$A13)&gt;(N$3*10^12-$A12),$A12,$A13))</f>
        <v/>
      </c>
      <c r="Q12" s="113" t="inlineStr">
        <is>
          <t>Rt1</t>
        </is>
      </c>
      <c r="R12" s="299">
        <f>'Variable Management'!B27*1000</f>
        <v/>
      </c>
      <c r="S12" s="2">
        <f>IF(R12&gt;(INT(0.5+100*POWER(10,IF(96*(LOG(R12)-INT(LOG(R12)))-ROUND(96*(LOG(R12)-INT(LOG(R12))),0)&lt;0,ROUND(96*(LOG(R12)-INT(LOG(R12))),0)-1,ROUND(96*(LOG(R12)-INT(LOG(R12))),0))/96))*POWER(10,INT(LOG(R12))-2)+INT(0.5+100*POWER(10,(IF(96*(LOG(R12)-INT(LOG(R12)))-ROUND(96*(LOG(R12)-INT(LOG(R12))),0)&lt;0,ROUND(96*(LOG(R12)-INT(LOG(R12))),0)-1,ROUND(96*(LOG(R12)-INT(LOG(R12))),0))+1)/96))*POWER(10,INT(LOG(R12))-2))/2,INT(0.5+100*POWER(10,(IF(96*(LOG(R12)-INT(LOG(R12)))-ROUND(96*(LOG(R12)-INT(LOG(R12))),0)&lt;0,ROUND(96*(LOG(R12)-INT(LOG(R12))),0)-1,ROUND(96*(LOG(R12)-INT(LOG(R12))),0))+1)/96))*POWER(10,INT(LOG(R12))-2),INT(0.5+100*POWER(10,IF(96*(LOG(R12)-INT(LOG(R12)))-ROUND(96*(LOG(R12)-INT(LOG(R12))),0)&lt;0,ROUND(96*(LOG(R12)-INT(LOG(R12))),0)-1,ROUND(96*(LOG(R12)-INT(LOG(R12))),0))/96))*POWER(10,INT(LOG(R12))-2))</f>
        <v/>
      </c>
      <c r="T12" s="45" t="inlineStr">
        <is>
          <t>Ω</t>
        </is>
      </c>
    </row>
    <row r="13">
      <c r="A13" t="n">
        <v>1.8</v>
      </c>
      <c r="B13">
        <f>IF(IF((B$3*10^12-$A14)*(B$3*10^12-$A13)*-1&lt;0,0,1)*IF(ABS(B$3*10^12-$A14)&gt;(B$3*10^12-$A13),$A13,$A14)=B14,0,IF((B$3*10^12-$A14)*(B$3*10^12-$A13)*-1&lt;0,0,1)*IF(ABS(B$3*10^12-$A14)&gt;(B$3*10^12-$A13),$A13,$A14))</f>
        <v/>
      </c>
      <c r="C13">
        <f>IF(IF((C$3*10^12-$A14)*(C$3*10^12-$A13)*-1&lt;0,0,1)*IF(ABS(C$3*10^12-$A14)&gt;(C$3*10^12-$A13),$A13,$A14)=C14,0,IF((C$3*10^12-$A14)*(C$3*10^12-$A13)*-1&lt;0,0,1)*IF(ABS(C$3*10^12-$A14)&gt;(C$3*10^12-$A13),$A13,$A14))</f>
        <v/>
      </c>
      <c r="D13">
        <f>IF(IF((D$3*10^12-$A14)*(D$3*10^12-$A13)*-1&lt;0,0,1)*IF(ABS(D$3*10^12-$A14)&gt;(D$3*10^12-$A13),$A13,$A14)=D14,0,IF((D$3*10^12-$A14)*(D$3*10^12-$A13)*-1&lt;0,0,1)*IF(ABS(D$3*10^12-$A14)&gt;(D$3*10^12-$A13),$A13,$A14))</f>
        <v/>
      </c>
      <c r="E13">
        <f>IF(IF((E$3*10^12-$A14)*(E$3*10^12-$A13)*-1&lt;0,0,1)*IF(ABS(E$3*10^12-$A14)&gt;(E$3*10^12-$A13),$A13,$A14)=E14,0,IF((E$3*10^12-$A14)*(E$3*10^12-$A13)*-1&lt;0,0,1)*IF(ABS(E$3*10^12-$A14)&gt;(E$3*10^12-$A13),$A13,$A14))</f>
        <v/>
      </c>
      <c r="F13">
        <f>IF(IF((F$3*10^12-$A14)*(F$3*10^12-$A13)*-1&lt;0,0,1)*IF(ABS(F$3*10^12-$A14)&gt;(F$3*10^12-$A13),$A13,$A14)=F14,0,IF((F$3*10^12-$A14)*(F$3*10^12-$A13)*-1&lt;0,0,1)*IF(ABS(F$3*10^12-$A14)&gt;(F$3*10^12-$A13),$A13,$A14))</f>
        <v/>
      </c>
      <c r="G13">
        <f>IF(IF((G$3*10^12-$A14)*(G$3*10^12-$A13)*-1&lt;0,0,1)*IF(ABS(G$3*10^12-$A14)&gt;(G$3*10^12-$A13),$A13,$A14)=G14,0,IF((G$3*10^12-$A14)*(G$3*10^12-$A13)*-1&lt;0,0,1)*IF(ABS(G$3*10^12-$A14)&gt;(G$3*10^12-$A13),$A13,$A14))</f>
        <v/>
      </c>
      <c r="H13">
        <f>IF(IF((H$3*10^12-$A14)*(H$3*10^12-$A13)*-1&lt;0,0,1)*IF(ABS(H$3*10^12-$A14)&gt;(H$3*10^12-$A13),$A13,$A14)=H14,0,IF((H$3*10^12-$A14)*(H$3*10^12-$A13)*-1&lt;0,0,1)*IF(ABS(H$3*10^12-$A14)&gt;(H$3*10^12-$A13),$A13,$A14))</f>
        <v/>
      </c>
      <c r="I13">
        <f>IF(IF((I$3*10^12-$A14)*(I$3*10^12-$A13)*-1&lt;0,0,1)*IF(ABS(I$3*10^12-$A14)&gt;(I$3*10^12-$A13),$A13,$A14)=I14,0,IF((I$3*10^12-$A14)*(I$3*10^12-$A13)*-1&lt;0,0,1)*IF(ABS(I$3*10^12-$A14)&gt;(I$3*10^12-$A13),$A13,$A14))</f>
        <v/>
      </c>
      <c r="J13">
        <f>IF(IF((J$3*10^12-$A14)*(J$3*10^12-$A13)*-1&lt;0,0,1)*IF(ABS(J$3*10^12-$A14)&gt;(J$3*10^12-$A13),$A13,$A14)=J14,0,IF((J$3*10^12-$A14)*(J$3*10^12-$A13)*-1&lt;0,0,1)*IF(ABS(J$3*10^12-$A14)&gt;(J$3*10^12-$A13),$A13,$A14))</f>
        <v/>
      </c>
      <c r="K13">
        <f>IF(IF((K$3*10^12-$A14)*(K$3*10^12-$A13)*-1&lt;0,0,1)*IF(ABS(K$3*10^12-$A14)&gt;(K$3*10^12-$A13),$A13,$A14)=K14,0,IF((K$3*10^12-$A14)*(K$3*10^12-$A13)*-1&lt;0,0,1)*IF(ABS(K$3*10^12-$A14)&gt;(K$3*10^12-$A13),$A13,$A14))</f>
        <v/>
      </c>
      <c r="L13">
        <f>IF(IF((L$3*10^12-$A14)*(L$3*10^12-$A13)*-1&lt;0,0,1)*IF(ABS(L$3*10^12-$A14)&gt;(L$3*10^12-$A13),$A13,$A14)=L14,0,IF((L$3*10^12-$A14)*(L$3*10^12-$A13)*-1&lt;0,0,1)*IF(ABS(L$3*10^12-$A14)&gt;(L$3*10^12-$A13),$A13,$A14))</f>
        <v/>
      </c>
      <c r="M13">
        <f>IF(IF((M$3*10^12-$A14)*(M$3*10^12-$A13)*-1&lt;0,0,1)*IF(ABS(M$3*10^12-$A14)&gt;(M$3*10^12-$A13),$A13,$A14)=M14,0,IF((M$3*10^12-$A14)*(M$3*10^12-$A13)*-1&lt;0,0,1)*IF(ABS(M$3*10^12-$A14)&gt;(M$3*10^12-$A13),$A13,$A14))</f>
        <v/>
      </c>
      <c r="N13">
        <f>IF(IF((N$3*10^12-$A14)*(N$3*10^12-$A13)*-1&lt;0,0,1)*IF(ABS(N$3*10^12-$A14)&gt;(N$3*10^12-$A13),$A13,$A14)=N14,0,IF((N$3*10^12-$A14)*(N$3*10^12-$A13)*-1&lt;0,0,1)*IF(ABS(N$3*10^12-$A14)&gt;(N$3*10^12-$A13),$A13,$A14))</f>
        <v/>
      </c>
      <c r="Q13" s="113" t="inlineStr">
        <is>
          <t>Rd</t>
        </is>
      </c>
      <c r="R13" s="975">
        <f>'Variable Management'!B28*1000</f>
        <v/>
      </c>
      <c r="S13" s="2">
        <f>IF(R13="OPEN","OPEN",IF(R13&gt;(INT(0.5+100*POWER(10,IF(96*(LOG(R13)-INT(LOG(R13)))-ROUND(96*(LOG(R13)-INT(LOG(R13))),0)&lt;0,ROUND(96*(LOG(R13)-INT(LOG(R13))),0)-1,ROUND(96*(LOG(R13)-INT(LOG(R13))),0))/96))*POWER(10,INT(LOG(R13))-2)+INT(0.5+100*POWER(10,(IF(96*(LOG(R13)-INT(LOG(R13)))-ROUND(96*(LOG(R13)-INT(LOG(R13))),0)&lt;0,ROUND(96*(LOG(R13)-INT(LOG(R13))),0)-1,ROUND(96*(LOG(R13)-INT(LOG(R13))),0))+1)/96))*POWER(10,INT(LOG(R13))-2))/2,INT(0.5+100*POWER(10,(IF(96*(LOG(R13)-INT(LOG(R13)))-ROUND(96*(LOG(R13)-INT(LOG(R13))),0)&lt;0,ROUND(96*(LOG(R13)-INT(LOG(R13))),0)-1,ROUND(96*(LOG(R13)-INT(LOG(R13))),0))+1)/96))*POWER(10,INT(LOG(R13))-2),INT(0.5+100*POWER(10,IF(96*(LOG(R13)-INT(LOG(R13)))-ROUND(96*(LOG(R13)-INT(LOG(R13))),0)&lt;0,ROUND(96*(LOG(R13)-INT(LOG(R13))),0)-1,ROUND(96*(LOG(R13)-INT(LOG(R13))),0))/96))*POWER(10,INT(LOG(R13))-2)))</f>
        <v/>
      </c>
      <c r="T13" s="45" t="inlineStr">
        <is>
          <t>Ω</t>
        </is>
      </c>
    </row>
    <row r="14">
      <c r="A14" t="n">
        <v>2.2</v>
      </c>
      <c r="B14">
        <f>IF(IF((B$3*10^12-$A15)*(B$3*10^12-$A14)*-1&lt;0,0,1)*IF(ABS(B$3*10^12-$A15)&gt;(B$3*10^12-$A14),$A14,$A15)=B15,0,IF((B$3*10^12-$A15)*(B$3*10^12-$A14)*-1&lt;0,0,1)*IF(ABS(B$3*10^12-$A15)&gt;(B$3*10^12-$A14),$A14,$A15))</f>
        <v/>
      </c>
      <c r="C14">
        <f>IF(IF((C$3*10^12-$A15)*(C$3*10^12-$A14)*-1&lt;0,0,1)*IF(ABS(C$3*10^12-$A15)&gt;(C$3*10^12-$A14),$A14,$A15)=C15,0,IF((C$3*10^12-$A15)*(C$3*10^12-$A14)*-1&lt;0,0,1)*IF(ABS(C$3*10^12-$A15)&gt;(C$3*10^12-$A14),$A14,$A15))</f>
        <v/>
      </c>
      <c r="D14">
        <f>IF(IF((D$3*10^12-$A15)*(D$3*10^12-$A14)*-1&lt;0,0,1)*IF(ABS(D$3*10^12-$A15)&gt;(D$3*10^12-$A14),$A14,$A15)=D15,0,IF((D$3*10^12-$A15)*(D$3*10^12-$A14)*-1&lt;0,0,1)*IF(ABS(D$3*10^12-$A15)&gt;(D$3*10^12-$A14),$A14,$A15))</f>
        <v/>
      </c>
      <c r="E14">
        <f>IF(IF((E$3*10^12-$A15)*(E$3*10^12-$A14)*-1&lt;0,0,1)*IF(ABS(E$3*10^12-$A15)&gt;(E$3*10^12-$A14),$A14,$A15)=E15,0,IF((E$3*10^12-$A15)*(E$3*10^12-$A14)*-1&lt;0,0,1)*IF(ABS(E$3*10^12-$A15)&gt;(E$3*10^12-$A14),$A14,$A15))</f>
        <v/>
      </c>
      <c r="F14">
        <f>IF(IF((F$3*10^12-$A15)*(F$3*10^12-$A14)*-1&lt;0,0,1)*IF(ABS(F$3*10^12-$A15)&gt;(F$3*10^12-$A14),$A14,$A15)=F15,0,IF((F$3*10^12-$A15)*(F$3*10^12-$A14)*-1&lt;0,0,1)*IF(ABS(F$3*10^12-$A15)&gt;(F$3*10^12-$A14),$A14,$A15))</f>
        <v/>
      </c>
      <c r="G14">
        <f>IF(IF((G$3*10^12-$A15)*(G$3*10^12-$A14)*-1&lt;0,0,1)*IF(ABS(G$3*10^12-$A15)&gt;(G$3*10^12-$A14),$A14,$A15)=G15,0,IF((G$3*10^12-$A15)*(G$3*10^12-$A14)*-1&lt;0,0,1)*IF(ABS(G$3*10^12-$A15)&gt;(G$3*10^12-$A14),$A14,$A15))</f>
        <v/>
      </c>
      <c r="H14">
        <f>IF(IF((H$3*10^12-$A15)*(H$3*10^12-$A14)*-1&lt;0,0,1)*IF(ABS(H$3*10^12-$A15)&gt;(H$3*10^12-$A14),$A14,$A15)=H15,0,IF((H$3*10^12-$A15)*(H$3*10^12-$A14)*-1&lt;0,0,1)*IF(ABS(H$3*10^12-$A15)&gt;(H$3*10^12-$A14),$A14,$A15))</f>
        <v/>
      </c>
      <c r="I14">
        <f>IF(IF((I$3*10^12-$A15)*(I$3*10^12-$A14)*-1&lt;0,0,1)*IF(ABS(I$3*10^12-$A15)&gt;(I$3*10^12-$A14),$A14,$A15)=I15,0,IF((I$3*10^12-$A15)*(I$3*10^12-$A14)*-1&lt;0,0,1)*IF(ABS(I$3*10^12-$A15)&gt;(I$3*10^12-$A14),$A14,$A15))</f>
        <v/>
      </c>
      <c r="J14">
        <f>IF(IF((J$3*10^12-$A15)*(J$3*10^12-$A14)*-1&lt;0,0,1)*IF(ABS(J$3*10^12-$A15)&gt;(J$3*10^12-$A14),$A14,$A15)=J15,0,IF((J$3*10^12-$A15)*(J$3*10^12-$A14)*-1&lt;0,0,1)*IF(ABS(J$3*10^12-$A15)&gt;(J$3*10^12-$A14),$A14,$A15))</f>
        <v/>
      </c>
      <c r="K14">
        <f>IF(IF((K$3*10^12-$A15)*(K$3*10^12-$A14)*-1&lt;0,0,1)*IF(ABS(K$3*10^12-$A15)&gt;(K$3*10^12-$A14),$A14,$A15)=K15,0,IF((K$3*10^12-$A15)*(K$3*10^12-$A14)*-1&lt;0,0,1)*IF(ABS(K$3*10^12-$A15)&gt;(K$3*10^12-$A14),$A14,$A15))</f>
        <v/>
      </c>
      <c r="L14">
        <f>IF(IF((L$3*10^12-$A15)*(L$3*10^12-$A14)*-1&lt;0,0,1)*IF(ABS(L$3*10^12-$A15)&gt;(L$3*10^12-$A14),$A14,$A15)=L15,0,IF((L$3*10^12-$A15)*(L$3*10^12-$A14)*-1&lt;0,0,1)*IF(ABS(L$3*10^12-$A15)&gt;(L$3*10^12-$A14),$A14,$A15))</f>
        <v/>
      </c>
      <c r="M14">
        <f>IF(IF((M$3*10^12-$A15)*(M$3*10^12-$A14)*-1&lt;0,0,1)*IF(ABS(M$3*10^12-$A15)&gt;(M$3*10^12-$A14),$A14,$A15)=M15,0,IF((M$3*10^12-$A15)*(M$3*10^12-$A14)*-1&lt;0,0,1)*IF(ABS(M$3*10^12-$A15)&gt;(M$3*10^12-$A14),$A14,$A15))</f>
        <v/>
      </c>
      <c r="N14">
        <f>IF(IF((N$3*10^12-$A15)*(N$3*10^12-$A14)*-1&lt;0,0,1)*IF(ABS(N$3*10^12-$A15)&gt;(N$3*10^12-$A14),$A14,$A15)=N15,0,IF((N$3*10^12-$A15)*(N$3*10^12-$A14)*-1&lt;0,0,1)*IF(ABS(N$3*10^12-$A15)&gt;(N$3*10^12-$A14),$A14,$A15))</f>
        <v/>
      </c>
      <c r="Q14" s="113" t="inlineStr">
        <is>
          <t>Rd_AEF</t>
        </is>
      </c>
      <c r="R14">
        <f>'Variable Management'!B301</f>
        <v/>
      </c>
      <c r="S14" s="2">
        <f>IF(R14="OPEN","OPEN",IF(R14&gt;(INT(0.5+100*POWER(10,IF(96*(LOG(R14)-INT(LOG(R14)))-ROUND(96*(LOG(R14)-INT(LOG(R14))),0)&lt;0,ROUND(96*(LOG(R14)-INT(LOG(R14))),0)-1,ROUND(96*(LOG(R14)-INT(LOG(R14))),0))/96))*POWER(10,INT(LOG(R14))-2)+INT(0.5+100*POWER(10,(IF(96*(LOG(R14)-INT(LOG(R14)))-ROUND(96*(LOG(R14)-INT(LOG(R14))),0)&lt;0,ROUND(96*(LOG(R14)-INT(LOG(R14))),0)-1,ROUND(96*(LOG(R14)-INT(LOG(R14))),0))+1)/96))*POWER(10,INT(LOG(R14))-2))/2,INT(0.5+100*POWER(10,(IF(96*(LOG(R14)-INT(LOG(R14)))-ROUND(96*(LOG(R14)-INT(LOG(R14))),0)&lt;0,ROUND(96*(LOG(R14)-INT(LOG(R14))),0)-1,ROUND(96*(LOG(R14)-INT(LOG(R14))),0))+1)/96))*POWER(10,INT(LOG(R14))-2),INT(0.5+100*POWER(10,IF(96*(LOG(R14)-INT(LOG(R14)))-ROUND(96*(LOG(R14)-INT(LOG(R14))),0)&lt;0,ROUND(96*(LOG(R14)-INT(LOG(R14))),0)-1,ROUND(96*(LOG(R14)-INT(LOG(R14))),0))/96))*POWER(10,INT(LOG(R14))-2)))</f>
        <v/>
      </c>
      <c r="T14" s="45" t="inlineStr">
        <is>
          <t>Ω</t>
        </is>
      </c>
    </row>
    <row r="15">
      <c r="A15" t="n">
        <v>2.7</v>
      </c>
      <c r="B15">
        <f>IF(IF((B$3*10^12-$A16)*(B$3*10^12-$A15)*-1&lt;0,0,1)*IF(ABS(B$3*10^12-$A16)&gt;(B$3*10^12-$A15),$A15,$A16)=B16,0,IF((B$3*10^12-$A16)*(B$3*10^12-$A15)*-1&lt;0,0,1)*IF(ABS(B$3*10^12-$A16)&gt;(B$3*10^12-$A15),$A15,$A16))</f>
        <v/>
      </c>
      <c r="C15">
        <f>IF(IF((C$3*10^12-$A16)*(C$3*10^12-$A15)*-1&lt;0,0,1)*IF(ABS(C$3*10^12-$A16)&gt;(C$3*10^12-$A15),$A15,$A16)=C16,0,IF((C$3*10^12-$A16)*(C$3*10^12-$A15)*-1&lt;0,0,1)*IF(ABS(C$3*10^12-$A16)&gt;(C$3*10^12-$A15),$A15,$A16))</f>
        <v/>
      </c>
      <c r="D15">
        <f>IF(IF((D$3*10^12-$A16)*(D$3*10^12-$A15)*-1&lt;0,0,1)*IF(ABS(D$3*10^12-$A16)&gt;(D$3*10^12-$A15),$A15,$A16)=D16,0,IF((D$3*10^12-$A16)*(D$3*10^12-$A15)*-1&lt;0,0,1)*IF(ABS(D$3*10^12-$A16)&gt;(D$3*10^12-$A15),$A15,$A16))</f>
        <v/>
      </c>
      <c r="E15">
        <f>IF(IF((E$3*10^12-$A16)*(E$3*10^12-$A15)*-1&lt;0,0,1)*IF(ABS(E$3*10^12-$A16)&gt;(E$3*10^12-$A15),$A15,$A16)=E16,0,IF((E$3*10^12-$A16)*(E$3*10^12-$A15)*-1&lt;0,0,1)*IF(ABS(E$3*10^12-$A16)&gt;(E$3*10^12-$A15),$A15,$A16))</f>
        <v/>
      </c>
      <c r="F15">
        <f>IF(IF((F$3*10^12-$A16)*(F$3*10^12-$A15)*-1&lt;0,0,1)*IF(ABS(F$3*10^12-$A16)&gt;(F$3*10^12-$A15),$A15,$A16)=F16,0,IF((F$3*10^12-$A16)*(F$3*10^12-$A15)*-1&lt;0,0,1)*IF(ABS(F$3*10^12-$A16)&gt;(F$3*10^12-$A15),$A15,$A16))</f>
        <v/>
      </c>
      <c r="G15">
        <f>IF(IF((G$3*10^12-$A16)*(G$3*10^12-$A15)*-1&lt;0,0,1)*IF(ABS(G$3*10^12-$A16)&gt;(G$3*10^12-$A15),$A15,$A16)=G16,0,IF((G$3*10^12-$A16)*(G$3*10^12-$A15)*-1&lt;0,0,1)*IF(ABS(G$3*10^12-$A16)&gt;(G$3*10^12-$A15),$A15,$A16))</f>
        <v/>
      </c>
      <c r="H15">
        <f>IF(IF((H$3*10^12-$A16)*(H$3*10^12-$A15)*-1&lt;0,0,1)*IF(ABS(H$3*10^12-$A16)&gt;(H$3*10^12-$A15),$A15,$A16)=H16,0,IF((H$3*10^12-$A16)*(H$3*10^12-$A15)*-1&lt;0,0,1)*IF(ABS(H$3*10^12-$A16)&gt;(H$3*10^12-$A15),$A15,$A16))</f>
        <v/>
      </c>
      <c r="I15">
        <f>IF(IF((I$3*10^12-$A16)*(I$3*10^12-$A15)*-1&lt;0,0,1)*IF(ABS(I$3*10^12-$A16)&gt;(I$3*10^12-$A15),$A15,$A16)=I16,0,IF((I$3*10^12-$A16)*(I$3*10^12-$A15)*-1&lt;0,0,1)*IF(ABS(I$3*10^12-$A16)&gt;(I$3*10^12-$A15),$A15,$A16))</f>
        <v/>
      </c>
      <c r="J15">
        <f>IF(IF((J$3*10^12-$A16)*(J$3*10^12-$A15)*-1&lt;0,0,1)*IF(ABS(J$3*10^12-$A16)&gt;(J$3*10^12-$A15),$A15,$A16)=J16,0,IF((J$3*10^12-$A16)*(J$3*10^12-$A15)*-1&lt;0,0,1)*IF(ABS(J$3*10^12-$A16)&gt;(J$3*10^12-$A15),$A15,$A16))</f>
        <v/>
      </c>
      <c r="K15">
        <f>IF(IF((K$3*10^12-$A16)*(K$3*10^12-$A15)*-1&lt;0,0,1)*IF(ABS(K$3*10^12-$A16)&gt;(K$3*10^12-$A15),$A15,$A16)=K16,0,IF((K$3*10^12-$A16)*(K$3*10^12-$A15)*-1&lt;0,0,1)*IF(ABS(K$3*10^12-$A16)&gt;(K$3*10^12-$A15),$A15,$A16))</f>
        <v/>
      </c>
      <c r="L15">
        <f>IF(IF((L$3*10^12-$A16)*(L$3*10^12-$A15)*-1&lt;0,0,1)*IF(ABS(L$3*10^12-$A16)&gt;(L$3*10^12-$A15),$A15,$A16)=L16,0,IF((L$3*10^12-$A16)*(L$3*10^12-$A15)*-1&lt;0,0,1)*IF(ABS(L$3*10^12-$A16)&gt;(L$3*10^12-$A15),$A15,$A16))</f>
        <v/>
      </c>
      <c r="M15">
        <f>IF(IF((M$3*10^12-$A16)*(M$3*10^12-$A15)*-1&lt;0,0,1)*IF(ABS(M$3*10^12-$A16)&gt;(M$3*10^12-$A15),$A15,$A16)=M16,0,IF((M$3*10^12-$A16)*(M$3*10^12-$A15)*-1&lt;0,0,1)*IF(ABS(M$3*10^12-$A16)&gt;(M$3*10^12-$A15),$A15,$A16))</f>
        <v/>
      </c>
      <c r="N15">
        <f>IF(IF((N$3*10^12-$A16)*(N$3*10^12-$A15)*-1&lt;0,0,1)*IF(ABS(N$3*10^12-$A16)&gt;(N$3*10^12-$A15),$A15,$A16)=N16,0,IF((N$3*10^12-$A16)*(N$3*10^12-$A15)*-1&lt;0,0,1)*IF(ABS(N$3*10^12-$A16)&gt;(N$3*10^12-$A15),$A15,$A16))</f>
        <v/>
      </c>
    </row>
    <row r="16">
      <c r="A16" t="n">
        <v>3.3</v>
      </c>
      <c r="B16">
        <f>IF(IF((B$3*10^12-$A17)*(B$3*10^12-$A16)*-1&lt;0,0,1)*IF(ABS(B$3*10^12-$A17)&gt;(B$3*10^12-$A16),$A16,$A17)=B17,0,IF((B$3*10^12-$A17)*(B$3*10^12-$A16)*-1&lt;0,0,1)*IF(ABS(B$3*10^12-$A17)&gt;(B$3*10^12-$A16),$A16,$A17))</f>
        <v/>
      </c>
      <c r="C16">
        <f>IF(IF((C$3*10^12-$A17)*(C$3*10^12-$A16)*-1&lt;0,0,1)*IF(ABS(C$3*10^12-$A17)&gt;(C$3*10^12-$A16),$A16,$A17)=C17,0,IF((C$3*10^12-$A17)*(C$3*10^12-$A16)*-1&lt;0,0,1)*IF(ABS(C$3*10^12-$A17)&gt;(C$3*10^12-$A16),$A16,$A17))</f>
        <v/>
      </c>
      <c r="D16">
        <f>IF(IF((D$3*10^12-$A17)*(D$3*10^12-$A16)*-1&lt;0,0,1)*IF(ABS(D$3*10^12-$A17)&gt;(D$3*10^12-$A16),$A16,$A17)=D17,0,IF((D$3*10^12-$A17)*(D$3*10^12-$A16)*-1&lt;0,0,1)*IF(ABS(D$3*10^12-$A17)&gt;(D$3*10^12-$A16),$A16,$A17))</f>
        <v/>
      </c>
      <c r="E16">
        <f>IF(IF((E$3*10^12-$A17)*(E$3*10^12-$A16)*-1&lt;0,0,1)*IF(ABS(E$3*10^12-$A17)&gt;(E$3*10^12-$A16),$A16,$A17)=E17,0,IF((E$3*10^12-$A17)*(E$3*10^12-$A16)*-1&lt;0,0,1)*IF(ABS(E$3*10^12-$A17)&gt;(E$3*10^12-$A16),$A16,$A17))</f>
        <v/>
      </c>
      <c r="F16">
        <f>IF(IF((F$3*10^12-$A17)*(F$3*10^12-$A16)*-1&lt;0,0,1)*IF(ABS(F$3*10^12-$A17)&gt;(F$3*10^12-$A16),$A16,$A17)=F17,0,IF((F$3*10^12-$A17)*(F$3*10^12-$A16)*-1&lt;0,0,1)*IF(ABS(F$3*10^12-$A17)&gt;(F$3*10^12-$A16),$A16,$A17))</f>
        <v/>
      </c>
      <c r="G16">
        <f>IF(IF((G$3*10^12-$A17)*(G$3*10^12-$A16)*-1&lt;0,0,1)*IF(ABS(G$3*10^12-$A17)&gt;(G$3*10^12-$A16),$A16,$A17)=G17,0,IF((G$3*10^12-$A17)*(G$3*10^12-$A16)*-1&lt;0,0,1)*IF(ABS(G$3*10^12-$A17)&gt;(G$3*10^12-$A16),$A16,$A17))</f>
        <v/>
      </c>
      <c r="H16">
        <f>IF(IF((H$3*10^12-$A17)*(H$3*10^12-$A16)*-1&lt;0,0,1)*IF(ABS(H$3*10^12-$A17)&gt;(H$3*10^12-$A16),$A16,$A17)=H17,0,IF((H$3*10^12-$A17)*(H$3*10^12-$A16)*-1&lt;0,0,1)*IF(ABS(H$3*10^12-$A17)&gt;(H$3*10^12-$A16),$A16,$A17))</f>
        <v/>
      </c>
      <c r="I16">
        <f>IF(IF((I$3*10^12-$A17)*(I$3*10^12-$A16)*-1&lt;0,0,1)*IF(ABS(I$3*10^12-$A17)&gt;(I$3*10^12-$A16),$A16,$A17)=I17,0,IF((I$3*10^12-$A17)*(I$3*10^12-$A16)*-1&lt;0,0,1)*IF(ABS(I$3*10^12-$A17)&gt;(I$3*10^12-$A16),$A16,$A17))</f>
        <v/>
      </c>
      <c r="J16">
        <f>IF(IF((J$3*10^12-$A17)*(J$3*10^12-$A16)*-1&lt;0,0,1)*IF(ABS(J$3*10^12-$A17)&gt;(J$3*10^12-$A16),$A16,$A17)=J17,0,IF((J$3*10^12-$A17)*(J$3*10^12-$A16)*-1&lt;0,0,1)*IF(ABS(J$3*10^12-$A17)&gt;(J$3*10^12-$A16),$A16,$A17))</f>
        <v/>
      </c>
      <c r="K16">
        <f>IF(IF((K$3*10^12-$A17)*(K$3*10^12-$A16)*-1&lt;0,0,1)*IF(ABS(K$3*10^12-$A17)&gt;(K$3*10^12-$A16),$A16,$A17)=K17,0,IF((K$3*10^12-$A17)*(K$3*10^12-$A16)*-1&lt;0,0,1)*IF(ABS(K$3*10^12-$A17)&gt;(K$3*10^12-$A16),$A16,$A17))</f>
        <v/>
      </c>
      <c r="L16">
        <f>IF(IF((L$3*10^12-$A17)*(L$3*10^12-$A16)*-1&lt;0,0,1)*IF(ABS(L$3*10^12-$A17)&gt;(L$3*10^12-$A16),$A16,$A17)=L17,0,IF((L$3*10^12-$A17)*(L$3*10^12-$A16)*-1&lt;0,0,1)*IF(ABS(L$3*10^12-$A17)&gt;(L$3*10^12-$A16),$A16,$A17))</f>
        <v/>
      </c>
      <c r="M16">
        <f>IF(IF((M$3*10^12-$A17)*(M$3*10^12-$A16)*-1&lt;0,0,1)*IF(ABS(M$3*10^12-$A17)&gt;(M$3*10^12-$A16),$A16,$A17)=M17,0,IF((M$3*10^12-$A17)*(M$3*10^12-$A16)*-1&lt;0,0,1)*IF(ABS(M$3*10^12-$A17)&gt;(M$3*10^12-$A16),$A16,$A17))</f>
        <v/>
      </c>
      <c r="N16">
        <f>IF(IF((N$3*10^12-$A17)*(N$3*10^12-$A16)*-1&lt;0,0,1)*IF(ABS(N$3*10^12-$A17)&gt;(N$3*10^12-$A16),$A16,$A17)=N17,0,IF((N$3*10^12-$A17)*(N$3*10^12-$A16)*-1&lt;0,0,1)*IF(ABS(N$3*10^12-$A17)&gt;(N$3*10^12-$A16),$A16,$A17))</f>
        <v/>
      </c>
      <c r="Q16" s="113" t="inlineStr">
        <is>
          <t>Rs</t>
        </is>
      </c>
      <c r="R16" s="982">
        <f>Rs_ideal*1000</f>
        <v/>
      </c>
      <c r="S16" s="2">
        <f>IF(R16=0,0,IF(R16&gt;(INT(0.5+100*POWER(10,IF(96*(LOG(R16)-INT(LOG(R16)))-ROUND(96*(LOG(R16)-INT(LOG(R16))),0)&lt;0,ROUND(96*(LOG(R16)-INT(LOG(R16))),0)-1,ROUND(96*(LOG(R16)-INT(LOG(R16))),0))/96))*POWER(10,INT(LOG(R16))-2)+INT(0.5+100*POWER(10,(IF(96*(LOG(R16)-INT(LOG(R16)))-ROUND(96*(LOG(R16)-INT(LOG(R16))),0)&lt;0,ROUND(96*(LOG(R16)-INT(LOG(R16))),0)-1,ROUND(96*(LOG(R16)-INT(LOG(R16))),0))+1)/96))*POWER(10,INT(LOG(R16))-2))/2,INT(0.5+100*POWER(10,(IF(96*(LOG(R16)-INT(LOG(R16)))-ROUND(96*(LOG(R16)-INT(LOG(R16))),0)&lt;0,ROUND(96*(LOG(R16)-INT(LOG(R16))),0)-1,ROUND(96*(LOG(R16)-INT(LOG(R16))),0))+1)/96))*POWER(10,INT(LOG(R16))-2),INT(0.5+100*POWER(10,IF(96*(LOG(R16)-INT(LOG(R16)))-ROUND(96*(LOG(R16)-INT(LOG(R16))),0)&lt;0,ROUND(96*(LOG(R16)-INT(LOG(R16))),0)-1,ROUND(96*(LOG(R16)-INT(LOG(R16))),0))/96))*POWER(10,INT(LOG(R16))-2)))</f>
        <v/>
      </c>
      <c r="T16" s="45" t="inlineStr">
        <is>
          <t>mΩ</t>
        </is>
      </c>
    </row>
    <row r="17">
      <c r="A17" t="n">
        <v>3.9</v>
      </c>
      <c r="B17">
        <f>IF(IF((B$3*10^12-$A18)*(B$3*10^12-$A17)*-1&lt;0,0,1)*IF(ABS(B$3*10^12-$A18)&gt;(B$3*10^12-$A17),$A17,$A18)=B18,0,IF((B$3*10^12-$A18)*(B$3*10^12-$A17)*-1&lt;0,0,1)*IF(ABS(B$3*10^12-$A18)&gt;(B$3*10^12-$A17),$A17,$A18))</f>
        <v/>
      </c>
      <c r="C17">
        <f>IF(IF((C$3*10^12-$A18)*(C$3*10^12-$A17)*-1&lt;0,0,1)*IF(ABS(C$3*10^12-$A18)&gt;(C$3*10^12-$A17),$A17,$A18)=C18,0,IF((C$3*10^12-$A18)*(C$3*10^12-$A17)*-1&lt;0,0,1)*IF(ABS(C$3*10^12-$A18)&gt;(C$3*10^12-$A17),$A17,$A18))</f>
        <v/>
      </c>
      <c r="D17">
        <f>IF(IF((D$3*10^12-$A18)*(D$3*10^12-$A17)*-1&lt;0,0,1)*IF(ABS(D$3*10^12-$A18)&gt;(D$3*10^12-$A17),$A17,$A18)=D18,0,IF((D$3*10^12-$A18)*(D$3*10^12-$A17)*-1&lt;0,0,1)*IF(ABS(D$3*10^12-$A18)&gt;(D$3*10^12-$A17),$A17,$A18))</f>
        <v/>
      </c>
      <c r="E17">
        <f>IF(IF((E$3*10^12-$A18)*(E$3*10^12-$A17)*-1&lt;0,0,1)*IF(ABS(E$3*10^12-$A18)&gt;(E$3*10^12-$A17),$A17,$A18)=E18,0,IF((E$3*10^12-$A18)*(E$3*10^12-$A17)*-1&lt;0,0,1)*IF(ABS(E$3*10^12-$A18)&gt;(E$3*10^12-$A17),$A17,$A18))</f>
        <v/>
      </c>
      <c r="F17">
        <f>IF(IF((F$3*10^12-$A18)*(F$3*10^12-$A17)*-1&lt;0,0,1)*IF(ABS(F$3*10^12-$A18)&gt;(F$3*10^12-$A17),$A17,$A18)=F18,0,IF((F$3*10^12-$A18)*(F$3*10^12-$A17)*-1&lt;0,0,1)*IF(ABS(F$3*10^12-$A18)&gt;(F$3*10^12-$A17),$A17,$A18))</f>
        <v/>
      </c>
      <c r="G17">
        <f>IF(IF((G$3*10^12-$A18)*(G$3*10^12-$A17)*-1&lt;0,0,1)*IF(ABS(G$3*10^12-$A18)&gt;(G$3*10^12-$A17),$A17,$A18)=G18,0,IF((G$3*10^12-$A18)*(G$3*10^12-$A17)*-1&lt;0,0,1)*IF(ABS(G$3*10^12-$A18)&gt;(G$3*10^12-$A17),$A17,$A18))</f>
        <v/>
      </c>
      <c r="H17">
        <f>IF(IF((H$3*10^12-$A18)*(H$3*10^12-$A17)*-1&lt;0,0,1)*IF(ABS(H$3*10^12-$A18)&gt;(H$3*10^12-$A17),$A17,$A18)=H18,0,IF((H$3*10^12-$A18)*(H$3*10^12-$A17)*-1&lt;0,0,1)*IF(ABS(H$3*10^12-$A18)&gt;(H$3*10^12-$A17),$A17,$A18))</f>
        <v/>
      </c>
      <c r="I17">
        <f>IF(IF((I$3*10^12-$A18)*(I$3*10^12-$A17)*-1&lt;0,0,1)*IF(ABS(I$3*10^12-$A18)&gt;(I$3*10^12-$A17),$A17,$A18)=I18,0,IF((I$3*10^12-$A18)*(I$3*10^12-$A17)*-1&lt;0,0,1)*IF(ABS(I$3*10^12-$A18)&gt;(I$3*10^12-$A17),$A17,$A18))</f>
        <v/>
      </c>
      <c r="J17">
        <f>IF(IF((J$3*10^12-$A18)*(J$3*10^12-$A17)*-1&lt;0,0,1)*IF(ABS(J$3*10^12-$A18)&gt;(J$3*10^12-$A17),$A17,$A18)=J18,0,IF((J$3*10^12-$A18)*(J$3*10^12-$A17)*-1&lt;0,0,1)*IF(ABS(J$3*10^12-$A18)&gt;(J$3*10^12-$A17),$A17,$A18))</f>
        <v/>
      </c>
      <c r="K17">
        <f>IF(IF((K$3*10^12-$A18)*(K$3*10^12-$A17)*-1&lt;0,0,1)*IF(ABS(K$3*10^12-$A18)&gt;(K$3*10^12-$A17),$A17,$A18)=K18,0,IF((K$3*10^12-$A18)*(K$3*10^12-$A17)*-1&lt;0,0,1)*IF(ABS(K$3*10^12-$A18)&gt;(K$3*10^12-$A17),$A17,$A18))</f>
        <v/>
      </c>
      <c r="L17">
        <f>IF(IF((L$3*10^12-$A18)*(L$3*10^12-$A17)*-1&lt;0,0,1)*IF(ABS(L$3*10^12-$A18)&gt;(L$3*10^12-$A17),$A17,$A18)=L18,0,IF((L$3*10^12-$A18)*(L$3*10^12-$A17)*-1&lt;0,0,1)*IF(ABS(L$3*10^12-$A18)&gt;(L$3*10^12-$A17),$A17,$A18))</f>
        <v/>
      </c>
      <c r="M17">
        <f>IF(IF((M$3*10^12-$A18)*(M$3*10^12-$A17)*-1&lt;0,0,1)*IF(ABS(M$3*10^12-$A18)&gt;(M$3*10^12-$A17),$A17,$A18)=M18,0,IF((M$3*10^12-$A18)*(M$3*10^12-$A17)*-1&lt;0,0,1)*IF(ABS(M$3*10^12-$A18)&gt;(M$3*10^12-$A17),$A17,$A18))</f>
        <v/>
      </c>
      <c r="N17">
        <f>IF(IF((N$3*10^12-$A18)*(N$3*10^12-$A17)*-1&lt;0,0,1)*IF(ABS(N$3*10^12-$A18)&gt;(N$3*10^12-$A17),$A17,$A18)=N18,0,IF((N$3*10^12-$A18)*(N$3*10^12-$A17)*-1&lt;0,0,1)*IF(ABS(N$3*10^12-$A18)&gt;(N$3*10^12-$A17),$A17,$A18))</f>
        <v/>
      </c>
      <c r="Q17" s="113" t="inlineStr">
        <is>
          <t>Cres</t>
        </is>
      </c>
      <c r="R17">
        <f>Cres</f>
        <v/>
      </c>
      <c r="S17">
        <f>G4*1000000000000</f>
        <v/>
      </c>
      <c r="T17" s="113" t="inlineStr">
        <is>
          <t>pF</t>
        </is>
      </c>
    </row>
    <row r="18">
      <c r="A18" t="n">
        <v>4.7</v>
      </c>
      <c r="B18">
        <f>IF(IF((B$3*10^12-$A19)*(B$3*10^12-$A18)*-1&lt;0,0,1)*IF(ABS(B$3*10^12-$A19)&gt;(B$3*10^12-$A18),$A18,$A19)=B19,0,IF((B$3*10^12-$A19)*(B$3*10^12-$A18)*-1&lt;0,0,1)*IF(ABS(B$3*10^12-$A19)&gt;(B$3*10^12-$A18),$A18,$A19))</f>
        <v/>
      </c>
      <c r="C18">
        <f>IF(IF((C$3*10^12-$A19)*(C$3*10^12-$A18)*-1&lt;0,0,1)*IF(ABS(C$3*10^12-$A19)&gt;(C$3*10^12-$A18),$A18,$A19)=C19,0,IF((C$3*10^12-$A19)*(C$3*10^12-$A18)*-1&lt;0,0,1)*IF(ABS(C$3*10^12-$A19)&gt;(C$3*10^12-$A18),$A18,$A19))</f>
        <v/>
      </c>
      <c r="D18">
        <f>IF(IF((D$3*10^12-$A19)*(D$3*10^12-$A18)*-1&lt;0,0,1)*IF(ABS(D$3*10^12-$A19)&gt;(D$3*10^12-$A18),$A18,$A19)=D19,0,IF((D$3*10^12-$A19)*(D$3*10^12-$A18)*-1&lt;0,0,1)*IF(ABS(D$3*10^12-$A19)&gt;(D$3*10^12-$A18),$A18,$A19))</f>
        <v/>
      </c>
      <c r="E18">
        <f>IF(IF((E$3*10^12-$A19)*(E$3*10^12-$A18)*-1&lt;0,0,1)*IF(ABS(E$3*10^12-$A19)&gt;(E$3*10^12-$A18),$A18,$A19)=E19,0,IF((E$3*10^12-$A19)*(E$3*10^12-$A18)*-1&lt;0,0,1)*IF(ABS(E$3*10^12-$A19)&gt;(E$3*10^12-$A18),$A18,$A19))</f>
        <v/>
      </c>
      <c r="F18">
        <f>IF(IF((F$3*10^12-$A19)*(F$3*10^12-$A18)*-1&lt;0,0,1)*IF(ABS(F$3*10^12-$A19)&gt;(F$3*10^12-$A18),$A18,$A19)=F19,0,IF((F$3*10^12-$A19)*(F$3*10^12-$A18)*-1&lt;0,0,1)*IF(ABS(F$3*10^12-$A19)&gt;(F$3*10^12-$A18),$A18,$A19))</f>
        <v/>
      </c>
      <c r="G18">
        <f>IF(IF((G$3*10^12-$A19)*(G$3*10^12-$A18)*-1&lt;0,0,1)*IF(ABS(G$3*10^12-$A19)&gt;(G$3*10^12-$A18),$A18,$A19)=G19,0,IF((G$3*10^12-$A19)*(G$3*10^12-$A18)*-1&lt;0,0,1)*IF(ABS(G$3*10^12-$A19)&gt;(G$3*10^12-$A18),$A18,$A19))</f>
        <v/>
      </c>
      <c r="H18">
        <f>IF(IF((H$3*10^12-$A19)*(H$3*10^12-$A18)*-1&lt;0,0,1)*IF(ABS(H$3*10^12-$A19)&gt;(H$3*10^12-$A18),$A18,$A19)=H19,0,IF((H$3*10^12-$A19)*(H$3*10^12-$A18)*-1&lt;0,0,1)*IF(ABS(H$3*10^12-$A19)&gt;(H$3*10^12-$A18),$A18,$A19))</f>
        <v/>
      </c>
      <c r="I18">
        <f>IF(IF((I$3*10^12-$A19)*(I$3*10^12-$A18)*-1&lt;0,0,1)*IF(ABS(I$3*10^12-$A19)&gt;(I$3*10^12-$A18),$A18,$A19)=I19,0,IF((I$3*10^12-$A19)*(I$3*10^12-$A18)*-1&lt;0,0,1)*IF(ABS(I$3*10^12-$A19)&gt;(I$3*10^12-$A18),$A18,$A19))</f>
        <v/>
      </c>
      <c r="J18">
        <f>IF(IF((J$3*10^12-$A19)*(J$3*10^12-$A18)*-1&lt;0,0,1)*IF(ABS(J$3*10^12-$A19)&gt;(J$3*10^12-$A18),$A18,$A19)=J19,0,IF((J$3*10^12-$A19)*(J$3*10^12-$A18)*-1&lt;0,0,1)*IF(ABS(J$3*10^12-$A19)&gt;(J$3*10^12-$A18),$A18,$A19))</f>
        <v/>
      </c>
      <c r="K18">
        <f>IF(IF((K$3*10^12-$A19)*(K$3*10^12-$A18)*-1&lt;0,0,1)*IF(ABS(K$3*10^12-$A19)&gt;(K$3*10^12-$A18),$A18,$A19)=K19,0,IF((K$3*10^12-$A19)*(K$3*10^12-$A18)*-1&lt;0,0,1)*IF(ABS(K$3*10^12-$A19)&gt;(K$3*10^12-$A18),$A18,$A19))</f>
        <v/>
      </c>
      <c r="L18">
        <f>IF(IF((L$3*10^12-$A19)*(L$3*10^12-$A18)*-1&lt;0,0,1)*IF(ABS(L$3*10^12-$A19)&gt;(L$3*10^12-$A18),$A18,$A19)=L19,0,IF((L$3*10^12-$A19)*(L$3*10^12-$A18)*-1&lt;0,0,1)*IF(ABS(L$3*10^12-$A19)&gt;(L$3*10^12-$A18),$A18,$A19))</f>
        <v/>
      </c>
      <c r="M18">
        <f>IF(IF((M$3*10^12-$A19)*(M$3*10^12-$A18)*-1&lt;0,0,1)*IF(ABS(M$3*10^12-$A19)&gt;(M$3*10^12-$A18),$A18,$A19)=M19,0,IF((M$3*10^12-$A19)*(M$3*10^12-$A18)*-1&lt;0,0,1)*IF(ABS(M$3*10^12-$A19)&gt;(M$3*10^12-$A18),$A18,$A19))</f>
        <v/>
      </c>
      <c r="N18">
        <f>IF(IF((N$3*10^12-$A19)*(N$3*10^12-$A18)*-1&lt;0,0,1)*IF(ABS(N$3*10^12-$A19)&gt;(N$3*10^12-$A18),$A18,$A19)=N19,0,IF((N$3*10^12-$A19)*(N$3*10^12-$A18)*-1&lt;0,0,1)*IF(ABS(N$3*10^12-$A19)&gt;(N$3*10^12-$A18),$A18,$A19))</f>
        <v/>
      </c>
    </row>
    <row r="19">
      <c r="A19" t="n">
        <v>5.6</v>
      </c>
      <c r="B19">
        <f>IF(IF((B$3*10^12-$A20)*(B$3*10^12-$A19)*-1&lt;0,0,1)*IF(ABS(B$3*10^12-$A20)&gt;(B$3*10^12-$A19),$A19,$A20)=B20,0,IF((B$3*10^12-$A20)*(B$3*10^12-$A19)*-1&lt;0,0,1)*IF(ABS(B$3*10^12-$A20)&gt;(B$3*10^12-$A19),$A19,$A20))</f>
        <v/>
      </c>
      <c r="C19">
        <f>IF(IF((C$3*10^12-$A20)*(C$3*10^12-$A19)*-1&lt;0,0,1)*IF(ABS(C$3*10^12-$A20)&gt;(C$3*10^12-$A19),$A19,$A20)=C20,0,IF((C$3*10^12-$A20)*(C$3*10^12-$A19)*-1&lt;0,0,1)*IF(ABS(C$3*10^12-$A20)&gt;(C$3*10^12-$A19),$A19,$A20))</f>
        <v/>
      </c>
      <c r="D19">
        <f>IF(IF((D$3*10^12-$A20)*(D$3*10^12-$A19)*-1&lt;0,0,1)*IF(ABS(D$3*10^12-$A20)&gt;(D$3*10^12-$A19),$A19,$A20)=D20,0,IF((D$3*10^12-$A20)*(D$3*10^12-$A19)*-1&lt;0,0,1)*IF(ABS(D$3*10^12-$A20)&gt;(D$3*10^12-$A19),$A19,$A20))</f>
        <v/>
      </c>
      <c r="E19">
        <f>IF(IF((E$3*10^12-$A20)*(E$3*10^12-$A19)*-1&lt;0,0,1)*IF(ABS(E$3*10^12-$A20)&gt;(E$3*10^12-$A19),$A19,$A20)=E20,0,IF((E$3*10^12-$A20)*(E$3*10^12-$A19)*-1&lt;0,0,1)*IF(ABS(E$3*10^12-$A20)&gt;(E$3*10^12-$A19),$A19,$A20))</f>
        <v/>
      </c>
      <c r="F19">
        <f>IF(IF((F$3*10^12-$A20)*(F$3*10^12-$A19)*-1&lt;0,0,1)*IF(ABS(F$3*10^12-$A20)&gt;(F$3*10^12-$A19),$A19,$A20)=F20,0,IF((F$3*10^12-$A20)*(F$3*10^12-$A19)*-1&lt;0,0,1)*IF(ABS(F$3*10^12-$A20)&gt;(F$3*10^12-$A19),$A19,$A20))</f>
        <v/>
      </c>
      <c r="G19">
        <f>IF(IF((G$3*10^12-$A20)*(G$3*10^12-$A19)*-1&lt;0,0,1)*IF(ABS(G$3*10^12-$A20)&gt;(G$3*10^12-$A19),$A19,$A20)=G20,0,IF((G$3*10^12-$A20)*(G$3*10^12-$A19)*-1&lt;0,0,1)*IF(ABS(G$3*10^12-$A20)&gt;(G$3*10^12-$A19),$A19,$A20))</f>
        <v/>
      </c>
      <c r="H19">
        <f>IF(IF((H$3*10^12-$A20)*(H$3*10^12-$A19)*-1&lt;0,0,1)*IF(ABS(H$3*10^12-$A20)&gt;(H$3*10^12-$A19),$A19,$A20)=H20,0,IF((H$3*10^12-$A20)*(H$3*10^12-$A19)*-1&lt;0,0,1)*IF(ABS(H$3*10^12-$A20)&gt;(H$3*10^12-$A19),$A19,$A20))</f>
        <v/>
      </c>
      <c r="I19">
        <f>IF(IF((I$3*10^12-$A20)*(I$3*10^12-$A19)*-1&lt;0,0,1)*IF(ABS(I$3*10^12-$A20)&gt;(I$3*10^12-$A19),$A19,$A20)=I20,0,IF((I$3*10^12-$A20)*(I$3*10^12-$A19)*-1&lt;0,0,1)*IF(ABS(I$3*10^12-$A20)&gt;(I$3*10^12-$A19),$A19,$A20))</f>
        <v/>
      </c>
      <c r="J19">
        <f>IF(IF((J$3*10^12-$A20)*(J$3*10^12-$A19)*-1&lt;0,0,1)*IF(ABS(J$3*10^12-$A20)&gt;(J$3*10^12-$A19),$A19,$A20)=J20,0,IF((J$3*10^12-$A20)*(J$3*10^12-$A19)*-1&lt;0,0,1)*IF(ABS(J$3*10^12-$A20)&gt;(J$3*10^12-$A19),$A19,$A20))</f>
        <v/>
      </c>
      <c r="K19">
        <f>IF(IF((K$3*10^12-$A20)*(K$3*10^12-$A19)*-1&lt;0,0,1)*IF(ABS(K$3*10^12-$A20)&gt;(K$3*10^12-$A19),$A19,$A20)=K20,0,IF((K$3*10^12-$A20)*(K$3*10^12-$A19)*-1&lt;0,0,1)*IF(ABS(K$3*10^12-$A20)&gt;(K$3*10^12-$A19),$A19,$A20))</f>
        <v/>
      </c>
      <c r="L19">
        <f>IF(IF((L$3*10^12-$A20)*(L$3*10^12-$A19)*-1&lt;0,0,1)*IF(ABS(L$3*10^12-$A20)&gt;(L$3*10^12-$A19),$A19,$A20)=L20,0,IF((L$3*10^12-$A20)*(L$3*10^12-$A19)*-1&lt;0,0,1)*IF(ABS(L$3*10^12-$A20)&gt;(L$3*10^12-$A19),$A19,$A20))</f>
        <v/>
      </c>
      <c r="M19">
        <f>IF(IF((M$3*10^12-$A20)*(M$3*10^12-$A19)*-1&lt;0,0,1)*IF(ABS(M$3*10^12-$A20)&gt;(M$3*10^12-$A19),$A19,$A20)=M20,0,IF((M$3*10^12-$A20)*(M$3*10^12-$A19)*-1&lt;0,0,1)*IF(ABS(M$3*10^12-$A20)&gt;(M$3*10^12-$A19),$A19,$A20))</f>
        <v/>
      </c>
      <c r="N19">
        <f>IF(IF((N$3*10^12-$A20)*(N$3*10^12-$A19)*-1&lt;0,0,1)*IF(ABS(N$3*10^12-$A20)&gt;(N$3*10^12-$A19),$A19,$A20)=N20,0,IF((N$3*10^12-$A20)*(N$3*10^12-$A19)*-1&lt;0,0,1)*IF(ABS(N$3*10^12-$A20)&gt;(N$3*10^12-$A19),$A19,$A20))</f>
        <v/>
      </c>
      <c r="Q19" s="113" t="n"/>
      <c r="S19" s="2" t="n"/>
      <c r="T19" s="45" t="n"/>
    </row>
    <row r="20">
      <c r="A20" t="n">
        <v>6.8</v>
      </c>
      <c r="B20">
        <f>IF(IF((B$3*10^12-$A21)*(B$3*10^12-$A20)*-1&lt;0,0,1)*IF(ABS(B$3*10^12-$A21)&gt;(B$3*10^12-$A20),$A20,$A21)=B21,0,IF((B$3*10^12-$A21)*(B$3*10^12-$A20)*-1&lt;0,0,1)*IF(ABS(B$3*10^12-$A21)&gt;(B$3*10^12-$A20),$A20,$A21))</f>
        <v/>
      </c>
      <c r="C20">
        <f>IF(IF((C$3*10^12-$A21)*(C$3*10^12-$A20)*-1&lt;0,0,1)*IF(ABS(C$3*10^12-$A21)&gt;(C$3*10^12-$A20),$A20,$A21)=C21,0,IF((C$3*10^12-$A21)*(C$3*10^12-$A20)*-1&lt;0,0,1)*IF(ABS(C$3*10^12-$A21)&gt;(C$3*10^12-$A20),$A20,$A21))</f>
        <v/>
      </c>
      <c r="D20">
        <f>IF(IF((D$3*10^12-$A21)*(D$3*10^12-$A20)*-1&lt;0,0,1)*IF(ABS(D$3*10^12-$A21)&gt;(D$3*10^12-$A20),$A20,$A21)=D21,0,IF((D$3*10^12-$A21)*(D$3*10^12-$A20)*-1&lt;0,0,1)*IF(ABS(D$3*10^12-$A21)&gt;(D$3*10^12-$A20),$A20,$A21))</f>
        <v/>
      </c>
      <c r="E20">
        <f>IF(IF((E$3*10^12-$A21)*(E$3*10^12-$A20)*-1&lt;0,0,1)*IF(ABS(E$3*10^12-$A21)&gt;(E$3*10^12-$A20),$A20,$A21)=E21,0,IF((E$3*10^12-$A21)*(E$3*10^12-$A20)*-1&lt;0,0,1)*IF(ABS(E$3*10^12-$A21)&gt;(E$3*10^12-$A20),$A20,$A21))</f>
        <v/>
      </c>
      <c r="F20">
        <f>IF(IF((F$3*10^12-$A21)*(F$3*10^12-$A20)*-1&lt;0,0,1)*IF(ABS(F$3*10^12-$A21)&gt;(F$3*10^12-$A20),$A20,$A21)=F21,0,IF((F$3*10^12-$A21)*(F$3*10^12-$A20)*-1&lt;0,0,1)*IF(ABS(F$3*10^12-$A21)&gt;(F$3*10^12-$A20),$A20,$A21))</f>
        <v/>
      </c>
      <c r="G20">
        <f>IF(IF((G$3*10^12-$A21)*(G$3*10^12-$A20)*-1&lt;0,0,1)*IF(ABS(G$3*10^12-$A21)&gt;(G$3*10^12-$A20),$A20,$A21)=G21,0,IF((G$3*10^12-$A21)*(G$3*10^12-$A20)*-1&lt;0,0,1)*IF(ABS(G$3*10^12-$A21)&gt;(G$3*10^12-$A20),$A20,$A21))</f>
        <v/>
      </c>
      <c r="H20">
        <f>IF(IF((H$3*10^12-$A21)*(H$3*10^12-$A20)*-1&lt;0,0,1)*IF(ABS(H$3*10^12-$A21)&gt;(H$3*10^12-$A20),$A20,$A21)=H21,0,IF((H$3*10^12-$A21)*(H$3*10^12-$A20)*-1&lt;0,0,1)*IF(ABS(H$3*10^12-$A21)&gt;(H$3*10^12-$A20),$A20,$A21))</f>
        <v/>
      </c>
      <c r="I20">
        <f>IF(IF((I$3*10^12-$A21)*(I$3*10^12-$A20)*-1&lt;0,0,1)*IF(ABS(I$3*10^12-$A21)&gt;(I$3*10^12-$A20),$A20,$A21)=I21,0,IF((I$3*10^12-$A21)*(I$3*10^12-$A20)*-1&lt;0,0,1)*IF(ABS(I$3*10^12-$A21)&gt;(I$3*10^12-$A20),$A20,$A21))</f>
        <v/>
      </c>
      <c r="J20">
        <f>IF(IF((J$3*10^12-$A21)*(J$3*10^12-$A20)*-1&lt;0,0,1)*IF(ABS(J$3*10^12-$A21)&gt;(J$3*10^12-$A20),$A20,$A21)=J21,0,IF((J$3*10^12-$A21)*(J$3*10^12-$A20)*-1&lt;0,0,1)*IF(ABS(J$3*10^12-$A21)&gt;(J$3*10^12-$A20),$A20,$A21))</f>
        <v/>
      </c>
      <c r="K20">
        <f>IF(IF((K$3*10^12-$A21)*(K$3*10^12-$A20)*-1&lt;0,0,1)*IF(ABS(K$3*10^12-$A21)&gt;(K$3*10^12-$A20),$A20,$A21)=K21,0,IF((K$3*10^12-$A21)*(K$3*10^12-$A20)*-1&lt;0,0,1)*IF(ABS(K$3*10^12-$A21)&gt;(K$3*10^12-$A20),$A20,$A21))</f>
        <v/>
      </c>
      <c r="L20">
        <f>IF(IF((L$3*10^12-$A21)*(L$3*10^12-$A20)*-1&lt;0,0,1)*IF(ABS(L$3*10^12-$A21)&gt;(L$3*10^12-$A20),$A20,$A21)=L21,0,IF((L$3*10^12-$A21)*(L$3*10^12-$A20)*-1&lt;0,0,1)*IF(ABS(L$3*10^12-$A21)&gt;(L$3*10^12-$A20),$A20,$A21))</f>
        <v/>
      </c>
      <c r="M20">
        <f>IF(IF((M$3*10^12-$A21)*(M$3*10^12-$A20)*-1&lt;0,0,1)*IF(ABS(M$3*10^12-$A21)&gt;(M$3*10^12-$A20),$A20,$A21)=M21,0,IF((M$3*10^12-$A21)*(M$3*10^12-$A20)*-1&lt;0,0,1)*IF(ABS(M$3*10^12-$A21)&gt;(M$3*10^12-$A20),$A20,$A21))</f>
        <v/>
      </c>
      <c r="N20">
        <f>IF(IF((N$3*10^12-$A21)*(N$3*10^12-$A20)*-1&lt;0,0,1)*IF(ABS(N$3*10^12-$A21)&gt;(N$3*10^12-$A20),$A20,$A21)=N21,0,IF((N$3*10^12-$A21)*(N$3*10^12-$A20)*-1&lt;0,0,1)*IF(ABS(N$3*10^12-$A21)&gt;(N$3*10^12-$A20),$A20,$A21))</f>
        <v/>
      </c>
      <c r="Q20" s="113" t="n"/>
      <c r="S20" s="2" t="n"/>
      <c r="T20" s="45" t="n"/>
    </row>
    <row r="21">
      <c r="A21" t="n">
        <v>8.199999999999999</v>
      </c>
      <c r="B21">
        <f>IF(IF((B$3*10^12-$A22)*(B$3*10^12-$A21)*-1&lt;0,0,1)*IF(ABS(B$3*10^12-$A22)&gt;(B$3*10^12-$A21),$A21,$A22)=B22,0,IF((B$3*10^12-$A22)*(B$3*10^12-$A21)*-1&lt;0,0,1)*IF(ABS(B$3*10^12-$A22)&gt;(B$3*10^12-$A21),$A21,$A22))</f>
        <v/>
      </c>
      <c r="C21">
        <f>IF(IF((C$3*10^12-$A22)*(C$3*10^12-$A21)*-1&lt;0,0,1)*IF(ABS(C$3*10^12-$A22)&gt;(C$3*10^12-$A21),$A21,$A22)=C22,0,IF((C$3*10^12-$A22)*(C$3*10^12-$A21)*-1&lt;0,0,1)*IF(ABS(C$3*10^12-$A22)&gt;(C$3*10^12-$A21),$A21,$A22))</f>
        <v/>
      </c>
      <c r="D21">
        <f>IF(IF((D$3*10^12-$A22)*(D$3*10^12-$A21)*-1&lt;0,0,1)*IF(ABS(D$3*10^12-$A22)&gt;(D$3*10^12-$A21),$A21,$A22)=D22,0,IF((D$3*10^12-$A22)*(D$3*10^12-$A21)*-1&lt;0,0,1)*IF(ABS(D$3*10^12-$A22)&gt;(D$3*10^12-$A21),$A21,$A22))</f>
        <v/>
      </c>
      <c r="E21">
        <f>IF(IF((E$3*10^12-$A22)*(E$3*10^12-$A21)*-1&lt;0,0,1)*IF(ABS(E$3*10^12-$A22)&gt;(E$3*10^12-$A21),$A21,$A22)=E22,0,IF((E$3*10^12-$A22)*(E$3*10^12-$A21)*-1&lt;0,0,1)*IF(ABS(E$3*10^12-$A22)&gt;(E$3*10^12-$A21),$A21,$A22))</f>
        <v/>
      </c>
      <c r="F21">
        <f>IF(IF((F$3*10^12-$A22)*(F$3*10^12-$A21)*-1&lt;0,0,1)*IF(ABS(F$3*10^12-$A22)&gt;(F$3*10^12-$A21),$A21,$A22)=F22,0,IF((F$3*10^12-$A22)*(F$3*10^12-$A21)*-1&lt;0,0,1)*IF(ABS(F$3*10^12-$A22)&gt;(F$3*10^12-$A21),$A21,$A22))</f>
        <v/>
      </c>
      <c r="G21">
        <f>IF(IF((G$3*10^12-$A22)*(G$3*10^12-$A21)*-1&lt;0,0,1)*IF(ABS(G$3*10^12-$A22)&gt;(G$3*10^12-$A21),$A21,$A22)=G22,0,IF((G$3*10^12-$A22)*(G$3*10^12-$A21)*-1&lt;0,0,1)*IF(ABS(G$3*10^12-$A22)&gt;(G$3*10^12-$A21),$A21,$A22))</f>
        <v/>
      </c>
      <c r="H21">
        <f>IF(IF((H$3*10^12-$A22)*(H$3*10^12-$A21)*-1&lt;0,0,1)*IF(ABS(H$3*10^12-$A22)&gt;(H$3*10^12-$A21),$A21,$A22)=H22,0,IF((H$3*10^12-$A22)*(H$3*10^12-$A21)*-1&lt;0,0,1)*IF(ABS(H$3*10^12-$A22)&gt;(H$3*10^12-$A21),$A21,$A22))</f>
        <v/>
      </c>
      <c r="I21">
        <f>IF(IF((I$3*10^12-$A22)*(I$3*10^12-$A21)*-1&lt;0,0,1)*IF(ABS(I$3*10^12-$A22)&gt;(I$3*10^12-$A21),$A21,$A22)=I22,0,IF((I$3*10^12-$A22)*(I$3*10^12-$A21)*-1&lt;0,0,1)*IF(ABS(I$3*10^12-$A22)&gt;(I$3*10^12-$A21),$A21,$A22))</f>
        <v/>
      </c>
      <c r="J21">
        <f>IF(IF((J$3*10^12-$A22)*(J$3*10^12-$A21)*-1&lt;0,0,1)*IF(ABS(J$3*10^12-$A22)&gt;(J$3*10^12-$A21),$A21,$A22)=J22,0,IF((J$3*10^12-$A22)*(J$3*10^12-$A21)*-1&lt;0,0,1)*IF(ABS(J$3*10^12-$A22)&gt;(J$3*10^12-$A21),$A21,$A22))</f>
        <v/>
      </c>
      <c r="K21">
        <f>IF(IF((K$3*10^12-$A22)*(K$3*10^12-$A21)*-1&lt;0,0,1)*IF(ABS(K$3*10^12-$A22)&gt;(K$3*10^12-$A21),$A21,$A22)=K22,0,IF((K$3*10^12-$A22)*(K$3*10^12-$A21)*-1&lt;0,0,1)*IF(ABS(K$3*10^12-$A22)&gt;(K$3*10^12-$A21),$A21,$A22))</f>
        <v/>
      </c>
      <c r="L21">
        <f>IF(IF((L$3*10^12-$A22)*(L$3*10^12-$A21)*-1&lt;0,0,1)*IF(ABS(L$3*10^12-$A22)&gt;(L$3*10^12-$A21),$A21,$A22)=L22,0,IF((L$3*10^12-$A22)*(L$3*10^12-$A21)*-1&lt;0,0,1)*IF(ABS(L$3*10^12-$A22)&gt;(L$3*10^12-$A21),$A21,$A22))</f>
        <v/>
      </c>
      <c r="M21">
        <f>IF(IF((M$3*10^12-$A22)*(M$3*10^12-$A21)*-1&lt;0,0,1)*IF(ABS(M$3*10^12-$A22)&gt;(M$3*10^12-$A21),$A21,$A22)=M22,0,IF((M$3*10^12-$A22)*(M$3*10^12-$A21)*-1&lt;0,0,1)*IF(ABS(M$3*10^12-$A22)&gt;(M$3*10^12-$A21),$A21,$A22))</f>
        <v/>
      </c>
      <c r="N21">
        <f>IF(IF((N$3*10^12-$A22)*(N$3*10^12-$A21)*-1&lt;0,0,1)*IF(ABS(N$3*10^12-$A22)&gt;(N$3*10^12-$A21),$A21,$A22)=N22,0,IF((N$3*10^12-$A22)*(N$3*10^12-$A21)*-1&lt;0,0,1)*IF(ABS(N$3*10^12-$A22)&gt;(N$3*10^12-$A21),$A21,$A22))</f>
        <v/>
      </c>
      <c r="Q21" s="113" t="inlineStr">
        <is>
          <t>Cdither</t>
        </is>
      </c>
      <c r="R21">
        <f>Cdither_init</f>
        <v/>
      </c>
      <c r="S21" s="2">
        <f>H4</f>
        <v/>
      </c>
    </row>
    <row r="22">
      <c r="A22" t="n">
        <v>10</v>
      </c>
      <c r="B22">
        <f>IF(IF((B$3*10^12-$A23)*(B$3*10^12-$A22)*-1&lt;0,0,1)*IF(ABS(B$3*10^12-$A23)&gt;(B$3*10^12-$A22),$A22,$A23)=B23,0,IF((B$3*10^12-$A23)*(B$3*10^12-$A22)*-1&lt;0,0,1)*IF(ABS(B$3*10^12-$A23)&gt;(B$3*10^12-$A22),$A22,$A23))</f>
        <v/>
      </c>
      <c r="C22">
        <f>IF(IF((C$3*10^12-$A23)*(C$3*10^12-$A22)*-1&lt;0,0,1)*IF(ABS(C$3*10^12-$A23)&gt;(C$3*10^12-$A22),$A22,$A23)=C23,0,IF((C$3*10^12-$A23)*(C$3*10^12-$A22)*-1&lt;0,0,1)*IF(ABS(C$3*10^12-$A23)&gt;(C$3*10^12-$A22),$A22,$A23))</f>
        <v/>
      </c>
      <c r="D22">
        <f>IF(IF((D$3*10^12-$A23)*(D$3*10^12-$A22)*-1&lt;0,0,1)*IF(ABS(D$3*10^12-$A23)&gt;(D$3*10^12-$A22),$A22,$A23)=D23,0,IF((D$3*10^12-$A23)*(D$3*10^12-$A22)*-1&lt;0,0,1)*IF(ABS(D$3*10^12-$A23)&gt;(D$3*10^12-$A22),$A22,$A23))</f>
        <v/>
      </c>
      <c r="E22">
        <f>IF(IF((E$3*10^12-$A23)*(E$3*10^12-$A22)*-1&lt;0,0,1)*IF(ABS(E$3*10^12-$A23)&gt;(E$3*10^12-$A22),$A22,$A23)=E23,0,IF((E$3*10^12-$A23)*(E$3*10^12-$A22)*-1&lt;0,0,1)*IF(ABS(E$3*10^12-$A23)&gt;(E$3*10^12-$A22),$A22,$A23))</f>
        <v/>
      </c>
      <c r="F22">
        <f>IF(IF((F$3*10^12-$A23)*(F$3*10^12-$A22)*-1&lt;0,0,1)*IF(ABS(F$3*10^12-$A23)&gt;(F$3*10^12-$A22),$A22,$A23)=F23,0,IF((F$3*10^12-$A23)*(F$3*10^12-$A22)*-1&lt;0,0,1)*IF(ABS(F$3*10^12-$A23)&gt;(F$3*10^12-$A22),$A22,$A23))</f>
        <v/>
      </c>
      <c r="G22">
        <f>IF(IF((G$3*10^12-$A23)*(G$3*10^12-$A22)*-1&lt;0,0,1)*IF(ABS(G$3*10^12-$A23)&gt;(G$3*10^12-$A22),$A22,$A23)=G23,0,IF((G$3*10^12-$A23)*(G$3*10^12-$A22)*-1&lt;0,0,1)*IF(ABS(G$3*10^12-$A23)&gt;(G$3*10^12-$A22),$A22,$A23))</f>
        <v/>
      </c>
      <c r="H22">
        <f>IF(IF((H$3*10^12-$A23)*(H$3*10^12-$A22)*-1&lt;0,0,1)*IF(ABS(H$3*10^12-$A23)&gt;(H$3*10^12-$A22),$A22,$A23)=H23,0,IF((H$3*10^12-$A23)*(H$3*10^12-$A22)*-1&lt;0,0,1)*IF(ABS(H$3*10^12-$A23)&gt;(H$3*10^12-$A22),$A22,$A23))</f>
        <v/>
      </c>
      <c r="I22">
        <f>IF(IF((I$3*10^12-$A23)*(I$3*10^12-$A22)*-1&lt;0,0,1)*IF(ABS(I$3*10^12-$A23)&gt;(I$3*10^12-$A22),$A22,$A23)=I23,0,IF((I$3*10^12-$A23)*(I$3*10^12-$A22)*-1&lt;0,0,1)*IF(ABS(I$3*10^12-$A23)&gt;(I$3*10^12-$A22),$A22,$A23))</f>
        <v/>
      </c>
      <c r="J22">
        <f>IF(IF((J$3*10^12-$A23)*(J$3*10^12-$A22)*-1&lt;0,0,1)*IF(ABS(J$3*10^12-$A23)&gt;(J$3*10^12-$A22),$A22,$A23)=J23,0,IF((J$3*10^12-$A23)*(J$3*10^12-$A22)*-1&lt;0,0,1)*IF(ABS(J$3*10^12-$A23)&gt;(J$3*10^12-$A22),$A22,$A23))</f>
        <v/>
      </c>
      <c r="K22">
        <f>IF(IF((K$3*10^12-$A23)*(K$3*10^12-$A22)*-1&lt;0,0,1)*IF(ABS(K$3*10^12-$A23)&gt;(K$3*10^12-$A22),$A22,$A23)=K23,0,IF((K$3*10^12-$A23)*(K$3*10^12-$A22)*-1&lt;0,0,1)*IF(ABS(K$3*10^12-$A23)&gt;(K$3*10^12-$A22),$A22,$A23))</f>
        <v/>
      </c>
      <c r="L22">
        <f>IF(IF((L$3*10^12-$A23)*(L$3*10^12-$A22)*-1&lt;0,0,1)*IF(ABS(L$3*10^12-$A23)&gt;(L$3*10^12-$A22),$A22,$A23)=L23,0,IF((L$3*10^12-$A23)*(L$3*10^12-$A22)*-1&lt;0,0,1)*IF(ABS(L$3*10^12-$A23)&gt;(L$3*10^12-$A22),$A22,$A23))</f>
        <v/>
      </c>
      <c r="M22">
        <f>IF(IF((M$3*10^12-$A23)*(M$3*10^12-$A22)*-1&lt;0,0,1)*IF(ABS(M$3*10^12-$A23)&gt;(M$3*10^12-$A22),$A22,$A23)=M23,0,IF((M$3*10^12-$A23)*(M$3*10^12-$A22)*-1&lt;0,0,1)*IF(ABS(M$3*10^12-$A23)&gt;(M$3*10^12-$A22),$A22,$A23))</f>
        <v/>
      </c>
      <c r="N22">
        <f>IF(IF((N$3*10^12-$A23)*(N$3*10^12-$A22)*-1&lt;0,0,1)*IF(ABS(N$3*10^12-$A23)&gt;(N$3*10^12-$A22),$A22,$A23)=N23,0,IF((N$3*10^12-$A23)*(N$3*10^12-$A22)*-1&lt;0,0,1)*IF(ABS(N$3*10^12-$A23)&gt;(N$3*10^12-$A22),$A22,$A23))</f>
        <v/>
      </c>
    </row>
    <row r="23">
      <c r="A23" t="n">
        <v>12</v>
      </c>
      <c r="B23">
        <f>IF(IF((B$3*10^12-$A24)*(B$3*10^12-$A23)*-1&lt;0,0,1)*IF(ABS(B$3*10^12-$A24)&gt;(B$3*10^12-$A23),$A23,$A24)=B24,0,IF((B$3*10^12-$A24)*(B$3*10^12-$A23)*-1&lt;0,0,1)*IF(ABS(B$3*10^12-$A24)&gt;(B$3*10^12-$A23),$A23,$A24))</f>
        <v/>
      </c>
      <c r="C23">
        <f>IF(IF((C$3*10^12-$A24)*(C$3*10^12-$A23)*-1&lt;0,0,1)*IF(ABS(C$3*10^12-$A24)&gt;(C$3*10^12-$A23),$A23,$A24)=C24,0,IF((C$3*10^12-$A24)*(C$3*10^12-$A23)*-1&lt;0,0,1)*IF(ABS(C$3*10^12-$A24)&gt;(C$3*10^12-$A23),$A23,$A24))</f>
        <v/>
      </c>
      <c r="D23">
        <f>IF(IF((D$3*10^12-$A24)*(D$3*10^12-$A23)*-1&lt;0,0,1)*IF(ABS(D$3*10^12-$A24)&gt;(D$3*10^12-$A23),$A23,$A24)=D24,0,IF((D$3*10^12-$A24)*(D$3*10^12-$A23)*-1&lt;0,0,1)*IF(ABS(D$3*10^12-$A24)&gt;(D$3*10^12-$A23),$A23,$A24))</f>
        <v/>
      </c>
      <c r="E23">
        <f>IF(IF((E$3*10^12-$A24)*(E$3*10^12-$A23)*-1&lt;0,0,1)*IF(ABS(E$3*10^12-$A24)&gt;(E$3*10^12-$A23),$A23,$A24)=E24,0,IF((E$3*10^12-$A24)*(E$3*10^12-$A23)*-1&lt;0,0,1)*IF(ABS(E$3*10^12-$A24)&gt;(E$3*10^12-$A23),$A23,$A24))</f>
        <v/>
      </c>
      <c r="F23">
        <f>IF(IF((F$3*10^12-$A24)*(F$3*10^12-$A23)*-1&lt;0,0,1)*IF(ABS(F$3*10^12-$A24)&gt;(F$3*10^12-$A23),$A23,$A24)=F24,0,IF((F$3*10^12-$A24)*(F$3*10^12-$A23)*-1&lt;0,0,1)*IF(ABS(F$3*10^12-$A24)&gt;(F$3*10^12-$A23),$A23,$A24))</f>
        <v/>
      </c>
      <c r="G23">
        <f>IF(IF((G$3*10^12-$A24)*(G$3*10^12-$A23)*-1&lt;0,0,1)*IF(ABS(G$3*10^12-$A24)&gt;(G$3*10^12-$A23),$A23,$A24)=G24,0,IF((G$3*10^12-$A24)*(G$3*10^12-$A23)*-1&lt;0,0,1)*IF(ABS(G$3*10^12-$A24)&gt;(G$3*10^12-$A23),$A23,$A24))</f>
        <v/>
      </c>
      <c r="H23">
        <f>IF(IF((H$3*10^12-$A24)*(H$3*10^12-$A23)*-1&lt;0,0,1)*IF(ABS(H$3*10^12-$A24)&gt;(H$3*10^12-$A23),$A23,$A24)=H24,0,IF((H$3*10^12-$A24)*(H$3*10^12-$A23)*-1&lt;0,0,1)*IF(ABS(H$3*10^12-$A24)&gt;(H$3*10^12-$A23),$A23,$A24))</f>
        <v/>
      </c>
      <c r="I23">
        <f>IF(IF((I$3*10^12-$A24)*(I$3*10^12-$A23)*-1&lt;0,0,1)*IF(ABS(I$3*10^12-$A24)&gt;(I$3*10^12-$A23),$A23,$A24)=I24,0,IF((I$3*10^12-$A24)*(I$3*10^12-$A23)*-1&lt;0,0,1)*IF(ABS(I$3*10^12-$A24)&gt;(I$3*10^12-$A23),$A23,$A24))</f>
        <v/>
      </c>
      <c r="J23">
        <f>IF(IF((J$3*10^12-$A24)*(J$3*10^12-$A23)*-1&lt;0,0,1)*IF(ABS(J$3*10^12-$A24)&gt;(J$3*10^12-$A23),$A23,$A24)=J24,0,IF((J$3*10^12-$A24)*(J$3*10^12-$A23)*-1&lt;0,0,1)*IF(ABS(J$3*10^12-$A24)&gt;(J$3*10^12-$A23),$A23,$A24))</f>
        <v/>
      </c>
      <c r="K23">
        <f>IF(IF((K$3*10^12-$A24)*(K$3*10^12-$A23)*-1&lt;0,0,1)*IF(ABS(K$3*10^12-$A24)&gt;(K$3*10^12-$A23),$A23,$A24)=K24,0,IF((K$3*10^12-$A24)*(K$3*10^12-$A23)*-1&lt;0,0,1)*IF(ABS(K$3*10^12-$A24)&gt;(K$3*10^12-$A23),$A23,$A24))</f>
        <v/>
      </c>
      <c r="L23">
        <f>IF(IF((L$3*10^12-$A24)*(L$3*10^12-$A23)*-1&lt;0,0,1)*IF(ABS(L$3*10^12-$A24)&gt;(L$3*10^12-$A23),$A23,$A24)=L24,0,IF((L$3*10^12-$A24)*(L$3*10^12-$A23)*-1&lt;0,0,1)*IF(ABS(L$3*10^12-$A24)&gt;(L$3*10^12-$A23),$A23,$A24))</f>
        <v/>
      </c>
      <c r="M23">
        <f>IF(IF((M$3*10^12-$A24)*(M$3*10^12-$A23)*-1&lt;0,0,1)*IF(ABS(M$3*10^12-$A24)&gt;(M$3*10^12-$A23),$A23,$A24)=M24,0,IF((M$3*10^12-$A24)*(M$3*10^12-$A23)*-1&lt;0,0,1)*IF(ABS(M$3*10^12-$A24)&gt;(M$3*10^12-$A23),$A23,$A24))</f>
        <v/>
      </c>
      <c r="N23">
        <f>IF(IF((N$3*10^12-$A24)*(N$3*10^12-$A23)*-1&lt;0,0,1)*IF(ABS(N$3*10^12-$A24)&gt;(N$3*10^12-$A23),$A23,$A24)=N24,0,IF((N$3*10^12-$A24)*(N$3*10^12-$A23)*-1&lt;0,0,1)*IF(ABS(N$3*10^12-$A24)&gt;(N$3*10^12-$A23),$A23,$A24))</f>
        <v/>
      </c>
      <c r="Q23" s="113" t="inlineStr">
        <is>
          <t>Cin_Passive</t>
        </is>
      </c>
      <c r="R23">
        <f>K4</f>
        <v/>
      </c>
      <c r="S23" s="2">
        <f>R23*1000000</f>
        <v/>
      </c>
      <c r="T23" s="113" t="inlineStr">
        <is>
          <t>uF</t>
        </is>
      </c>
    </row>
    <row r="24">
      <c r="A24" t="n">
        <v>15</v>
      </c>
      <c r="B24">
        <f>IF(IF((B$3*10^12-$A25)*(B$3*10^12-$A24)*-1&lt;0,0,1)*IF(ABS(B$3*10^12-$A25)&gt;(B$3*10^12-$A24),$A24,$A25)=B25,0,IF((B$3*10^12-$A25)*(B$3*10^12-$A24)*-1&lt;0,0,1)*IF(ABS(B$3*10^12-$A25)&gt;(B$3*10^12-$A24),$A24,$A25))</f>
        <v/>
      </c>
      <c r="C24">
        <f>IF(IF((C$3*10^12-$A25)*(C$3*10^12-$A24)*-1&lt;0,0,1)*IF(ABS(C$3*10^12-$A25)&gt;(C$3*10^12-$A24),$A24,$A25)=C25,0,IF((C$3*10^12-$A25)*(C$3*10^12-$A24)*-1&lt;0,0,1)*IF(ABS(C$3*10^12-$A25)&gt;(C$3*10^12-$A24),$A24,$A25))</f>
        <v/>
      </c>
      <c r="D24">
        <f>IF(IF((D$3*10^12-$A25)*(D$3*10^12-$A24)*-1&lt;0,0,1)*IF(ABS(D$3*10^12-$A25)&gt;(D$3*10^12-$A24),$A24,$A25)=D25,0,IF((D$3*10^12-$A25)*(D$3*10^12-$A24)*-1&lt;0,0,1)*IF(ABS(D$3*10^12-$A25)&gt;(D$3*10^12-$A24),$A24,$A25))</f>
        <v/>
      </c>
      <c r="E24">
        <f>IF(IF((E$3*10^12-$A25)*(E$3*10^12-$A24)*-1&lt;0,0,1)*IF(ABS(E$3*10^12-$A25)&gt;(E$3*10^12-$A24),$A24,$A25)=E25,0,IF((E$3*10^12-$A25)*(E$3*10^12-$A24)*-1&lt;0,0,1)*IF(ABS(E$3*10^12-$A25)&gt;(E$3*10^12-$A24),$A24,$A25))</f>
        <v/>
      </c>
      <c r="F24">
        <f>IF(IF((F$3*10^12-$A25)*(F$3*10^12-$A24)*-1&lt;0,0,1)*IF(ABS(F$3*10^12-$A25)&gt;(F$3*10^12-$A24),$A24,$A25)=F25,0,IF((F$3*10^12-$A25)*(F$3*10^12-$A24)*-1&lt;0,0,1)*IF(ABS(F$3*10^12-$A25)&gt;(F$3*10^12-$A24),$A24,$A25))</f>
        <v/>
      </c>
      <c r="G24">
        <f>IF(IF((G$3*10^12-$A25)*(G$3*10^12-$A24)*-1&lt;0,0,1)*IF(ABS(G$3*10^12-$A25)&gt;(G$3*10^12-$A24),$A24,$A25)=G25,0,IF((G$3*10^12-$A25)*(G$3*10^12-$A24)*-1&lt;0,0,1)*IF(ABS(G$3*10^12-$A25)&gt;(G$3*10^12-$A24),$A24,$A25))</f>
        <v/>
      </c>
      <c r="H24">
        <f>IF(IF((H$3*10^12-$A25)*(H$3*10^12-$A24)*-1&lt;0,0,1)*IF(ABS(H$3*10^12-$A25)&gt;(H$3*10^12-$A24),$A24,$A25)=H25,0,IF((H$3*10^12-$A25)*(H$3*10^12-$A24)*-1&lt;0,0,1)*IF(ABS(H$3*10^12-$A25)&gt;(H$3*10^12-$A24),$A24,$A25))</f>
        <v/>
      </c>
      <c r="I24">
        <f>IF(IF((I$3*10^12-$A25)*(I$3*10^12-$A24)*-1&lt;0,0,1)*IF(ABS(I$3*10^12-$A25)&gt;(I$3*10^12-$A24),$A24,$A25)=I25,0,IF((I$3*10^12-$A25)*(I$3*10^12-$A24)*-1&lt;0,0,1)*IF(ABS(I$3*10^12-$A25)&gt;(I$3*10^12-$A24),$A24,$A25))</f>
        <v/>
      </c>
      <c r="J24">
        <f>IF(IF((J$3*10^12-$A25)*(J$3*10^12-$A24)*-1&lt;0,0,1)*IF(ABS(J$3*10^12-$A25)&gt;(J$3*10^12-$A24),$A24,$A25)=J25,0,IF((J$3*10^12-$A25)*(J$3*10^12-$A24)*-1&lt;0,0,1)*IF(ABS(J$3*10^12-$A25)&gt;(J$3*10^12-$A24),$A24,$A25))</f>
        <v/>
      </c>
      <c r="K24">
        <f>IF(IF((K$3*10^12-$A25)*(K$3*10^12-$A24)*-1&lt;0,0,1)*IF(ABS(K$3*10^12-$A25)&gt;(K$3*10^12-$A24),$A24,$A25)=K25,0,IF((K$3*10^12-$A25)*(K$3*10^12-$A24)*-1&lt;0,0,1)*IF(ABS(K$3*10^12-$A25)&gt;(K$3*10^12-$A24),$A24,$A25))</f>
        <v/>
      </c>
      <c r="L24">
        <f>IF(IF((L$3*10^12-$A25)*(L$3*10^12-$A24)*-1&lt;0,0,1)*IF(ABS(L$3*10^12-$A25)&gt;(L$3*10^12-$A24),$A24,$A25)=L25,0,IF((L$3*10^12-$A25)*(L$3*10^12-$A24)*-1&lt;0,0,1)*IF(ABS(L$3*10^12-$A25)&gt;(L$3*10^12-$A24),$A24,$A25))</f>
        <v/>
      </c>
      <c r="M24">
        <f>IF(IF((M$3*10^12-$A25)*(M$3*10^12-$A24)*-1&lt;0,0,1)*IF(ABS(M$3*10^12-$A25)&gt;(M$3*10^12-$A24),$A24,$A25)=M25,0,IF((M$3*10^12-$A25)*(M$3*10^12-$A24)*-1&lt;0,0,1)*IF(ABS(M$3*10^12-$A25)&gt;(M$3*10^12-$A24),$A24,$A25))</f>
        <v/>
      </c>
      <c r="N24">
        <f>IF(IF((N$3*10^12-$A25)*(N$3*10^12-$A24)*-1&lt;0,0,1)*IF(ABS(N$3*10^12-$A25)&gt;(N$3*10^12-$A24),$A24,$A25)=N25,0,IF((N$3*10^12-$A25)*(N$3*10^12-$A24)*-1&lt;0,0,1)*IF(ABS(N$3*10^12-$A25)&gt;(N$3*10^12-$A24),$A24,$A25))</f>
        <v/>
      </c>
      <c r="Q24" s="113" t="inlineStr">
        <is>
          <t>Cinj_AEF</t>
        </is>
      </c>
      <c r="R24" s="989">
        <f>Cinj_AEF</f>
        <v/>
      </c>
      <c r="S24" s="2">
        <f>M4*1000000</f>
        <v/>
      </c>
      <c r="T24" t="inlineStr">
        <is>
          <t>uF</t>
        </is>
      </c>
    </row>
    <row r="25">
      <c r="A25" t="n">
        <v>18</v>
      </c>
      <c r="B25">
        <f>IF(IF((B$3*10^12-$A26)*(B$3*10^12-$A25)*-1&lt;0,0,1)*IF(ABS(B$3*10^12-$A26)&gt;(B$3*10^12-$A25),$A25,$A26)=B26,0,IF((B$3*10^12-$A26)*(B$3*10^12-$A25)*-1&lt;0,0,1)*IF(ABS(B$3*10^12-$A26)&gt;(B$3*10^12-$A25),$A25,$A26))</f>
        <v/>
      </c>
      <c r="C25">
        <f>IF(IF((C$3*10^12-$A26)*(C$3*10^12-$A25)*-1&lt;0,0,1)*IF(ABS(C$3*10^12-$A26)&gt;(C$3*10^12-$A25),$A25,$A26)=C26,0,IF((C$3*10^12-$A26)*(C$3*10^12-$A25)*-1&lt;0,0,1)*IF(ABS(C$3*10^12-$A26)&gt;(C$3*10^12-$A25),$A25,$A26))</f>
        <v/>
      </c>
      <c r="D25">
        <f>IF(IF((D$3*10^12-$A26)*(D$3*10^12-$A25)*-1&lt;0,0,1)*IF(ABS(D$3*10^12-$A26)&gt;(D$3*10^12-$A25),$A25,$A26)=D26,0,IF((D$3*10^12-$A26)*(D$3*10^12-$A25)*-1&lt;0,0,1)*IF(ABS(D$3*10^12-$A26)&gt;(D$3*10^12-$A25),$A25,$A26))</f>
        <v/>
      </c>
      <c r="E25">
        <f>IF(IF((E$3*10^12-$A26)*(E$3*10^12-$A25)*-1&lt;0,0,1)*IF(ABS(E$3*10^12-$A26)&gt;(E$3*10^12-$A25),$A25,$A26)=E26,0,IF((E$3*10^12-$A26)*(E$3*10^12-$A25)*-1&lt;0,0,1)*IF(ABS(E$3*10^12-$A26)&gt;(E$3*10^12-$A25),$A25,$A26))</f>
        <v/>
      </c>
      <c r="F25">
        <f>IF(IF((F$3*10^12-$A26)*(F$3*10^12-$A25)*-1&lt;0,0,1)*IF(ABS(F$3*10^12-$A26)&gt;(F$3*10^12-$A25),$A25,$A26)=F26,0,IF((F$3*10^12-$A26)*(F$3*10^12-$A25)*-1&lt;0,0,1)*IF(ABS(F$3*10^12-$A26)&gt;(F$3*10^12-$A25),$A25,$A26))</f>
        <v/>
      </c>
      <c r="G25">
        <f>IF(IF((G$3*10^12-$A26)*(G$3*10^12-$A25)*-1&lt;0,0,1)*IF(ABS(G$3*10^12-$A26)&gt;(G$3*10^12-$A25),$A25,$A26)=G26,0,IF((G$3*10^12-$A26)*(G$3*10^12-$A25)*-1&lt;0,0,1)*IF(ABS(G$3*10^12-$A26)&gt;(G$3*10^12-$A25),$A25,$A26))</f>
        <v/>
      </c>
      <c r="H25">
        <f>IF(IF((H$3*10^12-$A26)*(H$3*10^12-$A25)*-1&lt;0,0,1)*IF(ABS(H$3*10^12-$A26)&gt;(H$3*10^12-$A25),$A25,$A26)=H26,0,IF((H$3*10^12-$A26)*(H$3*10^12-$A25)*-1&lt;0,0,1)*IF(ABS(H$3*10^12-$A26)&gt;(H$3*10^12-$A25),$A25,$A26))</f>
        <v/>
      </c>
      <c r="I25">
        <f>IF(IF((I$3*10^12-$A26)*(I$3*10^12-$A25)*-1&lt;0,0,1)*IF(ABS(I$3*10^12-$A26)&gt;(I$3*10^12-$A25),$A25,$A26)=I26,0,IF((I$3*10^12-$A26)*(I$3*10^12-$A25)*-1&lt;0,0,1)*IF(ABS(I$3*10^12-$A26)&gt;(I$3*10^12-$A25),$A25,$A26))</f>
        <v/>
      </c>
      <c r="J25">
        <f>IF(IF((J$3*10^12-$A26)*(J$3*10^12-$A25)*-1&lt;0,0,1)*IF(ABS(J$3*10^12-$A26)&gt;(J$3*10^12-$A25),$A25,$A26)=J26,0,IF((J$3*10^12-$A26)*(J$3*10^12-$A25)*-1&lt;0,0,1)*IF(ABS(J$3*10^12-$A26)&gt;(J$3*10^12-$A25),$A25,$A26))</f>
        <v/>
      </c>
      <c r="K25">
        <f>IF(IF((K$3*10^12-$A26)*(K$3*10^12-$A25)*-1&lt;0,0,1)*IF(ABS(K$3*10^12-$A26)&gt;(K$3*10^12-$A25),$A25,$A26)=K26,0,IF((K$3*10^12-$A26)*(K$3*10^12-$A25)*-1&lt;0,0,1)*IF(ABS(K$3*10^12-$A26)&gt;(K$3*10^12-$A25),$A25,$A26))</f>
        <v/>
      </c>
      <c r="L25">
        <f>IF(IF((L$3*10^12-$A26)*(L$3*10^12-$A25)*-1&lt;0,0,1)*IF(ABS(L$3*10^12-$A26)&gt;(L$3*10^12-$A25),$A25,$A26)=L26,0,IF((L$3*10^12-$A26)*(L$3*10^12-$A25)*-1&lt;0,0,1)*IF(ABS(L$3*10^12-$A26)&gt;(L$3*10^12-$A25),$A25,$A26))</f>
        <v/>
      </c>
      <c r="M25">
        <f>IF(IF((M$3*10^12-$A26)*(M$3*10^12-$A25)*-1&lt;0,0,1)*IF(ABS(M$3*10^12-$A26)&gt;(M$3*10^12-$A25),$A25,$A26)=M26,0,IF((M$3*10^12-$A26)*(M$3*10^12-$A25)*-1&lt;0,0,1)*IF(ABS(M$3*10^12-$A26)&gt;(M$3*10^12-$A25),$A25,$A26))</f>
        <v/>
      </c>
      <c r="N25">
        <f>IF(IF((N$3*10^12-$A26)*(N$3*10^12-$A25)*-1&lt;0,0,1)*IF(ABS(N$3*10^12-$A26)&gt;(N$3*10^12-$A25),$A25,$A26)=N26,0,IF((N$3*10^12-$A26)*(N$3*10^12-$A25)*-1&lt;0,0,1)*IF(ABS(N$3*10^12-$A26)&gt;(N$3*10^12-$A25),$A25,$A26))</f>
        <v/>
      </c>
      <c r="Q25" t="inlineStr">
        <is>
          <t>Cdamp_AEF</t>
        </is>
      </c>
      <c r="R25" s="982">
        <f>'Variable Management'!B295</f>
        <v/>
      </c>
      <c r="S25">
        <f>N4*1000000</f>
        <v/>
      </c>
      <c r="T25" t="inlineStr">
        <is>
          <t>uF</t>
        </is>
      </c>
    </row>
    <row r="26">
      <c r="A26" t="n">
        <v>22</v>
      </c>
      <c r="B26">
        <f>IF(IF((B$3*10^12-$A27)*(B$3*10^12-$A26)*-1&lt;0,0,1)*IF(ABS(B$3*10^12-$A27)&gt;(B$3*10^12-$A26),$A26,$A27)=B27,0,IF((B$3*10^12-$A27)*(B$3*10^12-$A26)*-1&lt;0,0,1)*IF(ABS(B$3*10^12-$A27)&gt;(B$3*10^12-$A26),$A26,$A27))</f>
        <v/>
      </c>
      <c r="C26">
        <f>IF(IF((C$3*10^12-$A27)*(C$3*10^12-$A26)*-1&lt;0,0,1)*IF(ABS(C$3*10^12-$A27)&gt;(C$3*10^12-$A26),$A26,$A27)=C27,0,IF((C$3*10^12-$A27)*(C$3*10^12-$A26)*-1&lt;0,0,1)*IF(ABS(C$3*10^12-$A27)&gt;(C$3*10^12-$A26),$A26,$A27))</f>
        <v/>
      </c>
      <c r="D26">
        <f>IF(IF((D$3*10^12-$A27)*(D$3*10^12-$A26)*-1&lt;0,0,1)*IF(ABS(D$3*10^12-$A27)&gt;(D$3*10^12-$A26),$A26,$A27)=D27,0,IF((D$3*10^12-$A27)*(D$3*10^12-$A26)*-1&lt;0,0,1)*IF(ABS(D$3*10^12-$A27)&gt;(D$3*10^12-$A26),$A26,$A27))</f>
        <v/>
      </c>
      <c r="E26">
        <f>IF(IF((E$3*10^12-$A27)*(E$3*10^12-$A26)*-1&lt;0,0,1)*IF(ABS(E$3*10^12-$A27)&gt;(E$3*10^12-$A26),$A26,$A27)=E27,0,IF((E$3*10^12-$A27)*(E$3*10^12-$A26)*-1&lt;0,0,1)*IF(ABS(E$3*10^12-$A27)&gt;(E$3*10^12-$A26),$A26,$A27))</f>
        <v/>
      </c>
      <c r="F26">
        <f>IF(IF((F$3*10^12-$A27)*(F$3*10^12-$A26)*-1&lt;0,0,1)*IF(ABS(F$3*10^12-$A27)&gt;(F$3*10^12-$A26),$A26,$A27)=F27,0,IF((F$3*10^12-$A27)*(F$3*10^12-$A26)*-1&lt;0,0,1)*IF(ABS(F$3*10^12-$A27)&gt;(F$3*10^12-$A26),$A26,$A27))</f>
        <v/>
      </c>
      <c r="G26">
        <f>IF(IF((G$3*10^12-$A27)*(G$3*10^12-$A26)*-1&lt;0,0,1)*IF(ABS(G$3*10^12-$A27)&gt;(G$3*10^12-$A26),$A26,$A27)=G27,0,IF((G$3*10^12-$A27)*(G$3*10^12-$A26)*-1&lt;0,0,1)*IF(ABS(G$3*10^12-$A27)&gt;(G$3*10^12-$A26),$A26,$A27))</f>
        <v/>
      </c>
      <c r="H26">
        <f>IF(IF((H$3*10^12-$A27)*(H$3*10^12-$A26)*-1&lt;0,0,1)*IF(ABS(H$3*10^12-$A27)&gt;(H$3*10^12-$A26),$A26,$A27)=H27,0,IF((H$3*10^12-$A27)*(H$3*10^12-$A26)*-1&lt;0,0,1)*IF(ABS(H$3*10^12-$A27)&gt;(H$3*10^12-$A26),$A26,$A27))</f>
        <v/>
      </c>
      <c r="I26">
        <f>IF(IF((I$3*10^12-$A27)*(I$3*10^12-$A26)*-1&lt;0,0,1)*IF(ABS(I$3*10^12-$A27)&gt;(I$3*10^12-$A26),$A26,$A27)=I27,0,IF((I$3*10^12-$A27)*(I$3*10^12-$A26)*-1&lt;0,0,1)*IF(ABS(I$3*10^12-$A27)&gt;(I$3*10^12-$A26),$A26,$A27))</f>
        <v/>
      </c>
      <c r="J26">
        <f>IF(IF((J$3*10^12-$A27)*(J$3*10^12-$A26)*-1&lt;0,0,1)*IF(ABS(J$3*10^12-$A27)&gt;(J$3*10^12-$A26),$A26,$A27)=J27,0,IF((J$3*10^12-$A27)*(J$3*10^12-$A26)*-1&lt;0,0,1)*IF(ABS(J$3*10^12-$A27)&gt;(J$3*10^12-$A26),$A26,$A27))</f>
        <v/>
      </c>
      <c r="K26">
        <f>IF(IF((K$3*10^12-$A27)*(K$3*10^12-$A26)*-1&lt;0,0,1)*IF(ABS(K$3*10^12-$A27)&gt;(K$3*10^12-$A26),$A26,$A27)=K27,0,IF((K$3*10^12-$A27)*(K$3*10^12-$A26)*-1&lt;0,0,1)*IF(ABS(K$3*10^12-$A27)&gt;(K$3*10^12-$A26),$A26,$A27))</f>
        <v/>
      </c>
      <c r="L26">
        <f>IF(IF((L$3*10^12-$A27)*(L$3*10^12-$A26)*-1&lt;0,0,1)*IF(ABS(L$3*10^12-$A27)&gt;(L$3*10^12-$A26),$A26,$A27)=L27,0,IF((L$3*10^12-$A27)*(L$3*10^12-$A26)*-1&lt;0,0,1)*IF(ABS(L$3*10^12-$A27)&gt;(L$3*10^12-$A26),$A26,$A27))</f>
        <v/>
      </c>
      <c r="M26">
        <f>IF(IF((M$3*10^12-$A27)*(M$3*10^12-$A26)*-1&lt;0,0,1)*IF(ABS(M$3*10^12-$A27)&gt;(M$3*10^12-$A26),$A26,$A27)=M27,0,IF((M$3*10^12-$A27)*(M$3*10^12-$A26)*-1&lt;0,0,1)*IF(ABS(M$3*10^12-$A27)&gt;(M$3*10^12-$A26),$A26,$A27))</f>
        <v/>
      </c>
      <c r="N26">
        <f>IF(IF((N$3*10^12-$A27)*(N$3*10^12-$A26)*-1&lt;0,0,1)*IF(ABS(N$3*10^12-$A27)&gt;(N$3*10^12-$A26),$A26,$A27)=N27,0,IF((N$3*10^12-$A27)*(N$3*10^12-$A26)*-1&lt;0,0,1)*IF(ABS(N$3*10^12-$A27)&gt;(N$3*10^12-$A26),$A26,$A27))</f>
        <v/>
      </c>
      <c r="Q26" s="113" t="inlineStr">
        <is>
          <t>Rdamp_AEF</t>
        </is>
      </c>
      <c r="R26" s="982">
        <f>'Variable Management'!B296</f>
        <v/>
      </c>
      <c r="S26" s="2">
        <f>IF(R26="OPEN","OPEN",IF(R26&gt;(INT(0.5+100*POWER(10,IF(96*(LOG(R26)-INT(LOG(R26)))-ROUND(96*(LOG(R26)-INT(LOG(R26))),0)&lt;0,ROUND(96*(LOG(R26)-INT(LOG(R26))),0)-1,ROUND(96*(LOG(R26)-INT(LOG(R26))),0))/96))*POWER(10,INT(LOG(R26))-2)+INT(0.5+100*POWER(10,(IF(96*(LOG(R26)-INT(LOG(R26)))-ROUND(96*(LOG(R26)-INT(LOG(R26))),0)&lt;0,ROUND(96*(LOG(R26)-INT(LOG(R26))),0)-1,ROUND(96*(LOG(R26)-INT(LOG(R26))),0))+1)/96))*POWER(10,INT(LOG(R26))-2))/2,INT(0.5+100*POWER(10,(IF(96*(LOG(R26)-INT(LOG(R26)))-ROUND(96*(LOG(R26)-INT(LOG(R26))),0)&lt;0,ROUND(96*(LOG(R26)-INT(LOG(R26))),0)-1,ROUND(96*(LOG(R26)-INT(LOG(R26))),0))+1)/96))*POWER(10,INT(LOG(R26))-2),INT(0.5+100*POWER(10,IF(96*(LOG(R26)-INT(LOG(R26)))-ROUND(96*(LOG(R26)-INT(LOG(R26))),0)&lt;0,ROUND(96*(LOG(R26)-INT(LOG(R26))),0)-1,ROUND(96*(LOG(R26)-INT(LOG(R26))),0))/96))*POWER(10,INT(LOG(R26))-2)))</f>
        <v/>
      </c>
      <c r="T26" s="45" t="inlineStr">
        <is>
          <t>Ω</t>
        </is>
      </c>
    </row>
    <row r="27">
      <c r="A27" t="n">
        <v>27</v>
      </c>
      <c r="B27">
        <f>IF(IF((B$3*10^12-$A28)*(B$3*10^12-$A27)*-1&lt;0,0,1)*IF(ABS(B$3*10^12-$A28)&gt;(B$3*10^12-$A27),$A27,$A28)=B28,0,IF((B$3*10^12-$A28)*(B$3*10^12-$A27)*-1&lt;0,0,1)*IF(ABS(B$3*10^12-$A28)&gt;(B$3*10^12-$A27),$A27,$A28))</f>
        <v/>
      </c>
      <c r="C27">
        <f>IF(IF((C$3*10^12-$A28)*(C$3*10^12-$A27)*-1&lt;0,0,1)*IF(ABS(C$3*10^12-$A28)&gt;(C$3*10^12-$A27),$A27,$A28)=C28,0,IF((C$3*10^12-$A28)*(C$3*10^12-$A27)*-1&lt;0,0,1)*IF(ABS(C$3*10^12-$A28)&gt;(C$3*10^12-$A27),$A27,$A28))</f>
        <v/>
      </c>
      <c r="D27">
        <f>IF(IF((D$3*10^12-$A28)*(D$3*10^12-$A27)*-1&lt;0,0,1)*IF(ABS(D$3*10^12-$A28)&gt;(D$3*10^12-$A27),$A27,$A28)=D28,0,IF((D$3*10^12-$A28)*(D$3*10^12-$A27)*-1&lt;0,0,1)*IF(ABS(D$3*10^12-$A28)&gt;(D$3*10^12-$A27),$A27,$A28))</f>
        <v/>
      </c>
      <c r="E27">
        <f>IF(IF((E$3*10^12-$A28)*(E$3*10^12-$A27)*-1&lt;0,0,1)*IF(ABS(E$3*10^12-$A28)&gt;(E$3*10^12-$A27),$A27,$A28)=E28,0,IF((E$3*10^12-$A28)*(E$3*10^12-$A27)*-1&lt;0,0,1)*IF(ABS(E$3*10^12-$A28)&gt;(E$3*10^12-$A27),$A27,$A28))</f>
        <v/>
      </c>
      <c r="F27">
        <f>IF(IF((F$3*10^12-$A28)*(F$3*10^12-$A27)*-1&lt;0,0,1)*IF(ABS(F$3*10^12-$A28)&gt;(F$3*10^12-$A27),$A27,$A28)=F28,0,IF((F$3*10^12-$A28)*(F$3*10^12-$A27)*-1&lt;0,0,1)*IF(ABS(F$3*10^12-$A28)&gt;(F$3*10^12-$A27),$A27,$A28))</f>
        <v/>
      </c>
      <c r="G27">
        <f>IF(IF((G$3*10^12-$A28)*(G$3*10^12-$A27)*-1&lt;0,0,1)*IF(ABS(G$3*10^12-$A28)&gt;(G$3*10^12-$A27),$A27,$A28)=G28,0,IF((G$3*10^12-$A28)*(G$3*10^12-$A27)*-1&lt;0,0,1)*IF(ABS(G$3*10^12-$A28)&gt;(G$3*10^12-$A27),$A27,$A28))</f>
        <v/>
      </c>
      <c r="H27">
        <f>IF(IF((H$3*10^12-$A28)*(H$3*10^12-$A27)*-1&lt;0,0,1)*IF(ABS(H$3*10^12-$A28)&gt;(H$3*10^12-$A27),$A27,$A28)=H28,0,IF((H$3*10^12-$A28)*(H$3*10^12-$A27)*-1&lt;0,0,1)*IF(ABS(H$3*10^12-$A28)&gt;(H$3*10^12-$A27),$A27,$A28))</f>
        <v/>
      </c>
      <c r="I27">
        <f>IF(IF((I$3*10^12-$A28)*(I$3*10^12-$A27)*-1&lt;0,0,1)*IF(ABS(I$3*10^12-$A28)&gt;(I$3*10^12-$A27),$A27,$A28)=I28,0,IF((I$3*10^12-$A28)*(I$3*10^12-$A27)*-1&lt;0,0,1)*IF(ABS(I$3*10^12-$A28)&gt;(I$3*10^12-$A27),$A27,$A28))</f>
        <v/>
      </c>
      <c r="J27">
        <f>IF(IF((J$3*10^12-$A28)*(J$3*10^12-$A27)*-1&lt;0,0,1)*IF(ABS(J$3*10^12-$A28)&gt;(J$3*10^12-$A27),$A27,$A28)=J28,0,IF((J$3*10^12-$A28)*(J$3*10^12-$A27)*-1&lt;0,0,1)*IF(ABS(J$3*10^12-$A28)&gt;(J$3*10^12-$A27),$A27,$A28))</f>
        <v/>
      </c>
      <c r="K27">
        <f>IF(IF((K$3*10^12-$A28)*(K$3*10^12-$A27)*-1&lt;0,0,1)*IF(ABS(K$3*10^12-$A28)&gt;(K$3*10^12-$A27),$A27,$A28)=K28,0,IF((K$3*10^12-$A28)*(K$3*10^12-$A27)*-1&lt;0,0,1)*IF(ABS(K$3*10^12-$A28)&gt;(K$3*10^12-$A27),$A27,$A28))</f>
        <v/>
      </c>
      <c r="L27">
        <f>IF(IF((L$3*10^12-$A28)*(L$3*10^12-$A27)*-1&lt;0,0,1)*IF(ABS(L$3*10^12-$A28)&gt;(L$3*10^12-$A27),$A27,$A28)=L28,0,IF((L$3*10^12-$A28)*(L$3*10^12-$A27)*-1&lt;0,0,1)*IF(ABS(L$3*10^12-$A28)&gt;(L$3*10^12-$A27),$A27,$A28))</f>
        <v/>
      </c>
      <c r="M27">
        <f>IF(IF((M$3*10^12-$A28)*(M$3*10^12-$A27)*-1&lt;0,0,1)*IF(ABS(M$3*10^12-$A28)&gt;(M$3*10^12-$A27),$A27,$A28)=M28,0,IF((M$3*10^12-$A28)*(M$3*10^12-$A27)*-1&lt;0,0,1)*IF(ABS(M$3*10^12-$A28)&gt;(M$3*10^12-$A27),$A27,$A28))</f>
        <v/>
      </c>
      <c r="N27">
        <f>IF(IF((N$3*10^12-$A28)*(N$3*10^12-$A27)*-1&lt;0,0,1)*IF(ABS(N$3*10^12-$A28)&gt;(N$3*10^12-$A27),$A27,$A28)=N28,0,IF((N$3*10^12-$A28)*(N$3*10^12-$A27)*-1&lt;0,0,1)*IF(ABS(N$3*10^12-$A28)&gt;(N$3*10^12-$A27),$A27,$A28))</f>
        <v/>
      </c>
      <c r="Q27" s="113" t="inlineStr">
        <is>
          <t>Rdamp_Passive</t>
        </is>
      </c>
      <c r="R27">
        <f>SQRT(L_infilterStd/K4)</f>
        <v/>
      </c>
      <c r="S27" s="2">
        <f>IF(R27="OPEN","OPEN",IF(R27&gt;(INT(0.5+100*POWER(10,IF(96*(LOG(R27)-INT(LOG(R27)))-ROUND(96*(LOG(R27)-INT(LOG(R27))),0)&lt;0,ROUND(96*(LOG(R27)-INT(LOG(R27))),0)-1,ROUND(96*(LOG(R27)-INT(LOG(R27))),0))/96))*POWER(10,INT(LOG(R27))-2)+INT(0.5+100*POWER(10,(IF(96*(LOG(R27)-INT(LOG(R27)))-ROUND(96*(LOG(R27)-INT(LOG(R27))),0)&lt;0,ROUND(96*(LOG(R27)-INT(LOG(R27))),0)-1,ROUND(96*(LOG(R27)-INT(LOG(R27))),0))+1)/96))*POWER(10,INT(LOG(R27))-2))/2,INT(0.5+100*POWER(10,(IF(96*(LOG(R27)-INT(LOG(R27)))-ROUND(96*(LOG(R27)-INT(LOG(R27))),0)&lt;0,ROUND(96*(LOG(R27)-INT(LOG(R27))),0)-1,ROUND(96*(LOG(R27)-INT(LOG(R27))),0))+1)/96))*POWER(10,INT(LOG(R27))-2),INT(0.5+100*POWER(10,IF(96*(LOG(R27)-INT(LOG(R27)))-ROUND(96*(LOG(R27)-INT(LOG(R27))),0)&lt;0,ROUND(96*(LOG(R27)-INT(LOG(R27))),0)-1,ROUND(96*(LOG(R27)-INT(LOG(R27))),0))/96))*POWER(10,INT(LOG(R27))-2)))</f>
        <v/>
      </c>
      <c r="T27" s="45" t="inlineStr">
        <is>
          <t>Ω</t>
        </is>
      </c>
    </row>
    <row r="28">
      <c r="A28" t="n">
        <v>33</v>
      </c>
      <c r="B28">
        <f>IF(IF((B$3*10^12-$A29)*(B$3*10^12-$A28)*-1&lt;0,0,1)*IF(ABS(B$3*10^12-$A29)&gt;(B$3*10^12-$A28),$A28,$A29)=B29,0,IF((B$3*10^12-$A29)*(B$3*10^12-$A28)*-1&lt;0,0,1)*IF(ABS(B$3*10^12-$A29)&gt;(B$3*10^12-$A28),$A28,$A29))</f>
        <v/>
      </c>
      <c r="C28">
        <f>IF(IF((C$3*10^12-$A29)*(C$3*10^12-$A28)*-1&lt;0,0,1)*IF(ABS(C$3*10^12-$A29)&gt;(C$3*10^12-$A28),$A28,$A29)=C29,0,IF((C$3*10^12-$A29)*(C$3*10^12-$A28)*-1&lt;0,0,1)*IF(ABS(C$3*10^12-$A29)&gt;(C$3*10^12-$A28),$A28,$A29))</f>
        <v/>
      </c>
      <c r="D28">
        <f>IF(IF((D$3*10^12-$A29)*(D$3*10^12-$A28)*-1&lt;0,0,1)*IF(ABS(D$3*10^12-$A29)&gt;(D$3*10^12-$A28),$A28,$A29)=D29,0,IF((D$3*10^12-$A29)*(D$3*10^12-$A28)*-1&lt;0,0,1)*IF(ABS(D$3*10^12-$A29)&gt;(D$3*10^12-$A28),$A28,$A29))</f>
        <v/>
      </c>
      <c r="E28">
        <f>IF(IF((E$3*10^12-$A29)*(E$3*10^12-$A28)*-1&lt;0,0,1)*IF(ABS(E$3*10^12-$A29)&gt;(E$3*10^12-$A28),$A28,$A29)=E29,0,IF((E$3*10^12-$A29)*(E$3*10^12-$A28)*-1&lt;0,0,1)*IF(ABS(E$3*10^12-$A29)&gt;(E$3*10^12-$A28),$A28,$A29))</f>
        <v/>
      </c>
      <c r="F28">
        <f>IF(IF((F$3*10^12-$A29)*(F$3*10^12-$A28)*-1&lt;0,0,1)*IF(ABS(F$3*10^12-$A29)&gt;(F$3*10^12-$A28),$A28,$A29)=F29,0,IF((F$3*10^12-$A29)*(F$3*10^12-$A28)*-1&lt;0,0,1)*IF(ABS(F$3*10^12-$A29)&gt;(F$3*10^12-$A28),$A28,$A29))</f>
        <v/>
      </c>
      <c r="G28">
        <f>IF(IF((G$3*10^12-$A29)*(G$3*10^12-$A28)*-1&lt;0,0,1)*IF(ABS(G$3*10^12-$A29)&gt;(G$3*10^12-$A28),$A28,$A29)=G29,0,IF((G$3*10^12-$A29)*(G$3*10^12-$A28)*-1&lt;0,0,1)*IF(ABS(G$3*10^12-$A29)&gt;(G$3*10^12-$A28),$A28,$A29))</f>
        <v/>
      </c>
      <c r="H28">
        <f>IF(IF((H$3*10^12-$A29)*(H$3*10^12-$A28)*-1&lt;0,0,1)*IF(ABS(H$3*10^12-$A29)&gt;(H$3*10^12-$A28),$A28,$A29)=H29,0,IF((H$3*10^12-$A29)*(H$3*10^12-$A28)*-1&lt;0,0,1)*IF(ABS(H$3*10^12-$A29)&gt;(H$3*10^12-$A28),$A28,$A29))</f>
        <v/>
      </c>
      <c r="I28">
        <f>IF(IF((I$3*10^12-$A29)*(I$3*10^12-$A28)*-1&lt;0,0,1)*IF(ABS(I$3*10^12-$A29)&gt;(I$3*10^12-$A28),$A28,$A29)=I29,0,IF((I$3*10^12-$A29)*(I$3*10^12-$A28)*-1&lt;0,0,1)*IF(ABS(I$3*10^12-$A29)&gt;(I$3*10^12-$A28),$A28,$A29))</f>
        <v/>
      </c>
      <c r="J28">
        <f>IF(IF((J$3*10^12-$A29)*(J$3*10^12-$A28)*-1&lt;0,0,1)*IF(ABS(J$3*10^12-$A29)&gt;(J$3*10^12-$A28),$A28,$A29)=J29,0,IF((J$3*10^12-$A29)*(J$3*10^12-$A28)*-1&lt;0,0,1)*IF(ABS(J$3*10^12-$A29)&gt;(J$3*10^12-$A28),$A28,$A29))</f>
        <v/>
      </c>
      <c r="K28">
        <f>IF(IF((K$3*10^12-$A29)*(K$3*10^12-$A28)*-1&lt;0,0,1)*IF(ABS(K$3*10^12-$A29)&gt;(K$3*10^12-$A28),$A28,$A29)=K29,0,IF((K$3*10^12-$A29)*(K$3*10^12-$A28)*-1&lt;0,0,1)*IF(ABS(K$3*10^12-$A29)&gt;(K$3*10^12-$A28),$A28,$A29))</f>
        <v/>
      </c>
      <c r="L28">
        <f>IF(IF((L$3*10^12-$A29)*(L$3*10^12-$A28)*-1&lt;0,0,1)*IF(ABS(L$3*10^12-$A29)&gt;(L$3*10^12-$A28),$A28,$A29)=L29,0,IF((L$3*10^12-$A29)*(L$3*10^12-$A28)*-1&lt;0,0,1)*IF(ABS(L$3*10^12-$A29)&gt;(L$3*10^12-$A28),$A28,$A29))</f>
        <v/>
      </c>
      <c r="M28">
        <f>IF(IF((M$3*10^12-$A29)*(M$3*10^12-$A28)*-1&lt;0,0,1)*IF(ABS(M$3*10^12-$A29)&gt;(M$3*10^12-$A28),$A28,$A29)=M29,0,IF((M$3*10^12-$A29)*(M$3*10^12-$A28)*-1&lt;0,0,1)*IF(ABS(M$3*10^12-$A29)&gt;(M$3*10^12-$A28),$A28,$A29))</f>
        <v/>
      </c>
      <c r="N28">
        <f>IF(IF((N$3*10^12-$A29)*(N$3*10^12-$A28)*-1&lt;0,0,1)*IF(ABS(N$3*10^12-$A29)&gt;(N$3*10^12-$A28),$A28,$A29)=N29,0,IF((N$3*10^12-$A29)*(N$3*10^12-$A28)*-1&lt;0,0,1)*IF(ABS(N$3*10^12-$A29)&gt;(N$3*10^12-$A28),$A28,$A29))</f>
        <v/>
      </c>
      <c r="Q28" s="113" t="inlineStr">
        <is>
          <t>Cdamp_Passive</t>
        </is>
      </c>
      <c r="R28">
        <f>L4</f>
        <v/>
      </c>
      <c r="S28">
        <f>R28*1000000</f>
        <v/>
      </c>
      <c r="T28" t="inlineStr">
        <is>
          <t>uF</t>
        </is>
      </c>
    </row>
    <row r="29">
      <c r="A29" t="n">
        <v>39</v>
      </c>
      <c r="B29">
        <f>IF(IF((B$3*10^12-$A30)*(B$3*10^12-$A29)*-1&lt;0,0,1)*IF(ABS(B$3*10^12-$A30)&gt;(B$3*10^12-$A29),$A29,$A30)=B30,0,IF((B$3*10^12-$A30)*(B$3*10^12-$A29)*-1&lt;0,0,1)*IF(ABS(B$3*10^12-$A30)&gt;(B$3*10^12-$A29),$A29,$A30))</f>
        <v/>
      </c>
      <c r="C29">
        <f>IF(IF((C$3*10^12-$A30)*(C$3*10^12-$A29)*-1&lt;0,0,1)*IF(ABS(C$3*10^12-$A30)&gt;(C$3*10^12-$A29),$A29,$A30)=C30,0,IF((C$3*10^12-$A30)*(C$3*10^12-$A29)*-1&lt;0,0,1)*IF(ABS(C$3*10^12-$A30)&gt;(C$3*10^12-$A29),$A29,$A30))</f>
        <v/>
      </c>
      <c r="D29">
        <f>IF(IF((D$3*10^12-$A30)*(D$3*10^12-$A29)*-1&lt;0,0,1)*IF(ABS(D$3*10^12-$A30)&gt;(D$3*10^12-$A29),$A29,$A30)=D30,0,IF((D$3*10^12-$A30)*(D$3*10^12-$A29)*-1&lt;0,0,1)*IF(ABS(D$3*10^12-$A30)&gt;(D$3*10^12-$A29),$A29,$A30))</f>
        <v/>
      </c>
      <c r="E29">
        <f>IF(IF((E$3*10^12-$A30)*(E$3*10^12-$A29)*-1&lt;0,0,1)*IF(ABS(E$3*10^12-$A30)&gt;(E$3*10^12-$A29),$A29,$A30)=E30,0,IF((E$3*10^12-$A30)*(E$3*10^12-$A29)*-1&lt;0,0,1)*IF(ABS(E$3*10^12-$A30)&gt;(E$3*10^12-$A29),$A29,$A30))</f>
        <v/>
      </c>
      <c r="F29">
        <f>IF(IF((F$3*10^12-$A30)*(F$3*10^12-$A29)*-1&lt;0,0,1)*IF(ABS(F$3*10^12-$A30)&gt;(F$3*10^12-$A29),$A29,$A30)=F30,0,IF((F$3*10^12-$A30)*(F$3*10^12-$A29)*-1&lt;0,0,1)*IF(ABS(F$3*10^12-$A30)&gt;(F$3*10^12-$A29),$A29,$A30))</f>
        <v/>
      </c>
      <c r="G29">
        <f>IF(IF((G$3*10^12-$A30)*(G$3*10^12-$A29)*-1&lt;0,0,1)*IF(ABS(G$3*10^12-$A30)&gt;(G$3*10^12-$A29),$A29,$A30)=G30,0,IF((G$3*10^12-$A30)*(G$3*10^12-$A29)*-1&lt;0,0,1)*IF(ABS(G$3*10^12-$A30)&gt;(G$3*10^12-$A29),$A29,$A30))</f>
        <v/>
      </c>
      <c r="H29">
        <f>IF(IF((H$3*10^12-$A30)*(H$3*10^12-$A29)*-1&lt;0,0,1)*IF(ABS(H$3*10^12-$A30)&gt;(H$3*10^12-$A29),$A29,$A30)=H30,0,IF((H$3*10^12-$A30)*(H$3*10^12-$A29)*-1&lt;0,0,1)*IF(ABS(H$3*10^12-$A30)&gt;(H$3*10^12-$A29),$A29,$A30))</f>
        <v/>
      </c>
      <c r="I29">
        <f>IF(IF((I$3*10^12-$A30)*(I$3*10^12-$A29)*-1&lt;0,0,1)*IF(ABS(I$3*10^12-$A30)&gt;(I$3*10^12-$A29),$A29,$A30)=I30,0,IF((I$3*10^12-$A30)*(I$3*10^12-$A29)*-1&lt;0,0,1)*IF(ABS(I$3*10^12-$A30)&gt;(I$3*10^12-$A29),$A29,$A30))</f>
        <v/>
      </c>
      <c r="J29">
        <f>IF(IF((J$3*10^12-$A30)*(J$3*10^12-$A29)*-1&lt;0,0,1)*IF(ABS(J$3*10^12-$A30)&gt;(J$3*10^12-$A29),$A29,$A30)=J30,0,IF((J$3*10^12-$A30)*(J$3*10^12-$A29)*-1&lt;0,0,1)*IF(ABS(J$3*10^12-$A30)&gt;(J$3*10^12-$A29),$A29,$A30))</f>
        <v/>
      </c>
      <c r="K29">
        <f>IF(IF((K$3*10^12-$A30)*(K$3*10^12-$A29)*-1&lt;0,0,1)*IF(ABS(K$3*10^12-$A30)&gt;(K$3*10^12-$A29),$A29,$A30)=K30,0,IF((K$3*10^12-$A30)*(K$3*10^12-$A29)*-1&lt;0,0,1)*IF(ABS(K$3*10^12-$A30)&gt;(K$3*10^12-$A29),$A29,$A30))</f>
        <v/>
      </c>
      <c r="L29">
        <f>IF(IF((L$3*10^12-$A30)*(L$3*10^12-$A29)*-1&lt;0,0,1)*IF(ABS(L$3*10^12-$A30)&gt;(L$3*10^12-$A29),$A29,$A30)=L30,0,IF((L$3*10^12-$A30)*(L$3*10^12-$A29)*-1&lt;0,0,1)*IF(ABS(L$3*10^12-$A30)&gt;(L$3*10^12-$A29),$A29,$A30))</f>
        <v/>
      </c>
      <c r="M29">
        <f>IF(IF((M$3*10^12-$A30)*(M$3*10^12-$A29)*-1&lt;0,0,1)*IF(ABS(M$3*10^12-$A30)&gt;(M$3*10^12-$A29),$A29,$A30)=M30,0,IF((M$3*10^12-$A30)*(M$3*10^12-$A29)*-1&lt;0,0,1)*IF(ABS(M$3*10^12-$A30)&gt;(M$3*10^12-$A29),$A29,$A30))</f>
        <v/>
      </c>
      <c r="N29">
        <f>IF(IF((N$3*10^12-$A30)*(N$3*10^12-$A29)*-1&lt;0,0,1)*IF(ABS(N$3*10^12-$A30)&gt;(N$3*10^12-$A29),$A29,$A30)=N30,0,IF((N$3*10^12-$A30)*(N$3*10^12-$A29)*-1&lt;0,0,1)*IF(ABS(N$3*10^12-$A30)&gt;(N$3*10^12-$A29),$A29,$A30))</f>
        <v/>
      </c>
      <c r="Q29" s="113" t="n"/>
    </row>
    <row r="30">
      <c r="A30" t="n">
        <v>47</v>
      </c>
      <c r="B30">
        <f>IF(IF((B$3*10^12-$A31)*(B$3*10^12-$A30)*-1&lt;0,0,1)*IF(ABS(B$3*10^12-$A31)&gt;(B$3*10^12-$A30),$A30,$A31)=B31,0,IF((B$3*10^12-$A31)*(B$3*10^12-$A30)*-1&lt;0,0,1)*IF(ABS(B$3*10^12-$A31)&gt;(B$3*10^12-$A30),$A30,$A31))</f>
        <v/>
      </c>
      <c r="C30">
        <f>IF(IF((C$3*10^12-$A31)*(C$3*10^12-$A30)*-1&lt;0,0,1)*IF(ABS(C$3*10^12-$A31)&gt;(C$3*10^12-$A30),$A30,$A31)=C31,0,IF((C$3*10^12-$A31)*(C$3*10^12-$A30)*-1&lt;0,0,1)*IF(ABS(C$3*10^12-$A31)&gt;(C$3*10^12-$A30),$A30,$A31))</f>
        <v/>
      </c>
      <c r="D30">
        <f>IF(IF((D$3*10^12-$A31)*(D$3*10^12-$A30)*-1&lt;0,0,1)*IF(ABS(D$3*10^12-$A31)&gt;(D$3*10^12-$A30),$A30,$A31)=D31,0,IF((D$3*10^12-$A31)*(D$3*10^12-$A30)*-1&lt;0,0,1)*IF(ABS(D$3*10^12-$A31)&gt;(D$3*10^12-$A30),$A30,$A31))</f>
        <v/>
      </c>
      <c r="E30">
        <f>IF(IF((E$3*10^12-$A31)*(E$3*10^12-$A30)*-1&lt;0,0,1)*IF(ABS(E$3*10^12-$A31)&gt;(E$3*10^12-$A30),$A30,$A31)=E31,0,IF((E$3*10^12-$A31)*(E$3*10^12-$A30)*-1&lt;0,0,1)*IF(ABS(E$3*10^12-$A31)&gt;(E$3*10^12-$A30),$A30,$A31))</f>
        <v/>
      </c>
      <c r="F30">
        <f>IF(IF((F$3*10^12-$A31)*(F$3*10^12-$A30)*-1&lt;0,0,1)*IF(ABS(F$3*10^12-$A31)&gt;(F$3*10^12-$A30),$A30,$A31)=F31,0,IF((F$3*10^12-$A31)*(F$3*10^12-$A30)*-1&lt;0,0,1)*IF(ABS(F$3*10^12-$A31)&gt;(F$3*10^12-$A30),$A30,$A31))</f>
        <v/>
      </c>
      <c r="G30">
        <f>IF(IF((G$3*10^12-$A31)*(G$3*10^12-$A30)*-1&lt;0,0,1)*IF(ABS(G$3*10^12-$A31)&gt;(G$3*10^12-$A30),$A30,$A31)=G31,0,IF((G$3*10^12-$A31)*(G$3*10^12-$A30)*-1&lt;0,0,1)*IF(ABS(G$3*10^12-$A31)&gt;(G$3*10^12-$A30),$A30,$A31))</f>
        <v/>
      </c>
      <c r="H30">
        <f>IF(IF((H$3*10^12-$A31)*(H$3*10^12-$A30)*-1&lt;0,0,1)*IF(ABS(H$3*10^12-$A31)&gt;(H$3*10^12-$A30),$A30,$A31)=H31,0,IF((H$3*10^12-$A31)*(H$3*10^12-$A30)*-1&lt;0,0,1)*IF(ABS(H$3*10^12-$A31)&gt;(H$3*10^12-$A30),$A30,$A31))</f>
        <v/>
      </c>
      <c r="I30">
        <f>IF(IF((I$3*10^12-$A31)*(I$3*10^12-$A30)*-1&lt;0,0,1)*IF(ABS(I$3*10^12-$A31)&gt;(I$3*10^12-$A30),$A30,$A31)=I31,0,IF((I$3*10^12-$A31)*(I$3*10^12-$A30)*-1&lt;0,0,1)*IF(ABS(I$3*10^12-$A31)&gt;(I$3*10^12-$A30),$A30,$A31))</f>
        <v/>
      </c>
      <c r="J30">
        <f>IF(IF((J$3*10^12-$A31)*(J$3*10^12-$A30)*-1&lt;0,0,1)*IF(ABS(J$3*10^12-$A31)&gt;(J$3*10^12-$A30),$A30,$A31)=J31,0,IF((J$3*10^12-$A31)*(J$3*10^12-$A30)*-1&lt;0,0,1)*IF(ABS(J$3*10^12-$A31)&gt;(J$3*10^12-$A30),$A30,$A31))</f>
        <v/>
      </c>
      <c r="K30">
        <f>IF(IF((K$3*10^12-$A31)*(K$3*10^12-$A30)*-1&lt;0,0,1)*IF(ABS(K$3*10^12-$A31)&gt;(K$3*10^12-$A30),$A30,$A31)=K31,0,IF((K$3*10^12-$A31)*(K$3*10^12-$A30)*-1&lt;0,0,1)*IF(ABS(K$3*10^12-$A31)&gt;(K$3*10^12-$A30),$A30,$A31))</f>
        <v/>
      </c>
      <c r="L30">
        <f>IF(IF((L$3*10^12-$A31)*(L$3*10^12-$A30)*-1&lt;0,0,1)*IF(ABS(L$3*10^12-$A31)&gt;(L$3*10^12-$A30),$A30,$A31)=L31,0,IF((L$3*10^12-$A31)*(L$3*10^12-$A30)*-1&lt;0,0,1)*IF(ABS(L$3*10^12-$A31)&gt;(L$3*10^12-$A30),$A30,$A31))</f>
        <v/>
      </c>
      <c r="M30">
        <f>IF(IF((M$3*10^12-$A31)*(M$3*10^12-$A30)*-1&lt;0,0,1)*IF(ABS(M$3*10^12-$A31)&gt;(M$3*10^12-$A30),$A30,$A31)=M31,0,IF((M$3*10^12-$A31)*(M$3*10^12-$A30)*-1&lt;0,0,1)*IF(ABS(M$3*10^12-$A31)&gt;(M$3*10^12-$A30),$A30,$A31))</f>
        <v/>
      </c>
      <c r="N30">
        <f>IF(IF((N$3*10^12-$A31)*(N$3*10^12-$A30)*-1&lt;0,0,1)*IF(ABS(N$3*10^12-$A31)&gt;(N$3*10^12-$A30),$A30,$A31)=N31,0,IF((N$3*10^12-$A31)*(N$3*10^12-$A30)*-1&lt;0,0,1)*IF(ABS(N$3*10^12-$A31)&gt;(N$3*10^12-$A30),$A30,$A31))</f>
        <v/>
      </c>
    </row>
    <row r="31">
      <c r="A31" t="n">
        <v>56</v>
      </c>
      <c r="B31">
        <f>IF(IF((B$3*10^12-$A32)*(B$3*10^12-$A31)*-1&lt;0,0,1)*IF(ABS(B$3*10^12-$A32)&gt;(B$3*10^12-$A31),$A31,$A32)=B32,0,IF((B$3*10^12-$A32)*(B$3*10^12-$A31)*-1&lt;0,0,1)*IF(ABS(B$3*10^12-$A32)&gt;(B$3*10^12-$A31),$A31,$A32))</f>
        <v/>
      </c>
      <c r="C31">
        <f>IF(IF((C$3*10^12-$A32)*(C$3*10^12-$A31)*-1&lt;0,0,1)*IF(ABS(C$3*10^12-$A32)&gt;(C$3*10^12-$A31),$A31,$A32)=C32,0,IF((C$3*10^12-$A32)*(C$3*10^12-$A31)*-1&lt;0,0,1)*IF(ABS(C$3*10^12-$A32)&gt;(C$3*10^12-$A31),$A31,$A32))</f>
        <v/>
      </c>
      <c r="D31">
        <f>IF(IF((D$3*10^12-$A32)*(D$3*10^12-$A31)*-1&lt;0,0,1)*IF(ABS(D$3*10^12-$A32)&gt;(D$3*10^12-$A31),$A31,$A32)=D32,0,IF((D$3*10^12-$A32)*(D$3*10^12-$A31)*-1&lt;0,0,1)*IF(ABS(D$3*10^12-$A32)&gt;(D$3*10^12-$A31),$A31,$A32))</f>
        <v/>
      </c>
      <c r="E31">
        <f>IF(IF((E$3*10^12-$A32)*(E$3*10^12-$A31)*-1&lt;0,0,1)*IF(ABS(E$3*10^12-$A32)&gt;(E$3*10^12-$A31),$A31,$A32)=E32,0,IF((E$3*10^12-$A32)*(E$3*10^12-$A31)*-1&lt;0,0,1)*IF(ABS(E$3*10^12-$A32)&gt;(E$3*10^12-$A31),$A31,$A32))</f>
        <v/>
      </c>
      <c r="F31">
        <f>IF(IF((F$3*10^12-$A32)*(F$3*10^12-$A31)*-1&lt;0,0,1)*IF(ABS(F$3*10^12-$A32)&gt;(F$3*10^12-$A31),$A31,$A32)=F32,0,IF((F$3*10^12-$A32)*(F$3*10^12-$A31)*-1&lt;0,0,1)*IF(ABS(F$3*10^12-$A32)&gt;(F$3*10^12-$A31),$A31,$A32))</f>
        <v/>
      </c>
      <c r="G31">
        <f>IF(IF((G$3*10^12-$A32)*(G$3*10^12-$A31)*-1&lt;0,0,1)*IF(ABS(G$3*10^12-$A32)&gt;(G$3*10^12-$A31),$A31,$A32)=G32,0,IF((G$3*10^12-$A32)*(G$3*10^12-$A31)*-1&lt;0,0,1)*IF(ABS(G$3*10^12-$A32)&gt;(G$3*10^12-$A31),$A31,$A32))</f>
        <v/>
      </c>
      <c r="H31">
        <f>IF(IF((H$3*10^12-$A32)*(H$3*10^12-$A31)*-1&lt;0,0,1)*IF(ABS(H$3*10^12-$A32)&gt;(H$3*10^12-$A31),$A31,$A32)=H32,0,IF((H$3*10^12-$A32)*(H$3*10^12-$A31)*-1&lt;0,0,1)*IF(ABS(H$3*10^12-$A32)&gt;(H$3*10^12-$A31),$A31,$A32))</f>
        <v/>
      </c>
      <c r="I31">
        <f>IF(IF((I$3*10^12-$A32)*(I$3*10^12-$A31)*-1&lt;0,0,1)*IF(ABS(I$3*10^12-$A32)&gt;(I$3*10^12-$A31),$A31,$A32)=I32,0,IF((I$3*10^12-$A32)*(I$3*10^12-$A31)*-1&lt;0,0,1)*IF(ABS(I$3*10^12-$A32)&gt;(I$3*10^12-$A31),$A31,$A32))</f>
        <v/>
      </c>
      <c r="J31">
        <f>IF(IF((J$3*10^12-$A32)*(J$3*10^12-$A31)*-1&lt;0,0,1)*IF(ABS(J$3*10^12-$A32)&gt;(J$3*10^12-$A31),$A31,$A32)=J32,0,IF((J$3*10^12-$A32)*(J$3*10^12-$A31)*-1&lt;0,0,1)*IF(ABS(J$3*10^12-$A32)&gt;(J$3*10^12-$A31),$A31,$A32))</f>
        <v/>
      </c>
      <c r="K31">
        <f>IF(IF((K$3*10^12-$A32)*(K$3*10^12-$A31)*-1&lt;0,0,1)*IF(ABS(K$3*10^12-$A32)&gt;(K$3*10^12-$A31),$A31,$A32)=K32,0,IF((K$3*10^12-$A32)*(K$3*10^12-$A31)*-1&lt;0,0,1)*IF(ABS(K$3*10^12-$A32)&gt;(K$3*10^12-$A31),$A31,$A32))</f>
        <v/>
      </c>
      <c r="L31">
        <f>IF(IF((L$3*10^12-$A32)*(L$3*10^12-$A31)*-1&lt;0,0,1)*IF(ABS(L$3*10^12-$A32)&gt;(L$3*10^12-$A31),$A31,$A32)=L32,0,IF((L$3*10^12-$A32)*(L$3*10^12-$A31)*-1&lt;0,0,1)*IF(ABS(L$3*10^12-$A32)&gt;(L$3*10^12-$A31),$A31,$A32))</f>
        <v/>
      </c>
      <c r="M31">
        <f>IF(IF((M$3*10^12-$A32)*(M$3*10^12-$A31)*-1&lt;0,0,1)*IF(ABS(M$3*10^12-$A32)&gt;(M$3*10^12-$A31),$A31,$A32)=M32,0,IF((M$3*10^12-$A32)*(M$3*10^12-$A31)*-1&lt;0,0,1)*IF(ABS(M$3*10^12-$A32)&gt;(M$3*10^12-$A31),$A31,$A32))</f>
        <v/>
      </c>
      <c r="N31">
        <f>IF(IF((N$3*10^12-$A32)*(N$3*10^12-$A31)*-1&lt;0,0,1)*IF(ABS(N$3*10^12-$A32)&gt;(N$3*10^12-$A31),$A31,$A32)=N32,0,IF((N$3*10^12-$A32)*(N$3*10^12-$A31)*-1&lt;0,0,1)*IF(ABS(N$3*10^12-$A32)&gt;(N$3*10^12-$A31),$A31,$A32))</f>
        <v/>
      </c>
    </row>
    <row r="32">
      <c r="A32" t="n">
        <v>68</v>
      </c>
      <c r="B32">
        <f>IF(IF((B$3*10^12-$A33)*(B$3*10^12-$A32)*-1&lt;0,0,1)*IF(ABS(B$3*10^12-$A33)&gt;(B$3*10^12-$A32),$A32,$A33)=B33,0,IF((B$3*10^12-$A33)*(B$3*10^12-$A32)*-1&lt;0,0,1)*IF(ABS(B$3*10^12-$A33)&gt;(B$3*10^12-$A32),$A32,$A33))</f>
        <v/>
      </c>
      <c r="C32">
        <f>IF(IF((C$3*10^12-$A33)*(C$3*10^12-$A32)*-1&lt;0,0,1)*IF(ABS(C$3*10^12-$A33)&gt;(C$3*10^12-$A32),$A32,$A33)=C33,0,IF((C$3*10^12-$A33)*(C$3*10^12-$A32)*-1&lt;0,0,1)*IF(ABS(C$3*10^12-$A33)&gt;(C$3*10^12-$A32),$A32,$A33))</f>
        <v/>
      </c>
      <c r="D32">
        <f>IF(IF((D$3*10^12-$A33)*(D$3*10^12-$A32)*-1&lt;0,0,1)*IF(ABS(D$3*10^12-$A33)&gt;(D$3*10^12-$A32),$A32,$A33)=D33,0,IF((D$3*10^12-$A33)*(D$3*10^12-$A32)*-1&lt;0,0,1)*IF(ABS(D$3*10^12-$A33)&gt;(D$3*10^12-$A32),$A32,$A33))</f>
        <v/>
      </c>
      <c r="E32">
        <f>IF(IF((E$3*10^12-$A33)*(E$3*10^12-$A32)*-1&lt;0,0,1)*IF(ABS(E$3*10^12-$A33)&gt;(E$3*10^12-$A32),$A32,$A33)=E33,0,IF((E$3*10^12-$A33)*(E$3*10^12-$A32)*-1&lt;0,0,1)*IF(ABS(E$3*10^12-$A33)&gt;(E$3*10^12-$A32),$A32,$A33))</f>
        <v/>
      </c>
      <c r="F32">
        <f>IF(IF((F$3*10^12-$A33)*(F$3*10^12-$A32)*-1&lt;0,0,1)*IF(ABS(F$3*10^12-$A33)&gt;(F$3*10^12-$A32),$A32,$A33)=F33,0,IF((F$3*10^12-$A33)*(F$3*10^12-$A32)*-1&lt;0,0,1)*IF(ABS(F$3*10^12-$A33)&gt;(F$3*10^12-$A32),$A32,$A33))</f>
        <v/>
      </c>
      <c r="G32">
        <f>IF(IF((G$3*10^12-$A33)*(G$3*10^12-$A32)*-1&lt;0,0,1)*IF(ABS(G$3*10^12-$A33)&gt;(G$3*10^12-$A32),$A32,$A33)=G33,0,IF((G$3*10^12-$A33)*(G$3*10^12-$A32)*-1&lt;0,0,1)*IF(ABS(G$3*10^12-$A33)&gt;(G$3*10^12-$A32),$A32,$A33))</f>
        <v/>
      </c>
      <c r="H32">
        <f>IF(IF((H$3*10^12-$A33)*(H$3*10^12-$A32)*-1&lt;0,0,1)*IF(ABS(H$3*10^12-$A33)&gt;(H$3*10^12-$A32),$A32,$A33)=H33,0,IF((H$3*10^12-$A33)*(H$3*10^12-$A32)*-1&lt;0,0,1)*IF(ABS(H$3*10^12-$A33)&gt;(H$3*10^12-$A32),$A32,$A33))</f>
        <v/>
      </c>
      <c r="I32">
        <f>IF(IF((I$3*10^12-$A33)*(I$3*10^12-$A32)*-1&lt;0,0,1)*IF(ABS(I$3*10^12-$A33)&gt;(I$3*10^12-$A32),$A32,$A33)=I33,0,IF((I$3*10^12-$A33)*(I$3*10^12-$A32)*-1&lt;0,0,1)*IF(ABS(I$3*10^12-$A33)&gt;(I$3*10^12-$A32),$A32,$A33))</f>
        <v/>
      </c>
      <c r="J32">
        <f>IF(IF((J$3*10^12-$A33)*(J$3*10^12-$A32)*-1&lt;0,0,1)*IF(ABS(J$3*10^12-$A33)&gt;(J$3*10^12-$A32),$A32,$A33)=J33,0,IF((J$3*10^12-$A33)*(J$3*10^12-$A32)*-1&lt;0,0,1)*IF(ABS(J$3*10^12-$A33)&gt;(J$3*10^12-$A32),$A32,$A33))</f>
        <v/>
      </c>
      <c r="K32">
        <f>IF(IF((K$3*10^12-$A33)*(K$3*10^12-$A32)*-1&lt;0,0,1)*IF(ABS(K$3*10^12-$A33)&gt;(K$3*10^12-$A32),$A32,$A33)=K33,0,IF((K$3*10^12-$A33)*(K$3*10^12-$A32)*-1&lt;0,0,1)*IF(ABS(K$3*10^12-$A33)&gt;(K$3*10^12-$A32),$A32,$A33))</f>
        <v/>
      </c>
      <c r="L32">
        <f>IF(IF((L$3*10^12-$A33)*(L$3*10^12-$A32)*-1&lt;0,0,1)*IF(ABS(L$3*10^12-$A33)&gt;(L$3*10^12-$A32),$A32,$A33)=L33,0,IF((L$3*10^12-$A33)*(L$3*10^12-$A32)*-1&lt;0,0,1)*IF(ABS(L$3*10^12-$A33)&gt;(L$3*10^12-$A32),$A32,$A33))</f>
        <v/>
      </c>
      <c r="M32">
        <f>IF(IF((M$3*10^12-$A33)*(M$3*10^12-$A32)*-1&lt;0,0,1)*IF(ABS(M$3*10^12-$A33)&gt;(M$3*10^12-$A32),$A32,$A33)=M33,0,IF((M$3*10^12-$A33)*(M$3*10^12-$A32)*-1&lt;0,0,1)*IF(ABS(M$3*10^12-$A33)&gt;(M$3*10^12-$A32),$A32,$A33))</f>
        <v/>
      </c>
      <c r="N32">
        <f>IF(IF((N$3*10^12-$A33)*(N$3*10^12-$A32)*-1&lt;0,0,1)*IF(ABS(N$3*10^12-$A33)&gt;(N$3*10^12-$A32),$A32,$A33)=N33,0,IF((N$3*10^12-$A33)*(N$3*10^12-$A32)*-1&lt;0,0,1)*IF(ABS(N$3*10^12-$A33)&gt;(N$3*10^12-$A32),$A32,$A33))</f>
        <v/>
      </c>
      <c r="Q32" s="3" t="inlineStr">
        <is>
          <t>Rc1</t>
        </is>
      </c>
      <c r="R32">
        <f>S7/1000&amp;" kΩ"</f>
        <v/>
      </c>
      <c r="S32">
        <f>S7/1000</f>
        <v/>
      </c>
      <c r="T32" s="45" t="inlineStr">
        <is>
          <t>kΩ</t>
        </is>
      </c>
    </row>
    <row r="33">
      <c r="A33" t="n">
        <v>82</v>
      </c>
      <c r="B33">
        <f>IF(IF((B$3*10^12-$A34)*(B$3*10^12-$A33)*-1&lt;0,0,1)*IF(ABS(B$3*10^12-$A34)&gt;(B$3*10^12-$A33),$A33,$A34)=B34,0,IF((B$3*10^12-$A34)*(B$3*10^12-$A33)*-1&lt;0,0,1)*IF(ABS(B$3*10^12-$A34)&gt;(B$3*10^12-$A33),$A33,$A34))</f>
        <v/>
      </c>
      <c r="C33">
        <f>IF(IF((C$3*10^12-$A34)*(C$3*10^12-$A33)*-1&lt;0,0,1)*IF(ABS(C$3*10^12-$A34)&gt;(C$3*10^12-$A33),$A33,$A34)=C34,0,IF((C$3*10^12-$A34)*(C$3*10^12-$A33)*-1&lt;0,0,1)*IF(ABS(C$3*10^12-$A34)&gt;(C$3*10^12-$A33),$A33,$A34))</f>
        <v/>
      </c>
      <c r="D33">
        <f>IF(IF((D$3*10^12-$A34)*(D$3*10^12-$A33)*-1&lt;0,0,1)*IF(ABS(D$3*10^12-$A34)&gt;(D$3*10^12-$A33),$A33,$A34)=D34,0,IF((D$3*10^12-$A34)*(D$3*10^12-$A33)*-1&lt;0,0,1)*IF(ABS(D$3*10^12-$A34)&gt;(D$3*10^12-$A33),$A33,$A34))</f>
        <v/>
      </c>
      <c r="E33">
        <f>IF(IF((E$3*10^12-$A34)*(E$3*10^12-$A33)*-1&lt;0,0,1)*IF(ABS(E$3*10^12-$A34)&gt;(E$3*10^12-$A33),$A33,$A34)=E34,0,IF((E$3*10^12-$A34)*(E$3*10^12-$A33)*-1&lt;0,0,1)*IF(ABS(E$3*10^12-$A34)&gt;(E$3*10^12-$A33),$A33,$A34))</f>
        <v/>
      </c>
      <c r="F33">
        <f>IF(IF((F$3*10^12-$A34)*(F$3*10^12-$A33)*-1&lt;0,0,1)*IF(ABS(F$3*10^12-$A34)&gt;(F$3*10^12-$A33),$A33,$A34)=F34,0,IF((F$3*10^12-$A34)*(F$3*10^12-$A33)*-1&lt;0,0,1)*IF(ABS(F$3*10^12-$A34)&gt;(F$3*10^12-$A33),$A33,$A34))</f>
        <v/>
      </c>
      <c r="G33">
        <f>IF(IF((G$3*10^12-$A34)*(G$3*10^12-$A33)*-1&lt;0,0,1)*IF(ABS(G$3*10^12-$A34)&gt;(G$3*10^12-$A33),$A33,$A34)=G34,0,IF((G$3*10^12-$A34)*(G$3*10^12-$A33)*-1&lt;0,0,1)*IF(ABS(G$3*10^12-$A34)&gt;(G$3*10^12-$A33),$A33,$A34))</f>
        <v/>
      </c>
      <c r="H33">
        <f>IF(IF((H$3*10^12-$A34)*(H$3*10^12-$A33)*-1&lt;0,0,1)*IF(ABS(H$3*10^12-$A34)&gt;(H$3*10^12-$A33),$A33,$A34)=H34,0,IF((H$3*10^12-$A34)*(H$3*10^12-$A33)*-1&lt;0,0,1)*IF(ABS(H$3*10^12-$A34)&gt;(H$3*10^12-$A33),$A33,$A34))</f>
        <v/>
      </c>
      <c r="I33">
        <f>IF(IF((I$3*10^12-$A34)*(I$3*10^12-$A33)*-1&lt;0,0,1)*IF(ABS(I$3*10^12-$A34)&gt;(I$3*10^12-$A33),$A33,$A34)=I34,0,IF((I$3*10^12-$A34)*(I$3*10^12-$A33)*-1&lt;0,0,1)*IF(ABS(I$3*10^12-$A34)&gt;(I$3*10^12-$A33),$A33,$A34))</f>
        <v/>
      </c>
      <c r="J33">
        <f>IF(IF((J$3*10^12-$A34)*(J$3*10^12-$A33)*-1&lt;0,0,1)*IF(ABS(J$3*10^12-$A34)&gt;(J$3*10^12-$A33),$A33,$A34)=J34,0,IF((J$3*10^12-$A34)*(J$3*10^12-$A33)*-1&lt;0,0,1)*IF(ABS(J$3*10^12-$A34)&gt;(J$3*10^12-$A33),$A33,$A34))</f>
        <v/>
      </c>
      <c r="K33">
        <f>IF(IF((K$3*10^12-$A34)*(K$3*10^12-$A33)*-1&lt;0,0,1)*IF(ABS(K$3*10^12-$A34)&gt;(K$3*10^12-$A33),$A33,$A34)=K34,0,IF((K$3*10^12-$A34)*(K$3*10^12-$A33)*-1&lt;0,0,1)*IF(ABS(K$3*10^12-$A34)&gt;(K$3*10^12-$A33),$A33,$A34))</f>
        <v/>
      </c>
      <c r="L33">
        <f>IF(IF((L$3*10^12-$A34)*(L$3*10^12-$A33)*-1&lt;0,0,1)*IF(ABS(L$3*10^12-$A34)&gt;(L$3*10^12-$A33),$A33,$A34)=L34,0,IF((L$3*10^12-$A34)*(L$3*10^12-$A33)*-1&lt;0,0,1)*IF(ABS(L$3*10^12-$A34)&gt;(L$3*10^12-$A33),$A33,$A34))</f>
        <v/>
      </c>
      <c r="M33">
        <f>IF(IF((M$3*10^12-$A34)*(M$3*10^12-$A33)*-1&lt;0,0,1)*IF(ABS(M$3*10^12-$A34)&gt;(M$3*10^12-$A33),$A33,$A34)=M34,0,IF((M$3*10^12-$A34)*(M$3*10^12-$A33)*-1&lt;0,0,1)*IF(ABS(M$3*10^12-$A34)&gt;(M$3*10^12-$A33),$A33,$A34))</f>
        <v/>
      </c>
      <c r="N33">
        <f>IF(IF((N$3*10^12-$A34)*(N$3*10^12-$A33)*-1&lt;0,0,1)*IF(ABS(N$3*10^12-$A34)&gt;(N$3*10^12-$A33),$A33,$A34)=N34,0,IF((N$3*10^12-$A34)*(N$3*10^12-$A33)*-1&lt;0,0,1)*IF(ABS(N$3*10^12-$A34)&gt;(N$3*10^12-$A33),$A33,$A34))</f>
        <v/>
      </c>
      <c r="Q33" s="3" t="inlineStr">
        <is>
          <t>Cc1</t>
        </is>
      </c>
      <c r="R33">
        <f>C4*1000000000&amp;" nF"</f>
        <v/>
      </c>
      <c r="S33">
        <f>C4*1000000000</f>
        <v/>
      </c>
      <c r="T33" s="113" t="inlineStr">
        <is>
          <t>nF</t>
        </is>
      </c>
    </row>
    <row r="34">
      <c r="A34">
        <f>A22*10</f>
        <v/>
      </c>
      <c r="B34">
        <f>IF(IF((B$3*10^12-$A35)*(B$3*10^12-$A34)*-1&lt;0,0,1)*IF(ABS(B$3*10^12-$A35)&gt;(B$3*10^12-$A34),$A34,$A35)=B35,0,IF((B$3*10^12-$A35)*(B$3*10^12-$A34)*-1&lt;0,0,1)*IF(ABS(B$3*10^12-$A35)&gt;(B$3*10^12-$A34),$A34,$A35))</f>
        <v/>
      </c>
      <c r="C34">
        <f>IF(IF((C$3*10^12-$A35)*(C$3*10^12-$A34)*-1&lt;0,0,1)*IF(ABS(C$3*10^12-$A35)&gt;(C$3*10^12-$A34),$A34,$A35)=C35,0,IF((C$3*10^12-$A35)*(C$3*10^12-$A34)*-1&lt;0,0,1)*IF(ABS(C$3*10^12-$A35)&gt;(C$3*10^12-$A34),$A34,$A35))</f>
        <v/>
      </c>
      <c r="D34">
        <f>IF(IF((D$3*10^12-$A35)*(D$3*10^12-$A34)*-1&lt;0,0,1)*IF(ABS(D$3*10^12-$A35)&gt;(D$3*10^12-$A34),$A34,$A35)=D35,0,IF((D$3*10^12-$A35)*(D$3*10^12-$A34)*-1&lt;0,0,1)*IF(ABS(D$3*10^12-$A35)&gt;(D$3*10^12-$A34),$A34,$A35))</f>
        <v/>
      </c>
      <c r="E34">
        <f>IF(IF((E$3*10^12-$A35)*(E$3*10^12-$A34)*-1&lt;0,0,1)*IF(ABS(E$3*10^12-$A35)&gt;(E$3*10^12-$A34),$A34,$A35)=E35,0,IF((E$3*10^12-$A35)*(E$3*10^12-$A34)*-1&lt;0,0,1)*IF(ABS(E$3*10^12-$A35)&gt;(E$3*10^12-$A34),$A34,$A35))</f>
        <v/>
      </c>
      <c r="F34">
        <f>IF(IF((F$3*10^12-$A35)*(F$3*10^12-$A34)*-1&lt;0,0,1)*IF(ABS(F$3*10^12-$A35)&gt;(F$3*10^12-$A34),$A34,$A35)=F35,0,IF((F$3*10^12-$A35)*(F$3*10^12-$A34)*-1&lt;0,0,1)*IF(ABS(F$3*10^12-$A35)&gt;(F$3*10^12-$A34),$A34,$A35))</f>
        <v/>
      </c>
      <c r="G34">
        <f>IF(IF((G$3*10^12-$A35)*(G$3*10^12-$A34)*-1&lt;0,0,1)*IF(ABS(G$3*10^12-$A35)&gt;(G$3*10^12-$A34),$A34,$A35)=G35,0,IF((G$3*10^12-$A35)*(G$3*10^12-$A34)*-1&lt;0,0,1)*IF(ABS(G$3*10^12-$A35)&gt;(G$3*10^12-$A34),$A34,$A35))</f>
        <v/>
      </c>
      <c r="H34">
        <f>IF(IF((H$3*10^12-$A35)*(H$3*10^12-$A34)*-1&lt;0,0,1)*IF(ABS(H$3*10^12-$A35)&gt;(H$3*10^12-$A34),$A34,$A35)=H35,0,IF((H$3*10^12-$A35)*(H$3*10^12-$A34)*-1&lt;0,0,1)*IF(ABS(H$3*10^12-$A35)&gt;(H$3*10^12-$A34),$A34,$A35))</f>
        <v/>
      </c>
      <c r="I34">
        <f>IF(IF((I$3*10^12-$A35)*(I$3*10^12-$A34)*-1&lt;0,0,1)*IF(ABS(I$3*10^12-$A35)&gt;(I$3*10^12-$A34),$A34,$A35)=I35,0,IF((I$3*10^12-$A35)*(I$3*10^12-$A34)*-1&lt;0,0,1)*IF(ABS(I$3*10^12-$A35)&gt;(I$3*10^12-$A34),$A34,$A35))</f>
        <v/>
      </c>
      <c r="J34">
        <f>IF(IF((J$3*10^12-$A35)*(J$3*10^12-$A34)*-1&lt;0,0,1)*IF(ABS(J$3*10^12-$A35)&gt;(J$3*10^12-$A34),$A34,$A35)=J35,0,IF((J$3*10^12-$A35)*(J$3*10^12-$A34)*-1&lt;0,0,1)*IF(ABS(J$3*10^12-$A35)&gt;(J$3*10^12-$A34),$A34,$A35))</f>
        <v/>
      </c>
      <c r="K34">
        <f>IF(IF((K$3*10^12-$A35)*(K$3*10^12-$A34)*-1&lt;0,0,1)*IF(ABS(K$3*10^12-$A35)&gt;(K$3*10^12-$A34),$A34,$A35)=K35,0,IF((K$3*10^12-$A35)*(K$3*10^12-$A34)*-1&lt;0,0,1)*IF(ABS(K$3*10^12-$A35)&gt;(K$3*10^12-$A34),$A34,$A35))</f>
        <v/>
      </c>
      <c r="L34">
        <f>IF(IF((L$3*10^12-$A35)*(L$3*10^12-$A34)*-1&lt;0,0,1)*IF(ABS(L$3*10^12-$A35)&gt;(L$3*10^12-$A34),$A34,$A35)=L35,0,IF((L$3*10^12-$A35)*(L$3*10^12-$A34)*-1&lt;0,0,1)*IF(ABS(L$3*10^12-$A35)&gt;(L$3*10^12-$A34),$A34,$A35))</f>
        <v/>
      </c>
      <c r="M34">
        <f>IF(IF((M$3*10^12-$A35)*(M$3*10^12-$A34)*-1&lt;0,0,1)*IF(ABS(M$3*10^12-$A35)&gt;(M$3*10^12-$A34),$A34,$A35)=M35,0,IF((M$3*10^12-$A35)*(M$3*10^12-$A34)*-1&lt;0,0,1)*IF(ABS(M$3*10^12-$A35)&gt;(M$3*10^12-$A34),$A34,$A35))</f>
        <v/>
      </c>
      <c r="N34">
        <f>IF(IF((N$3*10^12-$A35)*(N$3*10^12-$A34)*-1&lt;0,0,1)*IF(ABS(N$3*10^12-$A35)&gt;(N$3*10^12-$A34),$A34,$A35)=N35,0,IF((N$3*10^12-$A35)*(N$3*10^12-$A34)*-1&lt;0,0,1)*IF(ABS(N$3*10^12-$A35)&gt;(N$3*10^12-$A34),$A34,$A35))</f>
        <v/>
      </c>
      <c r="Q34" s="3" t="inlineStr">
        <is>
          <t>Cc2</t>
        </is>
      </c>
      <c r="R34">
        <f>D4*1000000000000&amp;" pF"</f>
        <v/>
      </c>
      <c r="S34">
        <f>D4*1000000000000</f>
        <v/>
      </c>
      <c r="T34" s="113" t="inlineStr">
        <is>
          <t>pF</t>
        </is>
      </c>
    </row>
    <row r="35">
      <c r="A35">
        <f>A23*10</f>
        <v/>
      </c>
      <c r="B35">
        <f>IF(IF((B$3*10^12-$A36)*(B$3*10^12-$A35)*-1&lt;0,0,1)*IF(ABS(B$3*10^12-$A36)&gt;(B$3*10^12-$A35),$A35,$A36)=B36,0,IF((B$3*10^12-$A36)*(B$3*10^12-$A35)*-1&lt;0,0,1)*IF(ABS(B$3*10^12-$A36)&gt;(B$3*10^12-$A35),$A35,$A36))</f>
        <v/>
      </c>
      <c r="C35">
        <f>IF(IF((C$3*10^12-$A36)*(C$3*10^12-$A35)*-1&lt;0,0,1)*IF(ABS(C$3*10^12-$A36)&gt;(C$3*10^12-$A35),$A35,$A36)=C36,0,IF((C$3*10^12-$A36)*(C$3*10^12-$A35)*-1&lt;0,0,1)*IF(ABS(C$3*10^12-$A36)&gt;(C$3*10^12-$A35),$A35,$A36))</f>
        <v/>
      </c>
      <c r="D35">
        <f>IF(IF((D$3*10^12-$A36)*(D$3*10^12-$A35)*-1&lt;0,0,1)*IF(ABS(D$3*10^12-$A36)&gt;(D$3*10^12-$A35),$A35,$A36)=D36,0,IF((D$3*10^12-$A36)*(D$3*10^12-$A35)*-1&lt;0,0,1)*IF(ABS(D$3*10^12-$A36)&gt;(D$3*10^12-$A35),$A35,$A36))</f>
        <v/>
      </c>
      <c r="E35">
        <f>IF(IF((E$3*10^12-$A36)*(E$3*10^12-$A35)*-1&lt;0,0,1)*IF(ABS(E$3*10^12-$A36)&gt;(E$3*10^12-$A35),$A35,$A36)=E36,0,IF((E$3*10^12-$A36)*(E$3*10^12-$A35)*-1&lt;0,0,1)*IF(ABS(E$3*10^12-$A36)&gt;(E$3*10^12-$A35),$A35,$A36))</f>
        <v/>
      </c>
      <c r="F35">
        <f>IF(IF((F$3*10^12-$A36)*(F$3*10^12-$A35)*-1&lt;0,0,1)*IF(ABS(F$3*10^12-$A36)&gt;(F$3*10^12-$A35),$A35,$A36)=F36,0,IF((F$3*10^12-$A36)*(F$3*10^12-$A35)*-1&lt;0,0,1)*IF(ABS(F$3*10^12-$A36)&gt;(F$3*10^12-$A35),$A35,$A36))</f>
        <v/>
      </c>
      <c r="G35">
        <f>IF(IF((G$3*10^12-$A36)*(G$3*10^12-$A35)*-1&lt;0,0,1)*IF(ABS(G$3*10^12-$A36)&gt;(G$3*10^12-$A35),$A35,$A36)=G36,0,IF((G$3*10^12-$A36)*(G$3*10^12-$A35)*-1&lt;0,0,1)*IF(ABS(G$3*10^12-$A36)&gt;(G$3*10^12-$A35),$A35,$A36))</f>
        <v/>
      </c>
      <c r="H35">
        <f>IF(IF((H$3*10^12-$A36)*(H$3*10^12-$A35)*-1&lt;0,0,1)*IF(ABS(H$3*10^12-$A36)&gt;(H$3*10^12-$A35),$A35,$A36)=H36,0,IF((H$3*10^12-$A36)*(H$3*10^12-$A35)*-1&lt;0,0,1)*IF(ABS(H$3*10^12-$A36)&gt;(H$3*10^12-$A35),$A35,$A36))</f>
        <v/>
      </c>
      <c r="I35">
        <f>IF(IF((I$3*10^12-$A36)*(I$3*10^12-$A35)*-1&lt;0,0,1)*IF(ABS(I$3*10^12-$A36)&gt;(I$3*10^12-$A35),$A35,$A36)=I36,0,IF((I$3*10^12-$A36)*(I$3*10^12-$A35)*-1&lt;0,0,1)*IF(ABS(I$3*10^12-$A36)&gt;(I$3*10^12-$A35),$A35,$A36))</f>
        <v/>
      </c>
      <c r="J35">
        <f>IF(IF((J$3*10^12-$A36)*(J$3*10^12-$A35)*-1&lt;0,0,1)*IF(ABS(J$3*10^12-$A36)&gt;(J$3*10^12-$A35),$A35,$A36)=J36,0,IF((J$3*10^12-$A36)*(J$3*10^12-$A35)*-1&lt;0,0,1)*IF(ABS(J$3*10^12-$A36)&gt;(J$3*10^12-$A35),$A35,$A36))</f>
        <v/>
      </c>
      <c r="K35">
        <f>IF(IF((K$3*10^12-$A36)*(K$3*10^12-$A35)*-1&lt;0,0,1)*IF(ABS(K$3*10^12-$A36)&gt;(K$3*10^12-$A35),$A35,$A36)=K36,0,IF((K$3*10^12-$A36)*(K$3*10^12-$A35)*-1&lt;0,0,1)*IF(ABS(K$3*10^12-$A36)&gt;(K$3*10^12-$A35),$A35,$A36))</f>
        <v/>
      </c>
      <c r="L35">
        <f>IF(IF((L$3*10^12-$A36)*(L$3*10^12-$A35)*-1&lt;0,0,1)*IF(ABS(L$3*10^12-$A36)&gt;(L$3*10^12-$A35),$A35,$A36)=L36,0,IF((L$3*10^12-$A36)*(L$3*10^12-$A35)*-1&lt;0,0,1)*IF(ABS(L$3*10^12-$A36)&gt;(L$3*10^12-$A35),$A35,$A36))</f>
        <v/>
      </c>
      <c r="M35">
        <f>IF(IF((M$3*10^12-$A36)*(M$3*10^12-$A35)*-1&lt;0,0,1)*IF(ABS(M$3*10^12-$A36)&gt;(M$3*10^12-$A35),$A35,$A36)=M36,0,IF((M$3*10^12-$A36)*(M$3*10^12-$A35)*-1&lt;0,0,1)*IF(ABS(M$3*10^12-$A36)&gt;(M$3*10^12-$A35),$A35,$A36))</f>
        <v/>
      </c>
      <c r="N35">
        <f>IF(IF((N$3*10^12-$A36)*(N$3*10^12-$A35)*-1&lt;0,0,1)*IF(ABS(N$3*10^12-$A36)&gt;(N$3*10^12-$A35),$A35,$A36)=N36,0,IF((N$3*10^12-$A36)*(N$3*10^12-$A35)*-1&lt;0,0,1)*IF(ABS(N$3*10^12-$A36)&gt;(N$3*10^12-$A35),$A35,$A36))</f>
        <v/>
      </c>
      <c r="Q35" s="3" t="n"/>
      <c r="T35" s="45" t="n"/>
    </row>
    <row r="36">
      <c r="A36">
        <f>A24*10</f>
        <v/>
      </c>
      <c r="B36">
        <f>IF(IF((B$3*10^12-$A37)*(B$3*10^12-$A36)*-1&lt;0,0,1)*IF(ABS(B$3*10^12-$A37)&gt;(B$3*10^12-$A36),$A36,$A37)=B37,0,IF((B$3*10^12-$A37)*(B$3*10^12-$A36)*-1&lt;0,0,1)*IF(ABS(B$3*10^12-$A37)&gt;(B$3*10^12-$A36),$A36,$A37))</f>
        <v/>
      </c>
      <c r="C36">
        <f>IF(IF((C$3*10^12-$A37)*(C$3*10^12-$A36)*-1&lt;0,0,1)*IF(ABS(C$3*10^12-$A37)&gt;(C$3*10^12-$A36),$A36,$A37)=C37,0,IF((C$3*10^12-$A37)*(C$3*10^12-$A36)*-1&lt;0,0,1)*IF(ABS(C$3*10^12-$A37)&gt;(C$3*10^12-$A36),$A36,$A37))</f>
        <v/>
      </c>
      <c r="D36">
        <f>IF(IF((D$3*10^12-$A37)*(D$3*10^12-$A36)*-1&lt;0,0,1)*IF(ABS(D$3*10^12-$A37)&gt;(D$3*10^12-$A36),$A36,$A37)=D37,0,IF((D$3*10^12-$A37)*(D$3*10^12-$A36)*-1&lt;0,0,1)*IF(ABS(D$3*10^12-$A37)&gt;(D$3*10^12-$A36),$A36,$A37))</f>
        <v/>
      </c>
      <c r="E36">
        <f>IF(IF((E$3*10^12-$A37)*(E$3*10^12-$A36)*-1&lt;0,0,1)*IF(ABS(E$3*10^12-$A37)&gt;(E$3*10^12-$A36),$A36,$A37)=E37,0,IF((E$3*10^12-$A37)*(E$3*10^12-$A36)*-1&lt;0,0,1)*IF(ABS(E$3*10^12-$A37)&gt;(E$3*10^12-$A36),$A36,$A37))</f>
        <v/>
      </c>
      <c r="F36">
        <f>IF(IF((F$3*10^12-$A37)*(F$3*10^12-$A36)*-1&lt;0,0,1)*IF(ABS(F$3*10^12-$A37)&gt;(F$3*10^12-$A36),$A36,$A37)=F37,0,IF((F$3*10^12-$A37)*(F$3*10^12-$A36)*-1&lt;0,0,1)*IF(ABS(F$3*10^12-$A37)&gt;(F$3*10^12-$A36),$A36,$A37))</f>
        <v/>
      </c>
      <c r="G36">
        <f>IF(IF((G$3*10^12-$A37)*(G$3*10^12-$A36)*-1&lt;0,0,1)*IF(ABS(G$3*10^12-$A37)&gt;(G$3*10^12-$A36),$A36,$A37)=G37,0,IF((G$3*10^12-$A37)*(G$3*10^12-$A36)*-1&lt;0,0,1)*IF(ABS(G$3*10^12-$A37)&gt;(G$3*10^12-$A36),$A36,$A37))</f>
        <v/>
      </c>
      <c r="H36">
        <f>IF(IF((H$3*10^12-$A37)*(H$3*10^12-$A36)*-1&lt;0,0,1)*IF(ABS(H$3*10^12-$A37)&gt;(H$3*10^12-$A36),$A36,$A37)=H37,0,IF((H$3*10^12-$A37)*(H$3*10^12-$A36)*-1&lt;0,0,1)*IF(ABS(H$3*10^12-$A37)&gt;(H$3*10^12-$A36),$A36,$A37))</f>
        <v/>
      </c>
      <c r="I36">
        <f>IF(IF((I$3*10^12-$A37)*(I$3*10^12-$A36)*-1&lt;0,0,1)*IF(ABS(I$3*10^12-$A37)&gt;(I$3*10^12-$A36),$A36,$A37)=I37,0,IF((I$3*10^12-$A37)*(I$3*10^12-$A36)*-1&lt;0,0,1)*IF(ABS(I$3*10^12-$A37)&gt;(I$3*10^12-$A36),$A36,$A37))</f>
        <v/>
      </c>
      <c r="J36">
        <f>IF(IF((J$3*10^12-$A37)*(J$3*10^12-$A36)*-1&lt;0,0,1)*IF(ABS(J$3*10^12-$A37)&gt;(J$3*10^12-$A36),$A36,$A37)=J37,0,IF((J$3*10^12-$A37)*(J$3*10^12-$A36)*-1&lt;0,0,1)*IF(ABS(J$3*10^12-$A37)&gt;(J$3*10^12-$A36),$A36,$A37))</f>
        <v/>
      </c>
      <c r="K36">
        <f>IF(IF((K$3*10^12-$A37)*(K$3*10^12-$A36)*-1&lt;0,0,1)*IF(ABS(K$3*10^12-$A37)&gt;(K$3*10^12-$A36),$A36,$A37)=K37,0,IF((K$3*10^12-$A37)*(K$3*10^12-$A36)*-1&lt;0,0,1)*IF(ABS(K$3*10^12-$A37)&gt;(K$3*10^12-$A36),$A36,$A37))</f>
        <v/>
      </c>
      <c r="L36">
        <f>IF(IF((L$3*10^12-$A37)*(L$3*10^12-$A36)*-1&lt;0,0,1)*IF(ABS(L$3*10^12-$A37)&gt;(L$3*10^12-$A36),$A36,$A37)=L37,0,IF((L$3*10^12-$A37)*(L$3*10^12-$A36)*-1&lt;0,0,1)*IF(ABS(L$3*10^12-$A37)&gt;(L$3*10^12-$A36),$A36,$A37))</f>
        <v/>
      </c>
      <c r="M36">
        <f>IF(IF((M$3*10^12-$A37)*(M$3*10^12-$A36)*-1&lt;0,0,1)*IF(ABS(M$3*10^12-$A37)&gt;(M$3*10^12-$A36),$A36,$A37)=M37,0,IF((M$3*10^12-$A37)*(M$3*10^12-$A36)*-1&lt;0,0,1)*IF(ABS(M$3*10^12-$A37)&gt;(M$3*10^12-$A36),$A36,$A37))</f>
        <v/>
      </c>
      <c r="N36">
        <f>IF(IF((N$3*10^12-$A37)*(N$3*10^12-$A36)*-1&lt;0,0,1)*IF(ABS(N$3*10^12-$A37)&gt;(N$3*10^12-$A36),$A36,$A37)=N37,0,IF((N$3*10^12-$A37)*(N$3*10^12-$A36)*-1&lt;0,0,1)*IF(ABS(N$3*10^12-$A37)&gt;(N$3*10^12-$A36),$A36,$A37))</f>
        <v/>
      </c>
      <c r="Q36" s="113" t="inlineStr">
        <is>
          <t>Rc2</t>
        </is>
      </c>
      <c r="R36">
        <f>S8/1000&amp;" kΩ"</f>
        <v/>
      </c>
      <c r="S36">
        <f>S8/1000</f>
        <v/>
      </c>
      <c r="T36" s="45" t="inlineStr">
        <is>
          <t>kΩ</t>
        </is>
      </c>
    </row>
    <row r="37">
      <c r="A37">
        <f>A25*10</f>
        <v/>
      </c>
      <c r="B37">
        <f>IF(IF((B$3*10^12-$A38)*(B$3*10^12-$A37)*-1&lt;0,0,1)*IF(ABS(B$3*10^12-$A38)&gt;(B$3*10^12-$A37),$A37,$A38)=B38,0,IF((B$3*10^12-$A38)*(B$3*10^12-$A37)*-1&lt;0,0,1)*IF(ABS(B$3*10^12-$A38)&gt;(B$3*10^12-$A37),$A37,$A38))</f>
        <v/>
      </c>
      <c r="C37">
        <f>IF(IF((C$3*10^12-$A38)*(C$3*10^12-$A37)*-1&lt;0,0,1)*IF(ABS(C$3*10^12-$A38)&gt;(C$3*10^12-$A37),$A37,$A38)=C38,0,IF((C$3*10^12-$A38)*(C$3*10^12-$A37)*-1&lt;0,0,1)*IF(ABS(C$3*10^12-$A38)&gt;(C$3*10^12-$A37),$A37,$A38))</f>
        <v/>
      </c>
      <c r="D37">
        <f>IF(IF((D$3*10^12-$A38)*(D$3*10^12-$A37)*-1&lt;0,0,1)*IF(ABS(D$3*10^12-$A38)&gt;(D$3*10^12-$A37),$A37,$A38)=D38,0,IF((D$3*10^12-$A38)*(D$3*10^12-$A37)*-1&lt;0,0,1)*IF(ABS(D$3*10^12-$A38)&gt;(D$3*10^12-$A37),$A37,$A38))</f>
        <v/>
      </c>
      <c r="E37">
        <f>IF(IF((E$3*10^12-$A38)*(E$3*10^12-$A37)*-1&lt;0,0,1)*IF(ABS(E$3*10^12-$A38)&gt;(E$3*10^12-$A37),$A37,$A38)=E38,0,IF((E$3*10^12-$A38)*(E$3*10^12-$A37)*-1&lt;0,0,1)*IF(ABS(E$3*10^12-$A38)&gt;(E$3*10^12-$A37),$A37,$A38))</f>
        <v/>
      </c>
      <c r="F37">
        <f>IF(IF((F$3*10^12-$A38)*(F$3*10^12-$A37)*-1&lt;0,0,1)*IF(ABS(F$3*10^12-$A38)&gt;(F$3*10^12-$A37),$A37,$A38)=F38,0,IF((F$3*10^12-$A38)*(F$3*10^12-$A37)*-1&lt;0,0,1)*IF(ABS(F$3*10^12-$A38)&gt;(F$3*10^12-$A37),$A37,$A38))</f>
        <v/>
      </c>
      <c r="G37">
        <f>IF(IF((G$3*10^12-$A38)*(G$3*10^12-$A37)*-1&lt;0,0,1)*IF(ABS(G$3*10^12-$A38)&gt;(G$3*10^12-$A37),$A37,$A38)=G38,0,IF((G$3*10^12-$A38)*(G$3*10^12-$A37)*-1&lt;0,0,1)*IF(ABS(G$3*10^12-$A38)&gt;(G$3*10^12-$A37),$A37,$A38))</f>
        <v/>
      </c>
      <c r="H37">
        <f>IF(IF((H$3*10^12-$A38)*(H$3*10^12-$A37)*-1&lt;0,0,1)*IF(ABS(H$3*10^12-$A38)&gt;(H$3*10^12-$A37),$A37,$A38)=H38,0,IF((H$3*10^12-$A38)*(H$3*10^12-$A37)*-1&lt;0,0,1)*IF(ABS(H$3*10^12-$A38)&gt;(H$3*10^12-$A37),$A37,$A38))</f>
        <v/>
      </c>
      <c r="I37">
        <f>IF(IF((I$3*10^12-$A38)*(I$3*10^12-$A37)*-1&lt;0,0,1)*IF(ABS(I$3*10^12-$A38)&gt;(I$3*10^12-$A37),$A37,$A38)=I38,0,IF((I$3*10^12-$A38)*(I$3*10^12-$A37)*-1&lt;0,0,1)*IF(ABS(I$3*10^12-$A38)&gt;(I$3*10^12-$A37),$A37,$A38))</f>
        <v/>
      </c>
      <c r="J37">
        <f>IF(IF((J$3*10^12-$A38)*(J$3*10^12-$A37)*-1&lt;0,0,1)*IF(ABS(J$3*10^12-$A38)&gt;(J$3*10^12-$A37),$A37,$A38)=J38,0,IF((J$3*10^12-$A38)*(J$3*10^12-$A37)*-1&lt;0,0,1)*IF(ABS(J$3*10^12-$A38)&gt;(J$3*10^12-$A37),$A37,$A38))</f>
        <v/>
      </c>
      <c r="K37">
        <f>IF(IF((K$3*10^12-$A38)*(K$3*10^12-$A37)*-1&lt;0,0,1)*IF(ABS(K$3*10^12-$A38)&gt;(K$3*10^12-$A37),$A37,$A38)=K38,0,IF((K$3*10^12-$A38)*(K$3*10^12-$A37)*-1&lt;0,0,1)*IF(ABS(K$3*10^12-$A38)&gt;(K$3*10^12-$A37),$A37,$A38))</f>
        <v/>
      </c>
      <c r="L37">
        <f>IF(IF((L$3*10^12-$A38)*(L$3*10^12-$A37)*-1&lt;0,0,1)*IF(ABS(L$3*10^12-$A38)&gt;(L$3*10^12-$A37),$A37,$A38)=L38,0,IF((L$3*10^12-$A38)*(L$3*10^12-$A37)*-1&lt;0,0,1)*IF(ABS(L$3*10^12-$A38)&gt;(L$3*10^12-$A37),$A37,$A38))</f>
        <v/>
      </c>
      <c r="M37">
        <f>IF(IF((M$3*10^12-$A38)*(M$3*10^12-$A37)*-1&lt;0,0,1)*IF(ABS(M$3*10^12-$A38)&gt;(M$3*10^12-$A37),$A37,$A38)=M38,0,IF((M$3*10^12-$A38)*(M$3*10^12-$A37)*-1&lt;0,0,1)*IF(ABS(M$3*10^12-$A38)&gt;(M$3*10^12-$A37),$A37,$A38))</f>
        <v/>
      </c>
      <c r="N37">
        <f>IF(IF((N$3*10^12-$A38)*(N$3*10^12-$A37)*-1&lt;0,0,1)*IF(ABS(N$3*10^12-$A38)&gt;(N$3*10^12-$A37),$A37,$A38)=N38,0,IF((N$3*10^12-$A38)*(N$3*10^12-$A37)*-1&lt;0,0,1)*IF(ABS(N$3*10^12-$A38)&gt;(N$3*10^12-$A37),$A37,$A38))</f>
        <v/>
      </c>
      <c r="Q37" s="113" t="inlineStr">
        <is>
          <t>Cc3</t>
        </is>
      </c>
      <c r="R37">
        <f>I4*1000000000&amp;" nF"</f>
        <v/>
      </c>
      <c r="S37">
        <f>I4*1000000000</f>
        <v/>
      </c>
      <c r="T37" s="113" t="inlineStr">
        <is>
          <t>nF</t>
        </is>
      </c>
    </row>
    <row r="38">
      <c r="A38">
        <f>A26*10</f>
        <v/>
      </c>
      <c r="B38">
        <f>IF(IF((B$3*10^12-$A39)*(B$3*10^12-$A38)*-1&lt;0,0,1)*IF(ABS(B$3*10^12-$A39)&gt;(B$3*10^12-$A38),$A38,$A39)=B39,0,IF((B$3*10^12-$A39)*(B$3*10^12-$A38)*-1&lt;0,0,1)*IF(ABS(B$3*10^12-$A39)&gt;(B$3*10^12-$A38),$A38,$A39))</f>
        <v/>
      </c>
      <c r="C38">
        <f>IF(IF((C$3*10^12-$A39)*(C$3*10^12-$A38)*-1&lt;0,0,1)*IF(ABS(C$3*10^12-$A39)&gt;(C$3*10^12-$A38),$A38,$A39)=C39,0,IF((C$3*10^12-$A39)*(C$3*10^12-$A38)*-1&lt;0,0,1)*IF(ABS(C$3*10^12-$A39)&gt;(C$3*10^12-$A38),$A38,$A39))</f>
        <v/>
      </c>
      <c r="D38">
        <f>IF(IF((D$3*10^12-$A39)*(D$3*10^12-$A38)*-1&lt;0,0,1)*IF(ABS(D$3*10^12-$A39)&gt;(D$3*10^12-$A38),$A38,$A39)=D39,0,IF((D$3*10^12-$A39)*(D$3*10^12-$A38)*-1&lt;0,0,1)*IF(ABS(D$3*10^12-$A39)&gt;(D$3*10^12-$A38),$A38,$A39))</f>
        <v/>
      </c>
      <c r="E38">
        <f>IF(IF((E$3*10^12-$A39)*(E$3*10^12-$A38)*-1&lt;0,0,1)*IF(ABS(E$3*10^12-$A39)&gt;(E$3*10^12-$A38),$A38,$A39)=E39,0,IF((E$3*10^12-$A39)*(E$3*10^12-$A38)*-1&lt;0,0,1)*IF(ABS(E$3*10^12-$A39)&gt;(E$3*10^12-$A38),$A38,$A39))</f>
        <v/>
      </c>
      <c r="F38">
        <f>IF(IF((F$3*10^12-$A39)*(F$3*10^12-$A38)*-1&lt;0,0,1)*IF(ABS(F$3*10^12-$A39)&gt;(F$3*10^12-$A38),$A38,$A39)=F39,0,IF((F$3*10^12-$A39)*(F$3*10^12-$A38)*-1&lt;0,0,1)*IF(ABS(F$3*10^12-$A39)&gt;(F$3*10^12-$A38),$A38,$A39))</f>
        <v/>
      </c>
      <c r="G38">
        <f>IF(IF((G$3*10^12-$A39)*(G$3*10^12-$A38)*-1&lt;0,0,1)*IF(ABS(G$3*10^12-$A39)&gt;(G$3*10^12-$A38),$A38,$A39)=G39,0,IF((G$3*10^12-$A39)*(G$3*10^12-$A38)*-1&lt;0,0,1)*IF(ABS(G$3*10^12-$A39)&gt;(G$3*10^12-$A38),$A38,$A39))</f>
        <v/>
      </c>
      <c r="H38">
        <f>IF(IF((H$3*10^12-$A39)*(H$3*10^12-$A38)*-1&lt;0,0,1)*IF(ABS(H$3*10^12-$A39)&gt;(H$3*10^12-$A38),$A38,$A39)=H39,0,IF((H$3*10^12-$A39)*(H$3*10^12-$A38)*-1&lt;0,0,1)*IF(ABS(H$3*10^12-$A39)&gt;(H$3*10^12-$A38),$A38,$A39))</f>
        <v/>
      </c>
      <c r="I38">
        <f>IF(IF((I$3*10^12-$A39)*(I$3*10^12-$A38)*-1&lt;0,0,1)*IF(ABS(I$3*10^12-$A39)&gt;(I$3*10^12-$A38),$A38,$A39)=I39,0,IF((I$3*10^12-$A39)*(I$3*10^12-$A38)*-1&lt;0,0,1)*IF(ABS(I$3*10^12-$A39)&gt;(I$3*10^12-$A38),$A38,$A39))</f>
        <v/>
      </c>
      <c r="J38">
        <f>IF(IF((J$3*10^12-$A39)*(J$3*10^12-$A38)*-1&lt;0,0,1)*IF(ABS(J$3*10^12-$A39)&gt;(J$3*10^12-$A38),$A38,$A39)=J39,0,IF((J$3*10^12-$A39)*(J$3*10^12-$A38)*-1&lt;0,0,1)*IF(ABS(J$3*10^12-$A39)&gt;(J$3*10^12-$A38),$A38,$A39))</f>
        <v/>
      </c>
      <c r="K38">
        <f>IF(IF((K$3*10^12-$A39)*(K$3*10^12-$A38)*-1&lt;0,0,1)*IF(ABS(K$3*10^12-$A39)&gt;(K$3*10^12-$A38),$A38,$A39)=K39,0,IF((K$3*10^12-$A39)*(K$3*10^12-$A38)*-1&lt;0,0,1)*IF(ABS(K$3*10^12-$A39)&gt;(K$3*10^12-$A38),$A38,$A39))</f>
        <v/>
      </c>
      <c r="L38">
        <f>IF(IF((L$3*10^12-$A39)*(L$3*10^12-$A38)*-1&lt;0,0,1)*IF(ABS(L$3*10^12-$A39)&gt;(L$3*10^12-$A38),$A38,$A39)=L39,0,IF((L$3*10^12-$A39)*(L$3*10^12-$A38)*-1&lt;0,0,1)*IF(ABS(L$3*10^12-$A39)&gt;(L$3*10^12-$A38),$A38,$A39))</f>
        <v/>
      </c>
      <c r="M38">
        <f>IF(IF((M$3*10^12-$A39)*(M$3*10^12-$A38)*-1&lt;0,0,1)*IF(ABS(M$3*10^12-$A39)&gt;(M$3*10^12-$A38),$A38,$A39)=M39,0,IF((M$3*10^12-$A39)*(M$3*10^12-$A38)*-1&lt;0,0,1)*IF(ABS(M$3*10^12-$A39)&gt;(M$3*10^12-$A38),$A38,$A39))</f>
        <v/>
      </c>
      <c r="N38">
        <f>IF(IF((N$3*10^12-$A39)*(N$3*10^12-$A38)*-1&lt;0,0,1)*IF(ABS(N$3*10^12-$A39)&gt;(N$3*10^12-$A38),$A38,$A39)=N39,0,IF((N$3*10^12-$A39)*(N$3*10^12-$A38)*-1&lt;0,0,1)*IF(ABS(N$3*10^12-$A39)&gt;(N$3*10^12-$A38),$A38,$A39))</f>
        <v/>
      </c>
      <c r="Q38" s="113" t="inlineStr">
        <is>
          <t>Cc4</t>
        </is>
      </c>
      <c r="R38">
        <f>J4*1000000000000&amp;" pF"</f>
        <v/>
      </c>
      <c r="S38">
        <f>J4*1000000000000</f>
        <v/>
      </c>
      <c r="T38" s="113" t="inlineStr">
        <is>
          <t>pF</t>
        </is>
      </c>
    </row>
    <row r="39">
      <c r="A39">
        <f>A27*10</f>
        <v/>
      </c>
      <c r="B39">
        <f>IF(IF((B$3*10^12-$A40)*(B$3*10^12-$A39)*-1&lt;0,0,1)*IF(ABS(B$3*10^12-$A40)&gt;(B$3*10^12-$A39),$A39,$A40)=B40,0,IF((B$3*10^12-$A40)*(B$3*10^12-$A39)*-1&lt;0,0,1)*IF(ABS(B$3*10^12-$A40)&gt;(B$3*10^12-$A39),$A39,$A40))</f>
        <v/>
      </c>
      <c r="C39">
        <f>IF(IF((C$3*10^12-$A40)*(C$3*10^12-$A39)*-1&lt;0,0,1)*IF(ABS(C$3*10^12-$A40)&gt;(C$3*10^12-$A39),$A39,$A40)=C40,0,IF((C$3*10^12-$A40)*(C$3*10^12-$A39)*-1&lt;0,0,1)*IF(ABS(C$3*10^12-$A40)&gt;(C$3*10^12-$A39),$A39,$A40))</f>
        <v/>
      </c>
      <c r="D39">
        <f>IF(IF((D$3*10^12-$A40)*(D$3*10^12-$A39)*-1&lt;0,0,1)*IF(ABS(D$3*10^12-$A40)&gt;(D$3*10^12-$A39),$A39,$A40)=D40,0,IF((D$3*10^12-$A40)*(D$3*10^12-$A39)*-1&lt;0,0,1)*IF(ABS(D$3*10^12-$A40)&gt;(D$3*10^12-$A39),$A39,$A40))</f>
        <v/>
      </c>
      <c r="E39">
        <f>IF(IF((E$3*10^12-$A40)*(E$3*10^12-$A39)*-1&lt;0,0,1)*IF(ABS(E$3*10^12-$A40)&gt;(E$3*10^12-$A39),$A39,$A40)=E40,0,IF((E$3*10^12-$A40)*(E$3*10^12-$A39)*-1&lt;0,0,1)*IF(ABS(E$3*10^12-$A40)&gt;(E$3*10^12-$A39),$A39,$A40))</f>
        <v/>
      </c>
      <c r="F39">
        <f>IF(IF((F$3*10^12-$A40)*(F$3*10^12-$A39)*-1&lt;0,0,1)*IF(ABS(F$3*10^12-$A40)&gt;(F$3*10^12-$A39),$A39,$A40)=F40,0,IF((F$3*10^12-$A40)*(F$3*10^12-$A39)*-1&lt;0,0,1)*IF(ABS(F$3*10^12-$A40)&gt;(F$3*10^12-$A39),$A39,$A40))</f>
        <v/>
      </c>
      <c r="G39">
        <f>IF(IF((G$3*10^12-$A40)*(G$3*10^12-$A39)*-1&lt;0,0,1)*IF(ABS(G$3*10^12-$A40)&gt;(G$3*10^12-$A39),$A39,$A40)=G40,0,IF((G$3*10^12-$A40)*(G$3*10^12-$A39)*-1&lt;0,0,1)*IF(ABS(G$3*10^12-$A40)&gt;(G$3*10^12-$A39),$A39,$A40))</f>
        <v/>
      </c>
      <c r="H39">
        <f>IF(IF((H$3*10^12-$A40)*(H$3*10^12-$A39)*-1&lt;0,0,1)*IF(ABS(H$3*10^12-$A40)&gt;(H$3*10^12-$A39),$A39,$A40)=H40,0,IF((H$3*10^12-$A40)*(H$3*10^12-$A39)*-1&lt;0,0,1)*IF(ABS(H$3*10^12-$A40)&gt;(H$3*10^12-$A39),$A39,$A40))</f>
        <v/>
      </c>
      <c r="I39">
        <f>IF(IF((I$3*10^12-$A40)*(I$3*10^12-$A39)*-1&lt;0,0,1)*IF(ABS(I$3*10^12-$A40)&gt;(I$3*10^12-$A39),$A39,$A40)=I40,0,IF((I$3*10^12-$A40)*(I$3*10^12-$A39)*-1&lt;0,0,1)*IF(ABS(I$3*10^12-$A40)&gt;(I$3*10^12-$A39),$A39,$A40))</f>
        <v/>
      </c>
      <c r="J39">
        <f>IF(IF((J$3*10^12-$A40)*(J$3*10^12-$A39)*-1&lt;0,0,1)*IF(ABS(J$3*10^12-$A40)&gt;(J$3*10^12-$A39),$A39,$A40)=J40,0,IF((J$3*10^12-$A40)*(J$3*10^12-$A39)*-1&lt;0,0,1)*IF(ABS(J$3*10^12-$A40)&gt;(J$3*10^12-$A39),$A39,$A40))</f>
        <v/>
      </c>
      <c r="K39">
        <f>IF(IF((K$3*10^12-$A40)*(K$3*10^12-$A39)*-1&lt;0,0,1)*IF(ABS(K$3*10^12-$A40)&gt;(K$3*10^12-$A39),$A39,$A40)=K40,0,IF((K$3*10^12-$A40)*(K$3*10^12-$A39)*-1&lt;0,0,1)*IF(ABS(K$3*10^12-$A40)&gt;(K$3*10^12-$A39),$A39,$A40))</f>
        <v/>
      </c>
      <c r="L39">
        <f>IF(IF((L$3*10^12-$A40)*(L$3*10^12-$A39)*-1&lt;0,0,1)*IF(ABS(L$3*10^12-$A40)&gt;(L$3*10^12-$A39),$A39,$A40)=L40,0,IF((L$3*10^12-$A40)*(L$3*10^12-$A39)*-1&lt;0,0,1)*IF(ABS(L$3*10^12-$A40)&gt;(L$3*10^12-$A39),$A39,$A40))</f>
        <v/>
      </c>
      <c r="M39">
        <f>IF(IF((M$3*10^12-$A40)*(M$3*10^12-$A39)*-1&lt;0,0,1)*IF(ABS(M$3*10^12-$A40)&gt;(M$3*10^12-$A39),$A39,$A40)=M40,0,IF((M$3*10^12-$A40)*(M$3*10^12-$A39)*-1&lt;0,0,1)*IF(ABS(M$3*10^12-$A40)&gt;(M$3*10^12-$A39),$A39,$A40))</f>
        <v/>
      </c>
      <c r="N39">
        <f>IF(IF((N$3*10^12-$A40)*(N$3*10^12-$A39)*-1&lt;0,0,1)*IF(ABS(N$3*10^12-$A40)&gt;(N$3*10^12-$A39),$A39,$A40)=N40,0,IF((N$3*10^12-$A40)*(N$3*10^12-$A39)*-1&lt;0,0,1)*IF(ABS(N$3*10^12-$A40)&gt;(N$3*10^12-$A39),$A39,$A40))</f>
        <v/>
      </c>
    </row>
    <row r="40">
      <c r="A40">
        <f>A28*10</f>
        <v/>
      </c>
      <c r="B40">
        <f>IF(IF((B$3*10^12-$A41)*(B$3*10^12-$A40)*-1&lt;0,0,1)*IF(ABS(B$3*10^12-$A41)&gt;(B$3*10^12-$A40),$A40,$A41)=B41,0,IF((B$3*10^12-$A41)*(B$3*10^12-$A40)*-1&lt;0,0,1)*IF(ABS(B$3*10^12-$A41)&gt;(B$3*10^12-$A40),$A40,$A41))</f>
        <v/>
      </c>
      <c r="C40">
        <f>IF(IF((C$3*10^12-$A41)*(C$3*10^12-$A40)*-1&lt;0,0,1)*IF(ABS(C$3*10^12-$A41)&gt;(C$3*10^12-$A40),$A40,$A41)=C41,0,IF((C$3*10^12-$A41)*(C$3*10^12-$A40)*-1&lt;0,0,1)*IF(ABS(C$3*10^12-$A41)&gt;(C$3*10^12-$A40),$A40,$A41))</f>
        <v/>
      </c>
      <c r="D40">
        <f>IF(IF((D$3*10^12-$A41)*(D$3*10^12-$A40)*-1&lt;0,0,1)*IF(ABS(D$3*10^12-$A41)&gt;(D$3*10^12-$A40),$A40,$A41)=D41,0,IF((D$3*10^12-$A41)*(D$3*10^12-$A40)*-1&lt;0,0,1)*IF(ABS(D$3*10^12-$A41)&gt;(D$3*10^12-$A40),$A40,$A41))</f>
        <v/>
      </c>
      <c r="E40">
        <f>IF(IF((E$3*10^12-$A41)*(E$3*10^12-$A40)*-1&lt;0,0,1)*IF(ABS(E$3*10^12-$A41)&gt;(E$3*10^12-$A40),$A40,$A41)=E41,0,IF((E$3*10^12-$A41)*(E$3*10^12-$A40)*-1&lt;0,0,1)*IF(ABS(E$3*10^12-$A41)&gt;(E$3*10^12-$A40),$A40,$A41))</f>
        <v/>
      </c>
      <c r="F40">
        <f>IF(IF((F$3*10^12-$A41)*(F$3*10^12-$A40)*-1&lt;0,0,1)*IF(ABS(F$3*10^12-$A41)&gt;(F$3*10^12-$A40),$A40,$A41)=F41,0,IF((F$3*10^12-$A41)*(F$3*10^12-$A40)*-1&lt;0,0,1)*IF(ABS(F$3*10^12-$A41)&gt;(F$3*10^12-$A40),$A40,$A41))</f>
        <v/>
      </c>
      <c r="G40">
        <f>IF(IF((G$3*10^12-$A41)*(G$3*10^12-$A40)*-1&lt;0,0,1)*IF(ABS(G$3*10^12-$A41)&gt;(G$3*10^12-$A40),$A40,$A41)=G41,0,IF((G$3*10^12-$A41)*(G$3*10^12-$A40)*-1&lt;0,0,1)*IF(ABS(G$3*10^12-$A41)&gt;(G$3*10^12-$A40),$A40,$A41))</f>
        <v/>
      </c>
      <c r="H40">
        <f>IF(IF((H$3*10^12-$A41)*(H$3*10^12-$A40)*-1&lt;0,0,1)*IF(ABS(H$3*10^12-$A41)&gt;(H$3*10^12-$A40),$A40,$A41)=H41,0,IF((H$3*10^12-$A41)*(H$3*10^12-$A40)*-1&lt;0,0,1)*IF(ABS(H$3*10^12-$A41)&gt;(H$3*10^12-$A40),$A40,$A41))</f>
        <v/>
      </c>
      <c r="I40">
        <f>IF(IF((I$3*10^12-$A41)*(I$3*10^12-$A40)*-1&lt;0,0,1)*IF(ABS(I$3*10^12-$A41)&gt;(I$3*10^12-$A40),$A40,$A41)=I41,0,IF((I$3*10^12-$A41)*(I$3*10^12-$A40)*-1&lt;0,0,1)*IF(ABS(I$3*10^12-$A41)&gt;(I$3*10^12-$A40),$A40,$A41))</f>
        <v/>
      </c>
      <c r="J40">
        <f>IF(IF((J$3*10^12-$A41)*(J$3*10^12-$A40)*-1&lt;0,0,1)*IF(ABS(J$3*10^12-$A41)&gt;(J$3*10^12-$A40),$A40,$A41)=J41,0,IF((J$3*10^12-$A41)*(J$3*10^12-$A40)*-1&lt;0,0,1)*IF(ABS(J$3*10^12-$A41)&gt;(J$3*10^12-$A40),$A40,$A41))</f>
        <v/>
      </c>
      <c r="K40">
        <f>IF(IF((K$3*10^12-$A41)*(K$3*10^12-$A40)*-1&lt;0,0,1)*IF(ABS(K$3*10^12-$A41)&gt;(K$3*10^12-$A40),$A40,$A41)=K41,0,IF((K$3*10^12-$A41)*(K$3*10^12-$A40)*-1&lt;0,0,1)*IF(ABS(K$3*10^12-$A41)&gt;(K$3*10^12-$A40),$A40,$A41))</f>
        <v/>
      </c>
      <c r="L40">
        <f>IF(IF((L$3*10^12-$A41)*(L$3*10^12-$A40)*-1&lt;0,0,1)*IF(ABS(L$3*10^12-$A41)&gt;(L$3*10^12-$A40),$A40,$A41)=L41,0,IF((L$3*10^12-$A41)*(L$3*10^12-$A40)*-1&lt;0,0,1)*IF(ABS(L$3*10^12-$A41)&gt;(L$3*10^12-$A40),$A40,$A41))</f>
        <v/>
      </c>
      <c r="M40">
        <f>IF(IF((M$3*10^12-$A41)*(M$3*10^12-$A40)*-1&lt;0,0,1)*IF(ABS(M$3*10^12-$A41)&gt;(M$3*10^12-$A40),$A40,$A41)=M41,0,IF((M$3*10^12-$A41)*(M$3*10^12-$A40)*-1&lt;0,0,1)*IF(ABS(M$3*10^12-$A41)&gt;(M$3*10^12-$A40),$A40,$A41))</f>
        <v/>
      </c>
      <c r="N40">
        <f>IF(IF((N$3*10^12-$A41)*(N$3*10^12-$A40)*-1&lt;0,0,1)*IF(ABS(N$3*10^12-$A41)&gt;(N$3*10^12-$A40),$A40,$A41)=N41,0,IF((N$3*10^12-$A41)*(N$3*10^12-$A40)*-1&lt;0,0,1)*IF(ABS(N$3*10^12-$A41)&gt;(N$3*10^12-$A40),$A40,$A41))</f>
        <v/>
      </c>
      <c r="Q40" s="113" t="inlineStr">
        <is>
          <t>Rent</t>
        </is>
      </c>
      <c r="R40" s="4">
        <f>'Variable Management'!B186/1000</f>
        <v/>
      </c>
      <c r="S40" s="2">
        <f>IF(R40&gt;(INT(0.5+100*POWER(10,IF(96*(LOG(R40)-INT(LOG(R40)))-ROUND(96*(LOG(R40)-INT(LOG(R40))),0)&lt;0,ROUND(96*(LOG(R40)-INT(LOG(R40))),0)-1,ROUND(96*(LOG(R40)-INT(LOG(R40))),0))/96))*POWER(10,INT(LOG(R40))-2)+INT(0.5+100*POWER(10,(IF(96*(LOG(R40)-INT(LOG(R40)))-ROUND(96*(LOG(R40)-INT(LOG(R40))),0)&lt;0,ROUND(96*(LOG(R40)-INT(LOG(R40))),0)-1,ROUND(96*(LOG(R40)-INT(LOG(R40))),0))+1)/96))*POWER(10,INT(LOG(R40))-2))/2,INT(0.5+100*POWER(10,(IF(96*(LOG(R40)-INT(LOG(R40)))-ROUND(96*(LOG(R40)-INT(LOG(R40))),0)&lt;0,ROUND(96*(LOG(R40)-INT(LOG(R40))),0)-1,ROUND(96*(LOG(R40)-INT(LOG(R40))),0))+1)/96))*POWER(10,INT(LOG(R40))-2),INT(0.5+100*POWER(10,IF(96*(LOG(R40)-INT(LOG(R40)))-ROUND(96*(LOG(R40)-INT(LOG(R40))),0)&lt;0,ROUND(96*(LOG(R40)-INT(LOG(R40))),0)-1,ROUND(96*(LOG(R40)-INT(LOG(R40))),0))/96))*POWER(10,INT(LOG(R40))-2))</f>
        <v/>
      </c>
      <c r="T40" s="45" t="inlineStr">
        <is>
          <t>kΩ</t>
        </is>
      </c>
    </row>
    <row r="41">
      <c r="A41">
        <f>A29*10</f>
        <v/>
      </c>
      <c r="B41">
        <f>IF(IF((B$3*10^12-$A42)*(B$3*10^12-$A41)*-1&lt;0,0,1)*IF(ABS(B$3*10^12-$A42)&gt;(B$3*10^12-$A41),$A41,$A42)=B42,0,IF((B$3*10^12-$A42)*(B$3*10^12-$A41)*-1&lt;0,0,1)*IF(ABS(B$3*10^12-$A42)&gt;(B$3*10^12-$A41),$A41,$A42))</f>
        <v/>
      </c>
      <c r="C41">
        <f>IF(IF((C$3*10^12-$A42)*(C$3*10^12-$A41)*-1&lt;0,0,1)*IF(ABS(C$3*10^12-$A42)&gt;(C$3*10^12-$A41),$A41,$A42)=C42,0,IF((C$3*10^12-$A42)*(C$3*10^12-$A41)*-1&lt;0,0,1)*IF(ABS(C$3*10^12-$A42)&gt;(C$3*10^12-$A41),$A41,$A42))</f>
        <v/>
      </c>
      <c r="D41">
        <f>IF(IF((D$3*10^12-$A42)*(D$3*10^12-$A41)*-1&lt;0,0,1)*IF(ABS(D$3*10^12-$A42)&gt;(D$3*10^12-$A41),$A41,$A42)=D42,0,IF((D$3*10^12-$A42)*(D$3*10^12-$A41)*-1&lt;0,0,1)*IF(ABS(D$3*10^12-$A42)&gt;(D$3*10^12-$A41),$A41,$A42))</f>
        <v/>
      </c>
      <c r="E41">
        <f>IF(IF((E$3*10^12-$A42)*(E$3*10^12-$A41)*-1&lt;0,0,1)*IF(ABS(E$3*10^12-$A42)&gt;(E$3*10^12-$A41),$A41,$A42)=E42,0,IF((E$3*10^12-$A42)*(E$3*10^12-$A41)*-1&lt;0,0,1)*IF(ABS(E$3*10^12-$A42)&gt;(E$3*10^12-$A41),$A41,$A42))</f>
        <v/>
      </c>
      <c r="F41">
        <f>IF(IF((F$3*10^12-$A42)*(F$3*10^12-$A41)*-1&lt;0,0,1)*IF(ABS(F$3*10^12-$A42)&gt;(F$3*10^12-$A41),$A41,$A42)=F42,0,IF((F$3*10^12-$A42)*(F$3*10^12-$A41)*-1&lt;0,0,1)*IF(ABS(F$3*10^12-$A42)&gt;(F$3*10^12-$A41),$A41,$A42))</f>
        <v/>
      </c>
      <c r="G41">
        <f>IF(IF((G$3*10^12-$A42)*(G$3*10^12-$A41)*-1&lt;0,0,1)*IF(ABS(G$3*10^12-$A42)&gt;(G$3*10^12-$A41),$A41,$A42)=G42,0,IF((G$3*10^12-$A42)*(G$3*10^12-$A41)*-1&lt;0,0,1)*IF(ABS(G$3*10^12-$A42)&gt;(G$3*10^12-$A41),$A41,$A42))</f>
        <v/>
      </c>
      <c r="H41">
        <f>IF(IF((H$3*10^12-$A42)*(H$3*10^12-$A41)*-1&lt;0,0,1)*IF(ABS(H$3*10^12-$A42)&gt;(H$3*10^12-$A41),$A41,$A42)=H42,0,IF((H$3*10^12-$A42)*(H$3*10^12-$A41)*-1&lt;0,0,1)*IF(ABS(H$3*10^12-$A42)&gt;(H$3*10^12-$A41),$A41,$A42))</f>
        <v/>
      </c>
      <c r="I41">
        <f>IF(IF((I$3*10^12-$A42)*(I$3*10^12-$A41)*-1&lt;0,0,1)*IF(ABS(I$3*10^12-$A42)&gt;(I$3*10^12-$A41),$A41,$A42)=I42,0,IF((I$3*10^12-$A42)*(I$3*10^12-$A41)*-1&lt;0,0,1)*IF(ABS(I$3*10^12-$A42)&gt;(I$3*10^12-$A41),$A41,$A42))</f>
        <v/>
      </c>
      <c r="J41">
        <f>IF(IF((J$3*10^12-$A42)*(J$3*10^12-$A41)*-1&lt;0,0,1)*IF(ABS(J$3*10^12-$A42)&gt;(J$3*10^12-$A41),$A41,$A42)=J42,0,IF((J$3*10^12-$A42)*(J$3*10^12-$A41)*-1&lt;0,0,1)*IF(ABS(J$3*10^12-$A42)&gt;(J$3*10^12-$A41),$A41,$A42))</f>
        <v/>
      </c>
      <c r="K41">
        <f>IF(IF((K$3*10^12-$A42)*(K$3*10^12-$A41)*-1&lt;0,0,1)*IF(ABS(K$3*10^12-$A42)&gt;(K$3*10^12-$A41),$A41,$A42)=K42,0,IF((K$3*10^12-$A42)*(K$3*10^12-$A41)*-1&lt;0,0,1)*IF(ABS(K$3*10^12-$A42)&gt;(K$3*10^12-$A41),$A41,$A42))</f>
        <v/>
      </c>
      <c r="L41">
        <f>IF(IF((L$3*10^12-$A42)*(L$3*10^12-$A41)*-1&lt;0,0,1)*IF(ABS(L$3*10^12-$A42)&gt;(L$3*10^12-$A41),$A41,$A42)=L42,0,IF((L$3*10^12-$A42)*(L$3*10^12-$A41)*-1&lt;0,0,1)*IF(ABS(L$3*10^12-$A42)&gt;(L$3*10^12-$A41),$A41,$A42))</f>
        <v/>
      </c>
      <c r="M41">
        <f>IF(IF((M$3*10^12-$A42)*(M$3*10^12-$A41)*-1&lt;0,0,1)*IF(ABS(M$3*10^12-$A42)&gt;(M$3*10^12-$A41),$A41,$A42)=M42,0,IF((M$3*10^12-$A42)*(M$3*10^12-$A41)*-1&lt;0,0,1)*IF(ABS(M$3*10^12-$A42)&gt;(M$3*10^12-$A41),$A41,$A42))</f>
        <v/>
      </c>
      <c r="N41">
        <f>IF(IF((N$3*10^12-$A42)*(N$3*10^12-$A41)*-1&lt;0,0,1)*IF(ABS(N$3*10^12-$A42)&gt;(N$3*10^12-$A41),$A41,$A42)=N42,0,IF((N$3*10^12-$A42)*(N$3*10^12-$A41)*-1&lt;0,0,1)*IF(ABS(N$3*10^12-$A42)&gt;(N$3*10^12-$A41),$A41,$A42))</f>
        <v/>
      </c>
      <c r="Q41" s="113" t="inlineStr">
        <is>
          <t>Renb</t>
        </is>
      </c>
      <c r="R41">
        <f>'Variable Management'!B187/1000</f>
        <v/>
      </c>
      <c r="S41" s="2">
        <f>IF(R41&gt;(INT(0.5+100*POWER(10,IF(96*(LOG(R41)-INT(LOG(R41)))-ROUND(96*(LOG(R41)-INT(LOG(R41))),0)&lt;0,ROUND(96*(LOG(R41)-INT(LOG(R41))),0)-1,ROUND(96*(LOG(R41)-INT(LOG(R41))),0))/96))*POWER(10,INT(LOG(R41))-2)+INT(0.5+100*POWER(10,(IF(96*(LOG(R41)-INT(LOG(R41)))-ROUND(96*(LOG(R41)-INT(LOG(R41))),0)&lt;0,ROUND(96*(LOG(R41)-INT(LOG(R41))),0)-1,ROUND(96*(LOG(R41)-INT(LOG(R41))),0))+1)/96))*POWER(10,INT(LOG(R41))-2))/2,INT(0.5+100*POWER(10,(IF(96*(LOG(R41)-INT(LOG(R41)))-ROUND(96*(LOG(R41)-INT(LOG(R41))),0)&lt;0,ROUND(96*(LOG(R41)-INT(LOG(R41))),0)-1,ROUND(96*(LOG(R41)-INT(LOG(R41))),0))+1)/96))*POWER(10,INT(LOG(R41))-2),INT(0.5+100*POWER(10,IF(96*(LOG(R41)-INT(LOG(R41)))-ROUND(96*(LOG(R41)-INT(LOG(R41))),0)&lt;0,ROUND(96*(LOG(R41)-INT(LOG(R41))),0)-1,ROUND(96*(LOG(R41)-INT(LOG(R41))),0))/96))*POWER(10,INT(LOG(R41))-2))</f>
        <v/>
      </c>
      <c r="T41" s="45" t="inlineStr">
        <is>
          <t>kΩ</t>
        </is>
      </c>
    </row>
    <row r="42">
      <c r="A42">
        <f>A30*10</f>
        <v/>
      </c>
      <c r="B42">
        <f>IF(IF((B$3*10^12-$A43)*(B$3*10^12-$A42)*-1&lt;0,0,1)*IF(ABS(B$3*10^12-$A43)&gt;(B$3*10^12-$A42),$A42,$A43)=B43,0,IF((B$3*10^12-$A43)*(B$3*10^12-$A42)*-1&lt;0,0,1)*IF(ABS(B$3*10^12-$A43)&gt;(B$3*10^12-$A42),$A42,$A43))</f>
        <v/>
      </c>
      <c r="C42">
        <f>IF(IF((C$3*10^12-$A43)*(C$3*10^12-$A42)*-1&lt;0,0,1)*IF(ABS(C$3*10^12-$A43)&gt;(C$3*10^12-$A42),$A42,$A43)=C43,0,IF((C$3*10^12-$A43)*(C$3*10^12-$A42)*-1&lt;0,0,1)*IF(ABS(C$3*10^12-$A43)&gt;(C$3*10^12-$A42),$A42,$A43))</f>
        <v/>
      </c>
      <c r="D42">
        <f>IF(IF((D$3*10^12-$A43)*(D$3*10^12-$A42)*-1&lt;0,0,1)*IF(ABS(D$3*10^12-$A43)&gt;(D$3*10^12-$A42),$A42,$A43)=D43,0,IF((D$3*10^12-$A43)*(D$3*10^12-$A42)*-1&lt;0,0,1)*IF(ABS(D$3*10^12-$A43)&gt;(D$3*10^12-$A42),$A42,$A43))</f>
        <v/>
      </c>
      <c r="E42">
        <f>IF(IF((E$3*10^12-$A43)*(E$3*10^12-$A42)*-1&lt;0,0,1)*IF(ABS(E$3*10^12-$A43)&gt;(E$3*10^12-$A42),$A42,$A43)=E43,0,IF((E$3*10^12-$A43)*(E$3*10^12-$A42)*-1&lt;0,0,1)*IF(ABS(E$3*10^12-$A43)&gt;(E$3*10^12-$A42),$A42,$A43))</f>
        <v/>
      </c>
      <c r="F42">
        <f>IF(IF((F$3*10^12-$A43)*(F$3*10^12-$A42)*-1&lt;0,0,1)*IF(ABS(F$3*10^12-$A43)&gt;(F$3*10^12-$A42),$A42,$A43)=F43,0,IF((F$3*10^12-$A43)*(F$3*10^12-$A42)*-1&lt;0,0,1)*IF(ABS(F$3*10^12-$A43)&gt;(F$3*10^12-$A42),$A42,$A43))</f>
        <v/>
      </c>
      <c r="G42">
        <f>IF(IF((G$3*10^12-$A43)*(G$3*10^12-$A42)*-1&lt;0,0,1)*IF(ABS(G$3*10^12-$A43)&gt;(G$3*10^12-$A42),$A42,$A43)=G43,0,IF((G$3*10^12-$A43)*(G$3*10^12-$A42)*-1&lt;0,0,1)*IF(ABS(G$3*10^12-$A43)&gt;(G$3*10^12-$A42),$A42,$A43))</f>
        <v/>
      </c>
      <c r="H42">
        <f>IF(IF((H$3*10^12-$A43)*(H$3*10^12-$A42)*-1&lt;0,0,1)*IF(ABS(H$3*10^12-$A43)&gt;(H$3*10^12-$A42),$A42,$A43)=H43,0,IF((H$3*10^12-$A43)*(H$3*10^12-$A42)*-1&lt;0,0,1)*IF(ABS(H$3*10^12-$A43)&gt;(H$3*10^12-$A42),$A42,$A43))</f>
        <v/>
      </c>
      <c r="I42">
        <f>IF(IF((I$3*10^12-$A43)*(I$3*10^12-$A42)*-1&lt;0,0,1)*IF(ABS(I$3*10^12-$A43)&gt;(I$3*10^12-$A42),$A42,$A43)=I43,0,IF((I$3*10^12-$A43)*(I$3*10^12-$A42)*-1&lt;0,0,1)*IF(ABS(I$3*10^12-$A43)&gt;(I$3*10^12-$A42),$A42,$A43))</f>
        <v/>
      </c>
      <c r="J42">
        <f>IF(IF((J$3*10^12-$A43)*(J$3*10^12-$A42)*-1&lt;0,0,1)*IF(ABS(J$3*10^12-$A43)&gt;(J$3*10^12-$A42),$A42,$A43)=J43,0,IF((J$3*10^12-$A43)*(J$3*10^12-$A42)*-1&lt;0,0,1)*IF(ABS(J$3*10^12-$A43)&gt;(J$3*10^12-$A42),$A42,$A43))</f>
        <v/>
      </c>
      <c r="K42">
        <f>IF(IF((K$3*10^12-$A43)*(K$3*10^12-$A42)*-1&lt;0,0,1)*IF(ABS(K$3*10^12-$A43)&gt;(K$3*10^12-$A42),$A42,$A43)=K43,0,IF((K$3*10^12-$A43)*(K$3*10^12-$A42)*-1&lt;0,0,1)*IF(ABS(K$3*10^12-$A43)&gt;(K$3*10^12-$A42),$A42,$A43))</f>
        <v/>
      </c>
      <c r="L42">
        <f>IF(IF((L$3*10^12-$A43)*(L$3*10^12-$A42)*-1&lt;0,0,1)*IF(ABS(L$3*10^12-$A43)&gt;(L$3*10^12-$A42),$A42,$A43)=L43,0,IF((L$3*10^12-$A43)*(L$3*10^12-$A42)*-1&lt;0,0,1)*IF(ABS(L$3*10^12-$A43)&gt;(L$3*10^12-$A42),$A42,$A43))</f>
        <v/>
      </c>
      <c r="M42">
        <f>IF(IF((M$3*10^12-$A43)*(M$3*10^12-$A42)*-1&lt;0,0,1)*IF(ABS(M$3*10^12-$A43)&gt;(M$3*10^12-$A42),$A42,$A43)=M43,0,IF((M$3*10^12-$A43)*(M$3*10^12-$A42)*-1&lt;0,0,1)*IF(ABS(M$3*10^12-$A43)&gt;(M$3*10^12-$A42),$A42,$A43))</f>
        <v/>
      </c>
      <c r="N42">
        <f>IF(IF((N$3*10^12-$A43)*(N$3*10^12-$A42)*-1&lt;0,0,1)*IF(ABS(N$3*10^12-$A43)&gt;(N$3*10^12-$A42),$A42,$A43)=N43,0,IF((N$3*10^12-$A43)*(N$3*10^12-$A42)*-1&lt;0,0,1)*IF(ABS(N$3*10^12-$A43)&gt;(N$3*10^12-$A42),$A42,$A43))</f>
        <v/>
      </c>
    </row>
    <row r="43">
      <c r="A43">
        <f>A31*10</f>
        <v/>
      </c>
      <c r="B43">
        <f>IF(IF((B$3*10^12-$A44)*(B$3*10^12-$A43)*-1&lt;0,0,1)*IF(ABS(B$3*10^12-$A44)&gt;(B$3*10^12-$A43),$A43,$A44)=B44,0,IF((B$3*10^12-$A44)*(B$3*10^12-$A43)*-1&lt;0,0,1)*IF(ABS(B$3*10^12-$A44)&gt;(B$3*10^12-$A43),$A43,$A44))</f>
        <v/>
      </c>
      <c r="C43">
        <f>IF(IF((C$3*10^12-$A44)*(C$3*10^12-$A43)*-1&lt;0,0,1)*IF(ABS(C$3*10^12-$A44)&gt;(C$3*10^12-$A43),$A43,$A44)=C44,0,IF((C$3*10^12-$A44)*(C$3*10^12-$A43)*-1&lt;0,0,1)*IF(ABS(C$3*10^12-$A44)&gt;(C$3*10^12-$A43),$A43,$A44))</f>
        <v/>
      </c>
      <c r="D43">
        <f>IF(IF((D$3*10^12-$A44)*(D$3*10^12-$A43)*-1&lt;0,0,1)*IF(ABS(D$3*10^12-$A44)&gt;(D$3*10^12-$A43),$A43,$A44)=D44,0,IF((D$3*10^12-$A44)*(D$3*10^12-$A43)*-1&lt;0,0,1)*IF(ABS(D$3*10^12-$A44)&gt;(D$3*10^12-$A43),$A43,$A44))</f>
        <v/>
      </c>
      <c r="E43">
        <f>IF(IF((E$3*10^12-$A44)*(E$3*10^12-$A43)*-1&lt;0,0,1)*IF(ABS(E$3*10^12-$A44)&gt;(E$3*10^12-$A43),$A43,$A44)=E44,0,IF((E$3*10^12-$A44)*(E$3*10^12-$A43)*-1&lt;0,0,1)*IF(ABS(E$3*10^12-$A44)&gt;(E$3*10^12-$A43),$A43,$A44))</f>
        <v/>
      </c>
      <c r="F43">
        <f>IF(IF((F$3*10^12-$A44)*(F$3*10^12-$A43)*-1&lt;0,0,1)*IF(ABS(F$3*10^12-$A44)&gt;(F$3*10^12-$A43),$A43,$A44)=F44,0,IF((F$3*10^12-$A44)*(F$3*10^12-$A43)*-1&lt;0,0,1)*IF(ABS(F$3*10^12-$A44)&gt;(F$3*10^12-$A43),$A43,$A44))</f>
        <v/>
      </c>
      <c r="G43">
        <f>IF(IF((G$3*10^12-$A44)*(G$3*10^12-$A43)*-1&lt;0,0,1)*IF(ABS(G$3*10^12-$A44)&gt;(G$3*10^12-$A43),$A43,$A44)=G44,0,IF((G$3*10^12-$A44)*(G$3*10^12-$A43)*-1&lt;0,0,1)*IF(ABS(G$3*10^12-$A44)&gt;(G$3*10^12-$A43),$A43,$A44))</f>
        <v/>
      </c>
      <c r="H43">
        <f>IF(IF((H$3*10^12-$A44)*(H$3*10^12-$A43)*-1&lt;0,0,1)*IF(ABS(H$3*10^12-$A44)&gt;(H$3*10^12-$A43),$A43,$A44)=H44,0,IF((H$3*10^12-$A44)*(H$3*10^12-$A43)*-1&lt;0,0,1)*IF(ABS(H$3*10^12-$A44)&gt;(H$3*10^12-$A43),$A43,$A44))</f>
        <v/>
      </c>
      <c r="I43">
        <f>IF(IF((I$3*10^12-$A44)*(I$3*10^12-$A43)*-1&lt;0,0,1)*IF(ABS(I$3*10^12-$A44)&gt;(I$3*10^12-$A43),$A43,$A44)=I44,0,IF((I$3*10^12-$A44)*(I$3*10^12-$A43)*-1&lt;0,0,1)*IF(ABS(I$3*10^12-$A44)&gt;(I$3*10^12-$A43),$A43,$A44))</f>
        <v/>
      </c>
      <c r="J43">
        <f>IF(IF((J$3*10^12-$A44)*(J$3*10^12-$A43)*-1&lt;0,0,1)*IF(ABS(J$3*10^12-$A44)&gt;(J$3*10^12-$A43),$A43,$A44)=J44,0,IF((J$3*10^12-$A44)*(J$3*10^12-$A43)*-1&lt;0,0,1)*IF(ABS(J$3*10^12-$A44)&gt;(J$3*10^12-$A43),$A43,$A44))</f>
        <v/>
      </c>
      <c r="K43">
        <f>IF(IF((K$3*10^12-$A44)*(K$3*10^12-$A43)*-1&lt;0,0,1)*IF(ABS(K$3*10^12-$A44)&gt;(K$3*10^12-$A43),$A43,$A44)=K44,0,IF((K$3*10^12-$A44)*(K$3*10^12-$A43)*-1&lt;0,0,1)*IF(ABS(K$3*10^12-$A44)&gt;(K$3*10^12-$A43),$A43,$A44))</f>
        <v/>
      </c>
      <c r="L43">
        <f>IF(IF((L$3*10^12-$A44)*(L$3*10^12-$A43)*-1&lt;0,0,1)*IF(ABS(L$3*10^12-$A44)&gt;(L$3*10^12-$A43),$A43,$A44)=L44,0,IF((L$3*10^12-$A44)*(L$3*10^12-$A43)*-1&lt;0,0,1)*IF(ABS(L$3*10^12-$A44)&gt;(L$3*10^12-$A43),$A43,$A44))</f>
        <v/>
      </c>
      <c r="M43">
        <f>IF(IF((M$3*10^12-$A44)*(M$3*10^12-$A43)*-1&lt;0,0,1)*IF(ABS(M$3*10^12-$A44)&gt;(M$3*10^12-$A43),$A43,$A44)=M44,0,IF((M$3*10^12-$A44)*(M$3*10^12-$A43)*-1&lt;0,0,1)*IF(ABS(M$3*10^12-$A44)&gt;(M$3*10^12-$A43),$A43,$A44))</f>
        <v/>
      </c>
      <c r="N43">
        <f>IF(IF((N$3*10^12-$A44)*(N$3*10^12-$A43)*-1&lt;0,0,1)*IF(ABS(N$3*10^12-$A44)&gt;(N$3*10^12-$A43),$A43,$A44)=N44,0,IF((N$3*10^12-$A44)*(N$3*10^12-$A43)*-1&lt;0,0,1)*IF(ABS(N$3*10^12-$A44)&gt;(N$3*10^12-$A43),$A43,$A44))</f>
        <v/>
      </c>
    </row>
    <row r="44">
      <c r="A44">
        <f>A32*10</f>
        <v/>
      </c>
      <c r="B44">
        <f>IF(IF((B$3*10^12-$A45)*(B$3*10^12-$A44)*-1&lt;0,0,1)*IF(ABS(B$3*10^12-$A45)&gt;(B$3*10^12-$A44),$A44,$A45)=B45,0,IF((B$3*10^12-$A45)*(B$3*10^12-$A44)*-1&lt;0,0,1)*IF(ABS(B$3*10^12-$A45)&gt;(B$3*10^12-$A44),$A44,$A45))</f>
        <v/>
      </c>
      <c r="C44">
        <f>IF(IF((C$3*10^12-$A45)*(C$3*10^12-$A44)*-1&lt;0,0,1)*IF(ABS(C$3*10^12-$A45)&gt;(C$3*10^12-$A44),$A44,$A45)=C45,0,IF((C$3*10^12-$A45)*(C$3*10^12-$A44)*-1&lt;0,0,1)*IF(ABS(C$3*10^12-$A45)&gt;(C$3*10^12-$A44),$A44,$A45))</f>
        <v/>
      </c>
      <c r="D44">
        <f>IF(IF((D$3*10^12-$A45)*(D$3*10^12-$A44)*-1&lt;0,0,1)*IF(ABS(D$3*10^12-$A45)&gt;(D$3*10^12-$A44),$A44,$A45)=D45,0,IF((D$3*10^12-$A45)*(D$3*10^12-$A44)*-1&lt;0,0,1)*IF(ABS(D$3*10^12-$A45)&gt;(D$3*10^12-$A44),$A44,$A45))</f>
        <v/>
      </c>
      <c r="E44">
        <f>IF(IF((E$3*10^12-$A45)*(E$3*10^12-$A44)*-1&lt;0,0,1)*IF(ABS(E$3*10^12-$A45)&gt;(E$3*10^12-$A44),$A44,$A45)=E45,0,IF((E$3*10^12-$A45)*(E$3*10^12-$A44)*-1&lt;0,0,1)*IF(ABS(E$3*10^12-$A45)&gt;(E$3*10^12-$A44),$A44,$A45))</f>
        <v/>
      </c>
      <c r="F44">
        <f>IF(IF((F$3*10^12-$A45)*(F$3*10^12-$A44)*-1&lt;0,0,1)*IF(ABS(F$3*10^12-$A45)&gt;(F$3*10^12-$A44),$A44,$A45)=F45,0,IF((F$3*10^12-$A45)*(F$3*10^12-$A44)*-1&lt;0,0,1)*IF(ABS(F$3*10^12-$A45)&gt;(F$3*10^12-$A44),$A44,$A45))</f>
        <v/>
      </c>
      <c r="G44">
        <f>IF(IF((G$3*10^12-$A45)*(G$3*10^12-$A44)*-1&lt;0,0,1)*IF(ABS(G$3*10^12-$A45)&gt;(G$3*10^12-$A44),$A44,$A45)=G45,0,IF((G$3*10^12-$A45)*(G$3*10^12-$A44)*-1&lt;0,0,1)*IF(ABS(G$3*10^12-$A45)&gt;(G$3*10^12-$A44),$A44,$A45))</f>
        <v/>
      </c>
      <c r="H44">
        <f>IF(IF((H$3*10^12-$A45)*(H$3*10^12-$A44)*-1&lt;0,0,1)*IF(ABS(H$3*10^12-$A45)&gt;(H$3*10^12-$A44),$A44,$A45)=H45,0,IF((H$3*10^12-$A45)*(H$3*10^12-$A44)*-1&lt;0,0,1)*IF(ABS(H$3*10^12-$A45)&gt;(H$3*10^12-$A44),$A44,$A45))</f>
        <v/>
      </c>
      <c r="I44">
        <f>IF(IF((I$3*10^12-$A45)*(I$3*10^12-$A44)*-1&lt;0,0,1)*IF(ABS(I$3*10^12-$A45)&gt;(I$3*10^12-$A44),$A44,$A45)=I45,0,IF((I$3*10^12-$A45)*(I$3*10^12-$A44)*-1&lt;0,0,1)*IF(ABS(I$3*10^12-$A45)&gt;(I$3*10^12-$A44),$A44,$A45))</f>
        <v/>
      </c>
      <c r="J44">
        <f>IF(IF((J$3*10^12-$A45)*(J$3*10^12-$A44)*-1&lt;0,0,1)*IF(ABS(J$3*10^12-$A45)&gt;(J$3*10^12-$A44),$A44,$A45)=J45,0,IF((J$3*10^12-$A45)*(J$3*10^12-$A44)*-1&lt;0,0,1)*IF(ABS(J$3*10^12-$A45)&gt;(J$3*10^12-$A44),$A44,$A45))</f>
        <v/>
      </c>
      <c r="K44">
        <f>IF(IF((K$3*10^12-$A45)*(K$3*10^12-$A44)*-1&lt;0,0,1)*IF(ABS(K$3*10^12-$A45)&gt;(K$3*10^12-$A44),$A44,$A45)=K45,0,IF((K$3*10^12-$A45)*(K$3*10^12-$A44)*-1&lt;0,0,1)*IF(ABS(K$3*10^12-$A45)&gt;(K$3*10^12-$A44),$A44,$A45))</f>
        <v/>
      </c>
      <c r="L44">
        <f>IF(IF((L$3*10^12-$A45)*(L$3*10^12-$A44)*-1&lt;0,0,1)*IF(ABS(L$3*10^12-$A45)&gt;(L$3*10^12-$A44),$A44,$A45)=L45,0,IF((L$3*10^12-$A45)*(L$3*10^12-$A44)*-1&lt;0,0,1)*IF(ABS(L$3*10^12-$A45)&gt;(L$3*10^12-$A44),$A44,$A45))</f>
        <v/>
      </c>
      <c r="M44">
        <f>IF(IF((M$3*10^12-$A45)*(M$3*10^12-$A44)*-1&lt;0,0,1)*IF(ABS(M$3*10^12-$A45)&gt;(M$3*10^12-$A44),$A44,$A45)=M45,0,IF((M$3*10^12-$A45)*(M$3*10^12-$A44)*-1&lt;0,0,1)*IF(ABS(M$3*10^12-$A45)&gt;(M$3*10^12-$A44),$A44,$A45))</f>
        <v/>
      </c>
      <c r="N44">
        <f>IF(IF((N$3*10^12-$A45)*(N$3*10^12-$A44)*-1&lt;0,0,1)*IF(ABS(N$3*10^12-$A45)&gt;(N$3*10^12-$A44),$A44,$A45)=N45,0,IF((N$3*10^12-$A45)*(N$3*10^12-$A44)*-1&lt;0,0,1)*IF(ABS(N$3*10^12-$A45)&gt;(N$3*10^12-$A44),$A44,$A45))</f>
        <v/>
      </c>
    </row>
    <row r="45">
      <c r="A45">
        <f>A33*10</f>
        <v/>
      </c>
      <c r="B45">
        <f>IF(IF((B$3*10^12-$A46)*(B$3*10^12-$A45)*-1&lt;0,0,1)*IF(ABS(B$3*10^12-$A46)&gt;(B$3*10^12-$A45),$A45,$A46)=B46,0,IF((B$3*10^12-$A46)*(B$3*10^12-$A45)*-1&lt;0,0,1)*IF(ABS(B$3*10^12-$A46)&gt;(B$3*10^12-$A45),$A45,$A46))</f>
        <v/>
      </c>
      <c r="C45">
        <f>IF(IF((C$3*10^12-$A46)*(C$3*10^12-$A45)*-1&lt;0,0,1)*IF(ABS(C$3*10^12-$A46)&gt;(C$3*10^12-$A45),$A45,$A46)=C46,0,IF((C$3*10^12-$A46)*(C$3*10^12-$A45)*-1&lt;0,0,1)*IF(ABS(C$3*10^12-$A46)&gt;(C$3*10^12-$A45),$A45,$A46))</f>
        <v/>
      </c>
      <c r="D45">
        <f>IF(IF((D$3*10^12-$A46)*(D$3*10^12-$A45)*-1&lt;0,0,1)*IF(ABS(D$3*10^12-$A46)&gt;(D$3*10^12-$A45),$A45,$A46)=D46,0,IF((D$3*10^12-$A46)*(D$3*10^12-$A45)*-1&lt;0,0,1)*IF(ABS(D$3*10^12-$A46)&gt;(D$3*10^12-$A45),$A45,$A46))</f>
        <v/>
      </c>
      <c r="E45">
        <f>IF(IF((E$3*10^12-$A46)*(E$3*10^12-$A45)*-1&lt;0,0,1)*IF(ABS(E$3*10^12-$A46)&gt;(E$3*10^12-$A45),$A45,$A46)=E46,0,IF((E$3*10^12-$A46)*(E$3*10^12-$A45)*-1&lt;0,0,1)*IF(ABS(E$3*10^12-$A46)&gt;(E$3*10^12-$A45),$A45,$A46))</f>
        <v/>
      </c>
      <c r="F45">
        <f>IF(IF((F$3*10^12-$A46)*(F$3*10^12-$A45)*-1&lt;0,0,1)*IF(ABS(F$3*10^12-$A46)&gt;(F$3*10^12-$A45),$A45,$A46)=F46,0,IF((F$3*10^12-$A46)*(F$3*10^12-$A45)*-1&lt;0,0,1)*IF(ABS(F$3*10^12-$A46)&gt;(F$3*10^12-$A45),$A45,$A46))</f>
        <v/>
      </c>
      <c r="G45">
        <f>IF(IF((G$3*10^12-$A46)*(G$3*10^12-$A45)*-1&lt;0,0,1)*IF(ABS(G$3*10^12-$A46)&gt;(G$3*10^12-$A45),$A45,$A46)=G46,0,IF((G$3*10^12-$A46)*(G$3*10^12-$A45)*-1&lt;0,0,1)*IF(ABS(G$3*10^12-$A46)&gt;(G$3*10^12-$A45),$A45,$A46))</f>
        <v/>
      </c>
      <c r="H45">
        <f>IF(IF((H$3*10^12-$A46)*(H$3*10^12-$A45)*-1&lt;0,0,1)*IF(ABS(H$3*10^12-$A46)&gt;(H$3*10^12-$A45),$A45,$A46)=H46,0,IF((H$3*10^12-$A46)*(H$3*10^12-$A45)*-1&lt;0,0,1)*IF(ABS(H$3*10^12-$A46)&gt;(H$3*10^12-$A45),$A45,$A46))</f>
        <v/>
      </c>
      <c r="I45">
        <f>IF(IF((I$3*10^12-$A46)*(I$3*10^12-$A45)*-1&lt;0,0,1)*IF(ABS(I$3*10^12-$A46)&gt;(I$3*10^12-$A45),$A45,$A46)=I46,0,IF((I$3*10^12-$A46)*(I$3*10^12-$A45)*-1&lt;0,0,1)*IF(ABS(I$3*10^12-$A46)&gt;(I$3*10^12-$A45),$A45,$A46))</f>
        <v/>
      </c>
      <c r="J45">
        <f>IF(IF((J$3*10^12-$A46)*(J$3*10^12-$A45)*-1&lt;0,0,1)*IF(ABS(J$3*10^12-$A46)&gt;(J$3*10^12-$A45),$A45,$A46)=J46,0,IF((J$3*10^12-$A46)*(J$3*10^12-$A45)*-1&lt;0,0,1)*IF(ABS(J$3*10^12-$A46)&gt;(J$3*10^12-$A45),$A45,$A46))</f>
        <v/>
      </c>
      <c r="K45">
        <f>IF(IF((K$3*10^12-$A46)*(K$3*10^12-$A45)*-1&lt;0,0,1)*IF(ABS(K$3*10^12-$A46)&gt;(K$3*10^12-$A45),$A45,$A46)=K46,0,IF((K$3*10^12-$A46)*(K$3*10^12-$A45)*-1&lt;0,0,1)*IF(ABS(K$3*10^12-$A46)&gt;(K$3*10^12-$A45),$A45,$A46))</f>
        <v/>
      </c>
      <c r="L45">
        <f>IF(IF((L$3*10^12-$A46)*(L$3*10^12-$A45)*-1&lt;0,0,1)*IF(ABS(L$3*10^12-$A46)&gt;(L$3*10^12-$A45),$A45,$A46)=L46,0,IF((L$3*10^12-$A46)*(L$3*10^12-$A45)*-1&lt;0,0,1)*IF(ABS(L$3*10^12-$A46)&gt;(L$3*10^12-$A45),$A45,$A46))</f>
        <v/>
      </c>
      <c r="M45">
        <f>IF(IF((M$3*10^12-$A46)*(M$3*10^12-$A45)*-1&lt;0,0,1)*IF(ABS(M$3*10^12-$A46)&gt;(M$3*10^12-$A45),$A45,$A46)=M46,0,IF((M$3*10^12-$A46)*(M$3*10^12-$A45)*-1&lt;0,0,1)*IF(ABS(M$3*10^12-$A46)&gt;(M$3*10^12-$A45),$A45,$A46))</f>
        <v/>
      </c>
      <c r="N45">
        <f>IF(IF((N$3*10^12-$A46)*(N$3*10^12-$A45)*-1&lt;0,0,1)*IF(ABS(N$3*10^12-$A46)&gt;(N$3*10^12-$A45),$A45,$A46)=N46,0,IF((N$3*10^12-$A46)*(N$3*10^12-$A45)*-1&lt;0,0,1)*IF(ABS(N$3*10^12-$A46)&gt;(N$3*10^12-$A45),$A45,$A46))</f>
        <v/>
      </c>
    </row>
    <row r="46">
      <c r="A46">
        <f>A34*10</f>
        <v/>
      </c>
      <c r="B46">
        <f>IF(IF((B$3*10^12-$A47)*(B$3*10^12-$A46)*-1&lt;0,0,1)*IF(ABS(B$3*10^12-$A47)&gt;(B$3*10^12-$A46),$A46,$A47)=B47,0,IF((B$3*10^12-$A47)*(B$3*10^12-$A46)*-1&lt;0,0,1)*IF(ABS(B$3*10^12-$A47)&gt;(B$3*10^12-$A46),$A46,$A47))</f>
        <v/>
      </c>
      <c r="C46">
        <f>IF(IF((C$3*10^12-$A47)*(C$3*10^12-$A46)*-1&lt;0,0,1)*IF(ABS(C$3*10^12-$A47)&gt;(C$3*10^12-$A46),$A46,$A47)=C47,0,IF((C$3*10^12-$A47)*(C$3*10^12-$A46)*-1&lt;0,0,1)*IF(ABS(C$3*10^12-$A47)&gt;(C$3*10^12-$A46),$A46,$A47))</f>
        <v/>
      </c>
      <c r="D46">
        <f>IF(IF((D$3*10^12-$A47)*(D$3*10^12-$A46)*-1&lt;0,0,1)*IF(ABS(D$3*10^12-$A47)&gt;(D$3*10^12-$A46),$A46,$A47)=D47,0,IF((D$3*10^12-$A47)*(D$3*10^12-$A46)*-1&lt;0,0,1)*IF(ABS(D$3*10^12-$A47)&gt;(D$3*10^12-$A46),$A46,$A47))</f>
        <v/>
      </c>
      <c r="E46">
        <f>IF(IF((E$3*10^12-$A47)*(E$3*10^12-$A46)*-1&lt;0,0,1)*IF(ABS(E$3*10^12-$A47)&gt;(E$3*10^12-$A46),$A46,$A47)=E47,0,IF((E$3*10^12-$A47)*(E$3*10^12-$A46)*-1&lt;0,0,1)*IF(ABS(E$3*10^12-$A47)&gt;(E$3*10^12-$A46),$A46,$A47))</f>
        <v/>
      </c>
      <c r="F46">
        <f>IF(IF((F$3*10^12-$A47)*(F$3*10^12-$A46)*-1&lt;0,0,1)*IF(ABS(F$3*10^12-$A47)&gt;(F$3*10^12-$A46),$A46,$A47)=F47,0,IF((F$3*10^12-$A47)*(F$3*10^12-$A46)*-1&lt;0,0,1)*IF(ABS(F$3*10^12-$A47)&gt;(F$3*10^12-$A46),$A46,$A47))</f>
        <v/>
      </c>
      <c r="G46">
        <f>IF(IF((G$3*10^12-$A47)*(G$3*10^12-$A46)*-1&lt;0,0,1)*IF(ABS(G$3*10^12-$A47)&gt;(G$3*10^12-$A46),$A46,$A47)=G47,0,IF((G$3*10^12-$A47)*(G$3*10^12-$A46)*-1&lt;0,0,1)*IF(ABS(G$3*10^12-$A47)&gt;(G$3*10^12-$A46),$A46,$A47))</f>
        <v/>
      </c>
      <c r="H46">
        <f>IF(IF((H$3*10^12-$A47)*(H$3*10^12-$A46)*-1&lt;0,0,1)*IF(ABS(H$3*10^12-$A47)&gt;(H$3*10^12-$A46),$A46,$A47)=H47,0,IF((H$3*10^12-$A47)*(H$3*10^12-$A46)*-1&lt;0,0,1)*IF(ABS(H$3*10^12-$A47)&gt;(H$3*10^12-$A46),$A46,$A47))</f>
        <v/>
      </c>
      <c r="I46">
        <f>IF(IF((I$3*10^12-$A47)*(I$3*10^12-$A46)*-1&lt;0,0,1)*IF(ABS(I$3*10^12-$A47)&gt;(I$3*10^12-$A46),$A46,$A47)=I47,0,IF((I$3*10^12-$A47)*(I$3*10^12-$A46)*-1&lt;0,0,1)*IF(ABS(I$3*10^12-$A47)&gt;(I$3*10^12-$A46),$A46,$A47))</f>
        <v/>
      </c>
      <c r="J46">
        <f>IF(IF((J$3*10^12-$A47)*(J$3*10^12-$A46)*-1&lt;0,0,1)*IF(ABS(J$3*10^12-$A47)&gt;(J$3*10^12-$A46),$A46,$A47)=J47,0,IF((J$3*10^12-$A47)*(J$3*10^12-$A46)*-1&lt;0,0,1)*IF(ABS(J$3*10^12-$A47)&gt;(J$3*10^12-$A46),$A46,$A47))</f>
        <v/>
      </c>
      <c r="K46">
        <f>IF(IF((K$3*10^12-$A47)*(K$3*10^12-$A46)*-1&lt;0,0,1)*IF(ABS(K$3*10^12-$A47)&gt;(K$3*10^12-$A46),$A46,$A47)=K47,0,IF((K$3*10^12-$A47)*(K$3*10^12-$A46)*-1&lt;0,0,1)*IF(ABS(K$3*10^12-$A47)&gt;(K$3*10^12-$A46),$A46,$A47))</f>
        <v/>
      </c>
      <c r="L46">
        <f>IF(IF((L$3*10^12-$A47)*(L$3*10^12-$A46)*-1&lt;0,0,1)*IF(ABS(L$3*10^12-$A47)&gt;(L$3*10^12-$A46),$A46,$A47)=L47,0,IF((L$3*10^12-$A47)*(L$3*10^12-$A46)*-1&lt;0,0,1)*IF(ABS(L$3*10^12-$A47)&gt;(L$3*10^12-$A46),$A46,$A47))</f>
        <v/>
      </c>
      <c r="M46">
        <f>IF(IF((M$3*10^12-$A47)*(M$3*10^12-$A46)*-1&lt;0,0,1)*IF(ABS(M$3*10^12-$A47)&gt;(M$3*10^12-$A46),$A46,$A47)=M47,0,IF((M$3*10^12-$A47)*(M$3*10^12-$A46)*-1&lt;0,0,1)*IF(ABS(M$3*10^12-$A47)&gt;(M$3*10^12-$A46),$A46,$A47))</f>
        <v/>
      </c>
      <c r="N46">
        <f>IF(IF((N$3*10^12-$A47)*(N$3*10^12-$A46)*-1&lt;0,0,1)*IF(ABS(N$3*10^12-$A47)&gt;(N$3*10^12-$A46),$A46,$A47)=N47,0,IF((N$3*10^12-$A47)*(N$3*10^12-$A46)*-1&lt;0,0,1)*IF(ABS(N$3*10^12-$A47)&gt;(N$3*10^12-$A46),$A46,$A47))</f>
        <v/>
      </c>
    </row>
    <row r="47">
      <c r="A47">
        <f>A35*10</f>
        <v/>
      </c>
      <c r="B47">
        <f>IF(IF((B$3*10^12-$A48)*(B$3*10^12-$A47)*-1&lt;0,0,1)*IF(ABS(B$3*10^12-$A48)&gt;(B$3*10^12-$A47),$A47,$A48)=B48,0,IF((B$3*10^12-$A48)*(B$3*10^12-$A47)*-1&lt;0,0,1)*IF(ABS(B$3*10^12-$A48)&gt;(B$3*10^12-$A47),$A47,$A48))</f>
        <v/>
      </c>
      <c r="C47">
        <f>IF(IF((C$3*10^12-$A48)*(C$3*10^12-$A47)*-1&lt;0,0,1)*IF(ABS(C$3*10^12-$A48)&gt;(C$3*10^12-$A47),$A47,$A48)=C48,0,IF((C$3*10^12-$A48)*(C$3*10^12-$A47)*-1&lt;0,0,1)*IF(ABS(C$3*10^12-$A48)&gt;(C$3*10^12-$A47),$A47,$A48))</f>
        <v/>
      </c>
      <c r="D47">
        <f>IF(IF((D$3*10^12-$A48)*(D$3*10^12-$A47)*-1&lt;0,0,1)*IF(ABS(D$3*10^12-$A48)&gt;(D$3*10^12-$A47),$A47,$A48)=D48,0,IF((D$3*10^12-$A48)*(D$3*10^12-$A47)*-1&lt;0,0,1)*IF(ABS(D$3*10^12-$A48)&gt;(D$3*10^12-$A47),$A47,$A48))</f>
        <v/>
      </c>
      <c r="E47">
        <f>IF(IF((E$3*10^12-$A48)*(E$3*10^12-$A47)*-1&lt;0,0,1)*IF(ABS(E$3*10^12-$A48)&gt;(E$3*10^12-$A47),$A47,$A48)=E48,0,IF((E$3*10^12-$A48)*(E$3*10^12-$A47)*-1&lt;0,0,1)*IF(ABS(E$3*10^12-$A48)&gt;(E$3*10^12-$A47),$A47,$A48))</f>
        <v/>
      </c>
      <c r="F47">
        <f>IF(IF((F$3*10^12-$A48)*(F$3*10^12-$A47)*-1&lt;0,0,1)*IF(ABS(F$3*10^12-$A48)&gt;(F$3*10^12-$A47),$A47,$A48)=F48,0,IF((F$3*10^12-$A48)*(F$3*10^12-$A47)*-1&lt;0,0,1)*IF(ABS(F$3*10^12-$A48)&gt;(F$3*10^12-$A47),$A47,$A48))</f>
        <v/>
      </c>
      <c r="G47">
        <f>IF(IF((G$3*10^12-$A48)*(G$3*10^12-$A47)*-1&lt;0,0,1)*IF(ABS(G$3*10^12-$A48)&gt;(G$3*10^12-$A47),$A47,$A48)=G48,0,IF((G$3*10^12-$A48)*(G$3*10^12-$A47)*-1&lt;0,0,1)*IF(ABS(G$3*10^12-$A48)&gt;(G$3*10^12-$A47),$A47,$A48))</f>
        <v/>
      </c>
      <c r="H47">
        <f>IF(IF((H$3*10^12-$A48)*(H$3*10^12-$A47)*-1&lt;0,0,1)*IF(ABS(H$3*10^12-$A48)&gt;(H$3*10^12-$A47),$A47,$A48)=H48,0,IF((H$3*10^12-$A48)*(H$3*10^12-$A47)*-1&lt;0,0,1)*IF(ABS(H$3*10^12-$A48)&gt;(H$3*10^12-$A47),$A47,$A48))</f>
        <v/>
      </c>
      <c r="I47">
        <f>IF(IF((I$3*10^12-$A48)*(I$3*10^12-$A47)*-1&lt;0,0,1)*IF(ABS(I$3*10^12-$A48)&gt;(I$3*10^12-$A47),$A47,$A48)=I48,0,IF((I$3*10^12-$A48)*(I$3*10^12-$A47)*-1&lt;0,0,1)*IF(ABS(I$3*10^12-$A48)&gt;(I$3*10^12-$A47),$A47,$A48))</f>
        <v/>
      </c>
      <c r="J47">
        <f>IF(IF((J$3*10^12-$A48)*(J$3*10^12-$A47)*-1&lt;0,0,1)*IF(ABS(J$3*10^12-$A48)&gt;(J$3*10^12-$A47),$A47,$A48)=J48,0,IF((J$3*10^12-$A48)*(J$3*10^12-$A47)*-1&lt;0,0,1)*IF(ABS(J$3*10^12-$A48)&gt;(J$3*10^12-$A47),$A47,$A48))</f>
        <v/>
      </c>
      <c r="K47">
        <f>IF(IF((K$3*10^12-$A48)*(K$3*10^12-$A47)*-1&lt;0,0,1)*IF(ABS(K$3*10^12-$A48)&gt;(K$3*10^12-$A47),$A47,$A48)=K48,0,IF((K$3*10^12-$A48)*(K$3*10^12-$A47)*-1&lt;0,0,1)*IF(ABS(K$3*10^12-$A48)&gt;(K$3*10^12-$A47),$A47,$A48))</f>
        <v/>
      </c>
      <c r="L47">
        <f>IF(IF((L$3*10^12-$A48)*(L$3*10^12-$A47)*-1&lt;0,0,1)*IF(ABS(L$3*10^12-$A48)&gt;(L$3*10^12-$A47),$A47,$A48)=L48,0,IF((L$3*10^12-$A48)*(L$3*10^12-$A47)*-1&lt;0,0,1)*IF(ABS(L$3*10^12-$A48)&gt;(L$3*10^12-$A47),$A47,$A48))</f>
        <v/>
      </c>
      <c r="M47">
        <f>IF(IF((M$3*10^12-$A48)*(M$3*10^12-$A47)*-1&lt;0,0,1)*IF(ABS(M$3*10^12-$A48)&gt;(M$3*10^12-$A47),$A47,$A48)=M48,0,IF((M$3*10^12-$A48)*(M$3*10^12-$A47)*-1&lt;0,0,1)*IF(ABS(M$3*10^12-$A48)&gt;(M$3*10^12-$A47),$A47,$A48))</f>
        <v/>
      </c>
      <c r="N47">
        <f>IF(IF((N$3*10^12-$A48)*(N$3*10^12-$A47)*-1&lt;0,0,1)*IF(ABS(N$3*10^12-$A48)&gt;(N$3*10^12-$A47),$A47,$A48)=N48,0,IF((N$3*10^12-$A48)*(N$3*10^12-$A47)*-1&lt;0,0,1)*IF(ABS(N$3*10^12-$A48)&gt;(N$3*10^12-$A47),$A47,$A48))</f>
        <v/>
      </c>
    </row>
    <row r="48">
      <c r="A48">
        <f>A36*10</f>
        <v/>
      </c>
      <c r="B48">
        <f>IF(IF((B$3*10^12-$A49)*(B$3*10^12-$A48)*-1&lt;0,0,1)*IF(ABS(B$3*10^12-$A49)&gt;(B$3*10^12-$A48),$A48,$A49)=B49,0,IF((B$3*10^12-$A49)*(B$3*10^12-$A48)*-1&lt;0,0,1)*IF(ABS(B$3*10^12-$A49)&gt;(B$3*10^12-$A48),$A48,$A49))</f>
        <v/>
      </c>
      <c r="C48">
        <f>IF(IF((C$3*10^12-$A49)*(C$3*10^12-$A48)*-1&lt;0,0,1)*IF(ABS(C$3*10^12-$A49)&gt;(C$3*10^12-$A48),$A48,$A49)=C49,0,IF((C$3*10^12-$A49)*(C$3*10^12-$A48)*-1&lt;0,0,1)*IF(ABS(C$3*10^12-$A49)&gt;(C$3*10^12-$A48),$A48,$A49))</f>
        <v/>
      </c>
      <c r="D48">
        <f>IF(IF((D$3*10^12-$A49)*(D$3*10^12-$A48)*-1&lt;0,0,1)*IF(ABS(D$3*10^12-$A49)&gt;(D$3*10^12-$A48),$A48,$A49)=D49,0,IF((D$3*10^12-$A49)*(D$3*10^12-$A48)*-1&lt;0,0,1)*IF(ABS(D$3*10^12-$A49)&gt;(D$3*10^12-$A48),$A48,$A49))</f>
        <v/>
      </c>
      <c r="E48">
        <f>IF(IF((E$3*10^12-$A49)*(E$3*10^12-$A48)*-1&lt;0,0,1)*IF(ABS(E$3*10^12-$A49)&gt;(E$3*10^12-$A48),$A48,$A49)=E49,0,IF((E$3*10^12-$A49)*(E$3*10^12-$A48)*-1&lt;0,0,1)*IF(ABS(E$3*10^12-$A49)&gt;(E$3*10^12-$A48),$A48,$A49))</f>
        <v/>
      </c>
      <c r="F48">
        <f>IF(IF((F$3*10^12-$A49)*(F$3*10^12-$A48)*-1&lt;0,0,1)*IF(ABS(F$3*10^12-$A49)&gt;(F$3*10^12-$A48),$A48,$A49)=F49,0,IF((F$3*10^12-$A49)*(F$3*10^12-$A48)*-1&lt;0,0,1)*IF(ABS(F$3*10^12-$A49)&gt;(F$3*10^12-$A48),$A48,$A49))</f>
        <v/>
      </c>
      <c r="G48">
        <f>IF(IF((G$3*10^12-$A49)*(G$3*10^12-$A48)*-1&lt;0,0,1)*IF(ABS(G$3*10^12-$A49)&gt;(G$3*10^12-$A48),$A48,$A49)=G49,0,IF((G$3*10^12-$A49)*(G$3*10^12-$A48)*-1&lt;0,0,1)*IF(ABS(G$3*10^12-$A49)&gt;(G$3*10^12-$A48),$A48,$A49))</f>
        <v/>
      </c>
      <c r="H48">
        <f>IF(IF((H$3*10^12-$A49)*(H$3*10^12-$A48)*-1&lt;0,0,1)*IF(ABS(H$3*10^12-$A49)&gt;(H$3*10^12-$A48),$A48,$A49)=H49,0,IF((H$3*10^12-$A49)*(H$3*10^12-$A48)*-1&lt;0,0,1)*IF(ABS(H$3*10^12-$A49)&gt;(H$3*10^12-$A48),$A48,$A49))</f>
        <v/>
      </c>
      <c r="I48">
        <f>IF(IF((I$3*10^12-$A49)*(I$3*10^12-$A48)*-1&lt;0,0,1)*IF(ABS(I$3*10^12-$A49)&gt;(I$3*10^12-$A48),$A48,$A49)=I49,0,IF((I$3*10^12-$A49)*(I$3*10^12-$A48)*-1&lt;0,0,1)*IF(ABS(I$3*10^12-$A49)&gt;(I$3*10^12-$A48),$A48,$A49))</f>
        <v/>
      </c>
      <c r="J48">
        <f>IF(IF((J$3*10^12-$A49)*(J$3*10^12-$A48)*-1&lt;0,0,1)*IF(ABS(J$3*10^12-$A49)&gt;(J$3*10^12-$A48),$A48,$A49)=J49,0,IF((J$3*10^12-$A49)*(J$3*10^12-$A48)*-1&lt;0,0,1)*IF(ABS(J$3*10^12-$A49)&gt;(J$3*10^12-$A48),$A48,$A49))</f>
        <v/>
      </c>
      <c r="K48">
        <f>IF(IF((K$3*10^12-$A49)*(K$3*10^12-$A48)*-1&lt;0,0,1)*IF(ABS(K$3*10^12-$A49)&gt;(K$3*10^12-$A48),$A48,$A49)=K49,0,IF((K$3*10^12-$A49)*(K$3*10^12-$A48)*-1&lt;0,0,1)*IF(ABS(K$3*10^12-$A49)&gt;(K$3*10^12-$A48),$A48,$A49))</f>
        <v/>
      </c>
      <c r="L48">
        <f>IF(IF((L$3*10^12-$A49)*(L$3*10^12-$A48)*-1&lt;0,0,1)*IF(ABS(L$3*10^12-$A49)&gt;(L$3*10^12-$A48),$A48,$A49)=L49,0,IF((L$3*10^12-$A49)*(L$3*10^12-$A48)*-1&lt;0,0,1)*IF(ABS(L$3*10^12-$A49)&gt;(L$3*10^12-$A48),$A48,$A49))</f>
        <v/>
      </c>
      <c r="M48">
        <f>IF(IF((M$3*10^12-$A49)*(M$3*10^12-$A48)*-1&lt;0,0,1)*IF(ABS(M$3*10^12-$A49)&gt;(M$3*10^12-$A48),$A48,$A49)=M49,0,IF((M$3*10^12-$A49)*(M$3*10^12-$A48)*-1&lt;0,0,1)*IF(ABS(M$3*10^12-$A49)&gt;(M$3*10^12-$A48),$A48,$A49))</f>
        <v/>
      </c>
      <c r="N48">
        <f>IF(IF((N$3*10^12-$A49)*(N$3*10^12-$A48)*-1&lt;0,0,1)*IF(ABS(N$3*10^12-$A49)&gt;(N$3*10^12-$A48),$A48,$A49)=N49,0,IF((N$3*10^12-$A49)*(N$3*10^12-$A48)*-1&lt;0,0,1)*IF(ABS(N$3*10^12-$A49)&gt;(N$3*10^12-$A48),$A48,$A49))</f>
        <v/>
      </c>
    </row>
    <row r="49">
      <c r="A49">
        <f>A37*10</f>
        <v/>
      </c>
      <c r="B49">
        <f>IF(IF((B$3*10^12-$A50)*(B$3*10^12-$A49)*-1&lt;0,0,1)*IF(ABS(B$3*10^12-$A50)&gt;(B$3*10^12-$A49),$A49,$A50)=B50,0,IF((B$3*10^12-$A50)*(B$3*10^12-$A49)*-1&lt;0,0,1)*IF(ABS(B$3*10^12-$A50)&gt;(B$3*10^12-$A49),$A49,$A50))</f>
        <v/>
      </c>
      <c r="C49">
        <f>IF(IF((C$3*10^12-$A50)*(C$3*10^12-$A49)*-1&lt;0,0,1)*IF(ABS(C$3*10^12-$A50)&gt;(C$3*10^12-$A49),$A49,$A50)=C50,0,IF((C$3*10^12-$A50)*(C$3*10^12-$A49)*-1&lt;0,0,1)*IF(ABS(C$3*10^12-$A50)&gt;(C$3*10^12-$A49),$A49,$A50))</f>
        <v/>
      </c>
      <c r="D49">
        <f>IF(IF((D$3*10^12-$A50)*(D$3*10^12-$A49)*-1&lt;0,0,1)*IF(ABS(D$3*10^12-$A50)&gt;(D$3*10^12-$A49),$A49,$A50)=D50,0,IF((D$3*10^12-$A50)*(D$3*10^12-$A49)*-1&lt;0,0,1)*IF(ABS(D$3*10^12-$A50)&gt;(D$3*10^12-$A49),$A49,$A50))</f>
        <v/>
      </c>
      <c r="E49">
        <f>IF(IF((E$3*10^12-$A50)*(E$3*10^12-$A49)*-1&lt;0,0,1)*IF(ABS(E$3*10^12-$A50)&gt;(E$3*10^12-$A49),$A49,$A50)=E50,0,IF((E$3*10^12-$A50)*(E$3*10^12-$A49)*-1&lt;0,0,1)*IF(ABS(E$3*10^12-$A50)&gt;(E$3*10^12-$A49),$A49,$A50))</f>
        <v/>
      </c>
      <c r="F49">
        <f>IF(IF((F$3*10^12-$A50)*(F$3*10^12-$A49)*-1&lt;0,0,1)*IF(ABS(F$3*10^12-$A50)&gt;(F$3*10^12-$A49),$A49,$A50)=F50,0,IF((F$3*10^12-$A50)*(F$3*10^12-$A49)*-1&lt;0,0,1)*IF(ABS(F$3*10^12-$A50)&gt;(F$3*10^12-$A49),$A49,$A50))</f>
        <v/>
      </c>
      <c r="G49">
        <f>IF(IF((G$3*10^12-$A50)*(G$3*10^12-$A49)*-1&lt;0,0,1)*IF(ABS(G$3*10^12-$A50)&gt;(G$3*10^12-$A49),$A49,$A50)=G50,0,IF((G$3*10^12-$A50)*(G$3*10^12-$A49)*-1&lt;0,0,1)*IF(ABS(G$3*10^12-$A50)&gt;(G$3*10^12-$A49),$A49,$A50))</f>
        <v/>
      </c>
      <c r="H49">
        <f>IF(IF((H$3*10^12-$A50)*(H$3*10^12-$A49)*-1&lt;0,0,1)*IF(ABS(H$3*10^12-$A50)&gt;(H$3*10^12-$A49),$A49,$A50)=H50,0,IF((H$3*10^12-$A50)*(H$3*10^12-$A49)*-1&lt;0,0,1)*IF(ABS(H$3*10^12-$A50)&gt;(H$3*10^12-$A49),$A49,$A50))</f>
        <v/>
      </c>
      <c r="I49">
        <f>IF(IF((I$3*10^12-$A50)*(I$3*10^12-$A49)*-1&lt;0,0,1)*IF(ABS(I$3*10^12-$A50)&gt;(I$3*10^12-$A49),$A49,$A50)=I50,0,IF((I$3*10^12-$A50)*(I$3*10^12-$A49)*-1&lt;0,0,1)*IF(ABS(I$3*10^12-$A50)&gt;(I$3*10^12-$A49),$A49,$A50))</f>
        <v/>
      </c>
      <c r="J49">
        <f>IF(IF((J$3*10^12-$A50)*(J$3*10^12-$A49)*-1&lt;0,0,1)*IF(ABS(J$3*10^12-$A50)&gt;(J$3*10^12-$A49),$A49,$A50)=J50,0,IF((J$3*10^12-$A50)*(J$3*10^12-$A49)*-1&lt;0,0,1)*IF(ABS(J$3*10^12-$A50)&gt;(J$3*10^12-$A49),$A49,$A50))</f>
        <v/>
      </c>
      <c r="K49">
        <f>IF(IF((K$3*10^12-$A50)*(K$3*10^12-$A49)*-1&lt;0,0,1)*IF(ABS(K$3*10^12-$A50)&gt;(K$3*10^12-$A49),$A49,$A50)=K50,0,IF((K$3*10^12-$A50)*(K$3*10^12-$A49)*-1&lt;0,0,1)*IF(ABS(K$3*10^12-$A50)&gt;(K$3*10^12-$A49),$A49,$A50))</f>
        <v/>
      </c>
      <c r="L49">
        <f>IF(IF((L$3*10^12-$A50)*(L$3*10^12-$A49)*-1&lt;0,0,1)*IF(ABS(L$3*10^12-$A50)&gt;(L$3*10^12-$A49),$A49,$A50)=L50,0,IF((L$3*10^12-$A50)*(L$3*10^12-$A49)*-1&lt;0,0,1)*IF(ABS(L$3*10^12-$A50)&gt;(L$3*10^12-$A49),$A49,$A50))</f>
        <v/>
      </c>
      <c r="M49">
        <f>IF(IF((M$3*10^12-$A50)*(M$3*10^12-$A49)*-1&lt;0,0,1)*IF(ABS(M$3*10^12-$A50)&gt;(M$3*10^12-$A49),$A49,$A50)=M50,0,IF((M$3*10^12-$A50)*(M$3*10^12-$A49)*-1&lt;0,0,1)*IF(ABS(M$3*10^12-$A50)&gt;(M$3*10^12-$A49),$A49,$A50))</f>
        <v/>
      </c>
      <c r="N49">
        <f>IF(IF((N$3*10^12-$A50)*(N$3*10^12-$A49)*-1&lt;0,0,1)*IF(ABS(N$3*10^12-$A50)&gt;(N$3*10^12-$A49),$A49,$A50)=N50,0,IF((N$3*10^12-$A50)*(N$3*10^12-$A49)*-1&lt;0,0,1)*IF(ABS(N$3*10^12-$A50)&gt;(N$3*10^12-$A49),$A49,$A50))</f>
        <v/>
      </c>
    </row>
    <row r="50">
      <c r="A50">
        <f>A38*10</f>
        <v/>
      </c>
      <c r="B50">
        <f>IF(IF((B$3*10^12-$A51)*(B$3*10^12-$A50)*-1&lt;0,0,1)*IF(ABS(B$3*10^12-$A51)&gt;(B$3*10^12-$A50),$A50,$A51)=B51,0,IF((B$3*10^12-$A51)*(B$3*10^12-$A50)*-1&lt;0,0,1)*IF(ABS(B$3*10^12-$A51)&gt;(B$3*10^12-$A50),$A50,$A51))</f>
        <v/>
      </c>
      <c r="C50">
        <f>IF(IF((C$3*10^12-$A51)*(C$3*10^12-$A50)*-1&lt;0,0,1)*IF(ABS(C$3*10^12-$A51)&gt;(C$3*10^12-$A50),$A50,$A51)=C51,0,IF((C$3*10^12-$A51)*(C$3*10^12-$A50)*-1&lt;0,0,1)*IF(ABS(C$3*10^12-$A51)&gt;(C$3*10^12-$A50),$A50,$A51))</f>
        <v/>
      </c>
      <c r="D50">
        <f>IF(IF((D$3*10^12-$A51)*(D$3*10^12-$A50)*-1&lt;0,0,1)*IF(ABS(D$3*10^12-$A51)&gt;(D$3*10^12-$A50),$A50,$A51)=D51,0,IF((D$3*10^12-$A51)*(D$3*10^12-$A50)*-1&lt;0,0,1)*IF(ABS(D$3*10^12-$A51)&gt;(D$3*10^12-$A50),$A50,$A51))</f>
        <v/>
      </c>
      <c r="E50">
        <f>IF(IF((E$3*10^12-$A51)*(E$3*10^12-$A50)*-1&lt;0,0,1)*IF(ABS(E$3*10^12-$A51)&gt;(E$3*10^12-$A50),$A50,$A51)=E51,0,IF((E$3*10^12-$A51)*(E$3*10^12-$A50)*-1&lt;0,0,1)*IF(ABS(E$3*10^12-$A51)&gt;(E$3*10^12-$A50),$A50,$A51))</f>
        <v/>
      </c>
      <c r="F50">
        <f>IF(IF((F$3*10^12-$A51)*(F$3*10^12-$A50)*-1&lt;0,0,1)*IF(ABS(F$3*10^12-$A51)&gt;(F$3*10^12-$A50),$A50,$A51)=F51,0,IF((F$3*10^12-$A51)*(F$3*10^12-$A50)*-1&lt;0,0,1)*IF(ABS(F$3*10^12-$A51)&gt;(F$3*10^12-$A50),$A50,$A51))</f>
        <v/>
      </c>
      <c r="G50">
        <f>IF(IF((G$3*10^12-$A51)*(G$3*10^12-$A50)*-1&lt;0,0,1)*IF(ABS(G$3*10^12-$A51)&gt;(G$3*10^12-$A50),$A50,$A51)=G51,0,IF((G$3*10^12-$A51)*(G$3*10^12-$A50)*-1&lt;0,0,1)*IF(ABS(G$3*10^12-$A51)&gt;(G$3*10^12-$A50),$A50,$A51))</f>
        <v/>
      </c>
      <c r="H50">
        <f>IF(IF((H$3*10^12-$A51)*(H$3*10^12-$A50)*-1&lt;0,0,1)*IF(ABS(H$3*10^12-$A51)&gt;(H$3*10^12-$A50),$A50,$A51)=H51,0,IF((H$3*10^12-$A51)*(H$3*10^12-$A50)*-1&lt;0,0,1)*IF(ABS(H$3*10^12-$A51)&gt;(H$3*10^12-$A50),$A50,$A51))</f>
        <v/>
      </c>
      <c r="I50">
        <f>IF(IF((I$3*10^12-$A51)*(I$3*10^12-$A50)*-1&lt;0,0,1)*IF(ABS(I$3*10^12-$A51)&gt;(I$3*10^12-$A50),$A50,$A51)=I51,0,IF((I$3*10^12-$A51)*(I$3*10^12-$A50)*-1&lt;0,0,1)*IF(ABS(I$3*10^12-$A51)&gt;(I$3*10^12-$A50),$A50,$A51))</f>
        <v/>
      </c>
      <c r="J50">
        <f>IF(IF((J$3*10^12-$A51)*(J$3*10^12-$A50)*-1&lt;0,0,1)*IF(ABS(J$3*10^12-$A51)&gt;(J$3*10^12-$A50),$A50,$A51)=J51,0,IF((J$3*10^12-$A51)*(J$3*10^12-$A50)*-1&lt;0,0,1)*IF(ABS(J$3*10^12-$A51)&gt;(J$3*10^12-$A50),$A50,$A51))</f>
        <v/>
      </c>
      <c r="K50">
        <f>IF(IF((K$3*10^12-$A51)*(K$3*10^12-$A50)*-1&lt;0,0,1)*IF(ABS(K$3*10^12-$A51)&gt;(K$3*10^12-$A50),$A50,$A51)=K51,0,IF((K$3*10^12-$A51)*(K$3*10^12-$A50)*-1&lt;0,0,1)*IF(ABS(K$3*10^12-$A51)&gt;(K$3*10^12-$A50),$A50,$A51))</f>
        <v/>
      </c>
      <c r="L50">
        <f>IF(IF((L$3*10^12-$A51)*(L$3*10^12-$A50)*-1&lt;0,0,1)*IF(ABS(L$3*10^12-$A51)&gt;(L$3*10^12-$A50),$A50,$A51)=L51,0,IF((L$3*10^12-$A51)*(L$3*10^12-$A50)*-1&lt;0,0,1)*IF(ABS(L$3*10^12-$A51)&gt;(L$3*10^12-$A50),$A50,$A51))</f>
        <v/>
      </c>
      <c r="M50">
        <f>IF(IF((M$3*10^12-$A51)*(M$3*10^12-$A50)*-1&lt;0,0,1)*IF(ABS(M$3*10^12-$A51)&gt;(M$3*10^12-$A50),$A50,$A51)=M51,0,IF((M$3*10^12-$A51)*(M$3*10^12-$A50)*-1&lt;0,0,1)*IF(ABS(M$3*10^12-$A51)&gt;(M$3*10^12-$A50),$A50,$A51))</f>
        <v/>
      </c>
      <c r="N50">
        <f>IF(IF((N$3*10^12-$A51)*(N$3*10^12-$A50)*-1&lt;0,0,1)*IF(ABS(N$3*10^12-$A51)&gt;(N$3*10^12-$A50),$A50,$A51)=N51,0,IF((N$3*10^12-$A51)*(N$3*10^12-$A50)*-1&lt;0,0,1)*IF(ABS(N$3*10^12-$A51)&gt;(N$3*10^12-$A50),$A50,$A51))</f>
        <v/>
      </c>
    </row>
    <row r="51">
      <c r="A51">
        <f>A39*10</f>
        <v/>
      </c>
      <c r="B51">
        <f>IF(IF((B$3*10^12-$A52)*(B$3*10^12-$A51)*-1&lt;0,0,1)*IF(ABS(B$3*10^12-$A52)&gt;(B$3*10^12-$A51),$A51,$A52)=B52,0,IF((B$3*10^12-$A52)*(B$3*10^12-$A51)*-1&lt;0,0,1)*IF(ABS(B$3*10^12-$A52)&gt;(B$3*10^12-$A51),$A51,$A52))</f>
        <v/>
      </c>
      <c r="C51">
        <f>IF(IF((C$3*10^12-$A52)*(C$3*10^12-$A51)*-1&lt;0,0,1)*IF(ABS(C$3*10^12-$A52)&gt;(C$3*10^12-$A51),$A51,$A52)=C52,0,IF((C$3*10^12-$A52)*(C$3*10^12-$A51)*-1&lt;0,0,1)*IF(ABS(C$3*10^12-$A52)&gt;(C$3*10^12-$A51),$A51,$A52))</f>
        <v/>
      </c>
      <c r="D51">
        <f>IF(IF((D$3*10^12-$A52)*(D$3*10^12-$A51)*-1&lt;0,0,1)*IF(ABS(D$3*10^12-$A52)&gt;(D$3*10^12-$A51),$A51,$A52)=D52,0,IF((D$3*10^12-$A52)*(D$3*10^12-$A51)*-1&lt;0,0,1)*IF(ABS(D$3*10^12-$A52)&gt;(D$3*10^12-$A51),$A51,$A52))</f>
        <v/>
      </c>
      <c r="E51">
        <f>IF(IF((E$3*10^12-$A52)*(E$3*10^12-$A51)*-1&lt;0,0,1)*IF(ABS(E$3*10^12-$A52)&gt;(E$3*10^12-$A51),$A51,$A52)=E52,0,IF((E$3*10^12-$A52)*(E$3*10^12-$A51)*-1&lt;0,0,1)*IF(ABS(E$3*10^12-$A52)&gt;(E$3*10^12-$A51),$A51,$A52))</f>
        <v/>
      </c>
      <c r="F51">
        <f>IF(IF((F$3*10^12-$A52)*(F$3*10^12-$A51)*-1&lt;0,0,1)*IF(ABS(F$3*10^12-$A52)&gt;(F$3*10^12-$A51),$A51,$A52)=F52,0,IF((F$3*10^12-$A52)*(F$3*10^12-$A51)*-1&lt;0,0,1)*IF(ABS(F$3*10^12-$A52)&gt;(F$3*10^12-$A51),$A51,$A52))</f>
        <v/>
      </c>
      <c r="G51">
        <f>IF(IF((G$3*10^12-$A52)*(G$3*10^12-$A51)*-1&lt;0,0,1)*IF(ABS(G$3*10^12-$A52)&gt;(G$3*10^12-$A51),$A51,$A52)=G52,0,IF((G$3*10^12-$A52)*(G$3*10^12-$A51)*-1&lt;0,0,1)*IF(ABS(G$3*10^12-$A52)&gt;(G$3*10^12-$A51),$A51,$A52))</f>
        <v/>
      </c>
      <c r="H51">
        <f>IF(IF((H$3*10^12-$A52)*(H$3*10^12-$A51)*-1&lt;0,0,1)*IF(ABS(H$3*10^12-$A52)&gt;(H$3*10^12-$A51),$A51,$A52)=H52,0,IF((H$3*10^12-$A52)*(H$3*10^12-$A51)*-1&lt;0,0,1)*IF(ABS(H$3*10^12-$A52)&gt;(H$3*10^12-$A51),$A51,$A52))</f>
        <v/>
      </c>
      <c r="I51">
        <f>IF(IF((I$3*10^12-$A52)*(I$3*10^12-$A51)*-1&lt;0,0,1)*IF(ABS(I$3*10^12-$A52)&gt;(I$3*10^12-$A51),$A51,$A52)=I52,0,IF((I$3*10^12-$A52)*(I$3*10^12-$A51)*-1&lt;0,0,1)*IF(ABS(I$3*10^12-$A52)&gt;(I$3*10^12-$A51),$A51,$A52))</f>
        <v/>
      </c>
      <c r="J51">
        <f>IF(IF((J$3*10^12-$A52)*(J$3*10^12-$A51)*-1&lt;0,0,1)*IF(ABS(J$3*10^12-$A52)&gt;(J$3*10^12-$A51),$A51,$A52)=J52,0,IF((J$3*10^12-$A52)*(J$3*10^12-$A51)*-1&lt;0,0,1)*IF(ABS(J$3*10^12-$A52)&gt;(J$3*10^12-$A51),$A51,$A52))</f>
        <v/>
      </c>
      <c r="K51">
        <f>IF(IF((K$3*10^12-$A52)*(K$3*10^12-$A51)*-1&lt;0,0,1)*IF(ABS(K$3*10^12-$A52)&gt;(K$3*10^12-$A51),$A51,$A52)=K52,0,IF((K$3*10^12-$A52)*(K$3*10^12-$A51)*-1&lt;0,0,1)*IF(ABS(K$3*10^12-$A52)&gt;(K$3*10^12-$A51),$A51,$A52))</f>
        <v/>
      </c>
      <c r="L51">
        <f>IF(IF((L$3*10^12-$A52)*(L$3*10^12-$A51)*-1&lt;0,0,1)*IF(ABS(L$3*10^12-$A52)&gt;(L$3*10^12-$A51),$A51,$A52)=L52,0,IF((L$3*10^12-$A52)*(L$3*10^12-$A51)*-1&lt;0,0,1)*IF(ABS(L$3*10^12-$A52)&gt;(L$3*10^12-$A51),$A51,$A52))</f>
        <v/>
      </c>
      <c r="M51">
        <f>IF(IF((M$3*10^12-$A52)*(M$3*10^12-$A51)*-1&lt;0,0,1)*IF(ABS(M$3*10^12-$A52)&gt;(M$3*10^12-$A51),$A51,$A52)=M52,0,IF((M$3*10^12-$A52)*(M$3*10^12-$A51)*-1&lt;0,0,1)*IF(ABS(M$3*10^12-$A52)&gt;(M$3*10^12-$A51),$A51,$A52))</f>
        <v/>
      </c>
      <c r="N51">
        <f>IF(IF((N$3*10^12-$A52)*(N$3*10^12-$A51)*-1&lt;0,0,1)*IF(ABS(N$3*10^12-$A52)&gt;(N$3*10^12-$A51),$A51,$A52)=N52,0,IF((N$3*10^12-$A52)*(N$3*10^12-$A51)*-1&lt;0,0,1)*IF(ABS(N$3*10^12-$A52)&gt;(N$3*10^12-$A51),$A51,$A52))</f>
        <v/>
      </c>
    </row>
    <row r="52">
      <c r="A52">
        <f>A40*10</f>
        <v/>
      </c>
      <c r="B52">
        <f>IF(IF((B$3*10^12-$A53)*(B$3*10^12-$A52)*-1&lt;0,0,1)*IF(ABS(B$3*10^12-$A53)&gt;(B$3*10^12-$A52),$A52,$A53)=B53,0,IF((B$3*10^12-$A53)*(B$3*10^12-$A52)*-1&lt;0,0,1)*IF(ABS(B$3*10^12-$A53)&gt;(B$3*10^12-$A52),$A52,$A53))</f>
        <v/>
      </c>
      <c r="C52">
        <f>IF(IF((C$3*10^12-$A53)*(C$3*10^12-$A52)*-1&lt;0,0,1)*IF(ABS(C$3*10^12-$A53)&gt;(C$3*10^12-$A52),$A52,$A53)=C53,0,IF((C$3*10^12-$A53)*(C$3*10^12-$A52)*-1&lt;0,0,1)*IF(ABS(C$3*10^12-$A53)&gt;(C$3*10^12-$A52),$A52,$A53))</f>
        <v/>
      </c>
      <c r="D52">
        <f>IF(IF((D$3*10^12-$A53)*(D$3*10^12-$A52)*-1&lt;0,0,1)*IF(ABS(D$3*10^12-$A53)&gt;(D$3*10^12-$A52),$A52,$A53)=D53,0,IF((D$3*10^12-$A53)*(D$3*10^12-$A52)*-1&lt;0,0,1)*IF(ABS(D$3*10^12-$A53)&gt;(D$3*10^12-$A52),$A52,$A53))</f>
        <v/>
      </c>
      <c r="E52">
        <f>IF(IF((E$3*10^12-$A53)*(E$3*10^12-$A52)*-1&lt;0,0,1)*IF(ABS(E$3*10^12-$A53)&gt;(E$3*10^12-$A52),$A52,$A53)=E53,0,IF((E$3*10^12-$A53)*(E$3*10^12-$A52)*-1&lt;0,0,1)*IF(ABS(E$3*10^12-$A53)&gt;(E$3*10^12-$A52),$A52,$A53))</f>
        <v/>
      </c>
      <c r="F52">
        <f>IF(IF((F$3*10^12-$A53)*(F$3*10^12-$A52)*-1&lt;0,0,1)*IF(ABS(F$3*10^12-$A53)&gt;(F$3*10^12-$A52),$A52,$A53)=F53,0,IF((F$3*10^12-$A53)*(F$3*10^12-$A52)*-1&lt;0,0,1)*IF(ABS(F$3*10^12-$A53)&gt;(F$3*10^12-$A52),$A52,$A53))</f>
        <v/>
      </c>
      <c r="G52">
        <f>IF(IF((G$3*10^12-$A53)*(G$3*10^12-$A52)*-1&lt;0,0,1)*IF(ABS(G$3*10^12-$A53)&gt;(G$3*10^12-$A52),$A52,$A53)=G53,0,IF((G$3*10^12-$A53)*(G$3*10^12-$A52)*-1&lt;0,0,1)*IF(ABS(G$3*10^12-$A53)&gt;(G$3*10^12-$A52),$A52,$A53))</f>
        <v/>
      </c>
      <c r="H52">
        <f>IF(IF((H$3*10^12-$A53)*(H$3*10^12-$A52)*-1&lt;0,0,1)*IF(ABS(H$3*10^12-$A53)&gt;(H$3*10^12-$A52),$A52,$A53)=H53,0,IF((H$3*10^12-$A53)*(H$3*10^12-$A52)*-1&lt;0,0,1)*IF(ABS(H$3*10^12-$A53)&gt;(H$3*10^12-$A52),$A52,$A53))</f>
        <v/>
      </c>
      <c r="I52">
        <f>IF(IF((I$3*10^12-$A53)*(I$3*10^12-$A52)*-1&lt;0,0,1)*IF(ABS(I$3*10^12-$A53)&gt;(I$3*10^12-$A52),$A52,$A53)=I53,0,IF((I$3*10^12-$A53)*(I$3*10^12-$A52)*-1&lt;0,0,1)*IF(ABS(I$3*10^12-$A53)&gt;(I$3*10^12-$A52),$A52,$A53))</f>
        <v/>
      </c>
      <c r="J52">
        <f>IF(IF((J$3*10^12-$A53)*(J$3*10^12-$A52)*-1&lt;0,0,1)*IF(ABS(J$3*10^12-$A53)&gt;(J$3*10^12-$A52),$A52,$A53)=J53,0,IF((J$3*10^12-$A53)*(J$3*10^12-$A52)*-1&lt;0,0,1)*IF(ABS(J$3*10^12-$A53)&gt;(J$3*10^12-$A52),$A52,$A53))</f>
        <v/>
      </c>
      <c r="K52">
        <f>IF(IF((K$3*10^12-$A53)*(K$3*10^12-$A52)*-1&lt;0,0,1)*IF(ABS(K$3*10^12-$A53)&gt;(K$3*10^12-$A52),$A52,$A53)=K53,0,IF((K$3*10^12-$A53)*(K$3*10^12-$A52)*-1&lt;0,0,1)*IF(ABS(K$3*10^12-$A53)&gt;(K$3*10^12-$A52),$A52,$A53))</f>
        <v/>
      </c>
      <c r="L52">
        <f>IF(IF((L$3*10^12-$A53)*(L$3*10^12-$A52)*-1&lt;0,0,1)*IF(ABS(L$3*10^12-$A53)&gt;(L$3*10^12-$A52),$A52,$A53)=L53,0,IF((L$3*10^12-$A53)*(L$3*10^12-$A52)*-1&lt;0,0,1)*IF(ABS(L$3*10^12-$A53)&gt;(L$3*10^12-$A52),$A52,$A53))</f>
        <v/>
      </c>
      <c r="M52">
        <f>IF(IF((M$3*10^12-$A53)*(M$3*10^12-$A52)*-1&lt;0,0,1)*IF(ABS(M$3*10^12-$A53)&gt;(M$3*10^12-$A52),$A52,$A53)=M53,0,IF((M$3*10^12-$A53)*(M$3*10^12-$A52)*-1&lt;0,0,1)*IF(ABS(M$3*10^12-$A53)&gt;(M$3*10^12-$A52),$A52,$A53))</f>
        <v/>
      </c>
      <c r="N52">
        <f>IF(IF((N$3*10^12-$A53)*(N$3*10^12-$A52)*-1&lt;0,0,1)*IF(ABS(N$3*10^12-$A53)&gt;(N$3*10^12-$A52),$A52,$A53)=N53,0,IF((N$3*10^12-$A53)*(N$3*10^12-$A52)*-1&lt;0,0,1)*IF(ABS(N$3*10^12-$A53)&gt;(N$3*10^12-$A52),$A52,$A53))</f>
        <v/>
      </c>
    </row>
    <row r="53">
      <c r="A53">
        <f>A41*10</f>
        <v/>
      </c>
      <c r="B53">
        <f>IF(IF((B$3*10^12-$A54)*(B$3*10^12-$A53)*-1&lt;0,0,1)*IF(ABS(B$3*10^12-$A54)&gt;(B$3*10^12-$A53),$A53,$A54)=B54,0,IF((B$3*10^12-$A54)*(B$3*10^12-$A53)*-1&lt;0,0,1)*IF(ABS(B$3*10^12-$A54)&gt;(B$3*10^12-$A53),$A53,$A54))</f>
        <v/>
      </c>
      <c r="C53">
        <f>IF(IF((C$3*10^12-$A54)*(C$3*10^12-$A53)*-1&lt;0,0,1)*IF(ABS(C$3*10^12-$A54)&gt;(C$3*10^12-$A53),$A53,$A54)=C54,0,IF((C$3*10^12-$A54)*(C$3*10^12-$A53)*-1&lt;0,0,1)*IF(ABS(C$3*10^12-$A54)&gt;(C$3*10^12-$A53),$A53,$A54))</f>
        <v/>
      </c>
      <c r="D53">
        <f>IF(IF((D$3*10^12-$A54)*(D$3*10^12-$A53)*-1&lt;0,0,1)*IF(ABS(D$3*10^12-$A54)&gt;(D$3*10^12-$A53),$A53,$A54)=D54,0,IF((D$3*10^12-$A54)*(D$3*10^12-$A53)*-1&lt;0,0,1)*IF(ABS(D$3*10^12-$A54)&gt;(D$3*10^12-$A53),$A53,$A54))</f>
        <v/>
      </c>
      <c r="E53">
        <f>IF(IF((E$3*10^12-$A54)*(E$3*10^12-$A53)*-1&lt;0,0,1)*IF(ABS(E$3*10^12-$A54)&gt;(E$3*10^12-$A53),$A53,$A54)=E54,0,IF((E$3*10^12-$A54)*(E$3*10^12-$A53)*-1&lt;0,0,1)*IF(ABS(E$3*10^12-$A54)&gt;(E$3*10^12-$A53),$A53,$A54))</f>
        <v/>
      </c>
      <c r="F53">
        <f>IF(IF((F$3*10^12-$A54)*(F$3*10^12-$A53)*-1&lt;0,0,1)*IF(ABS(F$3*10^12-$A54)&gt;(F$3*10^12-$A53),$A53,$A54)=F54,0,IF((F$3*10^12-$A54)*(F$3*10^12-$A53)*-1&lt;0,0,1)*IF(ABS(F$3*10^12-$A54)&gt;(F$3*10^12-$A53),$A53,$A54))</f>
        <v/>
      </c>
      <c r="G53">
        <f>IF(IF((G$3*10^12-$A54)*(G$3*10^12-$A53)*-1&lt;0,0,1)*IF(ABS(G$3*10^12-$A54)&gt;(G$3*10^12-$A53),$A53,$A54)=G54,0,IF((G$3*10^12-$A54)*(G$3*10^12-$A53)*-1&lt;0,0,1)*IF(ABS(G$3*10^12-$A54)&gt;(G$3*10^12-$A53),$A53,$A54))</f>
        <v/>
      </c>
      <c r="H53">
        <f>IF(IF((H$3*10^12-$A54)*(H$3*10^12-$A53)*-1&lt;0,0,1)*IF(ABS(H$3*10^12-$A54)&gt;(H$3*10^12-$A53),$A53,$A54)=H54,0,IF((H$3*10^12-$A54)*(H$3*10^12-$A53)*-1&lt;0,0,1)*IF(ABS(H$3*10^12-$A54)&gt;(H$3*10^12-$A53),$A53,$A54))</f>
        <v/>
      </c>
      <c r="I53">
        <f>IF(IF((I$3*10^12-$A54)*(I$3*10^12-$A53)*-1&lt;0,0,1)*IF(ABS(I$3*10^12-$A54)&gt;(I$3*10^12-$A53),$A53,$A54)=I54,0,IF((I$3*10^12-$A54)*(I$3*10^12-$A53)*-1&lt;0,0,1)*IF(ABS(I$3*10^12-$A54)&gt;(I$3*10^12-$A53),$A53,$A54))</f>
        <v/>
      </c>
      <c r="J53">
        <f>IF(IF((J$3*10^12-$A54)*(J$3*10^12-$A53)*-1&lt;0,0,1)*IF(ABS(J$3*10^12-$A54)&gt;(J$3*10^12-$A53),$A53,$A54)=J54,0,IF((J$3*10^12-$A54)*(J$3*10^12-$A53)*-1&lt;0,0,1)*IF(ABS(J$3*10^12-$A54)&gt;(J$3*10^12-$A53),$A53,$A54))</f>
        <v/>
      </c>
      <c r="K53">
        <f>IF(IF((K$3*10^12-$A54)*(K$3*10^12-$A53)*-1&lt;0,0,1)*IF(ABS(K$3*10^12-$A54)&gt;(K$3*10^12-$A53),$A53,$A54)=K54,0,IF((K$3*10^12-$A54)*(K$3*10^12-$A53)*-1&lt;0,0,1)*IF(ABS(K$3*10^12-$A54)&gt;(K$3*10^12-$A53),$A53,$A54))</f>
        <v/>
      </c>
      <c r="L53">
        <f>IF(IF((L$3*10^12-$A54)*(L$3*10^12-$A53)*-1&lt;0,0,1)*IF(ABS(L$3*10^12-$A54)&gt;(L$3*10^12-$A53),$A53,$A54)=L54,0,IF((L$3*10^12-$A54)*(L$3*10^12-$A53)*-1&lt;0,0,1)*IF(ABS(L$3*10^12-$A54)&gt;(L$3*10^12-$A53),$A53,$A54))</f>
        <v/>
      </c>
      <c r="M53">
        <f>IF(IF((M$3*10^12-$A54)*(M$3*10^12-$A53)*-1&lt;0,0,1)*IF(ABS(M$3*10^12-$A54)&gt;(M$3*10^12-$A53),$A53,$A54)=M54,0,IF((M$3*10^12-$A54)*(M$3*10^12-$A53)*-1&lt;0,0,1)*IF(ABS(M$3*10^12-$A54)&gt;(M$3*10^12-$A53),$A53,$A54))</f>
        <v/>
      </c>
      <c r="N53">
        <f>IF(IF((N$3*10^12-$A54)*(N$3*10^12-$A53)*-1&lt;0,0,1)*IF(ABS(N$3*10^12-$A54)&gt;(N$3*10^12-$A53),$A53,$A54)=N54,0,IF((N$3*10^12-$A54)*(N$3*10^12-$A53)*-1&lt;0,0,1)*IF(ABS(N$3*10^12-$A54)&gt;(N$3*10^12-$A53),$A53,$A54))</f>
        <v/>
      </c>
    </row>
    <row r="54">
      <c r="A54">
        <f>A42*10</f>
        <v/>
      </c>
      <c r="B54">
        <f>IF(IF((B$3*10^12-$A55)*(B$3*10^12-$A54)*-1&lt;0,0,1)*IF(ABS(B$3*10^12-$A55)&gt;(B$3*10^12-$A54),$A54,$A55)=B55,0,IF((B$3*10^12-$A55)*(B$3*10^12-$A54)*-1&lt;0,0,1)*IF(ABS(B$3*10^12-$A55)&gt;(B$3*10^12-$A54),$A54,$A55))</f>
        <v/>
      </c>
      <c r="C54">
        <f>IF(IF((C$3*10^12-$A55)*(C$3*10^12-$A54)*-1&lt;0,0,1)*IF(ABS(C$3*10^12-$A55)&gt;(C$3*10^12-$A54),$A54,$A55)=C55,0,IF((C$3*10^12-$A55)*(C$3*10^12-$A54)*-1&lt;0,0,1)*IF(ABS(C$3*10^12-$A55)&gt;(C$3*10^12-$A54),$A54,$A55))</f>
        <v/>
      </c>
      <c r="D54">
        <f>IF(IF((D$3*10^12-$A55)*(D$3*10^12-$A54)*-1&lt;0,0,1)*IF(ABS(D$3*10^12-$A55)&gt;(D$3*10^12-$A54),$A54,$A55)=D55,0,IF((D$3*10^12-$A55)*(D$3*10^12-$A54)*-1&lt;0,0,1)*IF(ABS(D$3*10^12-$A55)&gt;(D$3*10^12-$A54),$A54,$A55))</f>
        <v/>
      </c>
      <c r="E54">
        <f>IF(IF((E$3*10^12-$A55)*(E$3*10^12-$A54)*-1&lt;0,0,1)*IF(ABS(E$3*10^12-$A55)&gt;(E$3*10^12-$A54),$A54,$A55)=E55,0,IF((E$3*10^12-$A55)*(E$3*10^12-$A54)*-1&lt;0,0,1)*IF(ABS(E$3*10^12-$A55)&gt;(E$3*10^12-$A54),$A54,$A55))</f>
        <v/>
      </c>
      <c r="F54">
        <f>IF(IF((F$3*10^12-$A55)*(F$3*10^12-$A54)*-1&lt;0,0,1)*IF(ABS(F$3*10^12-$A55)&gt;(F$3*10^12-$A54),$A54,$A55)=F55,0,IF((F$3*10^12-$A55)*(F$3*10^12-$A54)*-1&lt;0,0,1)*IF(ABS(F$3*10^12-$A55)&gt;(F$3*10^12-$A54),$A54,$A55))</f>
        <v/>
      </c>
      <c r="G54">
        <f>IF(IF((G$3*10^12-$A55)*(G$3*10^12-$A54)*-1&lt;0,0,1)*IF(ABS(G$3*10^12-$A55)&gt;(G$3*10^12-$A54),$A54,$A55)=G55,0,IF((G$3*10^12-$A55)*(G$3*10^12-$A54)*-1&lt;0,0,1)*IF(ABS(G$3*10^12-$A55)&gt;(G$3*10^12-$A54),$A54,$A55))</f>
        <v/>
      </c>
      <c r="H54">
        <f>IF(IF((H$3*10^12-$A55)*(H$3*10^12-$A54)*-1&lt;0,0,1)*IF(ABS(H$3*10^12-$A55)&gt;(H$3*10^12-$A54),$A54,$A55)=H55,0,IF((H$3*10^12-$A55)*(H$3*10^12-$A54)*-1&lt;0,0,1)*IF(ABS(H$3*10^12-$A55)&gt;(H$3*10^12-$A54),$A54,$A55))</f>
        <v/>
      </c>
      <c r="I54">
        <f>IF(IF((I$3*10^12-$A55)*(I$3*10^12-$A54)*-1&lt;0,0,1)*IF(ABS(I$3*10^12-$A55)&gt;(I$3*10^12-$A54),$A54,$A55)=I55,0,IF((I$3*10^12-$A55)*(I$3*10^12-$A54)*-1&lt;0,0,1)*IF(ABS(I$3*10^12-$A55)&gt;(I$3*10^12-$A54),$A54,$A55))</f>
        <v/>
      </c>
      <c r="J54">
        <f>IF(IF((J$3*10^12-$A55)*(J$3*10^12-$A54)*-1&lt;0,0,1)*IF(ABS(J$3*10^12-$A55)&gt;(J$3*10^12-$A54),$A54,$A55)=J55,0,IF((J$3*10^12-$A55)*(J$3*10^12-$A54)*-1&lt;0,0,1)*IF(ABS(J$3*10^12-$A55)&gt;(J$3*10^12-$A54),$A54,$A55))</f>
        <v/>
      </c>
      <c r="K54">
        <f>IF(IF((K$3*10^12-$A55)*(K$3*10^12-$A54)*-1&lt;0,0,1)*IF(ABS(K$3*10^12-$A55)&gt;(K$3*10^12-$A54),$A54,$A55)=K55,0,IF((K$3*10^12-$A55)*(K$3*10^12-$A54)*-1&lt;0,0,1)*IF(ABS(K$3*10^12-$A55)&gt;(K$3*10^12-$A54),$A54,$A55))</f>
        <v/>
      </c>
      <c r="L54">
        <f>IF(IF((L$3*10^12-$A55)*(L$3*10^12-$A54)*-1&lt;0,0,1)*IF(ABS(L$3*10^12-$A55)&gt;(L$3*10^12-$A54),$A54,$A55)=L55,0,IF((L$3*10^12-$A55)*(L$3*10^12-$A54)*-1&lt;0,0,1)*IF(ABS(L$3*10^12-$A55)&gt;(L$3*10^12-$A54),$A54,$A55))</f>
        <v/>
      </c>
      <c r="M54">
        <f>IF(IF((M$3*10^12-$A55)*(M$3*10^12-$A54)*-1&lt;0,0,1)*IF(ABS(M$3*10^12-$A55)&gt;(M$3*10^12-$A54),$A54,$A55)=M55,0,IF((M$3*10^12-$A55)*(M$3*10^12-$A54)*-1&lt;0,0,1)*IF(ABS(M$3*10^12-$A55)&gt;(M$3*10^12-$A54),$A54,$A55))</f>
        <v/>
      </c>
      <c r="N54">
        <f>IF(IF((N$3*10^12-$A55)*(N$3*10^12-$A54)*-1&lt;0,0,1)*IF(ABS(N$3*10^12-$A55)&gt;(N$3*10^12-$A54),$A54,$A55)=N55,0,IF((N$3*10^12-$A55)*(N$3*10^12-$A54)*-1&lt;0,0,1)*IF(ABS(N$3*10^12-$A55)&gt;(N$3*10^12-$A54),$A54,$A55))</f>
        <v/>
      </c>
    </row>
    <row r="55">
      <c r="A55">
        <f>A43*10</f>
        <v/>
      </c>
      <c r="B55">
        <f>IF(IF((B$3*10^12-$A56)*(B$3*10^12-$A55)*-1&lt;0,0,1)*IF(ABS(B$3*10^12-$A56)&gt;(B$3*10^12-$A55),$A55,$A56)=B56,0,IF((B$3*10^12-$A56)*(B$3*10^12-$A55)*-1&lt;0,0,1)*IF(ABS(B$3*10^12-$A56)&gt;(B$3*10^12-$A55),$A55,$A56))</f>
        <v/>
      </c>
      <c r="C55">
        <f>IF(IF((C$3*10^12-$A56)*(C$3*10^12-$A55)*-1&lt;0,0,1)*IF(ABS(C$3*10^12-$A56)&gt;(C$3*10^12-$A55),$A55,$A56)=C56,0,IF((C$3*10^12-$A56)*(C$3*10^12-$A55)*-1&lt;0,0,1)*IF(ABS(C$3*10^12-$A56)&gt;(C$3*10^12-$A55),$A55,$A56))</f>
        <v/>
      </c>
      <c r="D55">
        <f>IF(IF((D$3*10^12-$A56)*(D$3*10^12-$A55)*-1&lt;0,0,1)*IF(ABS(D$3*10^12-$A56)&gt;(D$3*10^12-$A55),$A55,$A56)=D56,0,IF((D$3*10^12-$A56)*(D$3*10^12-$A55)*-1&lt;0,0,1)*IF(ABS(D$3*10^12-$A56)&gt;(D$3*10^12-$A55),$A55,$A56))</f>
        <v/>
      </c>
      <c r="E55">
        <f>IF(IF((E$3*10^12-$A56)*(E$3*10^12-$A55)*-1&lt;0,0,1)*IF(ABS(E$3*10^12-$A56)&gt;(E$3*10^12-$A55),$A55,$A56)=E56,0,IF((E$3*10^12-$A56)*(E$3*10^12-$A55)*-1&lt;0,0,1)*IF(ABS(E$3*10^12-$A56)&gt;(E$3*10^12-$A55),$A55,$A56))</f>
        <v/>
      </c>
      <c r="F55">
        <f>IF(IF((F$3*10^12-$A56)*(F$3*10^12-$A55)*-1&lt;0,0,1)*IF(ABS(F$3*10^12-$A56)&gt;(F$3*10^12-$A55),$A55,$A56)=F56,0,IF((F$3*10^12-$A56)*(F$3*10^12-$A55)*-1&lt;0,0,1)*IF(ABS(F$3*10^12-$A56)&gt;(F$3*10^12-$A55),$A55,$A56))</f>
        <v/>
      </c>
      <c r="G55">
        <f>IF(IF((G$3*10^12-$A56)*(G$3*10^12-$A55)*-1&lt;0,0,1)*IF(ABS(G$3*10^12-$A56)&gt;(G$3*10^12-$A55),$A55,$A56)=G56,0,IF((G$3*10^12-$A56)*(G$3*10^12-$A55)*-1&lt;0,0,1)*IF(ABS(G$3*10^12-$A56)&gt;(G$3*10^12-$A55),$A55,$A56))</f>
        <v/>
      </c>
      <c r="H55">
        <f>IF(IF((H$3*10^12-$A56)*(H$3*10^12-$A55)*-1&lt;0,0,1)*IF(ABS(H$3*10^12-$A56)&gt;(H$3*10^12-$A55),$A55,$A56)=H56,0,IF((H$3*10^12-$A56)*(H$3*10^12-$A55)*-1&lt;0,0,1)*IF(ABS(H$3*10^12-$A56)&gt;(H$3*10^12-$A55),$A55,$A56))</f>
        <v/>
      </c>
      <c r="I55">
        <f>IF(IF((I$3*10^12-$A56)*(I$3*10^12-$A55)*-1&lt;0,0,1)*IF(ABS(I$3*10^12-$A56)&gt;(I$3*10^12-$A55),$A55,$A56)=I56,0,IF((I$3*10^12-$A56)*(I$3*10^12-$A55)*-1&lt;0,0,1)*IF(ABS(I$3*10^12-$A56)&gt;(I$3*10^12-$A55),$A55,$A56))</f>
        <v/>
      </c>
      <c r="J55">
        <f>IF(IF((J$3*10^12-$A56)*(J$3*10^12-$A55)*-1&lt;0,0,1)*IF(ABS(J$3*10^12-$A56)&gt;(J$3*10^12-$A55),$A55,$A56)=J56,0,IF((J$3*10^12-$A56)*(J$3*10^12-$A55)*-1&lt;0,0,1)*IF(ABS(J$3*10^12-$A56)&gt;(J$3*10^12-$A55),$A55,$A56))</f>
        <v/>
      </c>
      <c r="K55">
        <f>IF(IF((K$3*10^12-$A56)*(K$3*10^12-$A55)*-1&lt;0,0,1)*IF(ABS(K$3*10^12-$A56)&gt;(K$3*10^12-$A55),$A55,$A56)=K56,0,IF((K$3*10^12-$A56)*(K$3*10^12-$A55)*-1&lt;0,0,1)*IF(ABS(K$3*10^12-$A56)&gt;(K$3*10^12-$A55),$A55,$A56))</f>
        <v/>
      </c>
      <c r="L55">
        <f>IF(IF((L$3*10^12-$A56)*(L$3*10^12-$A55)*-1&lt;0,0,1)*IF(ABS(L$3*10^12-$A56)&gt;(L$3*10^12-$A55),$A55,$A56)=L56,0,IF((L$3*10^12-$A56)*(L$3*10^12-$A55)*-1&lt;0,0,1)*IF(ABS(L$3*10^12-$A56)&gt;(L$3*10^12-$A55),$A55,$A56))</f>
        <v/>
      </c>
      <c r="M55">
        <f>IF(IF((M$3*10^12-$A56)*(M$3*10^12-$A55)*-1&lt;0,0,1)*IF(ABS(M$3*10^12-$A56)&gt;(M$3*10^12-$A55),$A55,$A56)=M56,0,IF((M$3*10^12-$A56)*(M$3*10^12-$A55)*-1&lt;0,0,1)*IF(ABS(M$3*10^12-$A56)&gt;(M$3*10^12-$A55),$A55,$A56))</f>
        <v/>
      </c>
      <c r="N55">
        <f>IF(IF((N$3*10^12-$A56)*(N$3*10^12-$A55)*-1&lt;0,0,1)*IF(ABS(N$3*10^12-$A56)&gt;(N$3*10^12-$A55),$A55,$A56)=N56,0,IF((N$3*10^12-$A56)*(N$3*10^12-$A55)*-1&lt;0,0,1)*IF(ABS(N$3*10^12-$A56)&gt;(N$3*10^12-$A55),$A55,$A56))</f>
        <v/>
      </c>
    </row>
    <row r="56">
      <c r="A56">
        <f>A44*10</f>
        <v/>
      </c>
      <c r="B56">
        <f>IF(IF((B$3*10^12-$A57)*(B$3*10^12-$A56)*-1&lt;0,0,1)*IF(ABS(B$3*10^12-$A57)&gt;(B$3*10^12-$A56),$A56,$A57)=B57,0,IF((B$3*10^12-$A57)*(B$3*10^12-$A56)*-1&lt;0,0,1)*IF(ABS(B$3*10^12-$A57)&gt;(B$3*10^12-$A56),$A56,$A57))</f>
        <v/>
      </c>
      <c r="C56">
        <f>IF(IF((C$3*10^12-$A57)*(C$3*10^12-$A56)*-1&lt;0,0,1)*IF(ABS(C$3*10^12-$A57)&gt;(C$3*10^12-$A56),$A56,$A57)=C57,0,IF((C$3*10^12-$A57)*(C$3*10^12-$A56)*-1&lt;0,0,1)*IF(ABS(C$3*10^12-$A57)&gt;(C$3*10^12-$A56),$A56,$A57))</f>
        <v/>
      </c>
      <c r="D56">
        <f>IF(IF((D$3*10^12-$A57)*(D$3*10^12-$A56)*-1&lt;0,0,1)*IF(ABS(D$3*10^12-$A57)&gt;(D$3*10^12-$A56),$A56,$A57)=D57,0,IF((D$3*10^12-$A57)*(D$3*10^12-$A56)*-1&lt;0,0,1)*IF(ABS(D$3*10^12-$A57)&gt;(D$3*10^12-$A56),$A56,$A57))</f>
        <v/>
      </c>
      <c r="E56">
        <f>IF(IF((E$3*10^12-$A57)*(E$3*10^12-$A56)*-1&lt;0,0,1)*IF(ABS(E$3*10^12-$A57)&gt;(E$3*10^12-$A56),$A56,$A57)=E57,0,IF((E$3*10^12-$A57)*(E$3*10^12-$A56)*-1&lt;0,0,1)*IF(ABS(E$3*10^12-$A57)&gt;(E$3*10^12-$A56),$A56,$A57))</f>
        <v/>
      </c>
      <c r="F56">
        <f>IF(IF((F$3*10^12-$A57)*(F$3*10^12-$A56)*-1&lt;0,0,1)*IF(ABS(F$3*10^12-$A57)&gt;(F$3*10^12-$A56),$A56,$A57)=F57,0,IF((F$3*10^12-$A57)*(F$3*10^12-$A56)*-1&lt;0,0,1)*IF(ABS(F$3*10^12-$A57)&gt;(F$3*10^12-$A56),$A56,$A57))</f>
        <v/>
      </c>
      <c r="G56">
        <f>IF(IF((G$3*10^12-$A57)*(G$3*10^12-$A56)*-1&lt;0,0,1)*IF(ABS(G$3*10^12-$A57)&gt;(G$3*10^12-$A56),$A56,$A57)=G57,0,IF((G$3*10^12-$A57)*(G$3*10^12-$A56)*-1&lt;0,0,1)*IF(ABS(G$3*10^12-$A57)&gt;(G$3*10^12-$A56),$A56,$A57))</f>
        <v/>
      </c>
      <c r="H56">
        <f>IF(IF((H$3*10^12-$A57)*(H$3*10^12-$A56)*-1&lt;0,0,1)*IF(ABS(H$3*10^12-$A57)&gt;(H$3*10^12-$A56),$A56,$A57)=H57,0,IF((H$3*10^12-$A57)*(H$3*10^12-$A56)*-1&lt;0,0,1)*IF(ABS(H$3*10^12-$A57)&gt;(H$3*10^12-$A56),$A56,$A57))</f>
        <v/>
      </c>
      <c r="I56">
        <f>IF(IF((I$3*10^12-$A57)*(I$3*10^12-$A56)*-1&lt;0,0,1)*IF(ABS(I$3*10^12-$A57)&gt;(I$3*10^12-$A56),$A56,$A57)=I57,0,IF((I$3*10^12-$A57)*(I$3*10^12-$A56)*-1&lt;0,0,1)*IF(ABS(I$3*10^12-$A57)&gt;(I$3*10^12-$A56),$A56,$A57))</f>
        <v/>
      </c>
      <c r="J56">
        <f>IF(IF((J$3*10^12-$A57)*(J$3*10^12-$A56)*-1&lt;0,0,1)*IF(ABS(J$3*10^12-$A57)&gt;(J$3*10^12-$A56),$A56,$A57)=J57,0,IF((J$3*10^12-$A57)*(J$3*10^12-$A56)*-1&lt;0,0,1)*IF(ABS(J$3*10^12-$A57)&gt;(J$3*10^12-$A56),$A56,$A57))</f>
        <v/>
      </c>
      <c r="K56">
        <f>IF(IF((K$3*10^12-$A57)*(K$3*10^12-$A56)*-1&lt;0,0,1)*IF(ABS(K$3*10^12-$A57)&gt;(K$3*10^12-$A56),$A56,$A57)=K57,0,IF((K$3*10^12-$A57)*(K$3*10^12-$A56)*-1&lt;0,0,1)*IF(ABS(K$3*10^12-$A57)&gt;(K$3*10^12-$A56),$A56,$A57))</f>
        <v/>
      </c>
      <c r="L56">
        <f>IF(IF((L$3*10^12-$A57)*(L$3*10^12-$A56)*-1&lt;0,0,1)*IF(ABS(L$3*10^12-$A57)&gt;(L$3*10^12-$A56),$A56,$A57)=L57,0,IF((L$3*10^12-$A57)*(L$3*10^12-$A56)*-1&lt;0,0,1)*IF(ABS(L$3*10^12-$A57)&gt;(L$3*10^12-$A56),$A56,$A57))</f>
        <v/>
      </c>
      <c r="M56">
        <f>IF(IF((M$3*10^12-$A57)*(M$3*10^12-$A56)*-1&lt;0,0,1)*IF(ABS(M$3*10^12-$A57)&gt;(M$3*10^12-$A56),$A56,$A57)=M57,0,IF((M$3*10^12-$A57)*(M$3*10^12-$A56)*-1&lt;0,0,1)*IF(ABS(M$3*10^12-$A57)&gt;(M$3*10^12-$A56),$A56,$A57))</f>
        <v/>
      </c>
      <c r="N56">
        <f>IF(IF((N$3*10^12-$A57)*(N$3*10^12-$A56)*-1&lt;0,0,1)*IF(ABS(N$3*10^12-$A57)&gt;(N$3*10^12-$A56),$A56,$A57)=N57,0,IF((N$3*10^12-$A57)*(N$3*10^12-$A56)*-1&lt;0,0,1)*IF(ABS(N$3*10^12-$A57)&gt;(N$3*10^12-$A56),$A56,$A57))</f>
        <v/>
      </c>
    </row>
    <row r="57">
      <c r="A57">
        <f>A45*10</f>
        <v/>
      </c>
      <c r="B57">
        <f>IF(IF((B$3*10^12-$A58)*(B$3*10^12-$A57)*-1&lt;0,0,1)*IF(ABS(B$3*10^12-$A58)&gt;(B$3*10^12-$A57),$A57,$A58)=B58,0,IF((B$3*10^12-$A58)*(B$3*10^12-$A57)*-1&lt;0,0,1)*IF(ABS(B$3*10^12-$A58)&gt;(B$3*10^12-$A57),$A57,$A58))</f>
        <v/>
      </c>
      <c r="C57">
        <f>IF(IF((C$3*10^12-$A58)*(C$3*10^12-$A57)*-1&lt;0,0,1)*IF(ABS(C$3*10^12-$A58)&gt;(C$3*10^12-$A57),$A57,$A58)=C58,0,IF((C$3*10^12-$A58)*(C$3*10^12-$A57)*-1&lt;0,0,1)*IF(ABS(C$3*10^12-$A58)&gt;(C$3*10^12-$A57),$A57,$A58))</f>
        <v/>
      </c>
      <c r="D57">
        <f>IF(IF((D$3*10^12-$A58)*(D$3*10^12-$A57)*-1&lt;0,0,1)*IF(ABS(D$3*10^12-$A58)&gt;(D$3*10^12-$A57),$A57,$A58)=D58,0,IF((D$3*10^12-$A58)*(D$3*10^12-$A57)*-1&lt;0,0,1)*IF(ABS(D$3*10^12-$A58)&gt;(D$3*10^12-$A57),$A57,$A58))</f>
        <v/>
      </c>
      <c r="E57">
        <f>IF(IF((E$3*10^12-$A58)*(E$3*10^12-$A57)*-1&lt;0,0,1)*IF(ABS(E$3*10^12-$A58)&gt;(E$3*10^12-$A57),$A57,$A58)=E58,0,IF((E$3*10^12-$A58)*(E$3*10^12-$A57)*-1&lt;0,0,1)*IF(ABS(E$3*10^12-$A58)&gt;(E$3*10^12-$A57),$A57,$A58))</f>
        <v/>
      </c>
      <c r="F57">
        <f>IF(IF((F$3*10^12-$A58)*(F$3*10^12-$A57)*-1&lt;0,0,1)*IF(ABS(F$3*10^12-$A58)&gt;(F$3*10^12-$A57),$A57,$A58)=F58,0,IF((F$3*10^12-$A58)*(F$3*10^12-$A57)*-1&lt;0,0,1)*IF(ABS(F$3*10^12-$A58)&gt;(F$3*10^12-$A57),$A57,$A58))</f>
        <v/>
      </c>
      <c r="G57">
        <f>IF(IF((G$3*10^12-$A58)*(G$3*10^12-$A57)*-1&lt;0,0,1)*IF(ABS(G$3*10^12-$A58)&gt;(G$3*10^12-$A57),$A57,$A58)=G58,0,IF((G$3*10^12-$A58)*(G$3*10^12-$A57)*-1&lt;0,0,1)*IF(ABS(G$3*10^12-$A58)&gt;(G$3*10^12-$A57),$A57,$A58))</f>
        <v/>
      </c>
      <c r="H57">
        <f>IF(IF((H$3*10^12-$A58)*(H$3*10^12-$A57)*-1&lt;0,0,1)*IF(ABS(H$3*10^12-$A58)&gt;(H$3*10^12-$A57),$A57,$A58)=H58,0,IF((H$3*10^12-$A58)*(H$3*10^12-$A57)*-1&lt;0,0,1)*IF(ABS(H$3*10^12-$A58)&gt;(H$3*10^12-$A57),$A57,$A58))</f>
        <v/>
      </c>
      <c r="I57">
        <f>IF(IF((I$3*10^12-$A58)*(I$3*10^12-$A57)*-1&lt;0,0,1)*IF(ABS(I$3*10^12-$A58)&gt;(I$3*10^12-$A57),$A57,$A58)=I58,0,IF((I$3*10^12-$A58)*(I$3*10^12-$A57)*-1&lt;0,0,1)*IF(ABS(I$3*10^12-$A58)&gt;(I$3*10^12-$A57),$A57,$A58))</f>
        <v/>
      </c>
      <c r="J57">
        <f>IF(IF((J$3*10^12-$A58)*(J$3*10^12-$A57)*-1&lt;0,0,1)*IF(ABS(J$3*10^12-$A58)&gt;(J$3*10^12-$A57),$A57,$A58)=J58,0,IF((J$3*10^12-$A58)*(J$3*10^12-$A57)*-1&lt;0,0,1)*IF(ABS(J$3*10^12-$A58)&gt;(J$3*10^12-$A57),$A57,$A58))</f>
        <v/>
      </c>
      <c r="K57">
        <f>IF(IF((K$3*10^12-$A58)*(K$3*10^12-$A57)*-1&lt;0,0,1)*IF(ABS(K$3*10^12-$A58)&gt;(K$3*10^12-$A57),$A57,$A58)=K58,0,IF((K$3*10^12-$A58)*(K$3*10^12-$A57)*-1&lt;0,0,1)*IF(ABS(K$3*10^12-$A58)&gt;(K$3*10^12-$A57),$A57,$A58))</f>
        <v/>
      </c>
      <c r="L57">
        <f>IF(IF((L$3*10^12-$A58)*(L$3*10^12-$A57)*-1&lt;0,0,1)*IF(ABS(L$3*10^12-$A58)&gt;(L$3*10^12-$A57),$A57,$A58)=L58,0,IF((L$3*10^12-$A58)*(L$3*10^12-$A57)*-1&lt;0,0,1)*IF(ABS(L$3*10^12-$A58)&gt;(L$3*10^12-$A57),$A57,$A58))</f>
        <v/>
      </c>
      <c r="M57">
        <f>IF(IF((M$3*10^12-$A58)*(M$3*10^12-$A57)*-1&lt;0,0,1)*IF(ABS(M$3*10^12-$A58)&gt;(M$3*10^12-$A57),$A57,$A58)=M58,0,IF((M$3*10^12-$A58)*(M$3*10^12-$A57)*-1&lt;0,0,1)*IF(ABS(M$3*10^12-$A58)&gt;(M$3*10^12-$A57),$A57,$A58))</f>
        <v/>
      </c>
      <c r="N57">
        <f>IF(IF((N$3*10^12-$A58)*(N$3*10^12-$A57)*-1&lt;0,0,1)*IF(ABS(N$3*10^12-$A58)&gt;(N$3*10^12-$A57),$A57,$A58)=N58,0,IF((N$3*10^12-$A58)*(N$3*10^12-$A57)*-1&lt;0,0,1)*IF(ABS(N$3*10^12-$A58)&gt;(N$3*10^12-$A57),$A57,$A58))</f>
        <v/>
      </c>
    </row>
    <row r="58">
      <c r="A58">
        <f>A46*10</f>
        <v/>
      </c>
      <c r="B58">
        <f>IF(IF((B$3*10^12-$A59)*(B$3*10^12-$A58)*-1&lt;0,0,1)*IF(ABS(B$3*10^12-$A59)&gt;(B$3*10^12-$A58),$A58,$A59)=B59,0,IF((B$3*10^12-$A59)*(B$3*10^12-$A58)*-1&lt;0,0,1)*IF(ABS(B$3*10^12-$A59)&gt;(B$3*10^12-$A58),$A58,$A59))</f>
        <v/>
      </c>
      <c r="C58">
        <f>IF(IF((C$3*10^12-$A59)*(C$3*10^12-$A58)*-1&lt;0,0,1)*IF(ABS(C$3*10^12-$A59)&gt;(C$3*10^12-$A58),$A58,$A59)=C59,0,IF((C$3*10^12-$A59)*(C$3*10^12-$A58)*-1&lt;0,0,1)*IF(ABS(C$3*10^12-$A59)&gt;(C$3*10^12-$A58),$A58,$A59))</f>
        <v/>
      </c>
      <c r="D58">
        <f>IF(IF((D$3*10^12-$A59)*(D$3*10^12-$A58)*-1&lt;0,0,1)*IF(ABS(D$3*10^12-$A59)&gt;(D$3*10^12-$A58),$A58,$A59)=D59,0,IF((D$3*10^12-$A59)*(D$3*10^12-$A58)*-1&lt;0,0,1)*IF(ABS(D$3*10^12-$A59)&gt;(D$3*10^12-$A58),$A58,$A59))</f>
        <v/>
      </c>
      <c r="E58">
        <f>IF(IF((E$3*10^12-$A59)*(E$3*10^12-$A58)*-1&lt;0,0,1)*IF(ABS(E$3*10^12-$A59)&gt;(E$3*10^12-$A58),$A58,$A59)=E59,0,IF((E$3*10^12-$A59)*(E$3*10^12-$A58)*-1&lt;0,0,1)*IF(ABS(E$3*10^12-$A59)&gt;(E$3*10^12-$A58),$A58,$A59))</f>
        <v/>
      </c>
      <c r="F58">
        <f>IF(IF((F$3*10^12-$A59)*(F$3*10^12-$A58)*-1&lt;0,0,1)*IF(ABS(F$3*10^12-$A59)&gt;(F$3*10^12-$A58),$A58,$A59)=F59,0,IF((F$3*10^12-$A59)*(F$3*10^12-$A58)*-1&lt;0,0,1)*IF(ABS(F$3*10^12-$A59)&gt;(F$3*10^12-$A58),$A58,$A59))</f>
        <v/>
      </c>
      <c r="G58">
        <f>IF(IF((G$3*10^12-$A59)*(G$3*10^12-$A58)*-1&lt;0,0,1)*IF(ABS(G$3*10^12-$A59)&gt;(G$3*10^12-$A58),$A58,$A59)=G59,0,IF((G$3*10^12-$A59)*(G$3*10^12-$A58)*-1&lt;0,0,1)*IF(ABS(G$3*10^12-$A59)&gt;(G$3*10^12-$A58),$A58,$A59))</f>
        <v/>
      </c>
      <c r="H58">
        <f>IF(IF((H$3*10^12-$A59)*(H$3*10^12-$A58)*-1&lt;0,0,1)*IF(ABS(H$3*10^12-$A59)&gt;(H$3*10^12-$A58),$A58,$A59)=H59,0,IF((H$3*10^12-$A59)*(H$3*10^12-$A58)*-1&lt;0,0,1)*IF(ABS(H$3*10^12-$A59)&gt;(H$3*10^12-$A58),$A58,$A59))</f>
        <v/>
      </c>
      <c r="I58">
        <f>IF(IF((I$3*10^12-$A59)*(I$3*10^12-$A58)*-1&lt;0,0,1)*IF(ABS(I$3*10^12-$A59)&gt;(I$3*10^12-$A58),$A58,$A59)=I59,0,IF((I$3*10^12-$A59)*(I$3*10^12-$A58)*-1&lt;0,0,1)*IF(ABS(I$3*10^12-$A59)&gt;(I$3*10^12-$A58),$A58,$A59))</f>
        <v/>
      </c>
      <c r="J58">
        <f>IF(IF((J$3*10^12-$A59)*(J$3*10^12-$A58)*-1&lt;0,0,1)*IF(ABS(J$3*10^12-$A59)&gt;(J$3*10^12-$A58),$A58,$A59)=J59,0,IF((J$3*10^12-$A59)*(J$3*10^12-$A58)*-1&lt;0,0,1)*IF(ABS(J$3*10^12-$A59)&gt;(J$3*10^12-$A58),$A58,$A59))</f>
        <v/>
      </c>
      <c r="K58">
        <f>IF(IF((K$3*10^12-$A59)*(K$3*10^12-$A58)*-1&lt;0,0,1)*IF(ABS(K$3*10^12-$A59)&gt;(K$3*10^12-$A58),$A58,$A59)=K59,0,IF((K$3*10^12-$A59)*(K$3*10^12-$A58)*-1&lt;0,0,1)*IF(ABS(K$3*10^12-$A59)&gt;(K$3*10^12-$A58),$A58,$A59))</f>
        <v/>
      </c>
      <c r="L58">
        <f>IF(IF((L$3*10^12-$A59)*(L$3*10^12-$A58)*-1&lt;0,0,1)*IF(ABS(L$3*10^12-$A59)&gt;(L$3*10^12-$A58),$A58,$A59)=L59,0,IF((L$3*10^12-$A59)*(L$3*10^12-$A58)*-1&lt;0,0,1)*IF(ABS(L$3*10^12-$A59)&gt;(L$3*10^12-$A58),$A58,$A59))</f>
        <v/>
      </c>
      <c r="M58">
        <f>IF(IF((M$3*10^12-$A59)*(M$3*10^12-$A58)*-1&lt;0,0,1)*IF(ABS(M$3*10^12-$A59)&gt;(M$3*10^12-$A58),$A58,$A59)=M59,0,IF((M$3*10^12-$A59)*(M$3*10^12-$A58)*-1&lt;0,0,1)*IF(ABS(M$3*10^12-$A59)&gt;(M$3*10^12-$A58),$A58,$A59))</f>
        <v/>
      </c>
      <c r="N58">
        <f>IF(IF((N$3*10^12-$A59)*(N$3*10^12-$A58)*-1&lt;0,0,1)*IF(ABS(N$3*10^12-$A59)&gt;(N$3*10^12-$A58),$A58,$A59)=N59,0,IF((N$3*10^12-$A59)*(N$3*10^12-$A58)*-1&lt;0,0,1)*IF(ABS(N$3*10^12-$A59)&gt;(N$3*10^12-$A58),$A58,$A59))</f>
        <v/>
      </c>
    </row>
    <row r="59">
      <c r="A59">
        <f>A47*10</f>
        <v/>
      </c>
      <c r="B59">
        <f>IF(IF((B$3*10^12-$A60)*(B$3*10^12-$A59)*-1&lt;0,0,1)*IF(ABS(B$3*10^12-$A60)&gt;(B$3*10^12-$A59),$A59,$A60)=B60,0,IF((B$3*10^12-$A60)*(B$3*10^12-$A59)*-1&lt;0,0,1)*IF(ABS(B$3*10^12-$A60)&gt;(B$3*10^12-$A59),$A59,$A60))</f>
        <v/>
      </c>
      <c r="C59">
        <f>IF(IF((C$3*10^12-$A60)*(C$3*10^12-$A59)*-1&lt;0,0,1)*IF(ABS(C$3*10^12-$A60)&gt;(C$3*10^12-$A59),$A59,$A60)=C60,0,IF((C$3*10^12-$A60)*(C$3*10^12-$A59)*-1&lt;0,0,1)*IF(ABS(C$3*10^12-$A60)&gt;(C$3*10^12-$A59),$A59,$A60))</f>
        <v/>
      </c>
      <c r="D59">
        <f>IF(IF((D$3*10^12-$A60)*(D$3*10^12-$A59)*-1&lt;0,0,1)*IF(ABS(D$3*10^12-$A60)&gt;(D$3*10^12-$A59),$A59,$A60)=D60,0,IF((D$3*10^12-$A60)*(D$3*10^12-$A59)*-1&lt;0,0,1)*IF(ABS(D$3*10^12-$A60)&gt;(D$3*10^12-$A59),$A59,$A60))</f>
        <v/>
      </c>
      <c r="E59">
        <f>IF(IF((E$3*10^12-$A60)*(E$3*10^12-$A59)*-1&lt;0,0,1)*IF(ABS(E$3*10^12-$A60)&gt;(E$3*10^12-$A59),$A59,$A60)=E60,0,IF((E$3*10^12-$A60)*(E$3*10^12-$A59)*-1&lt;0,0,1)*IF(ABS(E$3*10^12-$A60)&gt;(E$3*10^12-$A59),$A59,$A60))</f>
        <v/>
      </c>
      <c r="F59">
        <f>IF(IF((F$3*10^12-$A60)*(F$3*10^12-$A59)*-1&lt;0,0,1)*IF(ABS(F$3*10^12-$A60)&gt;(F$3*10^12-$A59),$A59,$A60)=F60,0,IF((F$3*10^12-$A60)*(F$3*10^12-$A59)*-1&lt;0,0,1)*IF(ABS(F$3*10^12-$A60)&gt;(F$3*10^12-$A59),$A59,$A60))</f>
        <v/>
      </c>
      <c r="G59">
        <f>IF(IF((G$3*10^12-$A60)*(G$3*10^12-$A59)*-1&lt;0,0,1)*IF(ABS(G$3*10^12-$A60)&gt;(G$3*10^12-$A59),$A59,$A60)=G60,0,IF((G$3*10^12-$A60)*(G$3*10^12-$A59)*-1&lt;0,0,1)*IF(ABS(G$3*10^12-$A60)&gt;(G$3*10^12-$A59),$A59,$A60))</f>
        <v/>
      </c>
      <c r="H59">
        <f>IF(IF((H$3*10^12-$A60)*(H$3*10^12-$A59)*-1&lt;0,0,1)*IF(ABS(H$3*10^12-$A60)&gt;(H$3*10^12-$A59),$A59,$A60)=H60,0,IF((H$3*10^12-$A60)*(H$3*10^12-$A59)*-1&lt;0,0,1)*IF(ABS(H$3*10^12-$A60)&gt;(H$3*10^12-$A59),$A59,$A60))</f>
        <v/>
      </c>
      <c r="I59">
        <f>IF(IF((I$3*10^12-$A60)*(I$3*10^12-$A59)*-1&lt;0,0,1)*IF(ABS(I$3*10^12-$A60)&gt;(I$3*10^12-$A59),$A59,$A60)=I60,0,IF((I$3*10^12-$A60)*(I$3*10^12-$A59)*-1&lt;0,0,1)*IF(ABS(I$3*10^12-$A60)&gt;(I$3*10^12-$A59),$A59,$A60))</f>
        <v/>
      </c>
      <c r="J59">
        <f>IF(IF((J$3*10^12-$A60)*(J$3*10^12-$A59)*-1&lt;0,0,1)*IF(ABS(J$3*10^12-$A60)&gt;(J$3*10^12-$A59),$A59,$A60)=J60,0,IF((J$3*10^12-$A60)*(J$3*10^12-$A59)*-1&lt;0,0,1)*IF(ABS(J$3*10^12-$A60)&gt;(J$3*10^12-$A59),$A59,$A60))</f>
        <v/>
      </c>
      <c r="K59">
        <f>IF(IF((K$3*10^12-$A60)*(K$3*10^12-$A59)*-1&lt;0,0,1)*IF(ABS(K$3*10^12-$A60)&gt;(K$3*10^12-$A59),$A59,$A60)=K60,0,IF((K$3*10^12-$A60)*(K$3*10^12-$A59)*-1&lt;0,0,1)*IF(ABS(K$3*10^12-$A60)&gt;(K$3*10^12-$A59),$A59,$A60))</f>
        <v/>
      </c>
      <c r="L59">
        <f>IF(IF((L$3*10^12-$A60)*(L$3*10^12-$A59)*-1&lt;0,0,1)*IF(ABS(L$3*10^12-$A60)&gt;(L$3*10^12-$A59),$A59,$A60)=L60,0,IF((L$3*10^12-$A60)*(L$3*10^12-$A59)*-1&lt;0,0,1)*IF(ABS(L$3*10^12-$A60)&gt;(L$3*10^12-$A59),$A59,$A60))</f>
        <v/>
      </c>
      <c r="M59">
        <f>IF(IF((M$3*10^12-$A60)*(M$3*10^12-$A59)*-1&lt;0,0,1)*IF(ABS(M$3*10^12-$A60)&gt;(M$3*10^12-$A59),$A59,$A60)=M60,0,IF((M$3*10^12-$A60)*(M$3*10^12-$A59)*-1&lt;0,0,1)*IF(ABS(M$3*10^12-$A60)&gt;(M$3*10^12-$A59),$A59,$A60))</f>
        <v/>
      </c>
      <c r="N59">
        <f>IF(IF((N$3*10^12-$A60)*(N$3*10^12-$A59)*-1&lt;0,0,1)*IF(ABS(N$3*10^12-$A60)&gt;(N$3*10^12-$A59),$A59,$A60)=N60,0,IF((N$3*10^12-$A60)*(N$3*10^12-$A59)*-1&lt;0,0,1)*IF(ABS(N$3*10^12-$A60)&gt;(N$3*10^12-$A59),$A59,$A60))</f>
        <v/>
      </c>
    </row>
    <row r="60">
      <c r="A60">
        <f>A48*10</f>
        <v/>
      </c>
      <c r="B60">
        <f>IF(IF((B$3*10^12-$A61)*(B$3*10^12-$A60)*-1&lt;0,0,1)*IF(ABS(B$3*10^12-$A61)&gt;(B$3*10^12-$A60),$A60,$A61)=B61,0,IF((B$3*10^12-$A61)*(B$3*10^12-$A60)*-1&lt;0,0,1)*IF(ABS(B$3*10^12-$A61)&gt;(B$3*10^12-$A60),$A60,$A61))</f>
        <v/>
      </c>
      <c r="C60">
        <f>IF(IF((C$3*10^12-$A61)*(C$3*10^12-$A60)*-1&lt;0,0,1)*IF(ABS(C$3*10^12-$A61)&gt;(C$3*10^12-$A60),$A60,$A61)=C61,0,IF((C$3*10^12-$A61)*(C$3*10^12-$A60)*-1&lt;0,0,1)*IF(ABS(C$3*10^12-$A61)&gt;(C$3*10^12-$A60),$A60,$A61))</f>
        <v/>
      </c>
      <c r="D60">
        <f>IF(IF((D$3*10^12-$A61)*(D$3*10^12-$A60)*-1&lt;0,0,1)*IF(ABS(D$3*10^12-$A61)&gt;(D$3*10^12-$A60),$A60,$A61)=D61,0,IF((D$3*10^12-$A61)*(D$3*10^12-$A60)*-1&lt;0,0,1)*IF(ABS(D$3*10^12-$A61)&gt;(D$3*10^12-$A60),$A60,$A61))</f>
        <v/>
      </c>
      <c r="E60">
        <f>IF(IF((E$3*10^12-$A61)*(E$3*10^12-$A60)*-1&lt;0,0,1)*IF(ABS(E$3*10^12-$A61)&gt;(E$3*10^12-$A60),$A60,$A61)=E61,0,IF((E$3*10^12-$A61)*(E$3*10^12-$A60)*-1&lt;0,0,1)*IF(ABS(E$3*10^12-$A61)&gt;(E$3*10^12-$A60),$A60,$A61))</f>
        <v/>
      </c>
      <c r="F60">
        <f>IF(IF((F$3*10^12-$A61)*(F$3*10^12-$A60)*-1&lt;0,0,1)*IF(ABS(F$3*10^12-$A61)&gt;(F$3*10^12-$A60),$A60,$A61)=F61,0,IF((F$3*10^12-$A61)*(F$3*10^12-$A60)*-1&lt;0,0,1)*IF(ABS(F$3*10^12-$A61)&gt;(F$3*10^12-$A60),$A60,$A61))</f>
        <v/>
      </c>
      <c r="G60">
        <f>IF(IF((G$3*10^12-$A61)*(G$3*10^12-$A60)*-1&lt;0,0,1)*IF(ABS(G$3*10^12-$A61)&gt;(G$3*10^12-$A60),$A60,$A61)=G61,0,IF((G$3*10^12-$A61)*(G$3*10^12-$A60)*-1&lt;0,0,1)*IF(ABS(G$3*10^12-$A61)&gt;(G$3*10^12-$A60),$A60,$A61))</f>
        <v/>
      </c>
      <c r="H60">
        <f>IF(IF((H$3*10^12-$A61)*(H$3*10^12-$A60)*-1&lt;0,0,1)*IF(ABS(H$3*10^12-$A61)&gt;(H$3*10^12-$A60),$A60,$A61)=H61,0,IF((H$3*10^12-$A61)*(H$3*10^12-$A60)*-1&lt;0,0,1)*IF(ABS(H$3*10^12-$A61)&gt;(H$3*10^12-$A60),$A60,$A61))</f>
        <v/>
      </c>
      <c r="I60">
        <f>IF(IF((I$3*10^12-$A61)*(I$3*10^12-$A60)*-1&lt;0,0,1)*IF(ABS(I$3*10^12-$A61)&gt;(I$3*10^12-$A60),$A60,$A61)=I61,0,IF((I$3*10^12-$A61)*(I$3*10^12-$A60)*-1&lt;0,0,1)*IF(ABS(I$3*10^12-$A61)&gt;(I$3*10^12-$A60),$A60,$A61))</f>
        <v/>
      </c>
      <c r="J60">
        <f>IF(IF((J$3*10^12-$A61)*(J$3*10^12-$A60)*-1&lt;0,0,1)*IF(ABS(J$3*10^12-$A61)&gt;(J$3*10^12-$A60),$A60,$A61)=J61,0,IF((J$3*10^12-$A61)*(J$3*10^12-$A60)*-1&lt;0,0,1)*IF(ABS(J$3*10^12-$A61)&gt;(J$3*10^12-$A60),$A60,$A61))</f>
        <v/>
      </c>
      <c r="K60">
        <f>IF(IF((K$3*10^12-$A61)*(K$3*10^12-$A60)*-1&lt;0,0,1)*IF(ABS(K$3*10^12-$A61)&gt;(K$3*10^12-$A60),$A60,$A61)=K61,0,IF((K$3*10^12-$A61)*(K$3*10^12-$A60)*-1&lt;0,0,1)*IF(ABS(K$3*10^12-$A61)&gt;(K$3*10^12-$A60),$A60,$A61))</f>
        <v/>
      </c>
      <c r="L60">
        <f>IF(IF((L$3*10^12-$A61)*(L$3*10^12-$A60)*-1&lt;0,0,1)*IF(ABS(L$3*10^12-$A61)&gt;(L$3*10^12-$A60),$A60,$A61)=L61,0,IF((L$3*10^12-$A61)*(L$3*10^12-$A60)*-1&lt;0,0,1)*IF(ABS(L$3*10^12-$A61)&gt;(L$3*10^12-$A60),$A60,$A61))</f>
        <v/>
      </c>
      <c r="M60">
        <f>IF(IF((M$3*10^12-$A61)*(M$3*10^12-$A60)*-1&lt;0,0,1)*IF(ABS(M$3*10^12-$A61)&gt;(M$3*10^12-$A60),$A60,$A61)=M61,0,IF((M$3*10^12-$A61)*(M$3*10^12-$A60)*-1&lt;0,0,1)*IF(ABS(M$3*10^12-$A61)&gt;(M$3*10^12-$A60),$A60,$A61))</f>
        <v/>
      </c>
      <c r="N60">
        <f>IF(IF((N$3*10^12-$A61)*(N$3*10^12-$A60)*-1&lt;0,0,1)*IF(ABS(N$3*10^12-$A61)&gt;(N$3*10^12-$A60),$A60,$A61)=N61,0,IF((N$3*10^12-$A61)*(N$3*10^12-$A60)*-1&lt;0,0,1)*IF(ABS(N$3*10^12-$A61)&gt;(N$3*10^12-$A60),$A60,$A61))</f>
        <v/>
      </c>
    </row>
    <row r="61">
      <c r="A61">
        <f>A49*10</f>
        <v/>
      </c>
      <c r="B61">
        <f>IF(IF((B$3*10^12-$A62)*(B$3*10^12-$A61)*-1&lt;0,0,1)*IF(ABS(B$3*10^12-$A62)&gt;(B$3*10^12-$A61),$A61,$A62)=B62,0,IF((B$3*10^12-$A62)*(B$3*10^12-$A61)*-1&lt;0,0,1)*IF(ABS(B$3*10^12-$A62)&gt;(B$3*10^12-$A61),$A61,$A62))</f>
        <v/>
      </c>
      <c r="C61">
        <f>IF(IF((C$3*10^12-$A62)*(C$3*10^12-$A61)*-1&lt;0,0,1)*IF(ABS(C$3*10^12-$A62)&gt;(C$3*10^12-$A61),$A61,$A62)=C62,0,IF((C$3*10^12-$A62)*(C$3*10^12-$A61)*-1&lt;0,0,1)*IF(ABS(C$3*10^12-$A62)&gt;(C$3*10^12-$A61),$A61,$A62))</f>
        <v/>
      </c>
      <c r="D61">
        <f>IF(IF((D$3*10^12-$A62)*(D$3*10^12-$A61)*-1&lt;0,0,1)*IF(ABS(D$3*10^12-$A62)&gt;(D$3*10^12-$A61),$A61,$A62)=D62,0,IF((D$3*10^12-$A62)*(D$3*10^12-$A61)*-1&lt;0,0,1)*IF(ABS(D$3*10^12-$A62)&gt;(D$3*10^12-$A61),$A61,$A62))</f>
        <v/>
      </c>
      <c r="E61">
        <f>IF(IF((E$3*10^12-$A62)*(E$3*10^12-$A61)*-1&lt;0,0,1)*IF(ABS(E$3*10^12-$A62)&gt;(E$3*10^12-$A61),$A61,$A62)=E62,0,IF((E$3*10^12-$A62)*(E$3*10^12-$A61)*-1&lt;0,0,1)*IF(ABS(E$3*10^12-$A62)&gt;(E$3*10^12-$A61),$A61,$A62))</f>
        <v/>
      </c>
      <c r="F61">
        <f>IF(IF((F$3*10^12-$A62)*(F$3*10^12-$A61)*-1&lt;0,0,1)*IF(ABS(F$3*10^12-$A62)&gt;(F$3*10^12-$A61),$A61,$A62)=F62,0,IF((F$3*10^12-$A62)*(F$3*10^12-$A61)*-1&lt;0,0,1)*IF(ABS(F$3*10^12-$A62)&gt;(F$3*10^12-$A61),$A61,$A62))</f>
        <v/>
      </c>
      <c r="G61">
        <f>IF(IF((G$3*10^12-$A62)*(G$3*10^12-$A61)*-1&lt;0,0,1)*IF(ABS(G$3*10^12-$A62)&gt;(G$3*10^12-$A61),$A61,$A62)=G62,0,IF((G$3*10^12-$A62)*(G$3*10^12-$A61)*-1&lt;0,0,1)*IF(ABS(G$3*10^12-$A62)&gt;(G$3*10^12-$A61),$A61,$A62))</f>
        <v/>
      </c>
      <c r="H61">
        <f>IF(IF((H$3*10^12-$A62)*(H$3*10^12-$A61)*-1&lt;0,0,1)*IF(ABS(H$3*10^12-$A62)&gt;(H$3*10^12-$A61),$A61,$A62)=H62,0,IF((H$3*10^12-$A62)*(H$3*10^12-$A61)*-1&lt;0,0,1)*IF(ABS(H$3*10^12-$A62)&gt;(H$3*10^12-$A61),$A61,$A62))</f>
        <v/>
      </c>
      <c r="I61">
        <f>IF(IF((I$3*10^12-$A62)*(I$3*10^12-$A61)*-1&lt;0,0,1)*IF(ABS(I$3*10^12-$A62)&gt;(I$3*10^12-$A61),$A61,$A62)=I62,0,IF((I$3*10^12-$A62)*(I$3*10^12-$A61)*-1&lt;0,0,1)*IF(ABS(I$3*10^12-$A62)&gt;(I$3*10^12-$A61),$A61,$A62))</f>
        <v/>
      </c>
      <c r="J61">
        <f>IF(IF((J$3*10^12-$A62)*(J$3*10^12-$A61)*-1&lt;0,0,1)*IF(ABS(J$3*10^12-$A62)&gt;(J$3*10^12-$A61),$A61,$A62)=J62,0,IF((J$3*10^12-$A62)*(J$3*10^12-$A61)*-1&lt;0,0,1)*IF(ABS(J$3*10^12-$A62)&gt;(J$3*10^12-$A61),$A61,$A62))</f>
        <v/>
      </c>
      <c r="K61">
        <f>IF(IF((K$3*10^12-$A62)*(K$3*10^12-$A61)*-1&lt;0,0,1)*IF(ABS(K$3*10^12-$A62)&gt;(K$3*10^12-$A61),$A61,$A62)=K62,0,IF((K$3*10^12-$A62)*(K$3*10^12-$A61)*-1&lt;0,0,1)*IF(ABS(K$3*10^12-$A62)&gt;(K$3*10^12-$A61),$A61,$A62))</f>
        <v/>
      </c>
      <c r="L61">
        <f>IF(IF((L$3*10^12-$A62)*(L$3*10^12-$A61)*-1&lt;0,0,1)*IF(ABS(L$3*10^12-$A62)&gt;(L$3*10^12-$A61),$A61,$A62)=L62,0,IF((L$3*10^12-$A62)*(L$3*10^12-$A61)*-1&lt;0,0,1)*IF(ABS(L$3*10^12-$A62)&gt;(L$3*10^12-$A61),$A61,$A62))</f>
        <v/>
      </c>
      <c r="M61">
        <f>IF(IF((M$3*10^12-$A62)*(M$3*10^12-$A61)*-1&lt;0,0,1)*IF(ABS(M$3*10^12-$A62)&gt;(M$3*10^12-$A61),$A61,$A62)=M62,0,IF((M$3*10^12-$A62)*(M$3*10^12-$A61)*-1&lt;0,0,1)*IF(ABS(M$3*10^12-$A62)&gt;(M$3*10^12-$A61),$A61,$A62))</f>
        <v/>
      </c>
      <c r="N61">
        <f>IF(IF((N$3*10^12-$A62)*(N$3*10^12-$A61)*-1&lt;0,0,1)*IF(ABS(N$3*10^12-$A62)&gt;(N$3*10^12-$A61),$A61,$A62)=N62,0,IF((N$3*10^12-$A62)*(N$3*10^12-$A61)*-1&lt;0,0,1)*IF(ABS(N$3*10^12-$A62)&gt;(N$3*10^12-$A61),$A61,$A62))</f>
        <v/>
      </c>
    </row>
    <row r="62">
      <c r="A62">
        <f>A50*10</f>
        <v/>
      </c>
      <c r="B62">
        <f>IF(IF((B$3*10^12-$A63)*(B$3*10^12-$A62)*-1&lt;0,0,1)*IF(ABS(B$3*10^12-$A63)&gt;(B$3*10^12-$A62),$A62,$A63)=B63,0,IF((B$3*10^12-$A63)*(B$3*10^12-$A62)*-1&lt;0,0,1)*IF(ABS(B$3*10^12-$A63)&gt;(B$3*10^12-$A62),$A62,$A63))</f>
        <v/>
      </c>
      <c r="C62">
        <f>IF(IF((C$3*10^12-$A63)*(C$3*10^12-$A62)*-1&lt;0,0,1)*IF(ABS(C$3*10^12-$A63)&gt;(C$3*10^12-$A62),$A62,$A63)=C63,0,IF((C$3*10^12-$A63)*(C$3*10^12-$A62)*-1&lt;0,0,1)*IF(ABS(C$3*10^12-$A63)&gt;(C$3*10^12-$A62),$A62,$A63))</f>
        <v/>
      </c>
      <c r="D62">
        <f>IF(IF((D$3*10^12-$A63)*(D$3*10^12-$A62)*-1&lt;0,0,1)*IF(ABS(D$3*10^12-$A63)&gt;(D$3*10^12-$A62),$A62,$A63)=D63,0,IF((D$3*10^12-$A63)*(D$3*10^12-$A62)*-1&lt;0,0,1)*IF(ABS(D$3*10^12-$A63)&gt;(D$3*10^12-$A62),$A62,$A63))</f>
        <v/>
      </c>
      <c r="E62">
        <f>IF(IF((E$3*10^12-$A63)*(E$3*10^12-$A62)*-1&lt;0,0,1)*IF(ABS(E$3*10^12-$A63)&gt;(E$3*10^12-$A62),$A62,$A63)=E63,0,IF((E$3*10^12-$A63)*(E$3*10^12-$A62)*-1&lt;0,0,1)*IF(ABS(E$3*10^12-$A63)&gt;(E$3*10^12-$A62),$A62,$A63))</f>
        <v/>
      </c>
      <c r="F62">
        <f>IF(IF((F$3*10^12-$A63)*(F$3*10^12-$A62)*-1&lt;0,0,1)*IF(ABS(F$3*10^12-$A63)&gt;(F$3*10^12-$A62),$A62,$A63)=F63,0,IF((F$3*10^12-$A63)*(F$3*10^12-$A62)*-1&lt;0,0,1)*IF(ABS(F$3*10^12-$A63)&gt;(F$3*10^12-$A62),$A62,$A63))</f>
        <v/>
      </c>
      <c r="G62">
        <f>IF(IF((G$3*10^12-$A63)*(G$3*10^12-$A62)*-1&lt;0,0,1)*IF(ABS(G$3*10^12-$A63)&gt;(G$3*10^12-$A62),$A62,$A63)=G63,0,IF((G$3*10^12-$A63)*(G$3*10^12-$A62)*-1&lt;0,0,1)*IF(ABS(G$3*10^12-$A63)&gt;(G$3*10^12-$A62),$A62,$A63))</f>
        <v/>
      </c>
      <c r="H62">
        <f>IF(IF((H$3*10^12-$A63)*(H$3*10^12-$A62)*-1&lt;0,0,1)*IF(ABS(H$3*10^12-$A63)&gt;(H$3*10^12-$A62),$A62,$A63)=H63,0,IF((H$3*10^12-$A63)*(H$3*10^12-$A62)*-1&lt;0,0,1)*IF(ABS(H$3*10^12-$A63)&gt;(H$3*10^12-$A62),$A62,$A63))</f>
        <v/>
      </c>
      <c r="I62">
        <f>IF(IF((I$3*10^12-$A63)*(I$3*10^12-$A62)*-1&lt;0,0,1)*IF(ABS(I$3*10^12-$A63)&gt;(I$3*10^12-$A62),$A62,$A63)=I63,0,IF((I$3*10^12-$A63)*(I$3*10^12-$A62)*-1&lt;0,0,1)*IF(ABS(I$3*10^12-$A63)&gt;(I$3*10^12-$A62),$A62,$A63))</f>
        <v/>
      </c>
      <c r="J62">
        <f>IF(IF((J$3*10^12-$A63)*(J$3*10^12-$A62)*-1&lt;0,0,1)*IF(ABS(J$3*10^12-$A63)&gt;(J$3*10^12-$A62),$A62,$A63)=J63,0,IF((J$3*10^12-$A63)*(J$3*10^12-$A62)*-1&lt;0,0,1)*IF(ABS(J$3*10^12-$A63)&gt;(J$3*10^12-$A62),$A62,$A63))</f>
        <v/>
      </c>
      <c r="K62">
        <f>IF(IF((K$3*10^12-$A63)*(K$3*10^12-$A62)*-1&lt;0,0,1)*IF(ABS(K$3*10^12-$A63)&gt;(K$3*10^12-$A62),$A62,$A63)=K63,0,IF((K$3*10^12-$A63)*(K$3*10^12-$A62)*-1&lt;0,0,1)*IF(ABS(K$3*10^12-$A63)&gt;(K$3*10^12-$A62),$A62,$A63))</f>
        <v/>
      </c>
      <c r="L62">
        <f>IF(IF((L$3*10^12-$A63)*(L$3*10^12-$A62)*-1&lt;0,0,1)*IF(ABS(L$3*10^12-$A63)&gt;(L$3*10^12-$A62),$A62,$A63)=L63,0,IF((L$3*10^12-$A63)*(L$3*10^12-$A62)*-1&lt;0,0,1)*IF(ABS(L$3*10^12-$A63)&gt;(L$3*10^12-$A62),$A62,$A63))</f>
        <v/>
      </c>
      <c r="M62">
        <f>IF(IF((M$3*10^12-$A63)*(M$3*10^12-$A62)*-1&lt;0,0,1)*IF(ABS(M$3*10^12-$A63)&gt;(M$3*10^12-$A62),$A62,$A63)=M63,0,IF((M$3*10^12-$A63)*(M$3*10^12-$A62)*-1&lt;0,0,1)*IF(ABS(M$3*10^12-$A63)&gt;(M$3*10^12-$A62),$A62,$A63))</f>
        <v/>
      </c>
      <c r="N62">
        <f>IF(IF((N$3*10^12-$A63)*(N$3*10^12-$A62)*-1&lt;0,0,1)*IF(ABS(N$3*10^12-$A63)&gt;(N$3*10^12-$A62),$A62,$A63)=N63,0,IF((N$3*10^12-$A63)*(N$3*10^12-$A62)*-1&lt;0,0,1)*IF(ABS(N$3*10^12-$A63)&gt;(N$3*10^12-$A62),$A62,$A63))</f>
        <v/>
      </c>
    </row>
    <row r="63">
      <c r="A63">
        <f>A51*10</f>
        <v/>
      </c>
      <c r="B63">
        <f>IF(IF((B$3*10^12-$A64)*(B$3*10^12-$A63)*-1&lt;0,0,1)*IF(ABS(B$3*10^12-$A64)&gt;(B$3*10^12-$A63),$A63,$A64)=B64,0,IF((B$3*10^12-$A64)*(B$3*10^12-$A63)*-1&lt;0,0,1)*IF(ABS(B$3*10^12-$A64)&gt;(B$3*10^12-$A63),$A63,$A64))</f>
        <v/>
      </c>
      <c r="C63">
        <f>IF(IF((C$3*10^12-$A64)*(C$3*10^12-$A63)*-1&lt;0,0,1)*IF(ABS(C$3*10^12-$A64)&gt;(C$3*10^12-$A63),$A63,$A64)=C64,0,IF((C$3*10^12-$A64)*(C$3*10^12-$A63)*-1&lt;0,0,1)*IF(ABS(C$3*10^12-$A64)&gt;(C$3*10^12-$A63),$A63,$A64))</f>
        <v/>
      </c>
      <c r="D63">
        <f>IF(IF((D$3*10^12-$A64)*(D$3*10^12-$A63)*-1&lt;0,0,1)*IF(ABS(D$3*10^12-$A64)&gt;(D$3*10^12-$A63),$A63,$A64)=D64,0,IF((D$3*10^12-$A64)*(D$3*10^12-$A63)*-1&lt;0,0,1)*IF(ABS(D$3*10^12-$A64)&gt;(D$3*10^12-$A63),$A63,$A64))</f>
        <v/>
      </c>
      <c r="E63">
        <f>IF(IF((E$3*10^12-$A64)*(E$3*10^12-$A63)*-1&lt;0,0,1)*IF(ABS(E$3*10^12-$A64)&gt;(E$3*10^12-$A63),$A63,$A64)=E64,0,IF((E$3*10^12-$A64)*(E$3*10^12-$A63)*-1&lt;0,0,1)*IF(ABS(E$3*10^12-$A64)&gt;(E$3*10^12-$A63),$A63,$A64))</f>
        <v/>
      </c>
      <c r="F63">
        <f>IF(IF((F$3*10^12-$A64)*(F$3*10^12-$A63)*-1&lt;0,0,1)*IF(ABS(F$3*10^12-$A64)&gt;(F$3*10^12-$A63),$A63,$A64)=F64,0,IF((F$3*10^12-$A64)*(F$3*10^12-$A63)*-1&lt;0,0,1)*IF(ABS(F$3*10^12-$A64)&gt;(F$3*10^12-$A63),$A63,$A64))</f>
        <v/>
      </c>
      <c r="G63">
        <f>IF(IF((G$3*10^12-$A64)*(G$3*10^12-$A63)*-1&lt;0,0,1)*IF(ABS(G$3*10^12-$A64)&gt;(G$3*10^12-$A63),$A63,$A64)=G64,0,IF((G$3*10^12-$A64)*(G$3*10^12-$A63)*-1&lt;0,0,1)*IF(ABS(G$3*10^12-$A64)&gt;(G$3*10^12-$A63),$A63,$A64))</f>
        <v/>
      </c>
      <c r="H63">
        <f>IF(IF((H$3*10^12-$A64)*(H$3*10^12-$A63)*-1&lt;0,0,1)*IF(ABS(H$3*10^12-$A64)&gt;(H$3*10^12-$A63),$A63,$A64)=H64,0,IF((H$3*10^12-$A64)*(H$3*10^12-$A63)*-1&lt;0,0,1)*IF(ABS(H$3*10^12-$A64)&gt;(H$3*10^12-$A63),$A63,$A64))</f>
        <v/>
      </c>
      <c r="I63">
        <f>IF(IF((I$3*10^12-$A64)*(I$3*10^12-$A63)*-1&lt;0,0,1)*IF(ABS(I$3*10^12-$A64)&gt;(I$3*10^12-$A63),$A63,$A64)=I64,0,IF((I$3*10^12-$A64)*(I$3*10^12-$A63)*-1&lt;0,0,1)*IF(ABS(I$3*10^12-$A64)&gt;(I$3*10^12-$A63),$A63,$A64))</f>
        <v/>
      </c>
      <c r="J63">
        <f>IF(IF((J$3*10^12-$A64)*(J$3*10^12-$A63)*-1&lt;0,0,1)*IF(ABS(J$3*10^12-$A64)&gt;(J$3*10^12-$A63),$A63,$A64)=J64,0,IF((J$3*10^12-$A64)*(J$3*10^12-$A63)*-1&lt;0,0,1)*IF(ABS(J$3*10^12-$A64)&gt;(J$3*10^12-$A63),$A63,$A64))</f>
        <v/>
      </c>
      <c r="K63">
        <f>IF(IF((K$3*10^12-$A64)*(K$3*10^12-$A63)*-1&lt;0,0,1)*IF(ABS(K$3*10^12-$A64)&gt;(K$3*10^12-$A63),$A63,$A64)=K64,0,IF((K$3*10^12-$A64)*(K$3*10^12-$A63)*-1&lt;0,0,1)*IF(ABS(K$3*10^12-$A64)&gt;(K$3*10^12-$A63),$A63,$A64))</f>
        <v/>
      </c>
      <c r="L63">
        <f>IF(IF((L$3*10^12-$A64)*(L$3*10^12-$A63)*-1&lt;0,0,1)*IF(ABS(L$3*10^12-$A64)&gt;(L$3*10^12-$A63),$A63,$A64)=L64,0,IF((L$3*10^12-$A64)*(L$3*10^12-$A63)*-1&lt;0,0,1)*IF(ABS(L$3*10^12-$A64)&gt;(L$3*10^12-$A63),$A63,$A64))</f>
        <v/>
      </c>
      <c r="M63">
        <f>IF(IF((M$3*10^12-$A64)*(M$3*10^12-$A63)*-1&lt;0,0,1)*IF(ABS(M$3*10^12-$A64)&gt;(M$3*10^12-$A63),$A63,$A64)=M64,0,IF((M$3*10^12-$A64)*(M$3*10^12-$A63)*-1&lt;0,0,1)*IF(ABS(M$3*10^12-$A64)&gt;(M$3*10^12-$A63),$A63,$A64))</f>
        <v/>
      </c>
      <c r="N63">
        <f>IF(IF((N$3*10^12-$A64)*(N$3*10^12-$A63)*-1&lt;0,0,1)*IF(ABS(N$3*10^12-$A64)&gt;(N$3*10^12-$A63),$A63,$A64)=N64,0,IF((N$3*10^12-$A64)*(N$3*10^12-$A63)*-1&lt;0,0,1)*IF(ABS(N$3*10^12-$A64)&gt;(N$3*10^12-$A63),$A63,$A64))</f>
        <v/>
      </c>
    </row>
    <row r="64">
      <c r="A64">
        <f>A52*10</f>
        <v/>
      </c>
      <c r="B64">
        <f>IF(IF((B$3*10^12-$A65)*(B$3*10^12-$A64)*-1&lt;0,0,1)*IF(ABS(B$3*10^12-$A65)&gt;(B$3*10^12-$A64),$A64,$A65)=B65,0,IF((B$3*10^12-$A65)*(B$3*10^12-$A64)*-1&lt;0,0,1)*IF(ABS(B$3*10^12-$A65)&gt;(B$3*10^12-$A64),$A64,$A65))</f>
        <v/>
      </c>
      <c r="C64">
        <f>IF(IF((C$3*10^12-$A65)*(C$3*10^12-$A64)*-1&lt;0,0,1)*IF(ABS(C$3*10^12-$A65)&gt;(C$3*10^12-$A64),$A64,$A65)=C65,0,IF((C$3*10^12-$A65)*(C$3*10^12-$A64)*-1&lt;0,0,1)*IF(ABS(C$3*10^12-$A65)&gt;(C$3*10^12-$A64),$A64,$A65))</f>
        <v/>
      </c>
      <c r="D64">
        <f>IF(IF((D$3*10^12-$A65)*(D$3*10^12-$A64)*-1&lt;0,0,1)*IF(ABS(D$3*10^12-$A65)&gt;(D$3*10^12-$A64),$A64,$A65)=D65,0,IF((D$3*10^12-$A65)*(D$3*10^12-$A64)*-1&lt;0,0,1)*IF(ABS(D$3*10^12-$A65)&gt;(D$3*10^12-$A64),$A64,$A65))</f>
        <v/>
      </c>
      <c r="E64">
        <f>IF(IF((E$3*10^12-$A65)*(E$3*10^12-$A64)*-1&lt;0,0,1)*IF(ABS(E$3*10^12-$A65)&gt;(E$3*10^12-$A64),$A64,$A65)=E65,0,IF((E$3*10^12-$A65)*(E$3*10^12-$A64)*-1&lt;0,0,1)*IF(ABS(E$3*10^12-$A65)&gt;(E$3*10^12-$A64),$A64,$A65))</f>
        <v/>
      </c>
      <c r="F64">
        <f>IF(IF((F$3*10^12-$A65)*(F$3*10^12-$A64)*-1&lt;0,0,1)*IF(ABS(F$3*10^12-$A65)&gt;(F$3*10^12-$A64),$A64,$A65)=F65,0,IF((F$3*10^12-$A65)*(F$3*10^12-$A64)*-1&lt;0,0,1)*IF(ABS(F$3*10^12-$A65)&gt;(F$3*10^12-$A64),$A64,$A65))</f>
        <v/>
      </c>
      <c r="G64">
        <f>IF(IF((G$3*10^12-$A65)*(G$3*10^12-$A64)*-1&lt;0,0,1)*IF(ABS(G$3*10^12-$A65)&gt;(G$3*10^12-$A64),$A64,$A65)=G65,0,IF((G$3*10^12-$A65)*(G$3*10^12-$A64)*-1&lt;0,0,1)*IF(ABS(G$3*10^12-$A65)&gt;(G$3*10^12-$A64),$A64,$A65))</f>
        <v/>
      </c>
      <c r="H64">
        <f>IF(IF((H$3*10^12-$A65)*(H$3*10^12-$A64)*-1&lt;0,0,1)*IF(ABS(H$3*10^12-$A65)&gt;(H$3*10^12-$A64),$A64,$A65)=H65,0,IF((H$3*10^12-$A65)*(H$3*10^12-$A64)*-1&lt;0,0,1)*IF(ABS(H$3*10^12-$A65)&gt;(H$3*10^12-$A64),$A64,$A65))</f>
        <v/>
      </c>
      <c r="I64">
        <f>IF(IF((I$3*10^12-$A65)*(I$3*10^12-$A64)*-1&lt;0,0,1)*IF(ABS(I$3*10^12-$A65)&gt;(I$3*10^12-$A64),$A64,$A65)=I65,0,IF((I$3*10^12-$A65)*(I$3*10^12-$A64)*-1&lt;0,0,1)*IF(ABS(I$3*10^12-$A65)&gt;(I$3*10^12-$A64),$A64,$A65))</f>
        <v/>
      </c>
      <c r="J64">
        <f>IF(IF((J$3*10^12-$A65)*(J$3*10^12-$A64)*-1&lt;0,0,1)*IF(ABS(J$3*10^12-$A65)&gt;(J$3*10^12-$A64),$A64,$A65)=J65,0,IF((J$3*10^12-$A65)*(J$3*10^12-$A64)*-1&lt;0,0,1)*IF(ABS(J$3*10^12-$A65)&gt;(J$3*10^12-$A64),$A64,$A65))</f>
        <v/>
      </c>
      <c r="K64">
        <f>IF(IF((K$3*10^12-$A65)*(K$3*10^12-$A64)*-1&lt;0,0,1)*IF(ABS(K$3*10^12-$A65)&gt;(K$3*10^12-$A64),$A64,$A65)=K65,0,IF((K$3*10^12-$A65)*(K$3*10^12-$A64)*-1&lt;0,0,1)*IF(ABS(K$3*10^12-$A65)&gt;(K$3*10^12-$A64),$A64,$A65))</f>
        <v/>
      </c>
      <c r="L64">
        <f>IF(IF((L$3*10^12-$A65)*(L$3*10^12-$A64)*-1&lt;0,0,1)*IF(ABS(L$3*10^12-$A65)&gt;(L$3*10^12-$A64),$A64,$A65)=L65,0,IF((L$3*10^12-$A65)*(L$3*10^12-$A64)*-1&lt;0,0,1)*IF(ABS(L$3*10^12-$A65)&gt;(L$3*10^12-$A64),$A64,$A65))</f>
        <v/>
      </c>
      <c r="M64">
        <f>IF(IF((M$3*10^12-$A65)*(M$3*10^12-$A64)*-1&lt;0,0,1)*IF(ABS(M$3*10^12-$A65)&gt;(M$3*10^12-$A64),$A64,$A65)=M65,0,IF((M$3*10^12-$A65)*(M$3*10^12-$A64)*-1&lt;0,0,1)*IF(ABS(M$3*10^12-$A65)&gt;(M$3*10^12-$A64),$A64,$A65))</f>
        <v/>
      </c>
      <c r="N64">
        <f>IF(IF((N$3*10^12-$A65)*(N$3*10^12-$A64)*-1&lt;0,0,1)*IF(ABS(N$3*10^12-$A65)&gt;(N$3*10^12-$A64),$A64,$A65)=N65,0,IF((N$3*10^12-$A65)*(N$3*10^12-$A64)*-1&lt;0,0,1)*IF(ABS(N$3*10^12-$A65)&gt;(N$3*10^12-$A64),$A64,$A65))</f>
        <v/>
      </c>
    </row>
    <row r="65">
      <c r="A65">
        <f>A53*10</f>
        <v/>
      </c>
      <c r="B65">
        <f>IF(IF((B$3*10^12-$A66)*(B$3*10^12-$A65)*-1&lt;0,0,1)*IF(ABS(B$3*10^12-$A66)&gt;(B$3*10^12-$A65),$A65,$A66)=B66,0,IF((B$3*10^12-$A66)*(B$3*10^12-$A65)*-1&lt;0,0,1)*IF(ABS(B$3*10^12-$A66)&gt;(B$3*10^12-$A65),$A65,$A66))</f>
        <v/>
      </c>
      <c r="C65">
        <f>IF(IF((C$3*10^12-$A66)*(C$3*10^12-$A65)*-1&lt;0,0,1)*IF(ABS(C$3*10^12-$A66)&gt;(C$3*10^12-$A65),$A65,$A66)=C66,0,IF((C$3*10^12-$A66)*(C$3*10^12-$A65)*-1&lt;0,0,1)*IF(ABS(C$3*10^12-$A66)&gt;(C$3*10^12-$A65),$A65,$A66))</f>
        <v/>
      </c>
      <c r="D65">
        <f>IF(IF((D$3*10^12-$A66)*(D$3*10^12-$A65)*-1&lt;0,0,1)*IF(ABS(D$3*10^12-$A66)&gt;(D$3*10^12-$A65),$A65,$A66)=D66,0,IF((D$3*10^12-$A66)*(D$3*10^12-$A65)*-1&lt;0,0,1)*IF(ABS(D$3*10^12-$A66)&gt;(D$3*10^12-$A65),$A65,$A66))</f>
        <v/>
      </c>
      <c r="E65">
        <f>IF(IF((E$3*10^12-$A66)*(E$3*10^12-$A65)*-1&lt;0,0,1)*IF(ABS(E$3*10^12-$A66)&gt;(E$3*10^12-$A65),$A65,$A66)=E66,0,IF((E$3*10^12-$A66)*(E$3*10^12-$A65)*-1&lt;0,0,1)*IF(ABS(E$3*10^12-$A66)&gt;(E$3*10^12-$A65),$A65,$A66))</f>
        <v/>
      </c>
      <c r="F65">
        <f>IF(IF((F$3*10^12-$A66)*(F$3*10^12-$A65)*-1&lt;0,0,1)*IF(ABS(F$3*10^12-$A66)&gt;(F$3*10^12-$A65),$A65,$A66)=F66,0,IF((F$3*10^12-$A66)*(F$3*10^12-$A65)*-1&lt;0,0,1)*IF(ABS(F$3*10^12-$A66)&gt;(F$3*10^12-$A65),$A65,$A66))</f>
        <v/>
      </c>
      <c r="G65">
        <f>IF(IF((G$3*10^12-$A66)*(G$3*10^12-$A65)*-1&lt;0,0,1)*IF(ABS(G$3*10^12-$A66)&gt;(G$3*10^12-$A65),$A65,$A66)=G66,0,IF((G$3*10^12-$A66)*(G$3*10^12-$A65)*-1&lt;0,0,1)*IF(ABS(G$3*10^12-$A66)&gt;(G$3*10^12-$A65),$A65,$A66))</f>
        <v/>
      </c>
      <c r="H65">
        <f>IF(IF((H$3*10^12-$A66)*(H$3*10^12-$A65)*-1&lt;0,0,1)*IF(ABS(H$3*10^12-$A66)&gt;(H$3*10^12-$A65),$A65,$A66)=H66,0,IF((H$3*10^12-$A66)*(H$3*10^12-$A65)*-1&lt;0,0,1)*IF(ABS(H$3*10^12-$A66)&gt;(H$3*10^12-$A65),$A65,$A66))</f>
        <v/>
      </c>
      <c r="I65">
        <f>IF(IF((I$3*10^12-$A66)*(I$3*10^12-$A65)*-1&lt;0,0,1)*IF(ABS(I$3*10^12-$A66)&gt;(I$3*10^12-$A65),$A65,$A66)=I66,0,IF((I$3*10^12-$A66)*(I$3*10^12-$A65)*-1&lt;0,0,1)*IF(ABS(I$3*10^12-$A66)&gt;(I$3*10^12-$A65),$A65,$A66))</f>
        <v/>
      </c>
      <c r="J65">
        <f>IF(IF((J$3*10^12-$A66)*(J$3*10^12-$A65)*-1&lt;0,0,1)*IF(ABS(J$3*10^12-$A66)&gt;(J$3*10^12-$A65),$A65,$A66)=J66,0,IF((J$3*10^12-$A66)*(J$3*10^12-$A65)*-1&lt;0,0,1)*IF(ABS(J$3*10^12-$A66)&gt;(J$3*10^12-$A65),$A65,$A66))</f>
        <v/>
      </c>
      <c r="K65">
        <f>IF(IF((K$3*10^12-$A66)*(K$3*10^12-$A65)*-1&lt;0,0,1)*IF(ABS(K$3*10^12-$A66)&gt;(K$3*10^12-$A65),$A65,$A66)=K66,0,IF((K$3*10^12-$A66)*(K$3*10^12-$A65)*-1&lt;0,0,1)*IF(ABS(K$3*10^12-$A66)&gt;(K$3*10^12-$A65),$A65,$A66))</f>
        <v/>
      </c>
      <c r="L65">
        <f>IF(IF((L$3*10^12-$A66)*(L$3*10^12-$A65)*-1&lt;0,0,1)*IF(ABS(L$3*10^12-$A66)&gt;(L$3*10^12-$A65),$A65,$A66)=L66,0,IF((L$3*10^12-$A66)*(L$3*10^12-$A65)*-1&lt;0,0,1)*IF(ABS(L$3*10^12-$A66)&gt;(L$3*10^12-$A65),$A65,$A66))</f>
        <v/>
      </c>
      <c r="M65">
        <f>IF(IF((M$3*10^12-$A66)*(M$3*10^12-$A65)*-1&lt;0,0,1)*IF(ABS(M$3*10^12-$A66)&gt;(M$3*10^12-$A65),$A65,$A66)=M66,0,IF((M$3*10^12-$A66)*(M$3*10^12-$A65)*-1&lt;0,0,1)*IF(ABS(M$3*10^12-$A66)&gt;(M$3*10^12-$A65),$A65,$A66))</f>
        <v/>
      </c>
      <c r="N65">
        <f>IF(IF((N$3*10^12-$A66)*(N$3*10^12-$A65)*-1&lt;0,0,1)*IF(ABS(N$3*10^12-$A66)&gt;(N$3*10^12-$A65),$A65,$A66)=N66,0,IF((N$3*10^12-$A66)*(N$3*10^12-$A65)*-1&lt;0,0,1)*IF(ABS(N$3*10^12-$A66)&gt;(N$3*10^12-$A65),$A65,$A66))</f>
        <v/>
      </c>
    </row>
    <row r="66">
      <c r="A66">
        <f>A54*10</f>
        <v/>
      </c>
      <c r="B66">
        <f>IF(IF((B$3*10^12-$A67)*(B$3*10^12-$A66)*-1&lt;0,0,1)*IF(ABS(B$3*10^12-$A67)&gt;(B$3*10^12-$A66),$A66,$A67)=B67,0,IF((B$3*10^12-$A67)*(B$3*10^12-$A66)*-1&lt;0,0,1)*IF(ABS(B$3*10^12-$A67)&gt;(B$3*10^12-$A66),$A66,$A67))</f>
        <v/>
      </c>
      <c r="C66">
        <f>IF(IF((C$3*10^12-$A67)*(C$3*10^12-$A66)*-1&lt;0,0,1)*IF(ABS(C$3*10^12-$A67)&gt;(C$3*10^12-$A66),$A66,$A67)=C67,0,IF((C$3*10^12-$A67)*(C$3*10^12-$A66)*-1&lt;0,0,1)*IF(ABS(C$3*10^12-$A67)&gt;(C$3*10^12-$A66),$A66,$A67))</f>
        <v/>
      </c>
      <c r="D66">
        <f>IF(IF((D$3*10^12-$A67)*(D$3*10^12-$A66)*-1&lt;0,0,1)*IF(ABS(D$3*10^12-$A67)&gt;(D$3*10^12-$A66),$A66,$A67)=D67,0,IF((D$3*10^12-$A67)*(D$3*10^12-$A66)*-1&lt;0,0,1)*IF(ABS(D$3*10^12-$A67)&gt;(D$3*10^12-$A66),$A66,$A67))</f>
        <v/>
      </c>
      <c r="E66">
        <f>IF(IF((E$3*10^12-$A67)*(E$3*10^12-$A66)*-1&lt;0,0,1)*IF(ABS(E$3*10^12-$A67)&gt;(E$3*10^12-$A66),$A66,$A67)=E67,0,IF((E$3*10^12-$A67)*(E$3*10^12-$A66)*-1&lt;0,0,1)*IF(ABS(E$3*10^12-$A67)&gt;(E$3*10^12-$A66),$A66,$A67))</f>
        <v/>
      </c>
      <c r="F66">
        <f>IF(IF((F$3*10^12-$A67)*(F$3*10^12-$A66)*-1&lt;0,0,1)*IF(ABS(F$3*10^12-$A67)&gt;(F$3*10^12-$A66),$A66,$A67)=F67,0,IF((F$3*10^12-$A67)*(F$3*10^12-$A66)*-1&lt;0,0,1)*IF(ABS(F$3*10^12-$A67)&gt;(F$3*10^12-$A66),$A66,$A67))</f>
        <v/>
      </c>
      <c r="G66">
        <f>IF(IF((G$3*10^12-$A67)*(G$3*10^12-$A66)*-1&lt;0,0,1)*IF(ABS(G$3*10^12-$A67)&gt;(G$3*10^12-$A66),$A66,$A67)=G67,0,IF((G$3*10^12-$A67)*(G$3*10^12-$A66)*-1&lt;0,0,1)*IF(ABS(G$3*10^12-$A67)&gt;(G$3*10^12-$A66),$A66,$A67))</f>
        <v/>
      </c>
      <c r="H66">
        <f>IF(IF((H$3*10^12-$A67)*(H$3*10^12-$A66)*-1&lt;0,0,1)*IF(ABS(H$3*10^12-$A67)&gt;(H$3*10^12-$A66),$A66,$A67)=H67,0,IF((H$3*10^12-$A67)*(H$3*10^12-$A66)*-1&lt;0,0,1)*IF(ABS(H$3*10^12-$A67)&gt;(H$3*10^12-$A66),$A66,$A67))</f>
        <v/>
      </c>
      <c r="I66">
        <f>IF(IF((I$3*10^12-$A67)*(I$3*10^12-$A66)*-1&lt;0,0,1)*IF(ABS(I$3*10^12-$A67)&gt;(I$3*10^12-$A66),$A66,$A67)=I67,0,IF((I$3*10^12-$A67)*(I$3*10^12-$A66)*-1&lt;0,0,1)*IF(ABS(I$3*10^12-$A67)&gt;(I$3*10^12-$A66),$A66,$A67))</f>
        <v/>
      </c>
      <c r="J66">
        <f>IF(IF((J$3*10^12-$A67)*(J$3*10^12-$A66)*-1&lt;0,0,1)*IF(ABS(J$3*10^12-$A67)&gt;(J$3*10^12-$A66),$A66,$A67)=J67,0,IF((J$3*10^12-$A67)*(J$3*10^12-$A66)*-1&lt;0,0,1)*IF(ABS(J$3*10^12-$A67)&gt;(J$3*10^12-$A66),$A66,$A67))</f>
        <v/>
      </c>
      <c r="K66">
        <f>IF(IF((K$3*10^12-$A67)*(K$3*10^12-$A66)*-1&lt;0,0,1)*IF(ABS(K$3*10^12-$A67)&gt;(K$3*10^12-$A66),$A66,$A67)=K67,0,IF((K$3*10^12-$A67)*(K$3*10^12-$A66)*-1&lt;0,0,1)*IF(ABS(K$3*10^12-$A67)&gt;(K$3*10^12-$A66),$A66,$A67))</f>
        <v/>
      </c>
      <c r="L66">
        <f>IF(IF((L$3*10^12-$A67)*(L$3*10^12-$A66)*-1&lt;0,0,1)*IF(ABS(L$3*10^12-$A67)&gt;(L$3*10^12-$A66),$A66,$A67)=L67,0,IF((L$3*10^12-$A67)*(L$3*10^12-$A66)*-1&lt;0,0,1)*IF(ABS(L$3*10^12-$A67)&gt;(L$3*10^12-$A66),$A66,$A67))</f>
        <v/>
      </c>
      <c r="M66">
        <f>IF(IF((M$3*10^12-$A67)*(M$3*10^12-$A66)*-1&lt;0,0,1)*IF(ABS(M$3*10^12-$A67)&gt;(M$3*10^12-$A66),$A66,$A67)=M67,0,IF((M$3*10^12-$A67)*(M$3*10^12-$A66)*-1&lt;0,0,1)*IF(ABS(M$3*10^12-$A67)&gt;(M$3*10^12-$A66),$A66,$A67))</f>
        <v/>
      </c>
      <c r="N66">
        <f>IF(IF((N$3*10^12-$A67)*(N$3*10^12-$A66)*-1&lt;0,0,1)*IF(ABS(N$3*10^12-$A67)&gt;(N$3*10^12-$A66),$A66,$A67)=N67,0,IF((N$3*10^12-$A67)*(N$3*10^12-$A66)*-1&lt;0,0,1)*IF(ABS(N$3*10^12-$A67)&gt;(N$3*10^12-$A66),$A66,$A67))</f>
        <v/>
      </c>
    </row>
    <row r="67">
      <c r="A67">
        <f>A55*10</f>
        <v/>
      </c>
      <c r="B67">
        <f>IF(IF((B$3*10^12-$A68)*(B$3*10^12-$A67)*-1&lt;0,0,1)*IF(ABS(B$3*10^12-$A68)&gt;(B$3*10^12-$A67),$A67,$A68)=B68,0,IF((B$3*10^12-$A68)*(B$3*10^12-$A67)*-1&lt;0,0,1)*IF(ABS(B$3*10^12-$A68)&gt;(B$3*10^12-$A67),$A67,$A68))</f>
        <v/>
      </c>
      <c r="C67">
        <f>IF(IF((C$3*10^12-$A68)*(C$3*10^12-$A67)*-1&lt;0,0,1)*IF(ABS(C$3*10^12-$A68)&gt;(C$3*10^12-$A67),$A67,$A68)=C68,0,IF((C$3*10^12-$A68)*(C$3*10^12-$A67)*-1&lt;0,0,1)*IF(ABS(C$3*10^12-$A68)&gt;(C$3*10^12-$A67),$A67,$A68))</f>
        <v/>
      </c>
      <c r="D67">
        <f>IF(IF((D$3*10^12-$A68)*(D$3*10^12-$A67)*-1&lt;0,0,1)*IF(ABS(D$3*10^12-$A68)&gt;(D$3*10^12-$A67),$A67,$A68)=D68,0,IF((D$3*10^12-$A68)*(D$3*10^12-$A67)*-1&lt;0,0,1)*IF(ABS(D$3*10^12-$A68)&gt;(D$3*10^12-$A67),$A67,$A68))</f>
        <v/>
      </c>
      <c r="E67">
        <f>IF(IF((E$3*10^12-$A68)*(E$3*10^12-$A67)*-1&lt;0,0,1)*IF(ABS(E$3*10^12-$A68)&gt;(E$3*10^12-$A67),$A67,$A68)=E68,0,IF((E$3*10^12-$A68)*(E$3*10^12-$A67)*-1&lt;0,0,1)*IF(ABS(E$3*10^12-$A68)&gt;(E$3*10^12-$A67),$A67,$A68))</f>
        <v/>
      </c>
      <c r="F67">
        <f>IF(IF((F$3*10^12-$A68)*(F$3*10^12-$A67)*-1&lt;0,0,1)*IF(ABS(F$3*10^12-$A68)&gt;(F$3*10^12-$A67),$A67,$A68)=F68,0,IF((F$3*10^12-$A68)*(F$3*10^12-$A67)*-1&lt;0,0,1)*IF(ABS(F$3*10^12-$A68)&gt;(F$3*10^12-$A67),$A67,$A68))</f>
        <v/>
      </c>
      <c r="G67">
        <f>IF(IF((G$3*10^12-$A68)*(G$3*10^12-$A67)*-1&lt;0,0,1)*IF(ABS(G$3*10^12-$A68)&gt;(G$3*10^12-$A67),$A67,$A68)=G68,0,IF((G$3*10^12-$A68)*(G$3*10^12-$A67)*-1&lt;0,0,1)*IF(ABS(G$3*10^12-$A68)&gt;(G$3*10^12-$A67),$A67,$A68))</f>
        <v/>
      </c>
      <c r="H67">
        <f>IF(IF((H$3*10^12-$A68)*(H$3*10^12-$A67)*-1&lt;0,0,1)*IF(ABS(H$3*10^12-$A68)&gt;(H$3*10^12-$A67),$A67,$A68)=H68,0,IF((H$3*10^12-$A68)*(H$3*10^12-$A67)*-1&lt;0,0,1)*IF(ABS(H$3*10^12-$A68)&gt;(H$3*10^12-$A67),$A67,$A68))</f>
        <v/>
      </c>
      <c r="I67">
        <f>IF(IF((I$3*10^12-$A68)*(I$3*10^12-$A67)*-1&lt;0,0,1)*IF(ABS(I$3*10^12-$A68)&gt;(I$3*10^12-$A67),$A67,$A68)=I68,0,IF((I$3*10^12-$A68)*(I$3*10^12-$A67)*-1&lt;0,0,1)*IF(ABS(I$3*10^12-$A68)&gt;(I$3*10^12-$A67),$A67,$A68))</f>
        <v/>
      </c>
      <c r="J67">
        <f>IF(IF((J$3*10^12-$A68)*(J$3*10^12-$A67)*-1&lt;0,0,1)*IF(ABS(J$3*10^12-$A68)&gt;(J$3*10^12-$A67),$A67,$A68)=J68,0,IF((J$3*10^12-$A68)*(J$3*10^12-$A67)*-1&lt;0,0,1)*IF(ABS(J$3*10^12-$A68)&gt;(J$3*10^12-$A67),$A67,$A68))</f>
        <v/>
      </c>
      <c r="K67">
        <f>IF(IF((K$3*10^12-$A68)*(K$3*10^12-$A67)*-1&lt;0,0,1)*IF(ABS(K$3*10^12-$A68)&gt;(K$3*10^12-$A67),$A67,$A68)=K68,0,IF((K$3*10^12-$A68)*(K$3*10^12-$A67)*-1&lt;0,0,1)*IF(ABS(K$3*10^12-$A68)&gt;(K$3*10^12-$A67),$A67,$A68))</f>
        <v/>
      </c>
      <c r="L67">
        <f>IF(IF((L$3*10^12-$A68)*(L$3*10^12-$A67)*-1&lt;0,0,1)*IF(ABS(L$3*10^12-$A68)&gt;(L$3*10^12-$A67),$A67,$A68)=L68,0,IF((L$3*10^12-$A68)*(L$3*10^12-$A67)*-1&lt;0,0,1)*IF(ABS(L$3*10^12-$A68)&gt;(L$3*10^12-$A67),$A67,$A68))</f>
        <v/>
      </c>
      <c r="M67">
        <f>IF(IF((M$3*10^12-$A68)*(M$3*10^12-$A67)*-1&lt;0,0,1)*IF(ABS(M$3*10^12-$A68)&gt;(M$3*10^12-$A67),$A67,$A68)=M68,0,IF((M$3*10^12-$A68)*(M$3*10^12-$A67)*-1&lt;0,0,1)*IF(ABS(M$3*10^12-$A68)&gt;(M$3*10^12-$A67),$A67,$A68))</f>
        <v/>
      </c>
      <c r="N67">
        <f>IF(IF((N$3*10^12-$A68)*(N$3*10^12-$A67)*-1&lt;0,0,1)*IF(ABS(N$3*10^12-$A68)&gt;(N$3*10^12-$A67),$A67,$A68)=N68,0,IF((N$3*10^12-$A68)*(N$3*10^12-$A67)*-1&lt;0,0,1)*IF(ABS(N$3*10^12-$A68)&gt;(N$3*10^12-$A67),$A67,$A68))</f>
        <v/>
      </c>
    </row>
    <row r="68">
      <c r="A68">
        <f>A56*10</f>
        <v/>
      </c>
      <c r="B68">
        <f>IF(IF((B$3*10^12-$A69)*(B$3*10^12-$A68)*-1&lt;0,0,1)*IF(ABS(B$3*10^12-$A69)&gt;(B$3*10^12-$A68),$A68,$A69)=B69,0,IF((B$3*10^12-$A69)*(B$3*10^12-$A68)*-1&lt;0,0,1)*IF(ABS(B$3*10^12-$A69)&gt;(B$3*10^12-$A68),$A68,$A69))</f>
        <v/>
      </c>
      <c r="C68">
        <f>IF(IF((C$3*10^12-$A69)*(C$3*10^12-$A68)*-1&lt;0,0,1)*IF(ABS(C$3*10^12-$A69)&gt;(C$3*10^12-$A68),$A68,$A69)=C69,0,IF((C$3*10^12-$A69)*(C$3*10^12-$A68)*-1&lt;0,0,1)*IF(ABS(C$3*10^12-$A69)&gt;(C$3*10^12-$A68),$A68,$A69))</f>
        <v/>
      </c>
      <c r="D68">
        <f>IF(IF((D$3*10^12-$A69)*(D$3*10^12-$A68)*-1&lt;0,0,1)*IF(ABS(D$3*10^12-$A69)&gt;(D$3*10^12-$A68),$A68,$A69)=D69,0,IF((D$3*10^12-$A69)*(D$3*10^12-$A68)*-1&lt;0,0,1)*IF(ABS(D$3*10^12-$A69)&gt;(D$3*10^12-$A68),$A68,$A69))</f>
        <v/>
      </c>
      <c r="E68">
        <f>IF(IF((E$3*10^12-$A69)*(E$3*10^12-$A68)*-1&lt;0,0,1)*IF(ABS(E$3*10^12-$A69)&gt;(E$3*10^12-$A68),$A68,$A69)=E69,0,IF((E$3*10^12-$A69)*(E$3*10^12-$A68)*-1&lt;0,0,1)*IF(ABS(E$3*10^12-$A69)&gt;(E$3*10^12-$A68),$A68,$A69))</f>
        <v/>
      </c>
      <c r="F68">
        <f>IF(IF((F$3*10^12-$A69)*(F$3*10^12-$A68)*-1&lt;0,0,1)*IF(ABS(F$3*10^12-$A69)&gt;(F$3*10^12-$A68),$A68,$A69)=F69,0,IF((F$3*10^12-$A69)*(F$3*10^12-$A68)*-1&lt;0,0,1)*IF(ABS(F$3*10^12-$A69)&gt;(F$3*10^12-$A68),$A68,$A69))</f>
        <v/>
      </c>
      <c r="G68">
        <f>IF(IF((G$3*10^12-$A69)*(G$3*10^12-$A68)*-1&lt;0,0,1)*IF(ABS(G$3*10^12-$A69)&gt;(G$3*10^12-$A68),$A68,$A69)=G69,0,IF((G$3*10^12-$A69)*(G$3*10^12-$A68)*-1&lt;0,0,1)*IF(ABS(G$3*10^12-$A69)&gt;(G$3*10^12-$A68),$A68,$A69))</f>
        <v/>
      </c>
      <c r="H68">
        <f>IF(IF((H$3*10^12-$A69)*(H$3*10^12-$A68)*-1&lt;0,0,1)*IF(ABS(H$3*10^12-$A69)&gt;(H$3*10^12-$A68),$A68,$A69)=H69,0,IF((H$3*10^12-$A69)*(H$3*10^12-$A68)*-1&lt;0,0,1)*IF(ABS(H$3*10^12-$A69)&gt;(H$3*10^12-$A68),$A68,$A69))</f>
        <v/>
      </c>
      <c r="I68">
        <f>IF(IF((I$3*10^12-$A69)*(I$3*10^12-$A68)*-1&lt;0,0,1)*IF(ABS(I$3*10^12-$A69)&gt;(I$3*10^12-$A68),$A68,$A69)=I69,0,IF((I$3*10^12-$A69)*(I$3*10^12-$A68)*-1&lt;0,0,1)*IF(ABS(I$3*10^12-$A69)&gt;(I$3*10^12-$A68),$A68,$A69))</f>
        <v/>
      </c>
      <c r="J68">
        <f>IF(IF((J$3*10^12-$A69)*(J$3*10^12-$A68)*-1&lt;0,0,1)*IF(ABS(J$3*10^12-$A69)&gt;(J$3*10^12-$A68),$A68,$A69)=J69,0,IF((J$3*10^12-$A69)*(J$3*10^12-$A68)*-1&lt;0,0,1)*IF(ABS(J$3*10^12-$A69)&gt;(J$3*10^12-$A68),$A68,$A69))</f>
        <v/>
      </c>
      <c r="K68">
        <f>IF(IF((K$3*10^12-$A69)*(K$3*10^12-$A68)*-1&lt;0,0,1)*IF(ABS(K$3*10^12-$A69)&gt;(K$3*10^12-$A68),$A68,$A69)=K69,0,IF((K$3*10^12-$A69)*(K$3*10^12-$A68)*-1&lt;0,0,1)*IF(ABS(K$3*10^12-$A69)&gt;(K$3*10^12-$A68),$A68,$A69))</f>
        <v/>
      </c>
      <c r="L68">
        <f>IF(IF((L$3*10^12-$A69)*(L$3*10^12-$A68)*-1&lt;0,0,1)*IF(ABS(L$3*10^12-$A69)&gt;(L$3*10^12-$A68),$A68,$A69)=L69,0,IF((L$3*10^12-$A69)*(L$3*10^12-$A68)*-1&lt;0,0,1)*IF(ABS(L$3*10^12-$A69)&gt;(L$3*10^12-$A68),$A68,$A69))</f>
        <v/>
      </c>
      <c r="M68">
        <f>IF(IF((M$3*10^12-$A69)*(M$3*10^12-$A68)*-1&lt;0,0,1)*IF(ABS(M$3*10^12-$A69)&gt;(M$3*10^12-$A68),$A68,$A69)=M69,0,IF((M$3*10^12-$A69)*(M$3*10^12-$A68)*-1&lt;0,0,1)*IF(ABS(M$3*10^12-$A69)&gt;(M$3*10^12-$A68),$A68,$A69))</f>
        <v/>
      </c>
      <c r="N68">
        <f>IF(IF((N$3*10^12-$A69)*(N$3*10^12-$A68)*-1&lt;0,0,1)*IF(ABS(N$3*10^12-$A69)&gt;(N$3*10^12-$A68),$A68,$A69)=N69,0,IF((N$3*10^12-$A69)*(N$3*10^12-$A68)*-1&lt;0,0,1)*IF(ABS(N$3*10^12-$A69)&gt;(N$3*10^12-$A68),$A68,$A69))</f>
        <v/>
      </c>
    </row>
    <row r="69">
      <c r="A69">
        <f>A57*10</f>
        <v/>
      </c>
      <c r="B69">
        <f>IF(IF((B$3*10^12-$A70)*(B$3*10^12-$A69)*-1&lt;0,0,1)*IF(ABS(B$3*10^12-$A70)&gt;(B$3*10^12-$A69),$A69,$A70)=B70,0,IF((B$3*10^12-$A70)*(B$3*10^12-$A69)*-1&lt;0,0,1)*IF(ABS(B$3*10^12-$A70)&gt;(B$3*10^12-$A69),$A69,$A70))</f>
        <v/>
      </c>
      <c r="C69">
        <f>IF(IF((C$3*10^12-$A70)*(C$3*10^12-$A69)*-1&lt;0,0,1)*IF(ABS(C$3*10^12-$A70)&gt;(C$3*10^12-$A69),$A69,$A70)=C70,0,IF((C$3*10^12-$A70)*(C$3*10^12-$A69)*-1&lt;0,0,1)*IF(ABS(C$3*10^12-$A70)&gt;(C$3*10^12-$A69),$A69,$A70))</f>
        <v/>
      </c>
      <c r="D69">
        <f>IF(IF((D$3*10^12-$A70)*(D$3*10^12-$A69)*-1&lt;0,0,1)*IF(ABS(D$3*10^12-$A70)&gt;(D$3*10^12-$A69),$A69,$A70)=D70,0,IF((D$3*10^12-$A70)*(D$3*10^12-$A69)*-1&lt;0,0,1)*IF(ABS(D$3*10^12-$A70)&gt;(D$3*10^12-$A69),$A69,$A70))</f>
        <v/>
      </c>
      <c r="E69">
        <f>IF(IF((E$3*10^12-$A70)*(E$3*10^12-$A69)*-1&lt;0,0,1)*IF(ABS(E$3*10^12-$A70)&gt;(E$3*10^12-$A69),$A69,$A70)=E70,0,IF((E$3*10^12-$A70)*(E$3*10^12-$A69)*-1&lt;0,0,1)*IF(ABS(E$3*10^12-$A70)&gt;(E$3*10^12-$A69),$A69,$A70))</f>
        <v/>
      </c>
      <c r="F69">
        <f>IF(IF((F$3*10^12-$A70)*(F$3*10^12-$A69)*-1&lt;0,0,1)*IF(ABS(F$3*10^12-$A70)&gt;(F$3*10^12-$A69),$A69,$A70)=F70,0,IF((F$3*10^12-$A70)*(F$3*10^12-$A69)*-1&lt;0,0,1)*IF(ABS(F$3*10^12-$A70)&gt;(F$3*10^12-$A69),$A69,$A70))</f>
        <v/>
      </c>
      <c r="G69">
        <f>IF(IF((G$3*10^12-$A70)*(G$3*10^12-$A69)*-1&lt;0,0,1)*IF(ABS(G$3*10^12-$A70)&gt;(G$3*10^12-$A69),$A69,$A70)=G70,0,IF((G$3*10^12-$A70)*(G$3*10^12-$A69)*-1&lt;0,0,1)*IF(ABS(G$3*10^12-$A70)&gt;(G$3*10^12-$A69),$A69,$A70))</f>
        <v/>
      </c>
      <c r="H69">
        <f>IF(IF((H$3*10^12-$A70)*(H$3*10^12-$A69)*-1&lt;0,0,1)*IF(ABS(H$3*10^12-$A70)&gt;(H$3*10^12-$A69),$A69,$A70)=H70,0,IF((H$3*10^12-$A70)*(H$3*10^12-$A69)*-1&lt;0,0,1)*IF(ABS(H$3*10^12-$A70)&gt;(H$3*10^12-$A69),$A69,$A70))</f>
        <v/>
      </c>
      <c r="I69">
        <f>IF(IF((I$3*10^12-$A70)*(I$3*10^12-$A69)*-1&lt;0,0,1)*IF(ABS(I$3*10^12-$A70)&gt;(I$3*10^12-$A69),$A69,$A70)=I70,0,IF((I$3*10^12-$A70)*(I$3*10^12-$A69)*-1&lt;0,0,1)*IF(ABS(I$3*10^12-$A70)&gt;(I$3*10^12-$A69),$A69,$A70))</f>
        <v/>
      </c>
      <c r="J69">
        <f>IF(IF((J$3*10^12-$A70)*(J$3*10^12-$A69)*-1&lt;0,0,1)*IF(ABS(J$3*10^12-$A70)&gt;(J$3*10^12-$A69),$A69,$A70)=J70,0,IF((J$3*10^12-$A70)*(J$3*10^12-$A69)*-1&lt;0,0,1)*IF(ABS(J$3*10^12-$A70)&gt;(J$3*10^12-$A69),$A69,$A70))</f>
        <v/>
      </c>
      <c r="K69">
        <f>IF(IF((K$3*10^12-$A70)*(K$3*10^12-$A69)*-1&lt;0,0,1)*IF(ABS(K$3*10^12-$A70)&gt;(K$3*10^12-$A69),$A69,$A70)=K70,0,IF((K$3*10^12-$A70)*(K$3*10^12-$A69)*-1&lt;0,0,1)*IF(ABS(K$3*10^12-$A70)&gt;(K$3*10^12-$A69),$A69,$A70))</f>
        <v/>
      </c>
      <c r="L69">
        <f>IF(IF((L$3*10^12-$A70)*(L$3*10^12-$A69)*-1&lt;0,0,1)*IF(ABS(L$3*10^12-$A70)&gt;(L$3*10^12-$A69),$A69,$A70)=L70,0,IF((L$3*10^12-$A70)*(L$3*10^12-$A69)*-1&lt;0,0,1)*IF(ABS(L$3*10^12-$A70)&gt;(L$3*10^12-$A69),$A69,$A70))</f>
        <v/>
      </c>
      <c r="M69">
        <f>IF(IF((M$3*10^12-$A70)*(M$3*10^12-$A69)*-1&lt;0,0,1)*IF(ABS(M$3*10^12-$A70)&gt;(M$3*10^12-$A69),$A69,$A70)=M70,0,IF((M$3*10^12-$A70)*(M$3*10^12-$A69)*-1&lt;0,0,1)*IF(ABS(M$3*10^12-$A70)&gt;(M$3*10^12-$A69),$A69,$A70))</f>
        <v/>
      </c>
      <c r="N69">
        <f>IF(IF((N$3*10^12-$A70)*(N$3*10^12-$A69)*-1&lt;0,0,1)*IF(ABS(N$3*10^12-$A70)&gt;(N$3*10^12-$A69),$A69,$A70)=N70,0,IF((N$3*10^12-$A70)*(N$3*10^12-$A69)*-1&lt;0,0,1)*IF(ABS(N$3*10^12-$A70)&gt;(N$3*10^12-$A69),$A69,$A70))</f>
        <v/>
      </c>
    </row>
    <row r="70">
      <c r="A70">
        <f>A58*10</f>
        <v/>
      </c>
      <c r="B70">
        <f>IF(IF((B$3*10^12-$A71)*(B$3*10^12-$A70)*-1&lt;0,0,1)*IF(ABS(B$3*10^12-$A71)&gt;(B$3*10^12-$A70),$A70,$A71)=B71,0,IF((B$3*10^12-$A71)*(B$3*10^12-$A70)*-1&lt;0,0,1)*IF(ABS(B$3*10^12-$A71)&gt;(B$3*10^12-$A70),$A70,$A71))</f>
        <v/>
      </c>
      <c r="C70">
        <f>IF(IF((C$3*10^12-$A71)*(C$3*10^12-$A70)*-1&lt;0,0,1)*IF(ABS(C$3*10^12-$A71)&gt;(C$3*10^12-$A70),$A70,$A71)=C71,0,IF((C$3*10^12-$A71)*(C$3*10^12-$A70)*-1&lt;0,0,1)*IF(ABS(C$3*10^12-$A71)&gt;(C$3*10^12-$A70),$A70,$A71))</f>
        <v/>
      </c>
      <c r="D70">
        <f>IF(IF((D$3*10^12-$A71)*(D$3*10^12-$A70)*-1&lt;0,0,1)*IF(ABS(D$3*10^12-$A71)&gt;(D$3*10^12-$A70),$A70,$A71)=D71,0,IF((D$3*10^12-$A71)*(D$3*10^12-$A70)*-1&lt;0,0,1)*IF(ABS(D$3*10^12-$A71)&gt;(D$3*10^12-$A70),$A70,$A71))</f>
        <v/>
      </c>
      <c r="E70">
        <f>IF(IF((E$3*10^12-$A71)*(E$3*10^12-$A70)*-1&lt;0,0,1)*IF(ABS(E$3*10^12-$A71)&gt;(E$3*10^12-$A70),$A70,$A71)=E71,0,IF((E$3*10^12-$A71)*(E$3*10^12-$A70)*-1&lt;0,0,1)*IF(ABS(E$3*10^12-$A71)&gt;(E$3*10^12-$A70),$A70,$A71))</f>
        <v/>
      </c>
      <c r="F70">
        <f>IF(IF((F$3*10^12-$A71)*(F$3*10^12-$A70)*-1&lt;0,0,1)*IF(ABS(F$3*10^12-$A71)&gt;(F$3*10^12-$A70),$A70,$A71)=F71,0,IF((F$3*10^12-$A71)*(F$3*10^12-$A70)*-1&lt;0,0,1)*IF(ABS(F$3*10^12-$A71)&gt;(F$3*10^12-$A70),$A70,$A71))</f>
        <v/>
      </c>
      <c r="G70">
        <f>IF(IF((G$3*10^12-$A71)*(G$3*10^12-$A70)*-1&lt;0,0,1)*IF(ABS(G$3*10^12-$A71)&gt;(G$3*10^12-$A70),$A70,$A71)=G71,0,IF((G$3*10^12-$A71)*(G$3*10^12-$A70)*-1&lt;0,0,1)*IF(ABS(G$3*10^12-$A71)&gt;(G$3*10^12-$A70),$A70,$A71))</f>
        <v/>
      </c>
      <c r="H70">
        <f>IF(IF((H$3*10^12-$A71)*(H$3*10^12-$A70)*-1&lt;0,0,1)*IF(ABS(H$3*10^12-$A71)&gt;(H$3*10^12-$A70),$A70,$A71)=H71,0,IF((H$3*10^12-$A71)*(H$3*10^12-$A70)*-1&lt;0,0,1)*IF(ABS(H$3*10^12-$A71)&gt;(H$3*10^12-$A70),$A70,$A71))</f>
        <v/>
      </c>
      <c r="I70">
        <f>IF(IF((I$3*10^12-$A71)*(I$3*10^12-$A70)*-1&lt;0,0,1)*IF(ABS(I$3*10^12-$A71)&gt;(I$3*10^12-$A70),$A70,$A71)=I71,0,IF((I$3*10^12-$A71)*(I$3*10^12-$A70)*-1&lt;0,0,1)*IF(ABS(I$3*10^12-$A71)&gt;(I$3*10^12-$A70),$A70,$A71))</f>
        <v/>
      </c>
      <c r="J70">
        <f>IF(IF((J$3*10^12-$A71)*(J$3*10^12-$A70)*-1&lt;0,0,1)*IF(ABS(J$3*10^12-$A71)&gt;(J$3*10^12-$A70),$A70,$A71)=J71,0,IF((J$3*10^12-$A71)*(J$3*10^12-$A70)*-1&lt;0,0,1)*IF(ABS(J$3*10^12-$A71)&gt;(J$3*10^12-$A70),$A70,$A71))</f>
        <v/>
      </c>
      <c r="K70">
        <f>IF(IF((K$3*10^12-$A71)*(K$3*10^12-$A70)*-1&lt;0,0,1)*IF(ABS(K$3*10^12-$A71)&gt;(K$3*10^12-$A70),$A70,$A71)=K71,0,IF((K$3*10^12-$A71)*(K$3*10^12-$A70)*-1&lt;0,0,1)*IF(ABS(K$3*10^12-$A71)&gt;(K$3*10^12-$A70),$A70,$A71))</f>
        <v/>
      </c>
      <c r="L70">
        <f>IF(IF((L$3*10^12-$A71)*(L$3*10^12-$A70)*-1&lt;0,0,1)*IF(ABS(L$3*10^12-$A71)&gt;(L$3*10^12-$A70),$A70,$A71)=L71,0,IF((L$3*10^12-$A71)*(L$3*10^12-$A70)*-1&lt;0,0,1)*IF(ABS(L$3*10^12-$A71)&gt;(L$3*10^12-$A70),$A70,$A71))</f>
        <v/>
      </c>
      <c r="M70">
        <f>IF(IF((M$3*10^12-$A71)*(M$3*10^12-$A70)*-1&lt;0,0,1)*IF(ABS(M$3*10^12-$A71)&gt;(M$3*10^12-$A70),$A70,$A71)=M71,0,IF((M$3*10^12-$A71)*(M$3*10^12-$A70)*-1&lt;0,0,1)*IF(ABS(M$3*10^12-$A71)&gt;(M$3*10^12-$A70),$A70,$A71))</f>
        <v/>
      </c>
      <c r="N70">
        <f>IF(IF((N$3*10^12-$A71)*(N$3*10^12-$A70)*-1&lt;0,0,1)*IF(ABS(N$3*10^12-$A71)&gt;(N$3*10^12-$A70),$A70,$A71)=N71,0,IF((N$3*10^12-$A71)*(N$3*10^12-$A70)*-1&lt;0,0,1)*IF(ABS(N$3*10^12-$A71)&gt;(N$3*10^12-$A70),$A70,$A71))</f>
        <v/>
      </c>
    </row>
    <row r="71">
      <c r="A71">
        <f>A59*10</f>
        <v/>
      </c>
      <c r="B71">
        <f>IF(IF((B$3*10^12-$A72)*(B$3*10^12-$A71)*-1&lt;0,0,1)*IF(ABS(B$3*10^12-$A72)&gt;(B$3*10^12-$A71),$A71,$A72)=B72,0,IF((B$3*10^12-$A72)*(B$3*10^12-$A71)*-1&lt;0,0,1)*IF(ABS(B$3*10^12-$A72)&gt;(B$3*10^12-$A71),$A71,$A72))</f>
        <v/>
      </c>
      <c r="C71">
        <f>IF(IF((C$3*10^12-$A72)*(C$3*10^12-$A71)*-1&lt;0,0,1)*IF(ABS(C$3*10^12-$A72)&gt;(C$3*10^12-$A71),$A71,$A72)=C72,0,IF((C$3*10^12-$A72)*(C$3*10^12-$A71)*-1&lt;0,0,1)*IF(ABS(C$3*10^12-$A72)&gt;(C$3*10^12-$A71),$A71,$A72))</f>
        <v/>
      </c>
      <c r="D71">
        <f>IF(IF((D$3*10^12-$A72)*(D$3*10^12-$A71)*-1&lt;0,0,1)*IF(ABS(D$3*10^12-$A72)&gt;(D$3*10^12-$A71),$A71,$A72)=D72,0,IF((D$3*10^12-$A72)*(D$3*10^12-$A71)*-1&lt;0,0,1)*IF(ABS(D$3*10^12-$A72)&gt;(D$3*10^12-$A71),$A71,$A72))</f>
        <v/>
      </c>
      <c r="E71">
        <f>IF(IF((E$3*10^12-$A72)*(E$3*10^12-$A71)*-1&lt;0,0,1)*IF(ABS(E$3*10^12-$A72)&gt;(E$3*10^12-$A71),$A71,$A72)=E72,0,IF((E$3*10^12-$A72)*(E$3*10^12-$A71)*-1&lt;0,0,1)*IF(ABS(E$3*10^12-$A72)&gt;(E$3*10^12-$A71),$A71,$A72))</f>
        <v/>
      </c>
      <c r="F71">
        <f>IF(IF((F$3*10^12-$A72)*(F$3*10^12-$A71)*-1&lt;0,0,1)*IF(ABS(F$3*10^12-$A72)&gt;(F$3*10^12-$A71),$A71,$A72)=F72,0,IF((F$3*10^12-$A72)*(F$3*10^12-$A71)*-1&lt;0,0,1)*IF(ABS(F$3*10^12-$A72)&gt;(F$3*10^12-$A71),$A71,$A72))</f>
        <v/>
      </c>
      <c r="G71">
        <f>IF(IF((G$3*10^12-$A72)*(G$3*10^12-$A71)*-1&lt;0,0,1)*IF(ABS(G$3*10^12-$A72)&gt;(G$3*10^12-$A71),$A71,$A72)=G72,0,IF((G$3*10^12-$A72)*(G$3*10^12-$A71)*-1&lt;0,0,1)*IF(ABS(G$3*10^12-$A72)&gt;(G$3*10^12-$A71),$A71,$A72))</f>
        <v/>
      </c>
      <c r="H71">
        <f>IF(IF((H$3*10^12-$A72)*(H$3*10^12-$A71)*-1&lt;0,0,1)*IF(ABS(H$3*10^12-$A72)&gt;(H$3*10^12-$A71),$A71,$A72)=H72,0,IF((H$3*10^12-$A72)*(H$3*10^12-$A71)*-1&lt;0,0,1)*IF(ABS(H$3*10^12-$A72)&gt;(H$3*10^12-$A71),$A71,$A72))</f>
        <v/>
      </c>
      <c r="I71">
        <f>IF(IF((I$3*10^12-$A72)*(I$3*10^12-$A71)*-1&lt;0,0,1)*IF(ABS(I$3*10^12-$A72)&gt;(I$3*10^12-$A71),$A71,$A72)=I72,0,IF((I$3*10^12-$A72)*(I$3*10^12-$A71)*-1&lt;0,0,1)*IF(ABS(I$3*10^12-$A72)&gt;(I$3*10^12-$A71),$A71,$A72))</f>
        <v/>
      </c>
      <c r="J71">
        <f>IF(IF((J$3*10^12-$A72)*(J$3*10^12-$A71)*-1&lt;0,0,1)*IF(ABS(J$3*10^12-$A72)&gt;(J$3*10^12-$A71),$A71,$A72)=J72,0,IF((J$3*10^12-$A72)*(J$3*10^12-$A71)*-1&lt;0,0,1)*IF(ABS(J$3*10^12-$A72)&gt;(J$3*10^12-$A71),$A71,$A72))</f>
        <v/>
      </c>
      <c r="K71">
        <f>IF(IF((K$3*10^12-$A72)*(K$3*10^12-$A71)*-1&lt;0,0,1)*IF(ABS(K$3*10^12-$A72)&gt;(K$3*10^12-$A71),$A71,$A72)=K72,0,IF((K$3*10^12-$A72)*(K$3*10^12-$A71)*-1&lt;0,0,1)*IF(ABS(K$3*10^12-$A72)&gt;(K$3*10^12-$A71),$A71,$A72))</f>
        <v/>
      </c>
      <c r="L71">
        <f>IF(IF((L$3*10^12-$A72)*(L$3*10^12-$A71)*-1&lt;0,0,1)*IF(ABS(L$3*10^12-$A72)&gt;(L$3*10^12-$A71),$A71,$A72)=L72,0,IF((L$3*10^12-$A72)*(L$3*10^12-$A71)*-1&lt;0,0,1)*IF(ABS(L$3*10^12-$A72)&gt;(L$3*10^12-$A71),$A71,$A72))</f>
        <v/>
      </c>
      <c r="M71">
        <f>IF(IF((M$3*10^12-$A72)*(M$3*10^12-$A71)*-1&lt;0,0,1)*IF(ABS(M$3*10^12-$A72)&gt;(M$3*10^12-$A71),$A71,$A72)=M72,0,IF((M$3*10^12-$A72)*(M$3*10^12-$A71)*-1&lt;0,0,1)*IF(ABS(M$3*10^12-$A72)&gt;(M$3*10^12-$A71),$A71,$A72))</f>
        <v/>
      </c>
      <c r="N71">
        <f>IF(IF((N$3*10^12-$A72)*(N$3*10^12-$A71)*-1&lt;0,0,1)*IF(ABS(N$3*10^12-$A72)&gt;(N$3*10^12-$A71),$A71,$A72)=N72,0,IF((N$3*10^12-$A72)*(N$3*10^12-$A71)*-1&lt;0,0,1)*IF(ABS(N$3*10^12-$A72)&gt;(N$3*10^12-$A71),$A71,$A72))</f>
        <v/>
      </c>
    </row>
    <row r="72">
      <c r="A72">
        <f>A60*10</f>
        <v/>
      </c>
      <c r="B72">
        <f>IF(IF((B$3*10^12-$A73)*(B$3*10^12-$A72)*-1&lt;0,0,1)*IF(ABS(B$3*10^12-$A73)&gt;(B$3*10^12-$A72),$A72,$A73)=B73,0,IF((B$3*10^12-$A73)*(B$3*10^12-$A72)*-1&lt;0,0,1)*IF(ABS(B$3*10^12-$A73)&gt;(B$3*10^12-$A72),$A72,$A73))</f>
        <v/>
      </c>
      <c r="C72">
        <f>IF(IF((C$3*10^12-$A73)*(C$3*10^12-$A72)*-1&lt;0,0,1)*IF(ABS(C$3*10^12-$A73)&gt;(C$3*10^12-$A72),$A72,$A73)=C73,0,IF((C$3*10^12-$A73)*(C$3*10^12-$A72)*-1&lt;0,0,1)*IF(ABS(C$3*10^12-$A73)&gt;(C$3*10^12-$A72),$A72,$A73))</f>
        <v/>
      </c>
      <c r="D72">
        <f>IF(IF((D$3*10^12-$A73)*(D$3*10^12-$A72)*-1&lt;0,0,1)*IF(ABS(D$3*10^12-$A73)&gt;(D$3*10^12-$A72),$A72,$A73)=D73,0,IF((D$3*10^12-$A73)*(D$3*10^12-$A72)*-1&lt;0,0,1)*IF(ABS(D$3*10^12-$A73)&gt;(D$3*10^12-$A72),$A72,$A73))</f>
        <v/>
      </c>
      <c r="E72">
        <f>IF(IF((E$3*10^12-$A73)*(E$3*10^12-$A72)*-1&lt;0,0,1)*IF(ABS(E$3*10^12-$A73)&gt;(E$3*10^12-$A72),$A72,$A73)=E73,0,IF((E$3*10^12-$A73)*(E$3*10^12-$A72)*-1&lt;0,0,1)*IF(ABS(E$3*10^12-$A73)&gt;(E$3*10^12-$A72),$A72,$A73))</f>
        <v/>
      </c>
      <c r="F72">
        <f>IF(IF((F$3*10^12-$A73)*(F$3*10^12-$A72)*-1&lt;0,0,1)*IF(ABS(F$3*10^12-$A73)&gt;(F$3*10^12-$A72),$A72,$A73)=F73,0,IF((F$3*10^12-$A73)*(F$3*10^12-$A72)*-1&lt;0,0,1)*IF(ABS(F$3*10^12-$A73)&gt;(F$3*10^12-$A72),$A72,$A73))</f>
        <v/>
      </c>
      <c r="G72">
        <f>IF(IF((G$3*10^12-$A73)*(G$3*10^12-$A72)*-1&lt;0,0,1)*IF(ABS(G$3*10^12-$A73)&gt;(G$3*10^12-$A72),$A72,$A73)=G73,0,IF((G$3*10^12-$A73)*(G$3*10^12-$A72)*-1&lt;0,0,1)*IF(ABS(G$3*10^12-$A73)&gt;(G$3*10^12-$A72),$A72,$A73))</f>
        <v/>
      </c>
      <c r="H72">
        <f>IF(IF((H$3*10^12-$A73)*(H$3*10^12-$A72)*-1&lt;0,0,1)*IF(ABS(H$3*10^12-$A73)&gt;(H$3*10^12-$A72),$A72,$A73)=H73,0,IF((H$3*10^12-$A73)*(H$3*10^12-$A72)*-1&lt;0,0,1)*IF(ABS(H$3*10^12-$A73)&gt;(H$3*10^12-$A72),$A72,$A73))</f>
        <v/>
      </c>
      <c r="I72">
        <f>IF(IF((I$3*10^12-$A73)*(I$3*10^12-$A72)*-1&lt;0,0,1)*IF(ABS(I$3*10^12-$A73)&gt;(I$3*10^12-$A72),$A72,$A73)=I73,0,IF((I$3*10^12-$A73)*(I$3*10^12-$A72)*-1&lt;0,0,1)*IF(ABS(I$3*10^12-$A73)&gt;(I$3*10^12-$A72),$A72,$A73))</f>
        <v/>
      </c>
      <c r="J72">
        <f>IF(IF((J$3*10^12-$A73)*(J$3*10^12-$A72)*-1&lt;0,0,1)*IF(ABS(J$3*10^12-$A73)&gt;(J$3*10^12-$A72),$A72,$A73)=J73,0,IF((J$3*10^12-$A73)*(J$3*10^12-$A72)*-1&lt;0,0,1)*IF(ABS(J$3*10^12-$A73)&gt;(J$3*10^12-$A72),$A72,$A73))</f>
        <v/>
      </c>
      <c r="K72">
        <f>IF(IF((K$3*10^12-$A73)*(K$3*10^12-$A72)*-1&lt;0,0,1)*IF(ABS(K$3*10^12-$A73)&gt;(K$3*10^12-$A72),$A72,$A73)=K73,0,IF((K$3*10^12-$A73)*(K$3*10^12-$A72)*-1&lt;0,0,1)*IF(ABS(K$3*10^12-$A73)&gt;(K$3*10^12-$A72),$A72,$A73))</f>
        <v/>
      </c>
      <c r="L72">
        <f>IF(IF((L$3*10^12-$A73)*(L$3*10^12-$A72)*-1&lt;0,0,1)*IF(ABS(L$3*10^12-$A73)&gt;(L$3*10^12-$A72),$A72,$A73)=L73,0,IF((L$3*10^12-$A73)*(L$3*10^12-$A72)*-1&lt;0,0,1)*IF(ABS(L$3*10^12-$A73)&gt;(L$3*10^12-$A72),$A72,$A73))</f>
        <v/>
      </c>
      <c r="M72">
        <f>IF(IF((M$3*10^12-$A73)*(M$3*10^12-$A72)*-1&lt;0,0,1)*IF(ABS(M$3*10^12-$A73)&gt;(M$3*10^12-$A72),$A72,$A73)=M73,0,IF((M$3*10^12-$A73)*(M$3*10^12-$A72)*-1&lt;0,0,1)*IF(ABS(M$3*10^12-$A73)&gt;(M$3*10^12-$A72),$A72,$A73))</f>
        <v/>
      </c>
      <c r="N72">
        <f>IF(IF((N$3*10^12-$A73)*(N$3*10^12-$A72)*-1&lt;0,0,1)*IF(ABS(N$3*10^12-$A73)&gt;(N$3*10^12-$A72),$A72,$A73)=N73,0,IF((N$3*10^12-$A73)*(N$3*10^12-$A72)*-1&lt;0,0,1)*IF(ABS(N$3*10^12-$A73)&gt;(N$3*10^12-$A72),$A72,$A73))</f>
        <v/>
      </c>
    </row>
    <row r="73">
      <c r="A73">
        <f>A61*10</f>
        <v/>
      </c>
      <c r="B73">
        <f>IF(IF((B$3*10^12-$A74)*(B$3*10^12-$A73)*-1&lt;0,0,1)*IF(ABS(B$3*10^12-$A74)&gt;(B$3*10^12-$A73),$A73,$A74)=B74,0,IF((B$3*10^12-$A74)*(B$3*10^12-$A73)*-1&lt;0,0,1)*IF(ABS(B$3*10^12-$A74)&gt;(B$3*10^12-$A73),$A73,$A74))</f>
        <v/>
      </c>
      <c r="C73">
        <f>IF(IF((C$3*10^12-$A74)*(C$3*10^12-$A73)*-1&lt;0,0,1)*IF(ABS(C$3*10^12-$A74)&gt;(C$3*10^12-$A73),$A73,$A74)=C74,0,IF((C$3*10^12-$A74)*(C$3*10^12-$A73)*-1&lt;0,0,1)*IF(ABS(C$3*10^12-$A74)&gt;(C$3*10^12-$A73),$A73,$A74))</f>
        <v/>
      </c>
      <c r="D73">
        <f>IF(IF((D$3*10^12-$A74)*(D$3*10^12-$A73)*-1&lt;0,0,1)*IF(ABS(D$3*10^12-$A74)&gt;(D$3*10^12-$A73),$A73,$A74)=D74,0,IF((D$3*10^12-$A74)*(D$3*10^12-$A73)*-1&lt;0,0,1)*IF(ABS(D$3*10^12-$A74)&gt;(D$3*10^12-$A73),$A73,$A74))</f>
        <v/>
      </c>
      <c r="E73">
        <f>IF(IF((E$3*10^12-$A74)*(E$3*10^12-$A73)*-1&lt;0,0,1)*IF(ABS(E$3*10^12-$A74)&gt;(E$3*10^12-$A73),$A73,$A74)=E74,0,IF((E$3*10^12-$A74)*(E$3*10^12-$A73)*-1&lt;0,0,1)*IF(ABS(E$3*10^12-$A74)&gt;(E$3*10^12-$A73),$A73,$A74))</f>
        <v/>
      </c>
      <c r="F73">
        <f>IF(IF((F$3*10^12-$A74)*(F$3*10^12-$A73)*-1&lt;0,0,1)*IF(ABS(F$3*10^12-$A74)&gt;(F$3*10^12-$A73),$A73,$A74)=F74,0,IF((F$3*10^12-$A74)*(F$3*10^12-$A73)*-1&lt;0,0,1)*IF(ABS(F$3*10^12-$A74)&gt;(F$3*10^12-$A73),$A73,$A74))</f>
        <v/>
      </c>
      <c r="G73">
        <f>IF(IF((G$3*10^12-$A74)*(G$3*10^12-$A73)*-1&lt;0,0,1)*IF(ABS(G$3*10^12-$A74)&gt;(G$3*10^12-$A73),$A73,$A74)=G74,0,IF((G$3*10^12-$A74)*(G$3*10^12-$A73)*-1&lt;0,0,1)*IF(ABS(G$3*10^12-$A74)&gt;(G$3*10^12-$A73),$A73,$A74))</f>
        <v/>
      </c>
      <c r="H73">
        <f>IF(IF((H$3*10^12-$A74)*(H$3*10^12-$A73)*-1&lt;0,0,1)*IF(ABS(H$3*10^12-$A74)&gt;(H$3*10^12-$A73),$A73,$A74)=H74,0,IF((H$3*10^12-$A74)*(H$3*10^12-$A73)*-1&lt;0,0,1)*IF(ABS(H$3*10^12-$A74)&gt;(H$3*10^12-$A73),$A73,$A74))</f>
        <v/>
      </c>
      <c r="I73">
        <f>IF(IF((I$3*10^12-$A74)*(I$3*10^12-$A73)*-1&lt;0,0,1)*IF(ABS(I$3*10^12-$A74)&gt;(I$3*10^12-$A73),$A73,$A74)=I74,0,IF((I$3*10^12-$A74)*(I$3*10^12-$A73)*-1&lt;0,0,1)*IF(ABS(I$3*10^12-$A74)&gt;(I$3*10^12-$A73),$A73,$A74))</f>
        <v/>
      </c>
      <c r="J73">
        <f>IF(IF((J$3*10^12-$A74)*(J$3*10^12-$A73)*-1&lt;0,0,1)*IF(ABS(J$3*10^12-$A74)&gt;(J$3*10^12-$A73),$A73,$A74)=J74,0,IF((J$3*10^12-$A74)*(J$3*10^12-$A73)*-1&lt;0,0,1)*IF(ABS(J$3*10^12-$A74)&gt;(J$3*10^12-$A73),$A73,$A74))</f>
        <v/>
      </c>
      <c r="K73">
        <f>IF(IF((K$3*10^12-$A74)*(K$3*10^12-$A73)*-1&lt;0,0,1)*IF(ABS(K$3*10^12-$A74)&gt;(K$3*10^12-$A73),$A73,$A74)=K74,0,IF((K$3*10^12-$A74)*(K$3*10^12-$A73)*-1&lt;0,0,1)*IF(ABS(K$3*10^12-$A74)&gt;(K$3*10^12-$A73),$A73,$A74))</f>
        <v/>
      </c>
      <c r="L73">
        <f>IF(IF((L$3*10^12-$A74)*(L$3*10^12-$A73)*-1&lt;0,0,1)*IF(ABS(L$3*10^12-$A74)&gt;(L$3*10^12-$A73),$A73,$A74)=L74,0,IF((L$3*10^12-$A74)*(L$3*10^12-$A73)*-1&lt;0,0,1)*IF(ABS(L$3*10^12-$A74)&gt;(L$3*10^12-$A73),$A73,$A74))</f>
        <v/>
      </c>
      <c r="M73">
        <f>IF(IF((M$3*10^12-$A74)*(M$3*10^12-$A73)*-1&lt;0,0,1)*IF(ABS(M$3*10^12-$A74)&gt;(M$3*10^12-$A73),$A73,$A74)=M74,0,IF((M$3*10^12-$A74)*(M$3*10^12-$A73)*-1&lt;0,0,1)*IF(ABS(M$3*10^12-$A74)&gt;(M$3*10^12-$A73),$A73,$A74))</f>
        <v/>
      </c>
      <c r="N73">
        <f>IF(IF((N$3*10^12-$A74)*(N$3*10^12-$A73)*-1&lt;0,0,1)*IF(ABS(N$3*10^12-$A74)&gt;(N$3*10^12-$A73),$A73,$A74)=N74,0,IF((N$3*10^12-$A74)*(N$3*10^12-$A73)*-1&lt;0,0,1)*IF(ABS(N$3*10^12-$A74)&gt;(N$3*10^12-$A73),$A73,$A74))</f>
        <v/>
      </c>
    </row>
    <row r="74">
      <c r="A74">
        <f>A62*10</f>
        <v/>
      </c>
      <c r="B74">
        <f>IF(IF((B$3*10^12-$A75)*(B$3*10^12-$A74)*-1&lt;0,0,1)*IF(ABS(B$3*10^12-$A75)&gt;(B$3*10^12-$A74),$A74,$A75)=B75,0,IF((B$3*10^12-$A75)*(B$3*10^12-$A74)*-1&lt;0,0,1)*IF(ABS(B$3*10^12-$A75)&gt;(B$3*10^12-$A74),$A74,$A75))</f>
        <v/>
      </c>
      <c r="C74">
        <f>IF(IF((C$3*10^12-$A75)*(C$3*10^12-$A74)*-1&lt;0,0,1)*IF(ABS(C$3*10^12-$A75)&gt;(C$3*10^12-$A74),$A74,$A75)=C75,0,IF((C$3*10^12-$A75)*(C$3*10^12-$A74)*-1&lt;0,0,1)*IF(ABS(C$3*10^12-$A75)&gt;(C$3*10^12-$A74),$A74,$A75))</f>
        <v/>
      </c>
      <c r="D74">
        <f>IF(IF((D$3*10^12-$A75)*(D$3*10^12-$A74)*-1&lt;0,0,1)*IF(ABS(D$3*10^12-$A75)&gt;(D$3*10^12-$A74),$A74,$A75)=D75,0,IF((D$3*10^12-$A75)*(D$3*10^12-$A74)*-1&lt;0,0,1)*IF(ABS(D$3*10^12-$A75)&gt;(D$3*10^12-$A74),$A74,$A75))</f>
        <v/>
      </c>
      <c r="E74">
        <f>IF(IF((E$3*10^12-$A75)*(E$3*10^12-$A74)*-1&lt;0,0,1)*IF(ABS(E$3*10^12-$A75)&gt;(E$3*10^12-$A74),$A74,$A75)=E75,0,IF((E$3*10^12-$A75)*(E$3*10^12-$A74)*-1&lt;0,0,1)*IF(ABS(E$3*10^12-$A75)&gt;(E$3*10^12-$A74),$A74,$A75))</f>
        <v/>
      </c>
      <c r="F74">
        <f>IF(IF((F$3*10^12-$A75)*(F$3*10^12-$A74)*-1&lt;0,0,1)*IF(ABS(F$3*10^12-$A75)&gt;(F$3*10^12-$A74),$A74,$A75)=F75,0,IF((F$3*10^12-$A75)*(F$3*10^12-$A74)*-1&lt;0,0,1)*IF(ABS(F$3*10^12-$A75)&gt;(F$3*10^12-$A74),$A74,$A75))</f>
        <v/>
      </c>
      <c r="G74">
        <f>IF(IF((G$3*10^12-$A75)*(G$3*10^12-$A74)*-1&lt;0,0,1)*IF(ABS(G$3*10^12-$A75)&gt;(G$3*10^12-$A74),$A74,$A75)=G75,0,IF((G$3*10^12-$A75)*(G$3*10^12-$A74)*-1&lt;0,0,1)*IF(ABS(G$3*10^12-$A75)&gt;(G$3*10^12-$A74),$A74,$A75))</f>
        <v/>
      </c>
      <c r="H74">
        <f>IF(IF((H$3*10^12-$A75)*(H$3*10^12-$A74)*-1&lt;0,0,1)*IF(ABS(H$3*10^12-$A75)&gt;(H$3*10^12-$A74),$A74,$A75)=H75,0,IF((H$3*10^12-$A75)*(H$3*10^12-$A74)*-1&lt;0,0,1)*IF(ABS(H$3*10^12-$A75)&gt;(H$3*10^12-$A74),$A74,$A75))</f>
        <v/>
      </c>
      <c r="I74">
        <f>IF(IF((I$3*10^12-$A75)*(I$3*10^12-$A74)*-1&lt;0,0,1)*IF(ABS(I$3*10^12-$A75)&gt;(I$3*10^12-$A74),$A74,$A75)=I75,0,IF((I$3*10^12-$A75)*(I$3*10^12-$A74)*-1&lt;0,0,1)*IF(ABS(I$3*10^12-$A75)&gt;(I$3*10^12-$A74),$A74,$A75))</f>
        <v/>
      </c>
      <c r="J74">
        <f>IF(IF((J$3*10^12-$A75)*(J$3*10^12-$A74)*-1&lt;0,0,1)*IF(ABS(J$3*10^12-$A75)&gt;(J$3*10^12-$A74),$A74,$A75)=J75,0,IF((J$3*10^12-$A75)*(J$3*10^12-$A74)*-1&lt;0,0,1)*IF(ABS(J$3*10^12-$A75)&gt;(J$3*10^12-$A74),$A74,$A75))</f>
        <v/>
      </c>
      <c r="K74">
        <f>IF(IF((K$3*10^12-$A75)*(K$3*10^12-$A74)*-1&lt;0,0,1)*IF(ABS(K$3*10^12-$A75)&gt;(K$3*10^12-$A74),$A74,$A75)=K75,0,IF((K$3*10^12-$A75)*(K$3*10^12-$A74)*-1&lt;0,0,1)*IF(ABS(K$3*10^12-$A75)&gt;(K$3*10^12-$A74),$A74,$A75))</f>
        <v/>
      </c>
      <c r="L74">
        <f>IF(IF((L$3*10^12-$A75)*(L$3*10^12-$A74)*-1&lt;0,0,1)*IF(ABS(L$3*10^12-$A75)&gt;(L$3*10^12-$A74),$A74,$A75)=L75,0,IF((L$3*10^12-$A75)*(L$3*10^12-$A74)*-1&lt;0,0,1)*IF(ABS(L$3*10^12-$A75)&gt;(L$3*10^12-$A74),$A74,$A75))</f>
        <v/>
      </c>
      <c r="M74">
        <f>IF(IF((M$3*10^12-$A75)*(M$3*10^12-$A74)*-1&lt;0,0,1)*IF(ABS(M$3*10^12-$A75)&gt;(M$3*10^12-$A74),$A74,$A75)=M75,0,IF((M$3*10^12-$A75)*(M$3*10^12-$A74)*-1&lt;0,0,1)*IF(ABS(M$3*10^12-$A75)&gt;(M$3*10^12-$A74),$A74,$A75))</f>
        <v/>
      </c>
      <c r="N74">
        <f>IF(IF((N$3*10^12-$A75)*(N$3*10^12-$A74)*-1&lt;0,0,1)*IF(ABS(N$3*10^12-$A75)&gt;(N$3*10^12-$A74),$A74,$A75)=N75,0,IF((N$3*10^12-$A75)*(N$3*10^12-$A74)*-1&lt;0,0,1)*IF(ABS(N$3*10^12-$A75)&gt;(N$3*10^12-$A74),$A74,$A75))</f>
        <v/>
      </c>
    </row>
    <row r="75">
      <c r="A75">
        <f>A63*10</f>
        <v/>
      </c>
      <c r="B75">
        <f>IF(IF((B$3*10^12-$A76)*(B$3*10^12-$A75)*-1&lt;0,0,1)*IF(ABS(B$3*10^12-$A76)&gt;(B$3*10^12-$A75),$A75,$A76)=B76,0,IF((B$3*10^12-$A76)*(B$3*10^12-$A75)*-1&lt;0,0,1)*IF(ABS(B$3*10^12-$A76)&gt;(B$3*10^12-$A75),$A75,$A76))</f>
        <v/>
      </c>
      <c r="C75">
        <f>IF(IF((C$3*10^12-$A76)*(C$3*10^12-$A75)*-1&lt;0,0,1)*IF(ABS(C$3*10^12-$A76)&gt;(C$3*10^12-$A75),$A75,$A76)=C76,0,IF((C$3*10^12-$A76)*(C$3*10^12-$A75)*-1&lt;0,0,1)*IF(ABS(C$3*10^12-$A76)&gt;(C$3*10^12-$A75),$A75,$A76))</f>
        <v/>
      </c>
      <c r="D75">
        <f>IF(IF((D$3*10^12-$A76)*(D$3*10^12-$A75)*-1&lt;0,0,1)*IF(ABS(D$3*10^12-$A76)&gt;(D$3*10^12-$A75),$A75,$A76)=D76,0,IF((D$3*10^12-$A76)*(D$3*10^12-$A75)*-1&lt;0,0,1)*IF(ABS(D$3*10^12-$A76)&gt;(D$3*10^12-$A75),$A75,$A76))</f>
        <v/>
      </c>
      <c r="E75">
        <f>IF(IF((E$3*10^12-$A76)*(E$3*10^12-$A75)*-1&lt;0,0,1)*IF(ABS(E$3*10^12-$A76)&gt;(E$3*10^12-$A75),$A75,$A76)=E76,0,IF((E$3*10^12-$A76)*(E$3*10^12-$A75)*-1&lt;0,0,1)*IF(ABS(E$3*10^12-$A76)&gt;(E$3*10^12-$A75),$A75,$A76))</f>
        <v/>
      </c>
      <c r="F75">
        <f>IF(IF((F$3*10^12-$A76)*(F$3*10^12-$A75)*-1&lt;0,0,1)*IF(ABS(F$3*10^12-$A76)&gt;(F$3*10^12-$A75),$A75,$A76)=F76,0,IF((F$3*10^12-$A76)*(F$3*10^12-$A75)*-1&lt;0,0,1)*IF(ABS(F$3*10^12-$A76)&gt;(F$3*10^12-$A75),$A75,$A76))</f>
        <v/>
      </c>
      <c r="G75">
        <f>IF(IF((G$3*10^12-$A76)*(G$3*10^12-$A75)*-1&lt;0,0,1)*IF(ABS(G$3*10^12-$A76)&gt;(G$3*10^12-$A75),$A75,$A76)=G76,0,IF((G$3*10^12-$A76)*(G$3*10^12-$A75)*-1&lt;0,0,1)*IF(ABS(G$3*10^12-$A76)&gt;(G$3*10^12-$A75),$A75,$A76))</f>
        <v/>
      </c>
      <c r="H75">
        <f>IF(IF((H$3*10^12-$A76)*(H$3*10^12-$A75)*-1&lt;0,0,1)*IF(ABS(H$3*10^12-$A76)&gt;(H$3*10^12-$A75),$A75,$A76)=H76,0,IF((H$3*10^12-$A76)*(H$3*10^12-$A75)*-1&lt;0,0,1)*IF(ABS(H$3*10^12-$A76)&gt;(H$3*10^12-$A75),$A75,$A76))</f>
        <v/>
      </c>
      <c r="I75">
        <f>IF(IF((I$3*10^12-$A76)*(I$3*10^12-$A75)*-1&lt;0,0,1)*IF(ABS(I$3*10^12-$A76)&gt;(I$3*10^12-$A75),$A75,$A76)=I76,0,IF((I$3*10^12-$A76)*(I$3*10^12-$A75)*-1&lt;0,0,1)*IF(ABS(I$3*10^12-$A76)&gt;(I$3*10^12-$A75),$A75,$A76))</f>
        <v/>
      </c>
      <c r="J75">
        <f>IF(IF((J$3*10^12-$A76)*(J$3*10^12-$A75)*-1&lt;0,0,1)*IF(ABS(J$3*10^12-$A76)&gt;(J$3*10^12-$A75),$A75,$A76)=J76,0,IF((J$3*10^12-$A76)*(J$3*10^12-$A75)*-1&lt;0,0,1)*IF(ABS(J$3*10^12-$A76)&gt;(J$3*10^12-$A75),$A75,$A76))</f>
        <v/>
      </c>
      <c r="K75">
        <f>IF(IF((K$3*10^12-$A76)*(K$3*10^12-$A75)*-1&lt;0,0,1)*IF(ABS(K$3*10^12-$A76)&gt;(K$3*10^12-$A75),$A75,$A76)=K76,0,IF((K$3*10^12-$A76)*(K$3*10^12-$A75)*-1&lt;0,0,1)*IF(ABS(K$3*10^12-$A76)&gt;(K$3*10^12-$A75),$A75,$A76))</f>
        <v/>
      </c>
      <c r="L75">
        <f>IF(IF((L$3*10^12-$A76)*(L$3*10^12-$A75)*-1&lt;0,0,1)*IF(ABS(L$3*10^12-$A76)&gt;(L$3*10^12-$A75),$A75,$A76)=L76,0,IF((L$3*10^12-$A76)*(L$3*10^12-$A75)*-1&lt;0,0,1)*IF(ABS(L$3*10^12-$A76)&gt;(L$3*10^12-$A75),$A75,$A76))</f>
        <v/>
      </c>
      <c r="M75">
        <f>IF(IF((M$3*10^12-$A76)*(M$3*10^12-$A75)*-1&lt;0,0,1)*IF(ABS(M$3*10^12-$A76)&gt;(M$3*10^12-$A75),$A75,$A76)=M76,0,IF((M$3*10^12-$A76)*(M$3*10^12-$A75)*-1&lt;0,0,1)*IF(ABS(M$3*10^12-$A76)&gt;(M$3*10^12-$A75),$A75,$A76))</f>
        <v/>
      </c>
      <c r="N75">
        <f>IF(IF((N$3*10^12-$A76)*(N$3*10^12-$A75)*-1&lt;0,0,1)*IF(ABS(N$3*10^12-$A76)&gt;(N$3*10^12-$A75),$A75,$A76)=N76,0,IF((N$3*10^12-$A76)*(N$3*10^12-$A75)*-1&lt;0,0,1)*IF(ABS(N$3*10^12-$A76)&gt;(N$3*10^12-$A75),$A75,$A76))</f>
        <v/>
      </c>
    </row>
    <row r="76">
      <c r="A76">
        <f>A64*10</f>
        <v/>
      </c>
      <c r="B76">
        <f>IF(IF((B$3*10^12-$A77)*(B$3*10^12-$A76)*-1&lt;0,0,1)*IF(ABS(B$3*10^12-$A77)&gt;(B$3*10^12-$A76),$A76,$A77)=B77,0,IF((B$3*10^12-$A77)*(B$3*10^12-$A76)*-1&lt;0,0,1)*IF(ABS(B$3*10^12-$A77)&gt;(B$3*10^12-$A76),$A76,$A77))</f>
        <v/>
      </c>
      <c r="C76">
        <f>IF(IF((C$3*10^12-$A77)*(C$3*10^12-$A76)*-1&lt;0,0,1)*IF(ABS(C$3*10^12-$A77)&gt;(C$3*10^12-$A76),$A76,$A77)=C77,0,IF((C$3*10^12-$A77)*(C$3*10^12-$A76)*-1&lt;0,0,1)*IF(ABS(C$3*10^12-$A77)&gt;(C$3*10^12-$A76),$A76,$A77))</f>
        <v/>
      </c>
      <c r="D76">
        <f>IF(IF((D$3*10^12-$A77)*(D$3*10^12-$A76)*-1&lt;0,0,1)*IF(ABS(D$3*10^12-$A77)&gt;(D$3*10^12-$A76),$A76,$A77)=D77,0,IF((D$3*10^12-$A77)*(D$3*10^12-$A76)*-1&lt;0,0,1)*IF(ABS(D$3*10^12-$A77)&gt;(D$3*10^12-$A76),$A76,$A77))</f>
        <v/>
      </c>
      <c r="E76">
        <f>IF(IF((E$3*10^12-$A77)*(E$3*10^12-$A76)*-1&lt;0,0,1)*IF(ABS(E$3*10^12-$A77)&gt;(E$3*10^12-$A76),$A76,$A77)=E77,0,IF((E$3*10^12-$A77)*(E$3*10^12-$A76)*-1&lt;0,0,1)*IF(ABS(E$3*10^12-$A77)&gt;(E$3*10^12-$A76),$A76,$A77))</f>
        <v/>
      </c>
      <c r="F76">
        <f>IF(IF((F$3*10^12-$A77)*(F$3*10^12-$A76)*-1&lt;0,0,1)*IF(ABS(F$3*10^12-$A77)&gt;(F$3*10^12-$A76),$A76,$A77)=F77,0,IF((F$3*10^12-$A77)*(F$3*10^12-$A76)*-1&lt;0,0,1)*IF(ABS(F$3*10^12-$A77)&gt;(F$3*10^12-$A76),$A76,$A77))</f>
        <v/>
      </c>
      <c r="G76">
        <f>IF(IF((G$3*10^12-$A77)*(G$3*10^12-$A76)*-1&lt;0,0,1)*IF(ABS(G$3*10^12-$A77)&gt;(G$3*10^12-$A76),$A76,$A77)=G77,0,IF((G$3*10^12-$A77)*(G$3*10^12-$A76)*-1&lt;0,0,1)*IF(ABS(G$3*10^12-$A77)&gt;(G$3*10^12-$A76),$A76,$A77))</f>
        <v/>
      </c>
      <c r="H76">
        <f>IF(IF((H$3*10^12-$A77)*(H$3*10^12-$A76)*-1&lt;0,0,1)*IF(ABS(H$3*10^12-$A77)&gt;(H$3*10^12-$A76),$A76,$A77)=H77,0,IF((H$3*10^12-$A77)*(H$3*10^12-$A76)*-1&lt;0,0,1)*IF(ABS(H$3*10^12-$A77)&gt;(H$3*10^12-$A76),$A76,$A77))</f>
        <v/>
      </c>
      <c r="I76">
        <f>IF(IF((I$3*10^12-$A77)*(I$3*10^12-$A76)*-1&lt;0,0,1)*IF(ABS(I$3*10^12-$A77)&gt;(I$3*10^12-$A76),$A76,$A77)=I77,0,IF((I$3*10^12-$A77)*(I$3*10^12-$A76)*-1&lt;0,0,1)*IF(ABS(I$3*10^12-$A77)&gt;(I$3*10^12-$A76),$A76,$A77))</f>
        <v/>
      </c>
      <c r="J76">
        <f>IF(IF((J$3*10^12-$A77)*(J$3*10^12-$A76)*-1&lt;0,0,1)*IF(ABS(J$3*10^12-$A77)&gt;(J$3*10^12-$A76),$A76,$A77)=J77,0,IF((J$3*10^12-$A77)*(J$3*10^12-$A76)*-1&lt;0,0,1)*IF(ABS(J$3*10^12-$A77)&gt;(J$3*10^12-$A76),$A76,$A77))</f>
        <v/>
      </c>
      <c r="K76">
        <f>IF(IF((K$3*10^12-$A77)*(K$3*10^12-$A76)*-1&lt;0,0,1)*IF(ABS(K$3*10^12-$A77)&gt;(K$3*10^12-$A76),$A76,$A77)=K77,0,IF((K$3*10^12-$A77)*(K$3*10^12-$A76)*-1&lt;0,0,1)*IF(ABS(K$3*10^12-$A77)&gt;(K$3*10^12-$A76),$A76,$A77))</f>
        <v/>
      </c>
      <c r="L76">
        <f>IF(IF((L$3*10^12-$A77)*(L$3*10^12-$A76)*-1&lt;0,0,1)*IF(ABS(L$3*10^12-$A77)&gt;(L$3*10^12-$A76),$A76,$A77)=L77,0,IF((L$3*10^12-$A77)*(L$3*10^12-$A76)*-1&lt;0,0,1)*IF(ABS(L$3*10^12-$A77)&gt;(L$3*10^12-$A76),$A76,$A77))</f>
        <v/>
      </c>
      <c r="M76">
        <f>IF(IF((M$3*10^12-$A77)*(M$3*10^12-$A76)*-1&lt;0,0,1)*IF(ABS(M$3*10^12-$A77)&gt;(M$3*10^12-$A76),$A76,$A77)=M77,0,IF((M$3*10^12-$A77)*(M$3*10^12-$A76)*-1&lt;0,0,1)*IF(ABS(M$3*10^12-$A77)&gt;(M$3*10^12-$A76),$A76,$A77))</f>
        <v/>
      </c>
      <c r="N76">
        <f>IF(IF((N$3*10^12-$A77)*(N$3*10^12-$A76)*-1&lt;0,0,1)*IF(ABS(N$3*10^12-$A77)&gt;(N$3*10^12-$A76),$A76,$A77)=N77,0,IF((N$3*10^12-$A77)*(N$3*10^12-$A76)*-1&lt;0,0,1)*IF(ABS(N$3*10^12-$A77)&gt;(N$3*10^12-$A76),$A76,$A77))</f>
        <v/>
      </c>
    </row>
    <row r="77">
      <c r="A77">
        <f>A65*10</f>
        <v/>
      </c>
      <c r="B77">
        <f>IF(IF((B$3*10^12-$A78)*(B$3*10^12-$A77)*-1&lt;0,0,1)*IF(ABS(B$3*10^12-$A78)&gt;(B$3*10^12-$A77),$A77,$A78)=B78,0,IF((B$3*10^12-$A78)*(B$3*10^12-$A77)*-1&lt;0,0,1)*IF(ABS(B$3*10^12-$A78)&gt;(B$3*10^12-$A77),$A77,$A78))</f>
        <v/>
      </c>
      <c r="C77">
        <f>IF(IF((C$3*10^12-$A78)*(C$3*10^12-$A77)*-1&lt;0,0,1)*IF(ABS(C$3*10^12-$A78)&gt;(C$3*10^12-$A77),$A77,$A78)=C78,0,IF((C$3*10^12-$A78)*(C$3*10^12-$A77)*-1&lt;0,0,1)*IF(ABS(C$3*10^12-$A78)&gt;(C$3*10^12-$A77),$A77,$A78))</f>
        <v/>
      </c>
      <c r="D77">
        <f>IF(IF((D$3*10^12-$A78)*(D$3*10^12-$A77)*-1&lt;0,0,1)*IF(ABS(D$3*10^12-$A78)&gt;(D$3*10^12-$A77),$A77,$A78)=D78,0,IF((D$3*10^12-$A78)*(D$3*10^12-$A77)*-1&lt;0,0,1)*IF(ABS(D$3*10^12-$A78)&gt;(D$3*10^12-$A77),$A77,$A78))</f>
        <v/>
      </c>
      <c r="E77">
        <f>IF(IF((E$3*10^12-$A78)*(E$3*10^12-$A77)*-1&lt;0,0,1)*IF(ABS(E$3*10^12-$A78)&gt;(E$3*10^12-$A77),$A77,$A78)=E78,0,IF((E$3*10^12-$A78)*(E$3*10^12-$A77)*-1&lt;0,0,1)*IF(ABS(E$3*10^12-$A78)&gt;(E$3*10^12-$A77),$A77,$A78))</f>
        <v/>
      </c>
      <c r="F77">
        <f>IF(IF((F$3*10^12-$A78)*(F$3*10^12-$A77)*-1&lt;0,0,1)*IF(ABS(F$3*10^12-$A78)&gt;(F$3*10^12-$A77),$A77,$A78)=F78,0,IF((F$3*10^12-$A78)*(F$3*10^12-$A77)*-1&lt;0,0,1)*IF(ABS(F$3*10^12-$A78)&gt;(F$3*10^12-$A77),$A77,$A78))</f>
        <v/>
      </c>
      <c r="G77">
        <f>IF(IF((G$3*10^12-$A78)*(G$3*10^12-$A77)*-1&lt;0,0,1)*IF(ABS(G$3*10^12-$A78)&gt;(G$3*10^12-$A77),$A77,$A78)=G78,0,IF((G$3*10^12-$A78)*(G$3*10^12-$A77)*-1&lt;0,0,1)*IF(ABS(G$3*10^12-$A78)&gt;(G$3*10^12-$A77),$A77,$A78))</f>
        <v/>
      </c>
      <c r="H77">
        <f>IF(IF((H$3*10^12-$A78)*(H$3*10^12-$A77)*-1&lt;0,0,1)*IF(ABS(H$3*10^12-$A78)&gt;(H$3*10^12-$A77),$A77,$A78)=H78,0,IF((H$3*10^12-$A78)*(H$3*10^12-$A77)*-1&lt;0,0,1)*IF(ABS(H$3*10^12-$A78)&gt;(H$3*10^12-$A77),$A77,$A78))</f>
        <v/>
      </c>
      <c r="I77">
        <f>IF(IF((I$3*10^12-$A78)*(I$3*10^12-$A77)*-1&lt;0,0,1)*IF(ABS(I$3*10^12-$A78)&gt;(I$3*10^12-$A77),$A77,$A78)=I78,0,IF((I$3*10^12-$A78)*(I$3*10^12-$A77)*-1&lt;0,0,1)*IF(ABS(I$3*10^12-$A78)&gt;(I$3*10^12-$A77),$A77,$A78))</f>
        <v/>
      </c>
      <c r="J77">
        <f>IF(IF((J$3*10^12-$A78)*(J$3*10^12-$A77)*-1&lt;0,0,1)*IF(ABS(J$3*10^12-$A78)&gt;(J$3*10^12-$A77),$A77,$A78)=J78,0,IF((J$3*10^12-$A78)*(J$3*10^12-$A77)*-1&lt;0,0,1)*IF(ABS(J$3*10^12-$A78)&gt;(J$3*10^12-$A77),$A77,$A78))</f>
        <v/>
      </c>
      <c r="K77">
        <f>IF(IF((K$3*10^12-$A78)*(K$3*10^12-$A77)*-1&lt;0,0,1)*IF(ABS(K$3*10^12-$A78)&gt;(K$3*10^12-$A77),$A77,$A78)=K78,0,IF((K$3*10^12-$A78)*(K$3*10^12-$A77)*-1&lt;0,0,1)*IF(ABS(K$3*10^12-$A78)&gt;(K$3*10^12-$A77),$A77,$A78))</f>
        <v/>
      </c>
      <c r="L77">
        <f>IF(IF((L$3*10^12-$A78)*(L$3*10^12-$A77)*-1&lt;0,0,1)*IF(ABS(L$3*10^12-$A78)&gt;(L$3*10^12-$A77),$A77,$A78)=L78,0,IF((L$3*10^12-$A78)*(L$3*10^12-$A77)*-1&lt;0,0,1)*IF(ABS(L$3*10^12-$A78)&gt;(L$3*10^12-$A77),$A77,$A78))</f>
        <v/>
      </c>
      <c r="M77">
        <f>IF(IF((M$3*10^12-$A78)*(M$3*10^12-$A77)*-1&lt;0,0,1)*IF(ABS(M$3*10^12-$A78)&gt;(M$3*10^12-$A77),$A77,$A78)=M78,0,IF((M$3*10^12-$A78)*(M$3*10^12-$A77)*-1&lt;0,0,1)*IF(ABS(M$3*10^12-$A78)&gt;(M$3*10^12-$A77),$A77,$A78))</f>
        <v/>
      </c>
      <c r="N77">
        <f>IF(IF((N$3*10^12-$A78)*(N$3*10^12-$A77)*-1&lt;0,0,1)*IF(ABS(N$3*10^12-$A78)&gt;(N$3*10^12-$A77),$A77,$A78)=N78,0,IF((N$3*10^12-$A78)*(N$3*10^12-$A77)*-1&lt;0,0,1)*IF(ABS(N$3*10^12-$A78)&gt;(N$3*10^12-$A77),$A77,$A78))</f>
        <v/>
      </c>
    </row>
    <row r="78">
      <c r="A78">
        <f>A66*10</f>
        <v/>
      </c>
      <c r="B78">
        <f>IF(IF((B$3*10^12-$A79)*(B$3*10^12-$A78)*-1&lt;0,0,1)*IF(ABS(B$3*10^12-$A79)&gt;(B$3*10^12-$A78),$A78,$A79)=B79,0,IF((B$3*10^12-$A79)*(B$3*10^12-$A78)*-1&lt;0,0,1)*IF(ABS(B$3*10^12-$A79)&gt;(B$3*10^12-$A78),$A78,$A79))</f>
        <v/>
      </c>
      <c r="C78">
        <f>IF(IF((C$3*10^12-$A79)*(C$3*10^12-$A78)*-1&lt;0,0,1)*IF(ABS(C$3*10^12-$A79)&gt;(C$3*10^12-$A78),$A78,$A79)=C79,0,IF((C$3*10^12-$A79)*(C$3*10^12-$A78)*-1&lt;0,0,1)*IF(ABS(C$3*10^12-$A79)&gt;(C$3*10^12-$A78),$A78,$A79))</f>
        <v/>
      </c>
      <c r="D78">
        <f>IF(IF((D$3*10^12-$A79)*(D$3*10^12-$A78)*-1&lt;0,0,1)*IF(ABS(D$3*10^12-$A79)&gt;(D$3*10^12-$A78),$A78,$A79)=D79,0,IF((D$3*10^12-$A79)*(D$3*10^12-$A78)*-1&lt;0,0,1)*IF(ABS(D$3*10^12-$A79)&gt;(D$3*10^12-$A78),$A78,$A79))</f>
        <v/>
      </c>
      <c r="E78">
        <f>IF(IF((E$3*10^12-$A79)*(E$3*10^12-$A78)*-1&lt;0,0,1)*IF(ABS(E$3*10^12-$A79)&gt;(E$3*10^12-$A78),$A78,$A79)=E79,0,IF((E$3*10^12-$A79)*(E$3*10^12-$A78)*-1&lt;0,0,1)*IF(ABS(E$3*10^12-$A79)&gt;(E$3*10^12-$A78),$A78,$A79))</f>
        <v/>
      </c>
      <c r="F78">
        <f>IF(IF((F$3*10^12-$A79)*(F$3*10^12-$A78)*-1&lt;0,0,1)*IF(ABS(F$3*10^12-$A79)&gt;(F$3*10^12-$A78),$A78,$A79)=F79,0,IF((F$3*10^12-$A79)*(F$3*10^12-$A78)*-1&lt;0,0,1)*IF(ABS(F$3*10^12-$A79)&gt;(F$3*10^12-$A78),$A78,$A79))</f>
        <v/>
      </c>
      <c r="G78">
        <f>IF(IF((G$3*10^12-$A79)*(G$3*10^12-$A78)*-1&lt;0,0,1)*IF(ABS(G$3*10^12-$A79)&gt;(G$3*10^12-$A78),$A78,$A79)=G79,0,IF((G$3*10^12-$A79)*(G$3*10^12-$A78)*-1&lt;0,0,1)*IF(ABS(G$3*10^12-$A79)&gt;(G$3*10^12-$A78),$A78,$A79))</f>
        <v/>
      </c>
      <c r="H78">
        <f>IF(IF((H$3*10^12-$A79)*(H$3*10^12-$A78)*-1&lt;0,0,1)*IF(ABS(H$3*10^12-$A79)&gt;(H$3*10^12-$A78),$A78,$A79)=H79,0,IF((H$3*10^12-$A79)*(H$3*10^12-$A78)*-1&lt;0,0,1)*IF(ABS(H$3*10^12-$A79)&gt;(H$3*10^12-$A78),$A78,$A79))</f>
        <v/>
      </c>
      <c r="I78">
        <f>IF(IF((I$3*10^12-$A79)*(I$3*10^12-$A78)*-1&lt;0,0,1)*IF(ABS(I$3*10^12-$A79)&gt;(I$3*10^12-$A78),$A78,$A79)=I79,0,IF((I$3*10^12-$A79)*(I$3*10^12-$A78)*-1&lt;0,0,1)*IF(ABS(I$3*10^12-$A79)&gt;(I$3*10^12-$A78),$A78,$A79))</f>
        <v/>
      </c>
      <c r="J78">
        <f>IF(IF((J$3*10^12-$A79)*(J$3*10^12-$A78)*-1&lt;0,0,1)*IF(ABS(J$3*10^12-$A79)&gt;(J$3*10^12-$A78),$A78,$A79)=J79,0,IF((J$3*10^12-$A79)*(J$3*10^12-$A78)*-1&lt;0,0,1)*IF(ABS(J$3*10^12-$A79)&gt;(J$3*10^12-$A78),$A78,$A79))</f>
        <v/>
      </c>
      <c r="K78">
        <f>IF(IF((K$3*10^12-$A79)*(K$3*10^12-$A78)*-1&lt;0,0,1)*IF(ABS(K$3*10^12-$A79)&gt;(K$3*10^12-$A78),$A78,$A79)=K79,0,IF((K$3*10^12-$A79)*(K$3*10^12-$A78)*-1&lt;0,0,1)*IF(ABS(K$3*10^12-$A79)&gt;(K$3*10^12-$A78),$A78,$A79))</f>
        <v/>
      </c>
      <c r="L78">
        <f>IF(IF((L$3*10^12-$A79)*(L$3*10^12-$A78)*-1&lt;0,0,1)*IF(ABS(L$3*10^12-$A79)&gt;(L$3*10^12-$A78),$A78,$A79)=L79,0,IF((L$3*10^12-$A79)*(L$3*10^12-$A78)*-1&lt;0,0,1)*IF(ABS(L$3*10^12-$A79)&gt;(L$3*10^12-$A78),$A78,$A79))</f>
        <v/>
      </c>
      <c r="M78">
        <f>IF(IF((M$3*10^12-$A79)*(M$3*10^12-$A78)*-1&lt;0,0,1)*IF(ABS(M$3*10^12-$A79)&gt;(M$3*10^12-$A78),$A78,$A79)=M79,0,IF((M$3*10^12-$A79)*(M$3*10^12-$A78)*-1&lt;0,0,1)*IF(ABS(M$3*10^12-$A79)&gt;(M$3*10^12-$A78),$A78,$A79))</f>
        <v/>
      </c>
      <c r="N78">
        <f>IF(IF((N$3*10^12-$A79)*(N$3*10^12-$A78)*-1&lt;0,0,1)*IF(ABS(N$3*10^12-$A79)&gt;(N$3*10^12-$A78),$A78,$A79)=N79,0,IF((N$3*10^12-$A79)*(N$3*10^12-$A78)*-1&lt;0,0,1)*IF(ABS(N$3*10^12-$A79)&gt;(N$3*10^12-$A78),$A78,$A79))</f>
        <v/>
      </c>
    </row>
    <row r="79">
      <c r="A79">
        <f>A67*10</f>
        <v/>
      </c>
      <c r="B79">
        <f>IF(IF((B$3*10^12-$A80)*(B$3*10^12-$A79)*-1&lt;0,0,1)*IF(ABS(B$3*10^12-$A80)&gt;(B$3*10^12-$A79),$A79,$A80)=B80,0,IF((B$3*10^12-$A80)*(B$3*10^12-$A79)*-1&lt;0,0,1)*IF(ABS(B$3*10^12-$A80)&gt;(B$3*10^12-$A79),$A79,$A80))</f>
        <v/>
      </c>
      <c r="C79">
        <f>IF(IF((C$3*10^12-$A80)*(C$3*10^12-$A79)*-1&lt;0,0,1)*IF(ABS(C$3*10^12-$A80)&gt;(C$3*10^12-$A79),$A79,$A80)=C80,0,IF((C$3*10^12-$A80)*(C$3*10^12-$A79)*-1&lt;0,0,1)*IF(ABS(C$3*10^12-$A80)&gt;(C$3*10^12-$A79),$A79,$A80))</f>
        <v/>
      </c>
      <c r="D79">
        <f>IF(IF((D$3*10^12-$A80)*(D$3*10^12-$A79)*-1&lt;0,0,1)*IF(ABS(D$3*10^12-$A80)&gt;(D$3*10^12-$A79),$A79,$A80)=D80,0,IF((D$3*10^12-$A80)*(D$3*10^12-$A79)*-1&lt;0,0,1)*IF(ABS(D$3*10^12-$A80)&gt;(D$3*10^12-$A79),$A79,$A80))</f>
        <v/>
      </c>
      <c r="E79">
        <f>IF(IF((E$3*10^12-$A80)*(E$3*10^12-$A79)*-1&lt;0,0,1)*IF(ABS(E$3*10^12-$A80)&gt;(E$3*10^12-$A79),$A79,$A80)=E80,0,IF((E$3*10^12-$A80)*(E$3*10^12-$A79)*-1&lt;0,0,1)*IF(ABS(E$3*10^12-$A80)&gt;(E$3*10^12-$A79),$A79,$A80))</f>
        <v/>
      </c>
      <c r="F79">
        <f>IF(IF((F$3*10^12-$A80)*(F$3*10^12-$A79)*-1&lt;0,0,1)*IF(ABS(F$3*10^12-$A80)&gt;(F$3*10^12-$A79),$A79,$A80)=F80,0,IF((F$3*10^12-$A80)*(F$3*10^12-$A79)*-1&lt;0,0,1)*IF(ABS(F$3*10^12-$A80)&gt;(F$3*10^12-$A79),$A79,$A80))</f>
        <v/>
      </c>
      <c r="G79">
        <f>IF(IF((G$3*10^12-$A80)*(G$3*10^12-$A79)*-1&lt;0,0,1)*IF(ABS(G$3*10^12-$A80)&gt;(G$3*10^12-$A79),$A79,$A80)=G80,0,IF((G$3*10^12-$A80)*(G$3*10^12-$A79)*-1&lt;0,0,1)*IF(ABS(G$3*10^12-$A80)&gt;(G$3*10^12-$A79),$A79,$A80))</f>
        <v/>
      </c>
      <c r="H79">
        <f>IF(IF((H$3*10^12-$A80)*(H$3*10^12-$A79)*-1&lt;0,0,1)*IF(ABS(H$3*10^12-$A80)&gt;(H$3*10^12-$A79),$A79,$A80)=H80,0,IF((H$3*10^12-$A80)*(H$3*10^12-$A79)*-1&lt;0,0,1)*IF(ABS(H$3*10^12-$A80)&gt;(H$3*10^12-$A79),$A79,$A80))</f>
        <v/>
      </c>
      <c r="I79">
        <f>IF(IF((I$3*10^12-$A80)*(I$3*10^12-$A79)*-1&lt;0,0,1)*IF(ABS(I$3*10^12-$A80)&gt;(I$3*10^12-$A79),$A79,$A80)=I80,0,IF((I$3*10^12-$A80)*(I$3*10^12-$A79)*-1&lt;0,0,1)*IF(ABS(I$3*10^12-$A80)&gt;(I$3*10^12-$A79),$A79,$A80))</f>
        <v/>
      </c>
      <c r="J79">
        <f>IF(IF((J$3*10^12-$A80)*(J$3*10^12-$A79)*-1&lt;0,0,1)*IF(ABS(J$3*10^12-$A80)&gt;(J$3*10^12-$A79),$A79,$A80)=J80,0,IF((J$3*10^12-$A80)*(J$3*10^12-$A79)*-1&lt;0,0,1)*IF(ABS(J$3*10^12-$A80)&gt;(J$3*10^12-$A79),$A79,$A80))</f>
        <v/>
      </c>
      <c r="K79">
        <f>IF(IF((K$3*10^12-$A80)*(K$3*10^12-$A79)*-1&lt;0,0,1)*IF(ABS(K$3*10^12-$A80)&gt;(K$3*10^12-$A79),$A79,$A80)=K80,0,IF((K$3*10^12-$A80)*(K$3*10^12-$A79)*-1&lt;0,0,1)*IF(ABS(K$3*10^12-$A80)&gt;(K$3*10^12-$A79),$A79,$A80))</f>
        <v/>
      </c>
      <c r="L79">
        <f>IF(IF((L$3*10^12-$A80)*(L$3*10^12-$A79)*-1&lt;0,0,1)*IF(ABS(L$3*10^12-$A80)&gt;(L$3*10^12-$A79),$A79,$A80)=L80,0,IF((L$3*10^12-$A80)*(L$3*10^12-$A79)*-1&lt;0,0,1)*IF(ABS(L$3*10^12-$A80)&gt;(L$3*10^12-$A79),$A79,$A80))</f>
        <v/>
      </c>
      <c r="M79">
        <f>IF(IF((M$3*10^12-$A80)*(M$3*10^12-$A79)*-1&lt;0,0,1)*IF(ABS(M$3*10^12-$A80)&gt;(M$3*10^12-$A79),$A79,$A80)=M80,0,IF((M$3*10^12-$A80)*(M$3*10^12-$A79)*-1&lt;0,0,1)*IF(ABS(M$3*10^12-$A80)&gt;(M$3*10^12-$A79),$A79,$A80))</f>
        <v/>
      </c>
      <c r="N79">
        <f>IF(IF((N$3*10^12-$A80)*(N$3*10^12-$A79)*-1&lt;0,0,1)*IF(ABS(N$3*10^12-$A80)&gt;(N$3*10^12-$A79),$A79,$A80)=N80,0,IF((N$3*10^12-$A80)*(N$3*10^12-$A79)*-1&lt;0,0,1)*IF(ABS(N$3*10^12-$A80)&gt;(N$3*10^12-$A79),$A79,$A80))</f>
        <v/>
      </c>
    </row>
    <row r="80">
      <c r="A80">
        <f>A68*10</f>
        <v/>
      </c>
      <c r="B80">
        <f>IF(IF((B$3*10^12-$A81)*(B$3*10^12-$A80)*-1&lt;0,0,1)*IF(ABS(B$3*10^12-$A81)&gt;(B$3*10^12-$A80),$A80,$A81)=B81,0,IF((B$3*10^12-$A81)*(B$3*10^12-$A80)*-1&lt;0,0,1)*IF(ABS(B$3*10^12-$A81)&gt;(B$3*10^12-$A80),$A80,$A81))</f>
        <v/>
      </c>
      <c r="C80">
        <f>IF(IF((C$3*10^12-$A81)*(C$3*10^12-$A80)*-1&lt;0,0,1)*IF(ABS(C$3*10^12-$A81)&gt;(C$3*10^12-$A80),$A80,$A81)=C81,0,IF((C$3*10^12-$A81)*(C$3*10^12-$A80)*-1&lt;0,0,1)*IF(ABS(C$3*10^12-$A81)&gt;(C$3*10^12-$A80),$A80,$A81))</f>
        <v/>
      </c>
      <c r="D80">
        <f>IF(IF((D$3*10^12-$A81)*(D$3*10^12-$A80)*-1&lt;0,0,1)*IF(ABS(D$3*10^12-$A81)&gt;(D$3*10^12-$A80),$A80,$A81)=D81,0,IF((D$3*10^12-$A81)*(D$3*10^12-$A80)*-1&lt;0,0,1)*IF(ABS(D$3*10^12-$A81)&gt;(D$3*10^12-$A80),$A80,$A81))</f>
        <v/>
      </c>
      <c r="E80">
        <f>IF(IF((E$3*10^12-$A81)*(E$3*10^12-$A80)*-1&lt;0,0,1)*IF(ABS(E$3*10^12-$A81)&gt;(E$3*10^12-$A80),$A80,$A81)=E81,0,IF((E$3*10^12-$A81)*(E$3*10^12-$A80)*-1&lt;0,0,1)*IF(ABS(E$3*10^12-$A81)&gt;(E$3*10^12-$A80),$A80,$A81))</f>
        <v/>
      </c>
      <c r="F80">
        <f>IF(IF((F$3*10^12-$A81)*(F$3*10^12-$A80)*-1&lt;0,0,1)*IF(ABS(F$3*10^12-$A81)&gt;(F$3*10^12-$A80),$A80,$A81)=F81,0,IF((F$3*10^12-$A81)*(F$3*10^12-$A80)*-1&lt;0,0,1)*IF(ABS(F$3*10^12-$A81)&gt;(F$3*10^12-$A80),$A80,$A81))</f>
        <v/>
      </c>
      <c r="G80">
        <f>IF(IF((G$3*10^12-$A81)*(G$3*10^12-$A80)*-1&lt;0,0,1)*IF(ABS(G$3*10^12-$A81)&gt;(G$3*10^12-$A80),$A80,$A81)=G81,0,IF((G$3*10^12-$A81)*(G$3*10^12-$A80)*-1&lt;0,0,1)*IF(ABS(G$3*10^12-$A81)&gt;(G$3*10^12-$A80),$A80,$A81))</f>
        <v/>
      </c>
      <c r="H80">
        <f>IF(IF((H$3*10^12-$A81)*(H$3*10^12-$A80)*-1&lt;0,0,1)*IF(ABS(H$3*10^12-$A81)&gt;(H$3*10^12-$A80),$A80,$A81)=H81,0,IF((H$3*10^12-$A81)*(H$3*10^12-$A80)*-1&lt;0,0,1)*IF(ABS(H$3*10^12-$A81)&gt;(H$3*10^12-$A80),$A80,$A81))</f>
        <v/>
      </c>
      <c r="I80">
        <f>IF(IF((I$3*10^12-$A81)*(I$3*10^12-$A80)*-1&lt;0,0,1)*IF(ABS(I$3*10^12-$A81)&gt;(I$3*10^12-$A80),$A80,$A81)=I81,0,IF((I$3*10^12-$A81)*(I$3*10^12-$A80)*-1&lt;0,0,1)*IF(ABS(I$3*10^12-$A81)&gt;(I$3*10^12-$A80),$A80,$A81))</f>
        <v/>
      </c>
      <c r="J80">
        <f>IF(IF((J$3*10^12-$A81)*(J$3*10^12-$A80)*-1&lt;0,0,1)*IF(ABS(J$3*10^12-$A81)&gt;(J$3*10^12-$A80),$A80,$A81)=J81,0,IF((J$3*10^12-$A81)*(J$3*10^12-$A80)*-1&lt;0,0,1)*IF(ABS(J$3*10^12-$A81)&gt;(J$3*10^12-$A80),$A80,$A81))</f>
        <v/>
      </c>
      <c r="K80">
        <f>IF(IF((K$3*10^12-$A81)*(K$3*10^12-$A80)*-1&lt;0,0,1)*IF(ABS(K$3*10^12-$A81)&gt;(K$3*10^12-$A80),$A80,$A81)=K81,0,IF((K$3*10^12-$A81)*(K$3*10^12-$A80)*-1&lt;0,0,1)*IF(ABS(K$3*10^12-$A81)&gt;(K$3*10^12-$A80),$A80,$A81))</f>
        <v/>
      </c>
      <c r="L80">
        <f>IF(IF((L$3*10^12-$A81)*(L$3*10^12-$A80)*-1&lt;0,0,1)*IF(ABS(L$3*10^12-$A81)&gt;(L$3*10^12-$A80),$A80,$A81)=L81,0,IF((L$3*10^12-$A81)*(L$3*10^12-$A80)*-1&lt;0,0,1)*IF(ABS(L$3*10^12-$A81)&gt;(L$3*10^12-$A80),$A80,$A81))</f>
        <v/>
      </c>
      <c r="M80">
        <f>IF(IF((M$3*10^12-$A81)*(M$3*10^12-$A80)*-1&lt;0,0,1)*IF(ABS(M$3*10^12-$A81)&gt;(M$3*10^12-$A80),$A80,$A81)=M81,0,IF((M$3*10^12-$A81)*(M$3*10^12-$A80)*-1&lt;0,0,1)*IF(ABS(M$3*10^12-$A81)&gt;(M$3*10^12-$A80),$A80,$A81))</f>
        <v/>
      </c>
      <c r="N80">
        <f>IF(IF((N$3*10^12-$A81)*(N$3*10^12-$A80)*-1&lt;0,0,1)*IF(ABS(N$3*10^12-$A81)&gt;(N$3*10^12-$A80),$A80,$A81)=N81,0,IF((N$3*10^12-$A81)*(N$3*10^12-$A80)*-1&lt;0,0,1)*IF(ABS(N$3*10^12-$A81)&gt;(N$3*10^12-$A80),$A80,$A81))</f>
        <v/>
      </c>
    </row>
    <row r="81">
      <c r="A81">
        <f>A69*10</f>
        <v/>
      </c>
      <c r="B81">
        <f>IF(IF((B$3*10^12-$A82)*(B$3*10^12-$A81)*-1&lt;0,0,1)*IF(ABS(B$3*10^12-$A82)&gt;(B$3*10^12-$A81),$A81,$A82)=B82,0,IF((B$3*10^12-$A82)*(B$3*10^12-$A81)*-1&lt;0,0,1)*IF(ABS(B$3*10^12-$A82)&gt;(B$3*10^12-$A81),$A81,$A82))</f>
        <v/>
      </c>
      <c r="C81">
        <f>IF(IF((C$3*10^12-$A82)*(C$3*10^12-$A81)*-1&lt;0,0,1)*IF(ABS(C$3*10^12-$A82)&gt;(C$3*10^12-$A81),$A81,$A82)=C82,0,IF((C$3*10^12-$A82)*(C$3*10^12-$A81)*-1&lt;0,0,1)*IF(ABS(C$3*10^12-$A82)&gt;(C$3*10^12-$A81),$A81,$A82))</f>
        <v/>
      </c>
      <c r="D81">
        <f>IF(IF((D$3*10^12-$A82)*(D$3*10^12-$A81)*-1&lt;0,0,1)*IF(ABS(D$3*10^12-$A82)&gt;(D$3*10^12-$A81),$A81,$A82)=D82,0,IF((D$3*10^12-$A82)*(D$3*10^12-$A81)*-1&lt;0,0,1)*IF(ABS(D$3*10^12-$A82)&gt;(D$3*10^12-$A81),$A81,$A82))</f>
        <v/>
      </c>
      <c r="E81">
        <f>IF(IF((E$3*10^12-$A82)*(E$3*10^12-$A81)*-1&lt;0,0,1)*IF(ABS(E$3*10^12-$A82)&gt;(E$3*10^12-$A81),$A81,$A82)=E82,0,IF((E$3*10^12-$A82)*(E$3*10^12-$A81)*-1&lt;0,0,1)*IF(ABS(E$3*10^12-$A82)&gt;(E$3*10^12-$A81),$A81,$A82))</f>
        <v/>
      </c>
      <c r="F81">
        <f>IF(IF((F$3*10^12-$A82)*(F$3*10^12-$A81)*-1&lt;0,0,1)*IF(ABS(F$3*10^12-$A82)&gt;(F$3*10^12-$A81),$A81,$A82)=F82,0,IF((F$3*10^12-$A82)*(F$3*10^12-$A81)*-1&lt;0,0,1)*IF(ABS(F$3*10^12-$A82)&gt;(F$3*10^12-$A81),$A81,$A82))</f>
        <v/>
      </c>
      <c r="G81">
        <f>IF(IF((G$3*10^12-$A82)*(G$3*10^12-$A81)*-1&lt;0,0,1)*IF(ABS(G$3*10^12-$A82)&gt;(G$3*10^12-$A81),$A81,$A82)=G82,0,IF((G$3*10^12-$A82)*(G$3*10^12-$A81)*-1&lt;0,0,1)*IF(ABS(G$3*10^12-$A82)&gt;(G$3*10^12-$A81),$A81,$A82))</f>
        <v/>
      </c>
      <c r="H81">
        <f>IF(IF((H$3*10^12-$A82)*(H$3*10^12-$A81)*-1&lt;0,0,1)*IF(ABS(H$3*10^12-$A82)&gt;(H$3*10^12-$A81),$A81,$A82)=H82,0,IF((H$3*10^12-$A82)*(H$3*10^12-$A81)*-1&lt;0,0,1)*IF(ABS(H$3*10^12-$A82)&gt;(H$3*10^12-$A81),$A81,$A82))</f>
        <v/>
      </c>
      <c r="I81">
        <f>IF(IF((I$3*10^12-$A82)*(I$3*10^12-$A81)*-1&lt;0,0,1)*IF(ABS(I$3*10^12-$A82)&gt;(I$3*10^12-$A81),$A81,$A82)=I82,0,IF((I$3*10^12-$A82)*(I$3*10^12-$A81)*-1&lt;0,0,1)*IF(ABS(I$3*10^12-$A82)&gt;(I$3*10^12-$A81),$A81,$A82))</f>
        <v/>
      </c>
      <c r="J81">
        <f>IF(IF((J$3*10^12-$A82)*(J$3*10^12-$A81)*-1&lt;0,0,1)*IF(ABS(J$3*10^12-$A82)&gt;(J$3*10^12-$A81),$A81,$A82)=J82,0,IF((J$3*10^12-$A82)*(J$3*10^12-$A81)*-1&lt;0,0,1)*IF(ABS(J$3*10^12-$A82)&gt;(J$3*10^12-$A81),$A81,$A82))</f>
        <v/>
      </c>
      <c r="K81">
        <f>IF(IF((K$3*10^12-$A82)*(K$3*10^12-$A81)*-1&lt;0,0,1)*IF(ABS(K$3*10^12-$A82)&gt;(K$3*10^12-$A81),$A81,$A82)=K82,0,IF((K$3*10^12-$A82)*(K$3*10^12-$A81)*-1&lt;0,0,1)*IF(ABS(K$3*10^12-$A82)&gt;(K$3*10^12-$A81),$A81,$A82))</f>
        <v/>
      </c>
      <c r="L81">
        <f>IF(IF((L$3*10^12-$A82)*(L$3*10^12-$A81)*-1&lt;0,0,1)*IF(ABS(L$3*10^12-$A82)&gt;(L$3*10^12-$A81),$A81,$A82)=L82,0,IF((L$3*10^12-$A82)*(L$3*10^12-$A81)*-1&lt;0,0,1)*IF(ABS(L$3*10^12-$A82)&gt;(L$3*10^12-$A81),$A81,$A82))</f>
        <v/>
      </c>
      <c r="M81">
        <f>IF(IF((M$3*10^12-$A82)*(M$3*10^12-$A81)*-1&lt;0,0,1)*IF(ABS(M$3*10^12-$A82)&gt;(M$3*10^12-$A81),$A81,$A82)=M82,0,IF((M$3*10^12-$A82)*(M$3*10^12-$A81)*-1&lt;0,0,1)*IF(ABS(M$3*10^12-$A82)&gt;(M$3*10^12-$A81),$A81,$A82))</f>
        <v/>
      </c>
      <c r="N81">
        <f>IF(IF((N$3*10^12-$A82)*(N$3*10^12-$A81)*-1&lt;0,0,1)*IF(ABS(N$3*10^12-$A82)&gt;(N$3*10^12-$A81),$A81,$A82)=N82,0,IF((N$3*10^12-$A82)*(N$3*10^12-$A81)*-1&lt;0,0,1)*IF(ABS(N$3*10^12-$A82)&gt;(N$3*10^12-$A81),$A81,$A82))</f>
        <v/>
      </c>
    </row>
    <row r="82">
      <c r="A82">
        <f>A70*10</f>
        <v/>
      </c>
      <c r="B82">
        <f>IF(IF((B$3*10^12-$A83)*(B$3*10^12-$A82)*-1&lt;0,0,1)*IF(ABS(B$3*10^12-$A83)&gt;(B$3*10^12-$A82),$A82,$A83)=B83,0,IF((B$3*10^12-$A83)*(B$3*10^12-$A82)*-1&lt;0,0,1)*IF(ABS(B$3*10^12-$A83)&gt;(B$3*10^12-$A82),$A82,$A83))</f>
        <v/>
      </c>
      <c r="C82">
        <f>IF(IF((C$3*10^12-$A83)*(C$3*10^12-$A82)*-1&lt;0,0,1)*IF(ABS(C$3*10^12-$A83)&gt;(C$3*10^12-$A82),$A82,$A83)=C83,0,IF((C$3*10^12-$A83)*(C$3*10^12-$A82)*-1&lt;0,0,1)*IF(ABS(C$3*10^12-$A83)&gt;(C$3*10^12-$A82),$A82,$A83))</f>
        <v/>
      </c>
      <c r="D82">
        <f>IF(IF((D$3*10^12-$A83)*(D$3*10^12-$A82)*-1&lt;0,0,1)*IF(ABS(D$3*10^12-$A83)&gt;(D$3*10^12-$A82),$A82,$A83)=D83,0,IF((D$3*10^12-$A83)*(D$3*10^12-$A82)*-1&lt;0,0,1)*IF(ABS(D$3*10^12-$A83)&gt;(D$3*10^12-$A82),$A82,$A83))</f>
        <v/>
      </c>
      <c r="E82">
        <f>IF(IF((E$3*10^12-$A83)*(E$3*10^12-$A82)*-1&lt;0,0,1)*IF(ABS(E$3*10^12-$A83)&gt;(E$3*10^12-$A82),$A82,$A83)=E83,0,IF((E$3*10^12-$A83)*(E$3*10^12-$A82)*-1&lt;0,0,1)*IF(ABS(E$3*10^12-$A83)&gt;(E$3*10^12-$A82),$A82,$A83))</f>
        <v/>
      </c>
      <c r="F82">
        <f>IF(IF((F$3*10^12-$A83)*(F$3*10^12-$A82)*-1&lt;0,0,1)*IF(ABS(F$3*10^12-$A83)&gt;(F$3*10^12-$A82),$A82,$A83)=F83,0,IF((F$3*10^12-$A83)*(F$3*10^12-$A82)*-1&lt;0,0,1)*IF(ABS(F$3*10^12-$A83)&gt;(F$3*10^12-$A82),$A82,$A83))</f>
        <v/>
      </c>
      <c r="G82">
        <f>IF(IF((G$3*10^12-$A83)*(G$3*10^12-$A82)*-1&lt;0,0,1)*IF(ABS(G$3*10^12-$A83)&gt;(G$3*10^12-$A82),$A82,$A83)=G83,0,IF((G$3*10^12-$A83)*(G$3*10^12-$A82)*-1&lt;0,0,1)*IF(ABS(G$3*10^12-$A83)&gt;(G$3*10^12-$A82),$A82,$A83))</f>
        <v/>
      </c>
      <c r="H82">
        <f>IF(IF((H$3*10^12-$A83)*(H$3*10^12-$A82)*-1&lt;0,0,1)*IF(ABS(H$3*10^12-$A83)&gt;(H$3*10^12-$A82),$A82,$A83)=H83,0,IF((H$3*10^12-$A83)*(H$3*10^12-$A82)*-1&lt;0,0,1)*IF(ABS(H$3*10^12-$A83)&gt;(H$3*10^12-$A82),$A82,$A83))</f>
        <v/>
      </c>
      <c r="I82">
        <f>IF(IF((I$3*10^12-$A83)*(I$3*10^12-$A82)*-1&lt;0,0,1)*IF(ABS(I$3*10^12-$A83)&gt;(I$3*10^12-$A82),$A82,$A83)=I83,0,IF((I$3*10^12-$A83)*(I$3*10^12-$A82)*-1&lt;0,0,1)*IF(ABS(I$3*10^12-$A83)&gt;(I$3*10^12-$A82),$A82,$A83))</f>
        <v/>
      </c>
      <c r="J82">
        <f>IF(IF((J$3*10^12-$A83)*(J$3*10^12-$A82)*-1&lt;0,0,1)*IF(ABS(J$3*10^12-$A83)&gt;(J$3*10^12-$A82),$A82,$A83)=J83,0,IF((J$3*10^12-$A83)*(J$3*10^12-$A82)*-1&lt;0,0,1)*IF(ABS(J$3*10^12-$A83)&gt;(J$3*10^12-$A82),$A82,$A83))</f>
        <v/>
      </c>
      <c r="K82">
        <f>IF(IF((K$3*10^12-$A83)*(K$3*10^12-$A82)*-1&lt;0,0,1)*IF(ABS(K$3*10^12-$A83)&gt;(K$3*10^12-$A82),$A82,$A83)=K83,0,IF((K$3*10^12-$A83)*(K$3*10^12-$A82)*-1&lt;0,0,1)*IF(ABS(K$3*10^12-$A83)&gt;(K$3*10^12-$A82),$A82,$A83))</f>
        <v/>
      </c>
      <c r="L82">
        <f>IF(IF((L$3*10^12-$A83)*(L$3*10^12-$A82)*-1&lt;0,0,1)*IF(ABS(L$3*10^12-$A83)&gt;(L$3*10^12-$A82),$A82,$A83)=L83,0,IF((L$3*10^12-$A83)*(L$3*10^12-$A82)*-1&lt;0,0,1)*IF(ABS(L$3*10^12-$A83)&gt;(L$3*10^12-$A82),$A82,$A83))</f>
        <v/>
      </c>
      <c r="M82">
        <f>IF(IF((M$3*10^12-$A83)*(M$3*10^12-$A82)*-1&lt;0,0,1)*IF(ABS(M$3*10^12-$A83)&gt;(M$3*10^12-$A82),$A82,$A83)=M83,0,IF((M$3*10^12-$A83)*(M$3*10^12-$A82)*-1&lt;0,0,1)*IF(ABS(M$3*10^12-$A83)&gt;(M$3*10^12-$A82),$A82,$A83))</f>
        <v/>
      </c>
      <c r="N82">
        <f>IF(IF((N$3*10^12-$A83)*(N$3*10^12-$A82)*-1&lt;0,0,1)*IF(ABS(N$3*10^12-$A83)&gt;(N$3*10^12-$A82),$A82,$A83)=N83,0,IF((N$3*10^12-$A83)*(N$3*10^12-$A82)*-1&lt;0,0,1)*IF(ABS(N$3*10^12-$A83)&gt;(N$3*10^12-$A82),$A82,$A83))</f>
        <v/>
      </c>
    </row>
    <row r="83">
      <c r="A83">
        <f>A71*10</f>
        <v/>
      </c>
      <c r="B83">
        <f>IF(IF((B$3*10^12-$A84)*(B$3*10^12-$A83)*-1&lt;0,0,1)*IF(ABS(B$3*10^12-$A84)&gt;(B$3*10^12-$A83),$A83,$A84)=B84,0,IF((B$3*10^12-$A84)*(B$3*10^12-$A83)*-1&lt;0,0,1)*IF(ABS(B$3*10^12-$A84)&gt;(B$3*10^12-$A83),$A83,$A84))</f>
        <v/>
      </c>
      <c r="C83">
        <f>IF(IF((C$3*10^12-$A84)*(C$3*10^12-$A83)*-1&lt;0,0,1)*IF(ABS(C$3*10^12-$A84)&gt;(C$3*10^12-$A83),$A83,$A84)=C84,0,IF((C$3*10^12-$A84)*(C$3*10^12-$A83)*-1&lt;0,0,1)*IF(ABS(C$3*10^12-$A84)&gt;(C$3*10^12-$A83),$A83,$A84))</f>
        <v/>
      </c>
      <c r="D83">
        <f>IF(IF((D$3*10^12-$A84)*(D$3*10^12-$A83)*-1&lt;0,0,1)*IF(ABS(D$3*10^12-$A84)&gt;(D$3*10^12-$A83),$A83,$A84)=D84,0,IF((D$3*10^12-$A84)*(D$3*10^12-$A83)*-1&lt;0,0,1)*IF(ABS(D$3*10^12-$A84)&gt;(D$3*10^12-$A83),$A83,$A84))</f>
        <v/>
      </c>
      <c r="E83">
        <f>IF(IF((E$3*10^12-$A84)*(E$3*10^12-$A83)*-1&lt;0,0,1)*IF(ABS(E$3*10^12-$A84)&gt;(E$3*10^12-$A83),$A83,$A84)=E84,0,IF((E$3*10^12-$A84)*(E$3*10^12-$A83)*-1&lt;0,0,1)*IF(ABS(E$3*10^12-$A84)&gt;(E$3*10^12-$A83),$A83,$A84))</f>
        <v/>
      </c>
      <c r="F83">
        <f>IF(IF((F$3*10^12-$A84)*(F$3*10^12-$A83)*-1&lt;0,0,1)*IF(ABS(F$3*10^12-$A84)&gt;(F$3*10^12-$A83),$A83,$A84)=F84,0,IF((F$3*10^12-$A84)*(F$3*10^12-$A83)*-1&lt;0,0,1)*IF(ABS(F$3*10^12-$A84)&gt;(F$3*10^12-$A83),$A83,$A84))</f>
        <v/>
      </c>
      <c r="G83">
        <f>IF(IF((G$3*10^12-$A84)*(G$3*10^12-$A83)*-1&lt;0,0,1)*IF(ABS(G$3*10^12-$A84)&gt;(G$3*10^12-$A83),$A83,$A84)=G84,0,IF((G$3*10^12-$A84)*(G$3*10^12-$A83)*-1&lt;0,0,1)*IF(ABS(G$3*10^12-$A84)&gt;(G$3*10^12-$A83),$A83,$A84))</f>
        <v/>
      </c>
      <c r="H83">
        <f>IF(IF((H$3*10^12-$A84)*(H$3*10^12-$A83)*-1&lt;0,0,1)*IF(ABS(H$3*10^12-$A84)&gt;(H$3*10^12-$A83),$A83,$A84)=H84,0,IF((H$3*10^12-$A84)*(H$3*10^12-$A83)*-1&lt;0,0,1)*IF(ABS(H$3*10^12-$A84)&gt;(H$3*10^12-$A83),$A83,$A84))</f>
        <v/>
      </c>
      <c r="I83">
        <f>IF(IF((I$3*10^12-$A84)*(I$3*10^12-$A83)*-1&lt;0,0,1)*IF(ABS(I$3*10^12-$A84)&gt;(I$3*10^12-$A83),$A83,$A84)=I84,0,IF((I$3*10^12-$A84)*(I$3*10^12-$A83)*-1&lt;0,0,1)*IF(ABS(I$3*10^12-$A84)&gt;(I$3*10^12-$A83),$A83,$A84))</f>
        <v/>
      </c>
      <c r="J83">
        <f>IF(IF((J$3*10^12-$A84)*(J$3*10^12-$A83)*-1&lt;0,0,1)*IF(ABS(J$3*10^12-$A84)&gt;(J$3*10^12-$A83),$A83,$A84)=J84,0,IF((J$3*10^12-$A84)*(J$3*10^12-$A83)*-1&lt;0,0,1)*IF(ABS(J$3*10^12-$A84)&gt;(J$3*10^12-$A83),$A83,$A84))</f>
        <v/>
      </c>
      <c r="K83">
        <f>IF(IF((K$3*10^12-$A84)*(K$3*10^12-$A83)*-1&lt;0,0,1)*IF(ABS(K$3*10^12-$A84)&gt;(K$3*10^12-$A83),$A83,$A84)=K84,0,IF((K$3*10^12-$A84)*(K$3*10^12-$A83)*-1&lt;0,0,1)*IF(ABS(K$3*10^12-$A84)&gt;(K$3*10^12-$A83),$A83,$A84))</f>
        <v/>
      </c>
      <c r="L83">
        <f>IF(IF((L$3*10^12-$A84)*(L$3*10^12-$A83)*-1&lt;0,0,1)*IF(ABS(L$3*10^12-$A84)&gt;(L$3*10^12-$A83),$A83,$A84)=L84,0,IF((L$3*10^12-$A84)*(L$3*10^12-$A83)*-1&lt;0,0,1)*IF(ABS(L$3*10^12-$A84)&gt;(L$3*10^12-$A83),$A83,$A84))</f>
        <v/>
      </c>
      <c r="M83">
        <f>IF(IF((M$3*10^12-$A84)*(M$3*10^12-$A83)*-1&lt;0,0,1)*IF(ABS(M$3*10^12-$A84)&gt;(M$3*10^12-$A83),$A83,$A84)=M84,0,IF((M$3*10^12-$A84)*(M$3*10^12-$A83)*-1&lt;0,0,1)*IF(ABS(M$3*10^12-$A84)&gt;(M$3*10^12-$A83),$A83,$A84))</f>
        <v/>
      </c>
      <c r="N83">
        <f>IF(IF((N$3*10^12-$A84)*(N$3*10^12-$A83)*-1&lt;0,0,1)*IF(ABS(N$3*10^12-$A84)&gt;(N$3*10^12-$A83),$A83,$A84)=N84,0,IF((N$3*10^12-$A84)*(N$3*10^12-$A83)*-1&lt;0,0,1)*IF(ABS(N$3*10^12-$A84)&gt;(N$3*10^12-$A83),$A83,$A84))</f>
        <v/>
      </c>
    </row>
    <row r="84">
      <c r="A84">
        <f>A72*10</f>
        <v/>
      </c>
      <c r="B84">
        <f>IF(IF((B$3*10^12-$A85)*(B$3*10^12-$A84)*-1&lt;0,0,1)*IF(ABS(B$3*10^12-$A85)&gt;(B$3*10^12-$A84),$A84,$A85)=B85,0,IF((B$3*10^12-$A85)*(B$3*10^12-$A84)*-1&lt;0,0,1)*IF(ABS(B$3*10^12-$A85)&gt;(B$3*10^12-$A84),$A84,$A85))</f>
        <v/>
      </c>
      <c r="C84">
        <f>IF(IF((C$3*10^12-$A85)*(C$3*10^12-$A84)*-1&lt;0,0,1)*IF(ABS(C$3*10^12-$A85)&gt;(C$3*10^12-$A84),$A84,$A85)=C85,0,IF((C$3*10^12-$A85)*(C$3*10^12-$A84)*-1&lt;0,0,1)*IF(ABS(C$3*10^12-$A85)&gt;(C$3*10^12-$A84),$A84,$A85))</f>
        <v/>
      </c>
      <c r="D84">
        <f>IF(IF((D$3*10^12-$A85)*(D$3*10^12-$A84)*-1&lt;0,0,1)*IF(ABS(D$3*10^12-$A85)&gt;(D$3*10^12-$A84),$A84,$A85)=D85,0,IF((D$3*10^12-$A85)*(D$3*10^12-$A84)*-1&lt;0,0,1)*IF(ABS(D$3*10^12-$A85)&gt;(D$3*10^12-$A84),$A84,$A85))</f>
        <v/>
      </c>
      <c r="E84">
        <f>IF(IF((E$3*10^12-$A85)*(E$3*10^12-$A84)*-1&lt;0,0,1)*IF(ABS(E$3*10^12-$A85)&gt;(E$3*10^12-$A84),$A84,$A85)=E85,0,IF((E$3*10^12-$A85)*(E$3*10^12-$A84)*-1&lt;0,0,1)*IF(ABS(E$3*10^12-$A85)&gt;(E$3*10^12-$A84),$A84,$A85))</f>
        <v/>
      </c>
      <c r="F84">
        <f>IF(IF((F$3*10^12-$A85)*(F$3*10^12-$A84)*-1&lt;0,0,1)*IF(ABS(F$3*10^12-$A85)&gt;(F$3*10^12-$A84),$A84,$A85)=F85,0,IF((F$3*10^12-$A85)*(F$3*10^12-$A84)*-1&lt;0,0,1)*IF(ABS(F$3*10^12-$A85)&gt;(F$3*10^12-$A84),$A84,$A85))</f>
        <v/>
      </c>
      <c r="G84">
        <f>IF(IF((G$3*10^12-$A85)*(G$3*10^12-$A84)*-1&lt;0,0,1)*IF(ABS(G$3*10^12-$A85)&gt;(G$3*10^12-$A84),$A84,$A85)=G85,0,IF((G$3*10^12-$A85)*(G$3*10^12-$A84)*-1&lt;0,0,1)*IF(ABS(G$3*10^12-$A85)&gt;(G$3*10^12-$A84),$A84,$A85))</f>
        <v/>
      </c>
      <c r="H84">
        <f>IF(IF((H$3*10^12-$A85)*(H$3*10^12-$A84)*-1&lt;0,0,1)*IF(ABS(H$3*10^12-$A85)&gt;(H$3*10^12-$A84),$A84,$A85)=H85,0,IF((H$3*10^12-$A85)*(H$3*10^12-$A84)*-1&lt;0,0,1)*IF(ABS(H$3*10^12-$A85)&gt;(H$3*10^12-$A84),$A84,$A85))</f>
        <v/>
      </c>
      <c r="I84">
        <f>IF(IF((I$3*10^12-$A85)*(I$3*10^12-$A84)*-1&lt;0,0,1)*IF(ABS(I$3*10^12-$A85)&gt;(I$3*10^12-$A84),$A84,$A85)=I85,0,IF((I$3*10^12-$A85)*(I$3*10^12-$A84)*-1&lt;0,0,1)*IF(ABS(I$3*10^12-$A85)&gt;(I$3*10^12-$A84),$A84,$A85))</f>
        <v/>
      </c>
      <c r="J84">
        <f>IF(IF((J$3*10^12-$A85)*(J$3*10^12-$A84)*-1&lt;0,0,1)*IF(ABS(J$3*10^12-$A85)&gt;(J$3*10^12-$A84),$A84,$A85)=J85,0,IF((J$3*10^12-$A85)*(J$3*10^12-$A84)*-1&lt;0,0,1)*IF(ABS(J$3*10^12-$A85)&gt;(J$3*10^12-$A84),$A84,$A85))</f>
        <v/>
      </c>
      <c r="K84">
        <f>IF(IF((K$3*10^12-$A85)*(K$3*10^12-$A84)*-1&lt;0,0,1)*IF(ABS(K$3*10^12-$A85)&gt;(K$3*10^12-$A84),$A84,$A85)=K85,0,IF((K$3*10^12-$A85)*(K$3*10^12-$A84)*-1&lt;0,0,1)*IF(ABS(K$3*10^12-$A85)&gt;(K$3*10^12-$A84),$A84,$A85))</f>
        <v/>
      </c>
      <c r="L84">
        <f>IF(IF((L$3*10^12-$A85)*(L$3*10^12-$A84)*-1&lt;0,0,1)*IF(ABS(L$3*10^12-$A85)&gt;(L$3*10^12-$A84),$A84,$A85)=L85,0,IF((L$3*10^12-$A85)*(L$3*10^12-$A84)*-1&lt;0,0,1)*IF(ABS(L$3*10^12-$A85)&gt;(L$3*10^12-$A84),$A84,$A85))</f>
        <v/>
      </c>
      <c r="M84">
        <f>IF(IF((M$3*10^12-$A85)*(M$3*10^12-$A84)*-1&lt;0,0,1)*IF(ABS(M$3*10^12-$A85)&gt;(M$3*10^12-$A84),$A84,$A85)=M85,0,IF((M$3*10^12-$A85)*(M$3*10^12-$A84)*-1&lt;0,0,1)*IF(ABS(M$3*10^12-$A85)&gt;(M$3*10^12-$A84),$A84,$A85))</f>
        <v/>
      </c>
      <c r="N84">
        <f>IF(IF((N$3*10^12-$A85)*(N$3*10^12-$A84)*-1&lt;0,0,1)*IF(ABS(N$3*10^12-$A85)&gt;(N$3*10^12-$A84),$A84,$A85)=N85,0,IF((N$3*10^12-$A85)*(N$3*10^12-$A84)*-1&lt;0,0,1)*IF(ABS(N$3*10^12-$A85)&gt;(N$3*10^12-$A84),$A84,$A85))</f>
        <v/>
      </c>
    </row>
    <row r="85">
      <c r="A85">
        <f>A73*10</f>
        <v/>
      </c>
      <c r="B85">
        <f>IF(IF((B$3*10^12-$A86)*(B$3*10^12-$A85)*-1&lt;0,0,1)*IF(ABS(B$3*10^12-$A86)&gt;(B$3*10^12-$A85),$A85,$A86)=B86,0,IF((B$3*10^12-$A86)*(B$3*10^12-$A85)*-1&lt;0,0,1)*IF(ABS(B$3*10^12-$A86)&gt;(B$3*10^12-$A85),$A85,$A86))</f>
        <v/>
      </c>
      <c r="C85">
        <f>IF(IF((C$3*10^12-$A86)*(C$3*10^12-$A85)*-1&lt;0,0,1)*IF(ABS(C$3*10^12-$A86)&gt;(C$3*10^12-$A85),$A85,$A86)=C86,0,IF((C$3*10^12-$A86)*(C$3*10^12-$A85)*-1&lt;0,0,1)*IF(ABS(C$3*10^12-$A86)&gt;(C$3*10^12-$A85),$A85,$A86))</f>
        <v/>
      </c>
      <c r="D85">
        <f>IF(IF((D$3*10^12-$A86)*(D$3*10^12-$A85)*-1&lt;0,0,1)*IF(ABS(D$3*10^12-$A86)&gt;(D$3*10^12-$A85),$A85,$A86)=D86,0,IF((D$3*10^12-$A86)*(D$3*10^12-$A85)*-1&lt;0,0,1)*IF(ABS(D$3*10^12-$A86)&gt;(D$3*10^12-$A85),$A85,$A86))</f>
        <v/>
      </c>
      <c r="E85">
        <f>IF(IF((E$3*10^12-$A86)*(E$3*10^12-$A85)*-1&lt;0,0,1)*IF(ABS(E$3*10^12-$A86)&gt;(E$3*10^12-$A85),$A85,$A86)=E86,0,IF((E$3*10^12-$A86)*(E$3*10^12-$A85)*-1&lt;0,0,1)*IF(ABS(E$3*10^12-$A86)&gt;(E$3*10^12-$A85),$A85,$A86))</f>
        <v/>
      </c>
      <c r="F85">
        <f>IF(IF((F$3*10^12-$A86)*(F$3*10^12-$A85)*-1&lt;0,0,1)*IF(ABS(F$3*10^12-$A86)&gt;(F$3*10^12-$A85),$A85,$A86)=F86,0,IF((F$3*10^12-$A86)*(F$3*10^12-$A85)*-1&lt;0,0,1)*IF(ABS(F$3*10^12-$A86)&gt;(F$3*10^12-$A85),$A85,$A86))</f>
        <v/>
      </c>
      <c r="G85">
        <f>IF(IF((G$3*10^12-$A86)*(G$3*10^12-$A85)*-1&lt;0,0,1)*IF(ABS(G$3*10^12-$A86)&gt;(G$3*10^12-$A85),$A85,$A86)=G86,0,IF((G$3*10^12-$A86)*(G$3*10^12-$A85)*-1&lt;0,0,1)*IF(ABS(G$3*10^12-$A86)&gt;(G$3*10^12-$A85),$A85,$A86))</f>
        <v/>
      </c>
      <c r="H85">
        <f>IF(IF((H$3*10^12-$A86)*(H$3*10^12-$A85)*-1&lt;0,0,1)*IF(ABS(H$3*10^12-$A86)&gt;(H$3*10^12-$A85),$A85,$A86)=H86,0,IF((H$3*10^12-$A86)*(H$3*10^12-$A85)*-1&lt;0,0,1)*IF(ABS(H$3*10^12-$A86)&gt;(H$3*10^12-$A85),$A85,$A86))</f>
        <v/>
      </c>
      <c r="I85">
        <f>IF(IF((I$3*10^12-$A86)*(I$3*10^12-$A85)*-1&lt;0,0,1)*IF(ABS(I$3*10^12-$A86)&gt;(I$3*10^12-$A85),$A85,$A86)=I86,0,IF((I$3*10^12-$A86)*(I$3*10^12-$A85)*-1&lt;0,0,1)*IF(ABS(I$3*10^12-$A86)&gt;(I$3*10^12-$A85),$A85,$A86))</f>
        <v/>
      </c>
      <c r="J85">
        <f>IF(IF((J$3*10^12-$A86)*(J$3*10^12-$A85)*-1&lt;0,0,1)*IF(ABS(J$3*10^12-$A86)&gt;(J$3*10^12-$A85),$A85,$A86)=J86,0,IF((J$3*10^12-$A86)*(J$3*10^12-$A85)*-1&lt;0,0,1)*IF(ABS(J$3*10^12-$A86)&gt;(J$3*10^12-$A85),$A85,$A86))</f>
        <v/>
      </c>
      <c r="K85">
        <f>IF(IF((K$3*10^12-$A86)*(K$3*10^12-$A85)*-1&lt;0,0,1)*IF(ABS(K$3*10^12-$A86)&gt;(K$3*10^12-$A85),$A85,$A86)=K86,0,IF((K$3*10^12-$A86)*(K$3*10^12-$A85)*-1&lt;0,0,1)*IF(ABS(K$3*10^12-$A86)&gt;(K$3*10^12-$A85),$A85,$A86))</f>
        <v/>
      </c>
      <c r="L85">
        <f>IF(IF((L$3*10^12-$A86)*(L$3*10^12-$A85)*-1&lt;0,0,1)*IF(ABS(L$3*10^12-$A86)&gt;(L$3*10^12-$A85),$A85,$A86)=L86,0,IF((L$3*10^12-$A86)*(L$3*10^12-$A85)*-1&lt;0,0,1)*IF(ABS(L$3*10^12-$A86)&gt;(L$3*10^12-$A85),$A85,$A86))</f>
        <v/>
      </c>
      <c r="M85">
        <f>IF(IF((M$3*10^12-$A86)*(M$3*10^12-$A85)*-1&lt;0,0,1)*IF(ABS(M$3*10^12-$A86)&gt;(M$3*10^12-$A85),$A85,$A86)=M86,0,IF((M$3*10^12-$A86)*(M$3*10^12-$A85)*-1&lt;0,0,1)*IF(ABS(M$3*10^12-$A86)&gt;(M$3*10^12-$A85),$A85,$A86))</f>
        <v/>
      </c>
      <c r="N85">
        <f>IF(IF((N$3*10^12-$A86)*(N$3*10^12-$A85)*-1&lt;0,0,1)*IF(ABS(N$3*10^12-$A86)&gt;(N$3*10^12-$A85),$A85,$A86)=N86,0,IF((N$3*10^12-$A86)*(N$3*10^12-$A85)*-1&lt;0,0,1)*IF(ABS(N$3*10^12-$A86)&gt;(N$3*10^12-$A85),$A85,$A86))</f>
        <v/>
      </c>
    </row>
    <row r="86">
      <c r="A86">
        <f>A74*10</f>
        <v/>
      </c>
      <c r="B86">
        <f>IF(IF((B$3*10^12-$A87)*(B$3*10^12-$A86)*-1&lt;0,0,1)*IF(ABS(B$3*10^12-$A87)&gt;(B$3*10^12-$A86),$A86,$A87)=B87,0,IF((B$3*10^12-$A87)*(B$3*10^12-$A86)*-1&lt;0,0,1)*IF(ABS(B$3*10^12-$A87)&gt;(B$3*10^12-$A86),$A86,$A87))</f>
        <v/>
      </c>
      <c r="C86">
        <f>IF(IF((C$3*10^12-$A87)*(C$3*10^12-$A86)*-1&lt;0,0,1)*IF(ABS(C$3*10^12-$A87)&gt;(C$3*10^12-$A86),$A86,$A87)=C87,0,IF((C$3*10^12-$A87)*(C$3*10^12-$A86)*-1&lt;0,0,1)*IF(ABS(C$3*10^12-$A87)&gt;(C$3*10^12-$A86),$A86,$A87))</f>
        <v/>
      </c>
      <c r="D86">
        <f>IF(IF((D$3*10^12-$A87)*(D$3*10^12-$A86)*-1&lt;0,0,1)*IF(ABS(D$3*10^12-$A87)&gt;(D$3*10^12-$A86),$A86,$A87)=D87,0,IF((D$3*10^12-$A87)*(D$3*10^12-$A86)*-1&lt;0,0,1)*IF(ABS(D$3*10^12-$A87)&gt;(D$3*10^12-$A86),$A86,$A87))</f>
        <v/>
      </c>
      <c r="E86">
        <f>IF(IF((E$3*10^12-$A87)*(E$3*10^12-$A86)*-1&lt;0,0,1)*IF(ABS(E$3*10^12-$A87)&gt;(E$3*10^12-$A86),$A86,$A87)=E87,0,IF((E$3*10^12-$A87)*(E$3*10^12-$A86)*-1&lt;0,0,1)*IF(ABS(E$3*10^12-$A87)&gt;(E$3*10^12-$A86),$A86,$A87))</f>
        <v/>
      </c>
      <c r="F86">
        <f>IF(IF((F$3*10^12-$A87)*(F$3*10^12-$A86)*-1&lt;0,0,1)*IF(ABS(F$3*10^12-$A87)&gt;(F$3*10^12-$A86),$A86,$A87)=F87,0,IF((F$3*10^12-$A87)*(F$3*10^12-$A86)*-1&lt;0,0,1)*IF(ABS(F$3*10^12-$A87)&gt;(F$3*10^12-$A86),$A86,$A87))</f>
        <v/>
      </c>
      <c r="G86">
        <f>IF(IF((G$3*10^12-$A87)*(G$3*10^12-$A86)*-1&lt;0,0,1)*IF(ABS(G$3*10^12-$A87)&gt;(G$3*10^12-$A86),$A86,$A87)=G87,0,IF((G$3*10^12-$A87)*(G$3*10^12-$A86)*-1&lt;0,0,1)*IF(ABS(G$3*10^12-$A87)&gt;(G$3*10^12-$A86),$A86,$A87))</f>
        <v/>
      </c>
      <c r="H86">
        <f>IF(IF((H$3*10^12-$A87)*(H$3*10^12-$A86)*-1&lt;0,0,1)*IF(ABS(H$3*10^12-$A87)&gt;(H$3*10^12-$A86),$A86,$A87)=H87,0,IF((H$3*10^12-$A87)*(H$3*10^12-$A86)*-1&lt;0,0,1)*IF(ABS(H$3*10^12-$A87)&gt;(H$3*10^12-$A86),$A86,$A87))</f>
        <v/>
      </c>
      <c r="I86">
        <f>IF(IF((I$3*10^12-$A87)*(I$3*10^12-$A86)*-1&lt;0,0,1)*IF(ABS(I$3*10^12-$A87)&gt;(I$3*10^12-$A86),$A86,$A87)=I87,0,IF((I$3*10^12-$A87)*(I$3*10^12-$A86)*-1&lt;0,0,1)*IF(ABS(I$3*10^12-$A87)&gt;(I$3*10^12-$A86),$A86,$A87))</f>
        <v/>
      </c>
      <c r="J86">
        <f>IF(IF((J$3*10^12-$A87)*(J$3*10^12-$A86)*-1&lt;0,0,1)*IF(ABS(J$3*10^12-$A87)&gt;(J$3*10^12-$A86),$A86,$A87)=J87,0,IF((J$3*10^12-$A87)*(J$3*10^12-$A86)*-1&lt;0,0,1)*IF(ABS(J$3*10^12-$A87)&gt;(J$3*10^12-$A86),$A86,$A87))</f>
        <v/>
      </c>
      <c r="K86">
        <f>IF(IF((K$3*10^12-$A87)*(K$3*10^12-$A86)*-1&lt;0,0,1)*IF(ABS(K$3*10^12-$A87)&gt;(K$3*10^12-$A86),$A86,$A87)=K87,0,IF((K$3*10^12-$A87)*(K$3*10^12-$A86)*-1&lt;0,0,1)*IF(ABS(K$3*10^12-$A87)&gt;(K$3*10^12-$A86),$A86,$A87))</f>
        <v/>
      </c>
      <c r="L86">
        <f>IF(IF((L$3*10^12-$A87)*(L$3*10^12-$A86)*-1&lt;0,0,1)*IF(ABS(L$3*10^12-$A87)&gt;(L$3*10^12-$A86),$A86,$A87)=L87,0,IF((L$3*10^12-$A87)*(L$3*10^12-$A86)*-1&lt;0,0,1)*IF(ABS(L$3*10^12-$A87)&gt;(L$3*10^12-$A86),$A86,$A87))</f>
        <v/>
      </c>
      <c r="M86">
        <f>IF(IF((M$3*10^12-$A87)*(M$3*10^12-$A86)*-1&lt;0,0,1)*IF(ABS(M$3*10^12-$A87)&gt;(M$3*10^12-$A86),$A86,$A87)=M87,0,IF((M$3*10^12-$A87)*(M$3*10^12-$A86)*-1&lt;0,0,1)*IF(ABS(M$3*10^12-$A87)&gt;(M$3*10^12-$A86),$A86,$A87))</f>
        <v/>
      </c>
      <c r="N86">
        <f>IF(IF((N$3*10^12-$A87)*(N$3*10^12-$A86)*-1&lt;0,0,1)*IF(ABS(N$3*10^12-$A87)&gt;(N$3*10^12-$A86),$A86,$A87)=N87,0,IF((N$3*10^12-$A87)*(N$3*10^12-$A86)*-1&lt;0,0,1)*IF(ABS(N$3*10^12-$A87)&gt;(N$3*10^12-$A86),$A86,$A87))</f>
        <v/>
      </c>
    </row>
    <row r="87">
      <c r="A87">
        <f>A75*10</f>
        <v/>
      </c>
      <c r="B87">
        <f>IF(IF((B$3*10^12-$A88)*(B$3*10^12-$A87)*-1&lt;0,0,1)*IF(ABS(B$3*10^12-$A88)&gt;(B$3*10^12-$A87),$A87,$A88)=B88,0,IF((B$3*10^12-$A88)*(B$3*10^12-$A87)*-1&lt;0,0,1)*IF(ABS(B$3*10^12-$A88)&gt;(B$3*10^12-$A87),$A87,$A88))</f>
        <v/>
      </c>
      <c r="C87">
        <f>IF(IF((C$3*10^12-$A88)*(C$3*10^12-$A87)*-1&lt;0,0,1)*IF(ABS(C$3*10^12-$A88)&gt;(C$3*10^12-$A87),$A87,$A88)=C88,0,IF((C$3*10^12-$A88)*(C$3*10^12-$A87)*-1&lt;0,0,1)*IF(ABS(C$3*10^12-$A88)&gt;(C$3*10^12-$A87),$A87,$A88))</f>
        <v/>
      </c>
      <c r="D87">
        <f>IF(IF((D$3*10^12-$A88)*(D$3*10^12-$A87)*-1&lt;0,0,1)*IF(ABS(D$3*10^12-$A88)&gt;(D$3*10^12-$A87),$A87,$A88)=D88,0,IF((D$3*10^12-$A88)*(D$3*10^12-$A87)*-1&lt;0,0,1)*IF(ABS(D$3*10^12-$A88)&gt;(D$3*10^12-$A87),$A87,$A88))</f>
        <v/>
      </c>
      <c r="E87">
        <f>IF(IF((E$3*10^12-$A88)*(E$3*10^12-$A87)*-1&lt;0,0,1)*IF(ABS(E$3*10^12-$A88)&gt;(E$3*10^12-$A87),$A87,$A88)=E88,0,IF((E$3*10^12-$A88)*(E$3*10^12-$A87)*-1&lt;0,0,1)*IF(ABS(E$3*10^12-$A88)&gt;(E$3*10^12-$A87),$A87,$A88))</f>
        <v/>
      </c>
      <c r="F87">
        <f>IF(IF((F$3*10^12-$A88)*(F$3*10^12-$A87)*-1&lt;0,0,1)*IF(ABS(F$3*10^12-$A88)&gt;(F$3*10^12-$A87),$A87,$A88)=F88,0,IF((F$3*10^12-$A88)*(F$3*10^12-$A87)*-1&lt;0,0,1)*IF(ABS(F$3*10^12-$A88)&gt;(F$3*10^12-$A87),$A87,$A88))</f>
        <v/>
      </c>
      <c r="G87">
        <f>IF(IF((G$3*10^12-$A88)*(G$3*10^12-$A87)*-1&lt;0,0,1)*IF(ABS(G$3*10^12-$A88)&gt;(G$3*10^12-$A87),$A87,$A88)=G88,0,IF((G$3*10^12-$A88)*(G$3*10^12-$A87)*-1&lt;0,0,1)*IF(ABS(G$3*10^12-$A88)&gt;(G$3*10^12-$A87),$A87,$A88))</f>
        <v/>
      </c>
      <c r="H87">
        <f>IF(IF((H$3*10^12-$A88)*(H$3*10^12-$A87)*-1&lt;0,0,1)*IF(ABS(H$3*10^12-$A88)&gt;(H$3*10^12-$A87),$A87,$A88)=H88,0,IF((H$3*10^12-$A88)*(H$3*10^12-$A87)*-1&lt;0,0,1)*IF(ABS(H$3*10^12-$A88)&gt;(H$3*10^12-$A87),$A87,$A88))</f>
        <v/>
      </c>
      <c r="I87">
        <f>IF(IF((I$3*10^12-$A88)*(I$3*10^12-$A87)*-1&lt;0,0,1)*IF(ABS(I$3*10^12-$A88)&gt;(I$3*10^12-$A87),$A87,$A88)=I88,0,IF((I$3*10^12-$A88)*(I$3*10^12-$A87)*-1&lt;0,0,1)*IF(ABS(I$3*10^12-$A88)&gt;(I$3*10^12-$A87),$A87,$A88))</f>
        <v/>
      </c>
      <c r="J87">
        <f>IF(IF((J$3*10^12-$A88)*(J$3*10^12-$A87)*-1&lt;0,0,1)*IF(ABS(J$3*10^12-$A88)&gt;(J$3*10^12-$A87),$A87,$A88)=J88,0,IF((J$3*10^12-$A88)*(J$3*10^12-$A87)*-1&lt;0,0,1)*IF(ABS(J$3*10^12-$A88)&gt;(J$3*10^12-$A87),$A87,$A88))</f>
        <v/>
      </c>
      <c r="K87">
        <f>IF(IF((K$3*10^12-$A88)*(K$3*10^12-$A87)*-1&lt;0,0,1)*IF(ABS(K$3*10^12-$A88)&gt;(K$3*10^12-$A87),$A87,$A88)=K88,0,IF((K$3*10^12-$A88)*(K$3*10^12-$A87)*-1&lt;0,0,1)*IF(ABS(K$3*10^12-$A88)&gt;(K$3*10^12-$A87),$A87,$A88))</f>
        <v/>
      </c>
      <c r="L87">
        <f>IF(IF((L$3*10^12-$A88)*(L$3*10^12-$A87)*-1&lt;0,0,1)*IF(ABS(L$3*10^12-$A88)&gt;(L$3*10^12-$A87),$A87,$A88)=L88,0,IF((L$3*10^12-$A88)*(L$3*10^12-$A87)*-1&lt;0,0,1)*IF(ABS(L$3*10^12-$A88)&gt;(L$3*10^12-$A87),$A87,$A88))</f>
        <v/>
      </c>
      <c r="M87">
        <f>IF(IF((M$3*10^12-$A88)*(M$3*10^12-$A87)*-1&lt;0,0,1)*IF(ABS(M$3*10^12-$A88)&gt;(M$3*10^12-$A87),$A87,$A88)=M88,0,IF((M$3*10^12-$A88)*(M$3*10^12-$A87)*-1&lt;0,0,1)*IF(ABS(M$3*10^12-$A88)&gt;(M$3*10^12-$A87),$A87,$A88))</f>
        <v/>
      </c>
      <c r="N87">
        <f>IF(IF((N$3*10^12-$A88)*(N$3*10^12-$A87)*-1&lt;0,0,1)*IF(ABS(N$3*10^12-$A88)&gt;(N$3*10^12-$A87),$A87,$A88)=N88,0,IF((N$3*10^12-$A88)*(N$3*10^12-$A87)*-1&lt;0,0,1)*IF(ABS(N$3*10^12-$A88)&gt;(N$3*10^12-$A87),$A87,$A88))</f>
        <v/>
      </c>
    </row>
    <row r="88">
      <c r="A88">
        <f>A76*10</f>
        <v/>
      </c>
      <c r="B88">
        <f>IF(IF((B$3*10^12-$A89)*(B$3*10^12-$A88)*-1&lt;0,0,1)*IF(ABS(B$3*10^12-$A89)&gt;(B$3*10^12-$A88),$A88,$A89)=B89,0,IF((B$3*10^12-$A89)*(B$3*10^12-$A88)*-1&lt;0,0,1)*IF(ABS(B$3*10^12-$A89)&gt;(B$3*10^12-$A88),$A88,$A89))</f>
        <v/>
      </c>
      <c r="C88">
        <f>IF(IF((C$3*10^12-$A89)*(C$3*10^12-$A88)*-1&lt;0,0,1)*IF(ABS(C$3*10^12-$A89)&gt;(C$3*10^12-$A88),$A88,$A89)=C89,0,IF((C$3*10^12-$A89)*(C$3*10^12-$A88)*-1&lt;0,0,1)*IF(ABS(C$3*10^12-$A89)&gt;(C$3*10^12-$A88),$A88,$A89))</f>
        <v/>
      </c>
      <c r="D88">
        <f>IF(IF((D$3*10^12-$A89)*(D$3*10^12-$A88)*-1&lt;0,0,1)*IF(ABS(D$3*10^12-$A89)&gt;(D$3*10^12-$A88),$A88,$A89)=D89,0,IF((D$3*10^12-$A89)*(D$3*10^12-$A88)*-1&lt;0,0,1)*IF(ABS(D$3*10^12-$A89)&gt;(D$3*10^12-$A88),$A88,$A89))</f>
        <v/>
      </c>
      <c r="E88">
        <f>IF(IF((E$3*10^12-$A89)*(E$3*10^12-$A88)*-1&lt;0,0,1)*IF(ABS(E$3*10^12-$A89)&gt;(E$3*10^12-$A88),$A88,$A89)=E89,0,IF((E$3*10^12-$A89)*(E$3*10^12-$A88)*-1&lt;0,0,1)*IF(ABS(E$3*10^12-$A89)&gt;(E$3*10^12-$A88),$A88,$A89))</f>
        <v/>
      </c>
      <c r="F88">
        <f>IF(IF((F$3*10^12-$A89)*(F$3*10^12-$A88)*-1&lt;0,0,1)*IF(ABS(F$3*10^12-$A89)&gt;(F$3*10^12-$A88),$A88,$A89)=F89,0,IF((F$3*10^12-$A89)*(F$3*10^12-$A88)*-1&lt;0,0,1)*IF(ABS(F$3*10^12-$A89)&gt;(F$3*10^12-$A88),$A88,$A89))</f>
        <v/>
      </c>
      <c r="G88">
        <f>IF(IF((G$3*10^12-$A89)*(G$3*10^12-$A88)*-1&lt;0,0,1)*IF(ABS(G$3*10^12-$A89)&gt;(G$3*10^12-$A88),$A88,$A89)=G89,0,IF((G$3*10^12-$A89)*(G$3*10^12-$A88)*-1&lt;0,0,1)*IF(ABS(G$3*10^12-$A89)&gt;(G$3*10^12-$A88),$A88,$A89))</f>
        <v/>
      </c>
      <c r="H88">
        <f>IF(IF((H$3*10^12-$A89)*(H$3*10^12-$A88)*-1&lt;0,0,1)*IF(ABS(H$3*10^12-$A89)&gt;(H$3*10^12-$A88),$A88,$A89)=H89,0,IF((H$3*10^12-$A89)*(H$3*10^12-$A88)*-1&lt;0,0,1)*IF(ABS(H$3*10^12-$A89)&gt;(H$3*10^12-$A88),$A88,$A89))</f>
        <v/>
      </c>
      <c r="I88">
        <f>IF(IF((I$3*10^12-$A89)*(I$3*10^12-$A88)*-1&lt;0,0,1)*IF(ABS(I$3*10^12-$A89)&gt;(I$3*10^12-$A88),$A88,$A89)=I89,0,IF((I$3*10^12-$A89)*(I$3*10^12-$A88)*-1&lt;0,0,1)*IF(ABS(I$3*10^12-$A89)&gt;(I$3*10^12-$A88),$A88,$A89))</f>
        <v/>
      </c>
      <c r="J88">
        <f>IF(IF((J$3*10^12-$A89)*(J$3*10^12-$A88)*-1&lt;0,0,1)*IF(ABS(J$3*10^12-$A89)&gt;(J$3*10^12-$A88),$A88,$A89)=J89,0,IF((J$3*10^12-$A89)*(J$3*10^12-$A88)*-1&lt;0,0,1)*IF(ABS(J$3*10^12-$A89)&gt;(J$3*10^12-$A88),$A88,$A89))</f>
        <v/>
      </c>
      <c r="K88">
        <f>IF(IF((K$3*10^12-$A89)*(K$3*10^12-$A88)*-1&lt;0,0,1)*IF(ABS(K$3*10^12-$A89)&gt;(K$3*10^12-$A88),$A88,$A89)=K89,0,IF((K$3*10^12-$A89)*(K$3*10^12-$A88)*-1&lt;0,0,1)*IF(ABS(K$3*10^12-$A89)&gt;(K$3*10^12-$A88),$A88,$A89))</f>
        <v/>
      </c>
      <c r="L88">
        <f>IF(IF((L$3*10^12-$A89)*(L$3*10^12-$A88)*-1&lt;0,0,1)*IF(ABS(L$3*10^12-$A89)&gt;(L$3*10^12-$A88),$A88,$A89)=L89,0,IF((L$3*10^12-$A89)*(L$3*10^12-$A88)*-1&lt;0,0,1)*IF(ABS(L$3*10^12-$A89)&gt;(L$3*10^12-$A88),$A88,$A89))</f>
        <v/>
      </c>
      <c r="M88">
        <f>IF(IF((M$3*10^12-$A89)*(M$3*10^12-$A88)*-1&lt;0,0,1)*IF(ABS(M$3*10^12-$A89)&gt;(M$3*10^12-$A88),$A88,$A89)=M89,0,IF((M$3*10^12-$A89)*(M$3*10^12-$A88)*-1&lt;0,0,1)*IF(ABS(M$3*10^12-$A89)&gt;(M$3*10^12-$A88),$A88,$A89))</f>
        <v/>
      </c>
      <c r="N88">
        <f>IF(IF((N$3*10^12-$A89)*(N$3*10^12-$A88)*-1&lt;0,0,1)*IF(ABS(N$3*10^12-$A89)&gt;(N$3*10^12-$A88),$A88,$A89)=N89,0,IF((N$3*10^12-$A89)*(N$3*10^12-$A88)*-1&lt;0,0,1)*IF(ABS(N$3*10^12-$A89)&gt;(N$3*10^12-$A88),$A88,$A89))</f>
        <v/>
      </c>
    </row>
    <row r="89">
      <c r="A89">
        <f>A77*10</f>
        <v/>
      </c>
      <c r="B89">
        <f>IF(IF((B$3*10^12-$A90)*(B$3*10^12-$A89)*-1&lt;0,0,1)*IF(ABS(B$3*10^12-$A90)&gt;(B$3*10^12-$A89),$A89,$A90)=B90,0,IF((B$3*10^12-$A90)*(B$3*10^12-$A89)*-1&lt;0,0,1)*IF(ABS(B$3*10^12-$A90)&gt;(B$3*10^12-$A89),$A89,$A90))</f>
        <v/>
      </c>
      <c r="C89">
        <f>IF(IF((C$3*10^12-$A90)*(C$3*10^12-$A89)*-1&lt;0,0,1)*IF(ABS(C$3*10^12-$A90)&gt;(C$3*10^12-$A89),$A89,$A90)=C90,0,IF((C$3*10^12-$A90)*(C$3*10^12-$A89)*-1&lt;0,0,1)*IF(ABS(C$3*10^12-$A90)&gt;(C$3*10^12-$A89),$A89,$A90))</f>
        <v/>
      </c>
      <c r="D89">
        <f>IF(IF((D$3*10^12-$A90)*(D$3*10^12-$A89)*-1&lt;0,0,1)*IF(ABS(D$3*10^12-$A90)&gt;(D$3*10^12-$A89),$A89,$A90)=D90,0,IF((D$3*10^12-$A90)*(D$3*10^12-$A89)*-1&lt;0,0,1)*IF(ABS(D$3*10^12-$A90)&gt;(D$3*10^12-$A89),$A89,$A90))</f>
        <v/>
      </c>
      <c r="E89">
        <f>IF(IF((E$3*10^12-$A90)*(E$3*10^12-$A89)*-1&lt;0,0,1)*IF(ABS(E$3*10^12-$A90)&gt;(E$3*10^12-$A89),$A89,$A90)=E90,0,IF((E$3*10^12-$A90)*(E$3*10^12-$A89)*-1&lt;0,0,1)*IF(ABS(E$3*10^12-$A90)&gt;(E$3*10^12-$A89),$A89,$A90))</f>
        <v/>
      </c>
      <c r="F89">
        <f>IF(IF((F$3*10^12-$A90)*(F$3*10^12-$A89)*-1&lt;0,0,1)*IF(ABS(F$3*10^12-$A90)&gt;(F$3*10^12-$A89),$A89,$A90)=F90,0,IF((F$3*10^12-$A90)*(F$3*10^12-$A89)*-1&lt;0,0,1)*IF(ABS(F$3*10^12-$A90)&gt;(F$3*10^12-$A89),$A89,$A90))</f>
        <v/>
      </c>
      <c r="G89">
        <f>IF(IF((G$3*10^12-$A90)*(G$3*10^12-$A89)*-1&lt;0,0,1)*IF(ABS(G$3*10^12-$A90)&gt;(G$3*10^12-$A89),$A89,$A90)=G90,0,IF((G$3*10^12-$A90)*(G$3*10^12-$A89)*-1&lt;0,0,1)*IF(ABS(G$3*10^12-$A90)&gt;(G$3*10^12-$A89),$A89,$A90))</f>
        <v/>
      </c>
      <c r="H89">
        <f>IF(IF((H$3*10^12-$A90)*(H$3*10^12-$A89)*-1&lt;0,0,1)*IF(ABS(H$3*10^12-$A90)&gt;(H$3*10^12-$A89),$A89,$A90)=H90,0,IF((H$3*10^12-$A90)*(H$3*10^12-$A89)*-1&lt;0,0,1)*IF(ABS(H$3*10^12-$A90)&gt;(H$3*10^12-$A89),$A89,$A90))</f>
        <v/>
      </c>
      <c r="I89">
        <f>IF(IF((I$3*10^12-$A90)*(I$3*10^12-$A89)*-1&lt;0,0,1)*IF(ABS(I$3*10^12-$A90)&gt;(I$3*10^12-$A89),$A89,$A90)=I90,0,IF((I$3*10^12-$A90)*(I$3*10^12-$A89)*-1&lt;0,0,1)*IF(ABS(I$3*10^12-$A90)&gt;(I$3*10^12-$A89),$A89,$A90))</f>
        <v/>
      </c>
      <c r="J89">
        <f>IF(IF((J$3*10^12-$A90)*(J$3*10^12-$A89)*-1&lt;0,0,1)*IF(ABS(J$3*10^12-$A90)&gt;(J$3*10^12-$A89),$A89,$A90)=J90,0,IF((J$3*10^12-$A90)*(J$3*10^12-$A89)*-1&lt;0,0,1)*IF(ABS(J$3*10^12-$A90)&gt;(J$3*10^12-$A89),$A89,$A90))</f>
        <v/>
      </c>
      <c r="K89">
        <f>IF(IF((K$3*10^12-$A90)*(K$3*10^12-$A89)*-1&lt;0,0,1)*IF(ABS(K$3*10^12-$A90)&gt;(K$3*10^12-$A89),$A89,$A90)=K90,0,IF((K$3*10^12-$A90)*(K$3*10^12-$A89)*-1&lt;0,0,1)*IF(ABS(K$3*10^12-$A90)&gt;(K$3*10^12-$A89),$A89,$A90))</f>
        <v/>
      </c>
      <c r="L89">
        <f>IF(IF((L$3*10^12-$A90)*(L$3*10^12-$A89)*-1&lt;0,0,1)*IF(ABS(L$3*10^12-$A90)&gt;(L$3*10^12-$A89),$A89,$A90)=L90,0,IF((L$3*10^12-$A90)*(L$3*10^12-$A89)*-1&lt;0,0,1)*IF(ABS(L$3*10^12-$A90)&gt;(L$3*10^12-$A89),$A89,$A90))</f>
        <v/>
      </c>
      <c r="M89">
        <f>IF(IF((M$3*10^12-$A90)*(M$3*10^12-$A89)*-1&lt;0,0,1)*IF(ABS(M$3*10^12-$A90)&gt;(M$3*10^12-$A89),$A89,$A90)=M90,0,IF((M$3*10^12-$A90)*(M$3*10^12-$A89)*-1&lt;0,0,1)*IF(ABS(M$3*10^12-$A90)&gt;(M$3*10^12-$A89),$A89,$A90))</f>
        <v/>
      </c>
      <c r="N89">
        <f>IF(IF((N$3*10^12-$A90)*(N$3*10^12-$A89)*-1&lt;0,0,1)*IF(ABS(N$3*10^12-$A90)&gt;(N$3*10^12-$A89),$A89,$A90)=N90,0,IF((N$3*10^12-$A90)*(N$3*10^12-$A89)*-1&lt;0,0,1)*IF(ABS(N$3*10^12-$A90)&gt;(N$3*10^12-$A89),$A89,$A90))</f>
        <v/>
      </c>
    </row>
    <row r="90">
      <c r="A90">
        <f>A78*10</f>
        <v/>
      </c>
      <c r="B90">
        <f>IF(IF((B$3*10^12-$A91)*(B$3*10^12-$A90)*-1&lt;0,0,1)*IF(ABS(B$3*10^12-$A91)&gt;(B$3*10^12-$A90),$A90,$A91)=B91,0,IF((B$3*10^12-$A91)*(B$3*10^12-$A90)*-1&lt;0,0,1)*IF(ABS(B$3*10^12-$A91)&gt;(B$3*10^12-$A90),$A90,$A91))</f>
        <v/>
      </c>
      <c r="C90">
        <f>IF(IF((C$3*10^12-$A91)*(C$3*10^12-$A90)*-1&lt;0,0,1)*IF(ABS(C$3*10^12-$A91)&gt;(C$3*10^12-$A90),$A90,$A91)=C91,0,IF((C$3*10^12-$A91)*(C$3*10^12-$A90)*-1&lt;0,0,1)*IF(ABS(C$3*10^12-$A91)&gt;(C$3*10^12-$A90),$A90,$A91))</f>
        <v/>
      </c>
      <c r="D90">
        <f>IF(IF((D$3*10^12-$A91)*(D$3*10^12-$A90)*-1&lt;0,0,1)*IF(ABS(D$3*10^12-$A91)&gt;(D$3*10^12-$A90),$A90,$A91)=D91,0,IF((D$3*10^12-$A91)*(D$3*10^12-$A90)*-1&lt;0,0,1)*IF(ABS(D$3*10^12-$A91)&gt;(D$3*10^12-$A90),$A90,$A91))</f>
        <v/>
      </c>
      <c r="E90">
        <f>IF(IF((E$3*10^12-$A91)*(E$3*10^12-$A90)*-1&lt;0,0,1)*IF(ABS(E$3*10^12-$A91)&gt;(E$3*10^12-$A90),$A90,$A91)=E91,0,IF((E$3*10^12-$A91)*(E$3*10^12-$A90)*-1&lt;0,0,1)*IF(ABS(E$3*10^12-$A91)&gt;(E$3*10^12-$A90),$A90,$A91))</f>
        <v/>
      </c>
      <c r="F90">
        <f>IF(IF((F$3*10^12-$A91)*(F$3*10^12-$A90)*-1&lt;0,0,1)*IF(ABS(F$3*10^12-$A91)&gt;(F$3*10^12-$A90),$A90,$A91)=F91,0,IF((F$3*10^12-$A91)*(F$3*10^12-$A90)*-1&lt;0,0,1)*IF(ABS(F$3*10^12-$A91)&gt;(F$3*10^12-$A90),$A90,$A91))</f>
        <v/>
      </c>
      <c r="G90">
        <f>IF(IF((G$3*10^12-$A91)*(G$3*10^12-$A90)*-1&lt;0,0,1)*IF(ABS(G$3*10^12-$A91)&gt;(G$3*10^12-$A90),$A90,$A91)=G91,0,IF((G$3*10^12-$A91)*(G$3*10^12-$A90)*-1&lt;0,0,1)*IF(ABS(G$3*10^12-$A91)&gt;(G$3*10^12-$A90),$A90,$A91))</f>
        <v/>
      </c>
      <c r="H90">
        <f>IF(IF((H$3*10^12-$A91)*(H$3*10^12-$A90)*-1&lt;0,0,1)*IF(ABS(H$3*10^12-$A91)&gt;(H$3*10^12-$A90),$A90,$A91)=H91,0,IF((H$3*10^12-$A91)*(H$3*10^12-$A90)*-1&lt;0,0,1)*IF(ABS(H$3*10^12-$A91)&gt;(H$3*10^12-$A90),$A90,$A91))</f>
        <v/>
      </c>
      <c r="I90">
        <f>IF(IF((I$3*10^12-$A91)*(I$3*10^12-$A90)*-1&lt;0,0,1)*IF(ABS(I$3*10^12-$A91)&gt;(I$3*10^12-$A90),$A90,$A91)=I91,0,IF((I$3*10^12-$A91)*(I$3*10^12-$A90)*-1&lt;0,0,1)*IF(ABS(I$3*10^12-$A91)&gt;(I$3*10^12-$A90),$A90,$A91))</f>
        <v/>
      </c>
      <c r="J90">
        <f>IF(IF((J$3*10^12-$A91)*(J$3*10^12-$A90)*-1&lt;0,0,1)*IF(ABS(J$3*10^12-$A91)&gt;(J$3*10^12-$A90),$A90,$A91)=J91,0,IF((J$3*10^12-$A91)*(J$3*10^12-$A90)*-1&lt;0,0,1)*IF(ABS(J$3*10^12-$A91)&gt;(J$3*10^12-$A90),$A90,$A91))</f>
        <v/>
      </c>
      <c r="K90">
        <f>IF(IF((K$3*10^12-$A91)*(K$3*10^12-$A90)*-1&lt;0,0,1)*IF(ABS(K$3*10^12-$A91)&gt;(K$3*10^12-$A90),$A90,$A91)=K91,0,IF((K$3*10^12-$A91)*(K$3*10^12-$A90)*-1&lt;0,0,1)*IF(ABS(K$3*10^12-$A91)&gt;(K$3*10^12-$A90),$A90,$A91))</f>
        <v/>
      </c>
      <c r="L90">
        <f>IF(IF((L$3*10^12-$A91)*(L$3*10^12-$A90)*-1&lt;0,0,1)*IF(ABS(L$3*10^12-$A91)&gt;(L$3*10^12-$A90),$A90,$A91)=L91,0,IF((L$3*10^12-$A91)*(L$3*10^12-$A90)*-1&lt;0,0,1)*IF(ABS(L$3*10^12-$A91)&gt;(L$3*10^12-$A90),$A90,$A91))</f>
        <v/>
      </c>
      <c r="M90">
        <f>IF(IF((M$3*10^12-$A91)*(M$3*10^12-$A90)*-1&lt;0,0,1)*IF(ABS(M$3*10^12-$A91)&gt;(M$3*10^12-$A90),$A90,$A91)=M91,0,IF((M$3*10^12-$A91)*(M$3*10^12-$A90)*-1&lt;0,0,1)*IF(ABS(M$3*10^12-$A91)&gt;(M$3*10^12-$A90),$A90,$A91))</f>
        <v/>
      </c>
      <c r="N90">
        <f>IF(IF((N$3*10^12-$A91)*(N$3*10^12-$A90)*-1&lt;0,0,1)*IF(ABS(N$3*10^12-$A91)&gt;(N$3*10^12-$A90),$A90,$A91)=N91,0,IF((N$3*10^12-$A91)*(N$3*10^12-$A90)*-1&lt;0,0,1)*IF(ABS(N$3*10^12-$A91)&gt;(N$3*10^12-$A90),$A90,$A91))</f>
        <v/>
      </c>
    </row>
    <row r="91">
      <c r="A91">
        <f>A79*10</f>
        <v/>
      </c>
      <c r="B91">
        <f>IF(IF((B$3*10^12-$A92)*(B$3*10^12-$A91)*-1&lt;0,0,1)*IF(ABS(B$3*10^12-$A92)&gt;(B$3*10^12-$A91),$A91,$A92)=B92,0,IF((B$3*10^12-$A92)*(B$3*10^12-$A91)*-1&lt;0,0,1)*IF(ABS(B$3*10^12-$A92)&gt;(B$3*10^12-$A91),$A91,$A92))</f>
        <v/>
      </c>
      <c r="C91">
        <f>IF(IF((C$3*10^12-$A92)*(C$3*10^12-$A91)*-1&lt;0,0,1)*IF(ABS(C$3*10^12-$A92)&gt;(C$3*10^12-$A91),$A91,$A92)=C92,0,IF((C$3*10^12-$A92)*(C$3*10^12-$A91)*-1&lt;0,0,1)*IF(ABS(C$3*10^12-$A92)&gt;(C$3*10^12-$A91),$A91,$A92))</f>
        <v/>
      </c>
      <c r="D91">
        <f>IF(IF((D$3*10^12-$A92)*(D$3*10^12-$A91)*-1&lt;0,0,1)*IF(ABS(D$3*10^12-$A92)&gt;(D$3*10^12-$A91),$A91,$A92)=D92,0,IF((D$3*10^12-$A92)*(D$3*10^12-$A91)*-1&lt;0,0,1)*IF(ABS(D$3*10^12-$A92)&gt;(D$3*10^12-$A91),$A91,$A92))</f>
        <v/>
      </c>
      <c r="E91">
        <f>IF(IF((E$3*10^12-$A92)*(E$3*10^12-$A91)*-1&lt;0,0,1)*IF(ABS(E$3*10^12-$A92)&gt;(E$3*10^12-$A91),$A91,$A92)=E92,0,IF((E$3*10^12-$A92)*(E$3*10^12-$A91)*-1&lt;0,0,1)*IF(ABS(E$3*10^12-$A92)&gt;(E$3*10^12-$A91),$A91,$A92))</f>
        <v/>
      </c>
      <c r="F91">
        <f>IF(IF((F$3*10^12-$A92)*(F$3*10^12-$A91)*-1&lt;0,0,1)*IF(ABS(F$3*10^12-$A92)&gt;(F$3*10^12-$A91),$A91,$A92)=F92,0,IF((F$3*10^12-$A92)*(F$3*10^12-$A91)*-1&lt;0,0,1)*IF(ABS(F$3*10^12-$A92)&gt;(F$3*10^12-$A91),$A91,$A92))</f>
        <v/>
      </c>
      <c r="G91">
        <f>IF(IF((G$3*10^12-$A92)*(G$3*10^12-$A91)*-1&lt;0,0,1)*IF(ABS(G$3*10^12-$A92)&gt;(G$3*10^12-$A91),$A91,$A92)=G92,0,IF((G$3*10^12-$A92)*(G$3*10^12-$A91)*-1&lt;0,0,1)*IF(ABS(G$3*10^12-$A92)&gt;(G$3*10^12-$A91),$A91,$A92))</f>
        <v/>
      </c>
      <c r="H91">
        <f>IF(IF((H$3*10^12-$A92)*(H$3*10^12-$A91)*-1&lt;0,0,1)*IF(ABS(H$3*10^12-$A92)&gt;(H$3*10^12-$A91),$A91,$A92)=H92,0,IF((H$3*10^12-$A92)*(H$3*10^12-$A91)*-1&lt;0,0,1)*IF(ABS(H$3*10^12-$A92)&gt;(H$3*10^12-$A91),$A91,$A92))</f>
        <v/>
      </c>
      <c r="I91">
        <f>IF(IF((I$3*10^12-$A92)*(I$3*10^12-$A91)*-1&lt;0,0,1)*IF(ABS(I$3*10^12-$A92)&gt;(I$3*10^12-$A91),$A91,$A92)=I92,0,IF((I$3*10^12-$A92)*(I$3*10^12-$A91)*-1&lt;0,0,1)*IF(ABS(I$3*10^12-$A92)&gt;(I$3*10^12-$A91),$A91,$A92))</f>
        <v/>
      </c>
      <c r="J91">
        <f>IF(IF((J$3*10^12-$A92)*(J$3*10^12-$A91)*-1&lt;0,0,1)*IF(ABS(J$3*10^12-$A92)&gt;(J$3*10^12-$A91),$A91,$A92)=J92,0,IF((J$3*10^12-$A92)*(J$3*10^12-$A91)*-1&lt;0,0,1)*IF(ABS(J$3*10^12-$A92)&gt;(J$3*10^12-$A91),$A91,$A92))</f>
        <v/>
      </c>
      <c r="K91">
        <f>IF(IF((K$3*10^12-$A92)*(K$3*10^12-$A91)*-1&lt;0,0,1)*IF(ABS(K$3*10^12-$A92)&gt;(K$3*10^12-$A91),$A91,$A92)=K92,0,IF((K$3*10^12-$A92)*(K$3*10^12-$A91)*-1&lt;0,0,1)*IF(ABS(K$3*10^12-$A92)&gt;(K$3*10^12-$A91),$A91,$A92))</f>
        <v/>
      </c>
      <c r="L91">
        <f>IF(IF((L$3*10^12-$A92)*(L$3*10^12-$A91)*-1&lt;0,0,1)*IF(ABS(L$3*10^12-$A92)&gt;(L$3*10^12-$A91),$A91,$A92)=L92,0,IF((L$3*10^12-$A92)*(L$3*10^12-$A91)*-1&lt;0,0,1)*IF(ABS(L$3*10^12-$A92)&gt;(L$3*10^12-$A91),$A91,$A92))</f>
        <v/>
      </c>
      <c r="M91">
        <f>IF(IF((M$3*10^12-$A92)*(M$3*10^12-$A91)*-1&lt;0,0,1)*IF(ABS(M$3*10^12-$A92)&gt;(M$3*10^12-$A91),$A91,$A92)=M92,0,IF((M$3*10^12-$A92)*(M$3*10^12-$A91)*-1&lt;0,0,1)*IF(ABS(M$3*10^12-$A92)&gt;(M$3*10^12-$A91),$A91,$A92))</f>
        <v/>
      </c>
      <c r="N91">
        <f>IF(IF((N$3*10^12-$A92)*(N$3*10^12-$A91)*-1&lt;0,0,1)*IF(ABS(N$3*10^12-$A92)&gt;(N$3*10^12-$A91),$A91,$A92)=N92,0,IF((N$3*10^12-$A92)*(N$3*10^12-$A91)*-1&lt;0,0,1)*IF(ABS(N$3*10^12-$A92)&gt;(N$3*10^12-$A91),$A91,$A92))</f>
        <v/>
      </c>
    </row>
    <row r="92">
      <c r="A92">
        <f>A80*10</f>
        <v/>
      </c>
      <c r="B92">
        <f>IF(IF((B$3*10^12-$A93)*(B$3*10^12-$A92)*-1&lt;0,0,1)*IF(ABS(B$3*10^12-$A93)&gt;(B$3*10^12-$A92),$A92,$A93)=B93,0,IF((B$3*10^12-$A93)*(B$3*10^12-$A92)*-1&lt;0,0,1)*IF(ABS(B$3*10^12-$A93)&gt;(B$3*10^12-$A92),$A92,$A93))</f>
        <v/>
      </c>
      <c r="C92">
        <f>IF(IF((C$3*10^12-$A93)*(C$3*10^12-$A92)*-1&lt;0,0,1)*IF(ABS(C$3*10^12-$A93)&gt;(C$3*10^12-$A92),$A92,$A93)=C93,0,IF((C$3*10^12-$A93)*(C$3*10^12-$A92)*-1&lt;0,0,1)*IF(ABS(C$3*10^12-$A93)&gt;(C$3*10^12-$A92),$A92,$A93))</f>
        <v/>
      </c>
      <c r="D92">
        <f>IF(IF((D$3*10^12-$A93)*(D$3*10^12-$A92)*-1&lt;0,0,1)*IF(ABS(D$3*10^12-$A93)&gt;(D$3*10^12-$A92),$A92,$A93)=D93,0,IF((D$3*10^12-$A93)*(D$3*10^12-$A92)*-1&lt;0,0,1)*IF(ABS(D$3*10^12-$A93)&gt;(D$3*10^12-$A92),$A92,$A93))</f>
        <v/>
      </c>
      <c r="E92">
        <f>IF(IF((E$3*10^12-$A93)*(E$3*10^12-$A92)*-1&lt;0,0,1)*IF(ABS(E$3*10^12-$A93)&gt;(E$3*10^12-$A92),$A92,$A93)=E93,0,IF((E$3*10^12-$A93)*(E$3*10^12-$A92)*-1&lt;0,0,1)*IF(ABS(E$3*10^12-$A93)&gt;(E$3*10^12-$A92),$A92,$A93))</f>
        <v/>
      </c>
      <c r="F92">
        <f>IF(IF((F$3*10^12-$A93)*(F$3*10^12-$A92)*-1&lt;0,0,1)*IF(ABS(F$3*10^12-$A93)&gt;(F$3*10^12-$A92),$A92,$A93)=F93,0,IF((F$3*10^12-$A93)*(F$3*10^12-$A92)*-1&lt;0,0,1)*IF(ABS(F$3*10^12-$A93)&gt;(F$3*10^12-$A92),$A92,$A93))</f>
        <v/>
      </c>
      <c r="G92">
        <f>IF(IF((G$3*10^12-$A93)*(G$3*10^12-$A92)*-1&lt;0,0,1)*IF(ABS(G$3*10^12-$A93)&gt;(G$3*10^12-$A92),$A92,$A93)=G93,0,IF((G$3*10^12-$A93)*(G$3*10^12-$A92)*-1&lt;0,0,1)*IF(ABS(G$3*10^12-$A93)&gt;(G$3*10^12-$A92),$A92,$A93))</f>
        <v/>
      </c>
      <c r="H92">
        <f>IF(IF((H$3*10^12-$A93)*(H$3*10^12-$A92)*-1&lt;0,0,1)*IF(ABS(H$3*10^12-$A93)&gt;(H$3*10^12-$A92),$A92,$A93)=H93,0,IF((H$3*10^12-$A93)*(H$3*10^12-$A92)*-1&lt;0,0,1)*IF(ABS(H$3*10^12-$A93)&gt;(H$3*10^12-$A92),$A92,$A93))</f>
        <v/>
      </c>
      <c r="I92">
        <f>IF(IF((I$3*10^12-$A93)*(I$3*10^12-$A92)*-1&lt;0,0,1)*IF(ABS(I$3*10^12-$A93)&gt;(I$3*10^12-$A92),$A92,$A93)=I93,0,IF((I$3*10^12-$A93)*(I$3*10^12-$A92)*-1&lt;0,0,1)*IF(ABS(I$3*10^12-$A93)&gt;(I$3*10^12-$A92),$A92,$A93))</f>
        <v/>
      </c>
      <c r="J92">
        <f>IF(IF((J$3*10^12-$A93)*(J$3*10^12-$A92)*-1&lt;0,0,1)*IF(ABS(J$3*10^12-$A93)&gt;(J$3*10^12-$A92),$A92,$A93)=J93,0,IF((J$3*10^12-$A93)*(J$3*10^12-$A92)*-1&lt;0,0,1)*IF(ABS(J$3*10^12-$A93)&gt;(J$3*10^12-$A92),$A92,$A93))</f>
        <v/>
      </c>
      <c r="K92">
        <f>IF(IF((K$3*10^12-$A93)*(K$3*10^12-$A92)*-1&lt;0,0,1)*IF(ABS(K$3*10^12-$A93)&gt;(K$3*10^12-$A92),$A92,$A93)=K93,0,IF((K$3*10^12-$A93)*(K$3*10^12-$A92)*-1&lt;0,0,1)*IF(ABS(K$3*10^12-$A93)&gt;(K$3*10^12-$A92),$A92,$A93))</f>
        <v/>
      </c>
      <c r="L92">
        <f>IF(IF((L$3*10^12-$A93)*(L$3*10^12-$A92)*-1&lt;0,0,1)*IF(ABS(L$3*10^12-$A93)&gt;(L$3*10^12-$A92),$A92,$A93)=L93,0,IF((L$3*10^12-$A93)*(L$3*10^12-$A92)*-1&lt;0,0,1)*IF(ABS(L$3*10^12-$A93)&gt;(L$3*10^12-$A92),$A92,$A93))</f>
        <v/>
      </c>
      <c r="M92">
        <f>IF(IF((M$3*10^12-$A93)*(M$3*10^12-$A92)*-1&lt;0,0,1)*IF(ABS(M$3*10^12-$A93)&gt;(M$3*10^12-$A92),$A92,$A93)=M93,0,IF((M$3*10^12-$A93)*(M$3*10^12-$A92)*-1&lt;0,0,1)*IF(ABS(M$3*10^12-$A93)&gt;(M$3*10^12-$A92),$A92,$A93))</f>
        <v/>
      </c>
      <c r="N92">
        <f>IF(IF((N$3*10^12-$A93)*(N$3*10^12-$A92)*-1&lt;0,0,1)*IF(ABS(N$3*10^12-$A93)&gt;(N$3*10^12-$A92),$A92,$A93)=N93,0,IF((N$3*10^12-$A93)*(N$3*10^12-$A92)*-1&lt;0,0,1)*IF(ABS(N$3*10^12-$A93)&gt;(N$3*10^12-$A92),$A92,$A93))</f>
        <v/>
      </c>
    </row>
    <row r="93">
      <c r="A93">
        <f>A81*10</f>
        <v/>
      </c>
      <c r="B93">
        <f>IF(IF((B$3*10^12-$A94)*(B$3*10^12-$A93)*-1&lt;0,0,1)*IF(ABS(B$3*10^12-$A94)&gt;(B$3*10^12-$A93),$A93,$A94)=B94,0,IF((B$3*10^12-$A94)*(B$3*10^12-$A93)*-1&lt;0,0,1)*IF(ABS(B$3*10^12-$A94)&gt;(B$3*10^12-$A93),$A93,$A94))</f>
        <v/>
      </c>
      <c r="C93">
        <f>IF(IF((C$3*10^12-$A94)*(C$3*10^12-$A93)*-1&lt;0,0,1)*IF(ABS(C$3*10^12-$A94)&gt;(C$3*10^12-$A93),$A93,$A94)=C94,0,IF((C$3*10^12-$A94)*(C$3*10^12-$A93)*-1&lt;0,0,1)*IF(ABS(C$3*10^12-$A94)&gt;(C$3*10^12-$A93),$A93,$A94))</f>
        <v/>
      </c>
      <c r="D93">
        <f>IF(IF((D$3*10^12-$A94)*(D$3*10^12-$A93)*-1&lt;0,0,1)*IF(ABS(D$3*10^12-$A94)&gt;(D$3*10^12-$A93),$A93,$A94)=D94,0,IF((D$3*10^12-$A94)*(D$3*10^12-$A93)*-1&lt;0,0,1)*IF(ABS(D$3*10^12-$A94)&gt;(D$3*10^12-$A93),$A93,$A94))</f>
        <v/>
      </c>
      <c r="E93">
        <f>IF(IF((E$3*10^12-$A94)*(E$3*10^12-$A93)*-1&lt;0,0,1)*IF(ABS(E$3*10^12-$A94)&gt;(E$3*10^12-$A93),$A93,$A94)=E94,0,IF((E$3*10^12-$A94)*(E$3*10^12-$A93)*-1&lt;0,0,1)*IF(ABS(E$3*10^12-$A94)&gt;(E$3*10^12-$A93),$A93,$A94))</f>
        <v/>
      </c>
      <c r="F93">
        <f>IF(IF((F$3*10^12-$A94)*(F$3*10^12-$A93)*-1&lt;0,0,1)*IF(ABS(F$3*10^12-$A94)&gt;(F$3*10^12-$A93),$A93,$A94)=F94,0,IF((F$3*10^12-$A94)*(F$3*10^12-$A93)*-1&lt;0,0,1)*IF(ABS(F$3*10^12-$A94)&gt;(F$3*10^12-$A93),$A93,$A94))</f>
        <v/>
      </c>
      <c r="G93">
        <f>IF(IF((G$3*10^12-$A94)*(G$3*10^12-$A93)*-1&lt;0,0,1)*IF(ABS(G$3*10^12-$A94)&gt;(G$3*10^12-$A93),$A93,$A94)=G94,0,IF((G$3*10^12-$A94)*(G$3*10^12-$A93)*-1&lt;0,0,1)*IF(ABS(G$3*10^12-$A94)&gt;(G$3*10^12-$A93),$A93,$A94))</f>
        <v/>
      </c>
      <c r="H93">
        <f>IF(IF((H$3*10^12-$A94)*(H$3*10^12-$A93)*-1&lt;0,0,1)*IF(ABS(H$3*10^12-$A94)&gt;(H$3*10^12-$A93),$A93,$A94)=H94,0,IF((H$3*10^12-$A94)*(H$3*10^12-$A93)*-1&lt;0,0,1)*IF(ABS(H$3*10^12-$A94)&gt;(H$3*10^12-$A93),$A93,$A94))</f>
        <v/>
      </c>
      <c r="I93">
        <f>IF(IF((I$3*10^12-$A94)*(I$3*10^12-$A93)*-1&lt;0,0,1)*IF(ABS(I$3*10^12-$A94)&gt;(I$3*10^12-$A93),$A93,$A94)=I94,0,IF((I$3*10^12-$A94)*(I$3*10^12-$A93)*-1&lt;0,0,1)*IF(ABS(I$3*10^12-$A94)&gt;(I$3*10^12-$A93),$A93,$A94))</f>
        <v/>
      </c>
      <c r="J93">
        <f>IF(IF((J$3*10^12-$A94)*(J$3*10^12-$A93)*-1&lt;0,0,1)*IF(ABS(J$3*10^12-$A94)&gt;(J$3*10^12-$A93),$A93,$A94)=J94,0,IF((J$3*10^12-$A94)*(J$3*10^12-$A93)*-1&lt;0,0,1)*IF(ABS(J$3*10^12-$A94)&gt;(J$3*10^12-$A93),$A93,$A94))</f>
        <v/>
      </c>
      <c r="K93">
        <f>IF(IF((K$3*10^12-$A94)*(K$3*10^12-$A93)*-1&lt;0,0,1)*IF(ABS(K$3*10^12-$A94)&gt;(K$3*10^12-$A93),$A93,$A94)=K94,0,IF((K$3*10^12-$A94)*(K$3*10^12-$A93)*-1&lt;0,0,1)*IF(ABS(K$3*10^12-$A94)&gt;(K$3*10^12-$A93),$A93,$A94))</f>
        <v/>
      </c>
      <c r="L93">
        <f>IF(IF((L$3*10^12-$A94)*(L$3*10^12-$A93)*-1&lt;0,0,1)*IF(ABS(L$3*10^12-$A94)&gt;(L$3*10^12-$A93),$A93,$A94)=L94,0,IF((L$3*10^12-$A94)*(L$3*10^12-$A93)*-1&lt;0,0,1)*IF(ABS(L$3*10^12-$A94)&gt;(L$3*10^12-$A93),$A93,$A94))</f>
        <v/>
      </c>
      <c r="M93">
        <f>IF(IF((M$3*10^12-$A94)*(M$3*10^12-$A93)*-1&lt;0,0,1)*IF(ABS(M$3*10^12-$A94)&gt;(M$3*10^12-$A93),$A93,$A94)=M94,0,IF((M$3*10^12-$A94)*(M$3*10^12-$A93)*-1&lt;0,0,1)*IF(ABS(M$3*10^12-$A94)&gt;(M$3*10^12-$A93),$A93,$A94))</f>
        <v/>
      </c>
      <c r="N93">
        <f>IF(IF((N$3*10^12-$A94)*(N$3*10^12-$A93)*-1&lt;0,0,1)*IF(ABS(N$3*10^12-$A94)&gt;(N$3*10^12-$A93),$A93,$A94)=N94,0,IF((N$3*10^12-$A94)*(N$3*10^12-$A93)*-1&lt;0,0,1)*IF(ABS(N$3*10^12-$A94)&gt;(N$3*10^12-$A93),$A93,$A94))</f>
        <v/>
      </c>
    </row>
    <row r="94">
      <c r="A94">
        <f>A82*10</f>
        <v/>
      </c>
      <c r="B94">
        <f>IF(IF((B$3*10^12-$A95)*(B$3*10^12-$A94)*-1&lt;0,0,1)*IF(ABS(B$3*10^12-$A95)&gt;(B$3*10^12-$A94),$A94,$A95)=B95,0,IF((B$3*10^12-$A95)*(B$3*10^12-$A94)*-1&lt;0,0,1)*IF(ABS(B$3*10^12-$A95)&gt;(B$3*10^12-$A94),$A94,$A95))</f>
        <v/>
      </c>
      <c r="C94">
        <f>IF(IF((C$3*10^12-$A95)*(C$3*10^12-$A94)*-1&lt;0,0,1)*IF(ABS(C$3*10^12-$A95)&gt;(C$3*10^12-$A94),$A94,$A95)=C95,0,IF((C$3*10^12-$A95)*(C$3*10^12-$A94)*-1&lt;0,0,1)*IF(ABS(C$3*10^12-$A95)&gt;(C$3*10^12-$A94),$A94,$A95))</f>
        <v/>
      </c>
      <c r="D94">
        <f>IF(IF((D$3*10^12-$A95)*(D$3*10^12-$A94)*-1&lt;0,0,1)*IF(ABS(D$3*10^12-$A95)&gt;(D$3*10^12-$A94),$A94,$A95)=D95,0,IF((D$3*10^12-$A95)*(D$3*10^12-$A94)*-1&lt;0,0,1)*IF(ABS(D$3*10^12-$A95)&gt;(D$3*10^12-$A94),$A94,$A95))</f>
        <v/>
      </c>
      <c r="E94">
        <f>IF(IF((E$3*10^12-$A95)*(E$3*10^12-$A94)*-1&lt;0,0,1)*IF(ABS(E$3*10^12-$A95)&gt;(E$3*10^12-$A94),$A94,$A95)=E95,0,IF((E$3*10^12-$A95)*(E$3*10^12-$A94)*-1&lt;0,0,1)*IF(ABS(E$3*10^12-$A95)&gt;(E$3*10^12-$A94),$A94,$A95))</f>
        <v/>
      </c>
      <c r="F94">
        <f>IF(IF((F$3*10^12-$A95)*(F$3*10^12-$A94)*-1&lt;0,0,1)*IF(ABS(F$3*10^12-$A95)&gt;(F$3*10^12-$A94),$A94,$A95)=F95,0,IF((F$3*10^12-$A95)*(F$3*10^12-$A94)*-1&lt;0,0,1)*IF(ABS(F$3*10^12-$A95)&gt;(F$3*10^12-$A94),$A94,$A95))</f>
        <v/>
      </c>
      <c r="G94">
        <f>IF(IF((G$3*10^12-$A95)*(G$3*10^12-$A94)*-1&lt;0,0,1)*IF(ABS(G$3*10^12-$A95)&gt;(G$3*10^12-$A94),$A94,$A95)=G95,0,IF((G$3*10^12-$A95)*(G$3*10^12-$A94)*-1&lt;0,0,1)*IF(ABS(G$3*10^12-$A95)&gt;(G$3*10^12-$A94),$A94,$A95))</f>
        <v/>
      </c>
      <c r="H94">
        <f>IF(IF((H$3*10^12-$A95)*(H$3*10^12-$A94)*-1&lt;0,0,1)*IF(ABS(H$3*10^12-$A95)&gt;(H$3*10^12-$A94),$A94,$A95)=H95,0,IF((H$3*10^12-$A95)*(H$3*10^12-$A94)*-1&lt;0,0,1)*IF(ABS(H$3*10^12-$A95)&gt;(H$3*10^12-$A94),$A94,$A95))</f>
        <v/>
      </c>
      <c r="I94">
        <f>IF(IF((I$3*10^12-$A95)*(I$3*10^12-$A94)*-1&lt;0,0,1)*IF(ABS(I$3*10^12-$A95)&gt;(I$3*10^12-$A94),$A94,$A95)=I95,0,IF((I$3*10^12-$A95)*(I$3*10^12-$A94)*-1&lt;0,0,1)*IF(ABS(I$3*10^12-$A95)&gt;(I$3*10^12-$A94),$A94,$A95))</f>
        <v/>
      </c>
      <c r="J94">
        <f>IF(IF((J$3*10^12-$A95)*(J$3*10^12-$A94)*-1&lt;0,0,1)*IF(ABS(J$3*10^12-$A95)&gt;(J$3*10^12-$A94),$A94,$A95)=J95,0,IF((J$3*10^12-$A95)*(J$3*10^12-$A94)*-1&lt;0,0,1)*IF(ABS(J$3*10^12-$A95)&gt;(J$3*10^12-$A94),$A94,$A95))</f>
        <v/>
      </c>
      <c r="K94">
        <f>IF(IF((K$3*10^12-$A95)*(K$3*10^12-$A94)*-1&lt;0,0,1)*IF(ABS(K$3*10^12-$A95)&gt;(K$3*10^12-$A94),$A94,$A95)=K95,0,IF((K$3*10^12-$A95)*(K$3*10^12-$A94)*-1&lt;0,0,1)*IF(ABS(K$3*10^12-$A95)&gt;(K$3*10^12-$A94),$A94,$A95))</f>
        <v/>
      </c>
      <c r="L94">
        <f>IF(IF((L$3*10^12-$A95)*(L$3*10^12-$A94)*-1&lt;0,0,1)*IF(ABS(L$3*10^12-$A95)&gt;(L$3*10^12-$A94),$A94,$A95)=L95,0,IF((L$3*10^12-$A95)*(L$3*10^12-$A94)*-1&lt;0,0,1)*IF(ABS(L$3*10^12-$A95)&gt;(L$3*10^12-$A94),$A94,$A95))</f>
        <v/>
      </c>
      <c r="M94">
        <f>IF(IF((M$3*10^12-$A95)*(M$3*10^12-$A94)*-1&lt;0,0,1)*IF(ABS(M$3*10^12-$A95)&gt;(M$3*10^12-$A94),$A94,$A95)=M95,0,IF((M$3*10^12-$A95)*(M$3*10^12-$A94)*-1&lt;0,0,1)*IF(ABS(M$3*10^12-$A95)&gt;(M$3*10^12-$A94),$A94,$A95))</f>
        <v/>
      </c>
      <c r="N94">
        <f>IF(IF((N$3*10^12-$A95)*(N$3*10^12-$A94)*-1&lt;0,0,1)*IF(ABS(N$3*10^12-$A95)&gt;(N$3*10^12-$A94),$A94,$A95)=N95,0,IF((N$3*10^12-$A95)*(N$3*10^12-$A94)*-1&lt;0,0,1)*IF(ABS(N$3*10^12-$A95)&gt;(N$3*10^12-$A94),$A94,$A95))</f>
        <v/>
      </c>
    </row>
    <row r="95">
      <c r="A95">
        <f>A83*10</f>
        <v/>
      </c>
      <c r="B95">
        <f>IF(IF((B$3*10^12-$A96)*(B$3*10^12-$A95)*-1&lt;0,0,1)*IF(ABS(B$3*10^12-$A96)&gt;(B$3*10^12-$A95),$A95,$A96)=B96,0,IF((B$3*10^12-$A96)*(B$3*10^12-$A95)*-1&lt;0,0,1)*IF(ABS(B$3*10^12-$A96)&gt;(B$3*10^12-$A95),$A95,$A96))</f>
        <v/>
      </c>
      <c r="C95">
        <f>IF(IF((C$3*10^12-$A96)*(C$3*10^12-$A95)*-1&lt;0,0,1)*IF(ABS(C$3*10^12-$A96)&gt;(C$3*10^12-$A95),$A95,$A96)=C96,0,IF((C$3*10^12-$A96)*(C$3*10^12-$A95)*-1&lt;0,0,1)*IF(ABS(C$3*10^12-$A96)&gt;(C$3*10^12-$A95),$A95,$A96))</f>
        <v/>
      </c>
      <c r="D95">
        <f>IF(IF((D$3*10^12-$A96)*(D$3*10^12-$A95)*-1&lt;0,0,1)*IF(ABS(D$3*10^12-$A96)&gt;(D$3*10^12-$A95),$A95,$A96)=D96,0,IF((D$3*10^12-$A96)*(D$3*10^12-$A95)*-1&lt;0,0,1)*IF(ABS(D$3*10^12-$A96)&gt;(D$3*10^12-$A95),$A95,$A96))</f>
        <v/>
      </c>
      <c r="E95">
        <f>IF(IF((E$3*10^12-$A96)*(E$3*10^12-$A95)*-1&lt;0,0,1)*IF(ABS(E$3*10^12-$A96)&gt;(E$3*10^12-$A95),$A95,$A96)=E96,0,IF((E$3*10^12-$A96)*(E$3*10^12-$A95)*-1&lt;0,0,1)*IF(ABS(E$3*10^12-$A96)&gt;(E$3*10^12-$A95),$A95,$A96))</f>
        <v/>
      </c>
      <c r="F95">
        <f>IF(IF((F$3*10^12-$A96)*(F$3*10^12-$A95)*-1&lt;0,0,1)*IF(ABS(F$3*10^12-$A96)&gt;(F$3*10^12-$A95),$A95,$A96)=F96,0,IF((F$3*10^12-$A96)*(F$3*10^12-$A95)*-1&lt;0,0,1)*IF(ABS(F$3*10^12-$A96)&gt;(F$3*10^12-$A95),$A95,$A96))</f>
        <v/>
      </c>
      <c r="G95">
        <f>IF(IF((G$3*10^12-$A96)*(G$3*10^12-$A95)*-1&lt;0,0,1)*IF(ABS(G$3*10^12-$A96)&gt;(G$3*10^12-$A95),$A95,$A96)=G96,0,IF((G$3*10^12-$A96)*(G$3*10^12-$A95)*-1&lt;0,0,1)*IF(ABS(G$3*10^12-$A96)&gt;(G$3*10^12-$A95),$A95,$A96))</f>
        <v/>
      </c>
      <c r="H95">
        <f>IF(IF((H$3*10^12-$A96)*(H$3*10^12-$A95)*-1&lt;0,0,1)*IF(ABS(H$3*10^12-$A96)&gt;(H$3*10^12-$A95),$A95,$A96)=H96,0,IF((H$3*10^12-$A96)*(H$3*10^12-$A95)*-1&lt;0,0,1)*IF(ABS(H$3*10^12-$A96)&gt;(H$3*10^12-$A95),$A95,$A96))</f>
        <v/>
      </c>
      <c r="I95">
        <f>IF(IF((I$3*10^12-$A96)*(I$3*10^12-$A95)*-1&lt;0,0,1)*IF(ABS(I$3*10^12-$A96)&gt;(I$3*10^12-$A95),$A95,$A96)=I96,0,IF((I$3*10^12-$A96)*(I$3*10^12-$A95)*-1&lt;0,0,1)*IF(ABS(I$3*10^12-$A96)&gt;(I$3*10^12-$A95),$A95,$A96))</f>
        <v/>
      </c>
      <c r="J95">
        <f>IF(IF((J$3*10^12-$A96)*(J$3*10^12-$A95)*-1&lt;0,0,1)*IF(ABS(J$3*10^12-$A96)&gt;(J$3*10^12-$A95),$A95,$A96)=J96,0,IF((J$3*10^12-$A96)*(J$3*10^12-$A95)*-1&lt;0,0,1)*IF(ABS(J$3*10^12-$A96)&gt;(J$3*10^12-$A95),$A95,$A96))</f>
        <v/>
      </c>
      <c r="K95">
        <f>IF(IF((K$3*10^12-$A96)*(K$3*10^12-$A95)*-1&lt;0,0,1)*IF(ABS(K$3*10^12-$A96)&gt;(K$3*10^12-$A95),$A95,$A96)=K96,0,IF((K$3*10^12-$A96)*(K$3*10^12-$A95)*-1&lt;0,0,1)*IF(ABS(K$3*10^12-$A96)&gt;(K$3*10^12-$A95),$A95,$A96))</f>
        <v/>
      </c>
      <c r="L95">
        <f>IF(IF((L$3*10^12-$A96)*(L$3*10^12-$A95)*-1&lt;0,0,1)*IF(ABS(L$3*10^12-$A96)&gt;(L$3*10^12-$A95),$A95,$A96)=L96,0,IF((L$3*10^12-$A96)*(L$3*10^12-$A95)*-1&lt;0,0,1)*IF(ABS(L$3*10^12-$A96)&gt;(L$3*10^12-$A95),$A95,$A96))</f>
        <v/>
      </c>
      <c r="M95">
        <f>IF(IF((M$3*10^12-$A96)*(M$3*10^12-$A95)*-1&lt;0,0,1)*IF(ABS(M$3*10^12-$A96)&gt;(M$3*10^12-$A95),$A95,$A96)=M96,0,IF((M$3*10^12-$A96)*(M$3*10^12-$A95)*-1&lt;0,0,1)*IF(ABS(M$3*10^12-$A96)&gt;(M$3*10^12-$A95),$A95,$A96))</f>
        <v/>
      </c>
      <c r="N95">
        <f>IF(IF((N$3*10^12-$A96)*(N$3*10^12-$A95)*-1&lt;0,0,1)*IF(ABS(N$3*10^12-$A96)&gt;(N$3*10^12-$A95),$A95,$A96)=N96,0,IF((N$3*10^12-$A96)*(N$3*10^12-$A95)*-1&lt;0,0,1)*IF(ABS(N$3*10^12-$A96)&gt;(N$3*10^12-$A95),$A95,$A96))</f>
        <v/>
      </c>
    </row>
    <row r="96">
      <c r="A96">
        <f>A84*10</f>
        <v/>
      </c>
      <c r="B96">
        <f>IF(IF((B$3*10^12-$A97)*(B$3*10^12-$A96)*-1&lt;0,0,1)*IF(ABS(B$3*10^12-$A97)&gt;(B$3*10^12-$A96),$A96,$A97)=B97,0,IF((B$3*10^12-$A97)*(B$3*10^12-$A96)*-1&lt;0,0,1)*IF(ABS(B$3*10^12-$A97)&gt;(B$3*10^12-$A96),$A96,$A97))</f>
        <v/>
      </c>
      <c r="C96">
        <f>IF(IF((C$3*10^12-$A97)*(C$3*10^12-$A96)*-1&lt;0,0,1)*IF(ABS(C$3*10^12-$A97)&gt;(C$3*10^12-$A96),$A96,$A97)=C97,0,IF((C$3*10^12-$A97)*(C$3*10^12-$A96)*-1&lt;0,0,1)*IF(ABS(C$3*10^12-$A97)&gt;(C$3*10^12-$A96),$A96,$A97))</f>
        <v/>
      </c>
      <c r="D96">
        <f>IF(IF((D$3*10^12-$A97)*(D$3*10^12-$A96)*-1&lt;0,0,1)*IF(ABS(D$3*10^12-$A97)&gt;(D$3*10^12-$A96),$A96,$A97)=D97,0,IF((D$3*10^12-$A97)*(D$3*10^12-$A96)*-1&lt;0,0,1)*IF(ABS(D$3*10^12-$A97)&gt;(D$3*10^12-$A96),$A96,$A97))</f>
        <v/>
      </c>
      <c r="E96">
        <f>IF(IF((E$3*10^12-$A97)*(E$3*10^12-$A96)*-1&lt;0,0,1)*IF(ABS(E$3*10^12-$A97)&gt;(E$3*10^12-$A96),$A96,$A97)=E97,0,IF((E$3*10^12-$A97)*(E$3*10^12-$A96)*-1&lt;0,0,1)*IF(ABS(E$3*10^12-$A97)&gt;(E$3*10^12-$A96),$A96,$A97))</f>
        <v/>
      </c>
      <c r="F96">
        <f>IF(IF((F$3*10^12-$A97)*(F$3*10^12-$A96)*-1&lt;0,0,1)*IF(ABS(F$3*10^12-$A97)&gt;(F$3*10^12-$A96),$A96,$A97)=F97,0,IF((F$3*10^12-$A97)*(F$3*10^12-$A96)*-1&lt;0,0,1)*IF(ABS(F$3*10^12-$A97)&gt;(F$3*10^12-$A96),$A96,$A97))</f>
        <v/>
      </c>
      <c r="G96">
        <f>IF(IF((G$3*10^12-$A97)*(G$3*10^12-$A96)*-1&lt;0,0,1)*IF(ABS(G$3*10^12-$A97)&gt;(G$3*10^12-$A96),$A96,$A97)=G97,0,IF((G$3*10^12-$A97)*(G$3*10^12-$A96)*-1&lt;0,0,1)*IF(ABS(G$3*10^12-$A97)&gt;(G$3*10^12-$A96),$A96,$A97))</f>
        <v/>
      </c>
      <c r="H96">
        <f>IF(IF((H$3*10^12-$A97)*(H$3*10^12-$A96)*-1&lt;0,0,1)*IF(ABS(H$3*10^12-$A97)&gt;(H$3*10^12-$A96),$A96,$A97)=H97,0,IF((H$3*10^12-$A97)*(H$3*10^12-$A96)*-1&lt;0,0,1)*IF(ABS(H$3*10^12-$A97)&gt;(H$3*10^12-$A96),$A96,$A97))</f>
        <v/>
      </c>
      <c r="I96">
        <f>IF(IF((I$3*10^12-$A97)*(I$3*10^12-$A96)*-1&lt;0,0,1)*IF(ABS(I$3*10^12-$A97)&gt;(I$3*10^12-$A96),$A96,$A97)=I97,0,IF((I$3*10^12-$A97)*(I$3*10^12-$A96)*-1&lt;0,0,1)*IF(ABS(I$3*10^12-$A97)&gt;(I$3*10^12-$A96),$A96,$A97))</f>
        <v/>
      </c>
      <c r="J96">
        <f>IF(IF((J$3*10^12-$A97)*(J$3*10^12-$A96)*-1&lt;0,0,1)*IF(ABS(J$3*10^12-$A97)&gt;(J$3*10^12-$A96),$A96,$A97)=J97,0,IF((J$3*10^12-$A97)*(J$3*10^12-$A96)*-1&lt;0,0,1)*IF(ABS(J$3*10^12-$A97)&gt;(J$3*10^12-$A96),$A96,$A97))</f>
        <v/>
      </c>
      <c r="K96">
        <f>IF(IF((K$3*10^12-$A97)*(K$3*10^12-$A96)*-1&lt;0,0,1)*IF(ABS(K$3*10^12-$A97)&gt;(K$3*10^12-$A96),$A96,$A97)=K97,0,IF((K$3*10^12-$A97)*(K$3*10^12-$A96)*-1&lt;0,0,1)*IF(ABS(K$3*10^12-$A97)&gt;(K$3*10^12-$A96),$A96,$A97))</f>
        <v/>
      </c>
      <c r="L96">
        <f>IF(IF((L$3*10^12-$A97)*(L$3*10^12-$A96)*-1&lt;0,0,1)*IF(ABS(L$3*10^12-$A97)&gt;(L$3*10^12-$A96),$A96,$A97)=L97,0,IF((L$3*10^12-$A97)*(L$3*10^12-$A96)*-1&lt;0,0,1)*IF(ABS(L$3*10^12-$A97)&gt;(L$3*10^12-$A96),$A96,$A97))</f>
        <v/>
      </c>
      <c r="M96">
        <f>IF(IF((M$3*10^12-$A97)*(M$3*10^12-$A96)*-1&lt;0,0,1)*IF(ABS(M$3*10^12-$A97)&gt;(M$3*10^12-$A96),$A96,$A97)=M97,0,IF((M$3*10^12-$A97)*(M$3*10^12-$A96)*-1&lt;0,0,1)*IF(ABS(M$3*10^12-$A97)&gt;(M$3*10^12-$A96),$A96,$A97))</f>
        <v/>
      </c>
      <c r="N96">
        <f>IF(IF((N$3*10^12-$A97)*(N$3*10^12-$A96)*-1&lt;0,0,1)*IF(ABS(N$3*10^12-$A97)&gt;(N$3*10^12-$A96),$A96,$A97)=N97,0,IF((N$3*10^12-$A97)*(N$3*10^12-$A96)*-1&lt;0,0,1)*IF(ABS(N$3*10^12-$A97)&gt;(N$3*10^12-$A96),$A96,$A97))</f>
        <v/>
      </c>
    </row>
    <row r="97">
      <c r="A97">
        <f>A85*10</f>
        <v/>
      </c>
      <c r="B97">
        <f>IF(IF((B$3*10^12-$A98)*(B$3*10^12-$A97)*-1&lt;0,0,1)*IF(ABS(B$3*10^12-$A98)&gt;(B$3*10^12-$A97),$A97,$A98)=B98,0,IF((B$3*10^12-$A98)*(B$3*10^12-$A97)*-1&lt;0,0,1)*IF(ABS(B$3*10^12-$A98)&gt;(B$3*10^12-$A97),$A97,$A98))</f>
        <v/>
      </c>
      <c r="C97">
        <f>IF(IF((C$3*10^12-$A98)*(C$3*10^12-$A97)*-1&lt;0,0,1)*IF(ABS(C$3*10^12-$A98)&gt;(C$3*10^12-$A97),$A97,$A98)=C98,0,IF((C$3*10^12-$A98)*(C$3*10^12-$A97)*-1&lt;0,0,1)*IF(ABS(C$3*10^12-$A98)&gt;(C$3*10^12-$A97),$A97,$A98))</f>
        <v/>
      </c>
      <c r="D97">
        <f>IF(IF((D$3*10^12-$A98)*(D$3*10^12-$A97)*-1&lt;0,0,1)*IF(ABS(D$3*10^12-$A98)&gt;(D$3*10^12-$A97),$A97,$A98)=D98,0,IF((D$3*10^12-$A98)*(D$3*10^12-$A97)*-1&lt;0,0,1)*IF(ABS(D$3*10^12-$A98)&gt;(D$3*10^12-$A97),$A97,$A98))</f>
        <v/>
      </c>
      <c r="E97">
        <f>IF(IF((E$3*10^12-$A98)*(E$3*10^12-$A97)*-1&lt;0,0,1)*IF(ABS(E$3*10^12-$A98)&gt;(E$3*10^12-$A97),$A97,$A98)=E98,0,IF((E$3*10^12-$A98)*(E$3*10^12-$A97)*-1&lt;0,0,1)*IF(ABS(E$3*10^12-$A98)&gt;(E$3*10^12-$A97),$A97,$A98))</f>
        <v/>
      </c>
      <c r="F97">
        <f>IF(IF((F$3*10^12-$A98)*(F$3*10^12-$A97)*-1&lt;0,0,1)*IF(ABS(F$3*10^12-$A98)&gt;(F$3*10^12-$A97),$A97,$A98)=F98,0,IF((F$3*10^12-$A98)*(F$3*10^12-$A97)*-1&lt;0,0,1)*IF(ABS(F$3*10^12-$A98)&gt;(F$3*10^12-$A97),$A97,$A98))</f>
        <v/>
      </c>
      <c r="G97">
        <f>IF(IF((G$3*10^12-$A98)*(G$3*10^12-$A97)*-1&lt;0,0,1)*IF(ABS(G$3*10^12-$A98)&gt;(G$3*10^12-$A97),$A97,$A98)=G98,0,IF((G$3*10^12-$A98)*(G$3*10^12-$A97)*-1&lt;0,0,1)*IF(ABS(G$3*10^12-$A98)&gt;(G$3*10^12-$A97),$A97,$A98))</f>
        <v/>
      </c>
      <c r="H97">
        <f>IF(IF((H$3*10^12-$A98)*(H$3*10^12-$A97)*-1&lt;0,0,1)*IF(ABS(H$3*10^12-$A98)&gt;(H$3*10^12-$A97),$A97,$A98)=H98,0,IF((H$3*10^12-$A98)*(H$3*10^12-$A97)*-1&lt;0,0,1)*IF(ABS(H$3*10^12-$A98)&gt;(H$3*10^12-$A97),$A97,$A98))</f>
        <v/>
      </c>
      <c r="I97">
        <f>IF(IF((I$3*10^12-$A98)*(I$3*10^12-$A97)*-1&lt;0,0,1)*IF(ABS(I$3*10^12-$A98)&gt;(I$3*10^12-$A97),$A97,$A98)=I98,0,IF((I$3*10^12-$A98)*(I$3*10^12-$A97)*-1&lt;0,0,1)*IF(ABS(I$3*10^12-$A98)&gt;(I$3*10^12-$A97),$A97,$A98))</f>
        <v/>
      </c>
      <c r="J97">
        <f>IF(IF((J$3*10^12-$A98)*(J$3*10^12-$A97)*-1&lt;0,0,1)*IF(ABS(J$3*10^12-$A98)&gt;(J$3*10^12-$A97),$A97,$A98)=J98,0,IF((J$3*10^12-$A98)*(J$3*10^12-$A97)*-1&lt;0,0,1)*IF(ABS(J$3*10^12-$A98)&gt;(J$3*10^12-$A97),$A97,$A98))</f>
        <v/>
      </c>
      <c r="K97">
        <f>IF(IF((K$3*10^12-$A98)*(K$3*10^12-$A97)*-1&lt;0,0,1)*IF(ABS(K$3*10^12-$A98)&gt;(K$3*10^12-$A97),$A97,$A98)=K98,0,IF((K$3*10^12-$A98)*(K$3*10^12-$A97)*-1&lt;0,0,1)*IF(ABS(K$3*10^12-$A98)&gt;(K$3*10^12-$A97),$A97,$A98))</f>
        <v/>
      </c>
      <c r="L97">
        <f>IF(IF((L$3*10^12-$A98)*(L$3*10^12-$A97)*-1&lt;0,0,1)*IF(ABS(L$3*10^12-$A98)&gt;(L$3*10^12-$A97),$A97,$A98)=L98,0,IF((L$3*10^12-$A98)*(L$3*10^12-$A97)*-1&lt;0,0,1)*IF(ABS(L$3*10^12-$A98)&gt;(L$3*10^12-$A97),$A97,$A98))</f>
        <v/>
      </c>
      <c r="M97">
        <f>IF(IF((M$3*10^12-$A98)*(M$3*10^12-$A97)*-1&lt;0,0,1)*IF(ABS(M$3*10^12-$A98)&gt;(M$3*10^12-$A97),$A97,$A98)=M98,0,IF((M$3*10^12-$A98)*(M$3*10^12-$A97)*-1&lt;0,0,1)*IF(ABS(M$3*10^12-$A98)&gt;(M$3*10^12-$A97),$A97,$A98))</f>
        <v/>
      </c>
      <c r="N97">
        <f>IF(IF((N$3*10^12-$A98)*(N$3*10^12-$A97)*-1&lt;0,0,1)*IF(ABS(N$3*10^12-$A98)&gt;(N$3*10^12-$A97),$A97,$A98)=N98,0,IF((N$3*10^12-$A98)*(N$3*10^12-$A97)*-1&lt;0,0,1)*IF(ABS(N$3*10^12-$A98)&gt;(N$3*10^12-$A97),$A97,$A98))</f>
        <v/>
      </c>
    </row>
    <row r="98">
      <c r="A98">
        <f>A86*10</f>
        <v/>
      </c>
      <c r="B98">
        <f>IF(IF((B$3*10^12-$A99)*(B$3*10^12-$A98)*-1&lt;0,0,1)*IF(ABS(B$3*10^12-$A99)&gt;(B$3*10^12-$A98),$A98,$A99)=B99,0,IF((B$3*10^12-$A99)*(B$3*10^12-$A98)*-1&lt;0,0,1)*IF(ABS(B$3*10^12-$A99)&gt;(B$3*10^12-$A98),$A98,$A99))</f>
        <v/>
      </c>
      <c r="C98">
        <f>IF(IF((C$3*10^12-$A99)*(C$3*10^12-$A98)*-1&lt;0,0,1)*IF(ABS(C$3*10^12-$A99)&gt;(C$3*10^12-$A98),$A98,$A99)=C99,0,IF((C$3*10^12-$A99)*(C$3*10^12-$A98)*-1&lt;0,0,1)*IF(ABS(C$3*10^12-$A99)&gt;(C$3*10^12-$A98),$A98,$A99))</f>
        <v/>
      </c>
      <c r="D98">
        <f>IF(IF((D$3*10^12-$A99)*(D$3*10^12-$A98)*-1&lt;0,0,1)*IF(ABS(D$3*10^12-$A99)&gt;(D$3*10^12-$A98),$A98,$A99)=D99,0,IF((D$3*10^12-$A99)*(D$3*10^12-$A98)*-1&lt;0,0,1)*IF(ABS(D$3*10^12-$A99)&gt;(D$3*10^12-$A98),$A98,$A99))</f>
        <v/>
      </c>
      <c r="E98">
        <f>IF(IF((E$3*10^12-$A99)*(E$3*10^12-$A98)*-1&lt;0,0,1)*IF(ABS(E$3*10^12-$A99)&gt;(E$3*10^12-$A98),$A98,$A99)=E99,0,IF((E$3*10^12-$A99)*(E$3*10^12-$A98)*-1&lt;0,0,1)*IF(ABS(E$3*10^12-$A99)&gt;(E$3*10^12-$A98),$A98,$A99))</f>
        <v/>
      </c>
      <c r="F98">
        <f>IF(IF((F$3*10^12-$A99)*(F$3*10^12-$A98)*-1&lt;0,0,1)*IF(ABS(F$3*10^12-$A99)&gt;(F$3*10^12-$A98),$A98,$A99)=F99,0,IF((F$3*10^12-$A99)*(F$3*10^12-$A98)*-1&lt;0,0,1)*IF(ABS(F$3*10^12-$A99)&gt;(F$3*10^12-$A98),$A98,$A99))</f>
        <v/>
      </c>
      <c r="G98">
        <f>IF(IF((G$3*10^12-$A99)*(G$3*10^12-$A98)*-1&lt;0,0,1)*IF(ABS(G$3*10^12-$A99)&gt;(G$3*10^12-$A98),$A98,$A99)=G99,0,IF((G$3*10^12-$A99)*(G$3*10^12-$A98)*-1&lt;0,0,1)*IF(ABS(G$3*10^12-$A99)&gt;(G$3*10^12-$A98),$A98,$A99))</f>
        <v/>
      </c>
      <c r="H98">
        <f>IF(IF((H$3*10^12-$A99)*(H$3*10^12-$A98)*-1&lt;0,0,1)*IF(ABS(H$3*10^12-$A99)&gt;(H$3*10^12-$A98),$A98,$A99)=H99,0,IF((H$3*10^12-$A99)*(H$3*10^12-$A98)*-1&lt;0,0,1)*IF(ABS(H$3*10^12-$A99)&gt;(H$3*10^12-$A98),$A98,$A99))</f>
        <v/>
      </c>
      <c r="I98">
        <f>IF(IF((I$3*10^12-$A99)*(I$3*10^12-$A98)*-1&lt;0,0,1)*IF(ABS(I$3*10^12-$A99)&gt;(I$3*10^12-$A98),$A98,$A99)=I99,0,IF((I$3*10^12-$A99)*(I$3*10^12-$A98)*-1&lt;0,0,1)*IF(ABS(I$3*10^12-$A99)&gt;(I$3*10^12-$A98),$A98,$A99))</f>
        <v/>
      </c>
      <c r="J98">
        <f>IF(IF((J$3*10^12-$A99)*(J$3*10^12-$A98)*-1&lt;0,0,1)*IF(ABS(J$3*10^12-$A99)&gt;(J$3*10^12-$A98),$A98,$A99)=J99,0,IF((J$3*10^12-$A99)*(J$3*10^12-$A98)*-1&lt;0,0,1)*IF(ABS(J$3*10^12-$A99)&gt;(J$3*10^12-$A98),$A98,$A99))</f>
        <v/>
      </c>
      <c r="K98">
        <f>IF(IF((K$3*10^12-$A99)*(K$3*10^12-$A98)*-1&lt;0,0,1)*IF(ABS(K$3*10^12-$A99)&gt;(K$3*10^12-$A98),$A98,$A99)=K99,0,IF((K$3*10^12-$A99)*(K$3*10^12-$A98)*-1&lt;0,0,1)*IF(ABS(K$3*10^12-$A99)&gt;(K$3*10^12-$A98),$A98,$A99))</f>
        <v/>
      </c>
      <c r="L98">
        <f>IF(IF((L$3*10^12-$A99)*(L$3*10^12-$A98)*-1&lt;0,0,1)*IF(ABS(L$3*10^12-$A99)&gt;(L$3*10^12-$A98),$A98,$A99)=L99,0,IF((L$3*10^12-$A99)*(L$3*10^12-$A98)*-1&lt;0,0,1)*IF(ABS(L$3*10^12-$A99)&gt;(L$3*10^12-$A98),$A98,$A99))</f>
        <v/>
      </c>
      <c r="M98">
        <f>IF(IF((M$3*10^12-$A99)*(M$3*10^12-$A98)*-1&lt;0,0,1)*IF(ABS(M$3*10^12-$A99)&gt;(M$3*10^12-$A98),$A98,$A99)=M99,0,IF((M$3*10^12-$A99)*(M$3*10^12-$A98)*-1&lt;0,0,1)*IF(ABS(M$3*10^12-$A99)&gt;(M$3*10^12-$A98),$A98,$A99))</f>
        <v/>
      </c>
      <c r="N98">
        <f>IF(IF((N$3*10^12-$A99)*(N$3*10^12-$A98)*-1&lt;0,0,1)*IF(ABS(N$3*10^12-$A99)&gt;(N$3*10^12-$A98),$A98,$A99)=N99,0,IF((N$3*10^12-$A99)*(N$3*10^12-$A98)*-1&lt;0,0,1)*IF(ABS(N$3*10^12-$A99)&gt;(N$3*10^12-$A98),$A98,$A99))</f>
        <v/>
      </c>
    </row>
    <row r="99">
      <c r="A99">
        <f>A87*10</f>
        <v/>
      </c>
      <c r="B99">
        <f>IF(IF((B$3*10^12-$A100)*(B$3*10^12-$A99)*-1&lt;0,0,1)*IF(ABS(B$3*10^12-$A100)&gt;(B$3*10^12-$A99),$A99,$A100)=B100,0,IF((B$3*10^12-$A100)*(B$3*10^12-$A99)*-1&lt;0,0,1)*IF(ABS(B$3*10^12-$A100)&gt;(B$3*10^12-$A99),$A99,$A100))</f>
        <v/>
      </c>
      <c r="C99">
        <f>IF(IF((C$3*10^12-$A100)*(C$3*10^12-$A99)*-1&lt;0,0,1)*IF(ABS(C$3*10^12-$A100)&gt;(C$3*10^12-$A99),$A99,$A100)=C100,0,IF((C$3*10^12-$A100)*(C$3*10^12-$A99)*-1&lt;0,0,1)*IF(ABS(C$3*10^12-$A100)&gt;(C$3*10^12-$A99),$A99,$A100))</f>
        <v/>
      </c>
      <c r="D99">
        <f>IF(IF((D$3*10^12-$A100)*(D$3*10^12-$A99)*-1&lt;0,0,1)*IF(ABS(D$3*10^12-$A100)&gt;(D$3*10^12-$A99),$A99,$A100)=D100,0,IF((D$3*10^12-$A100)*(D$3*10^12-$A99)*-1&lt;0,0,1)*IF(ABS(D$3*10^12-$A100)&gt;(D$3*10^12-$A99),$A99,$A100))</f>
        <v/>
      </c>
      <c r="E99">
        <f>IF(IF((E$3*10^12-$A100)*(E$3*10^12-$A99)*-1&lt;0,0,1)*IF(ABS(E$3*10^12-$A100)&gt;(E$3*10^12-$A99),$A99,$A100)=E100,0,IF((E$3*10^12-$A100)*(E$3*10^12-$A99)*-1&lt;0,0,1)*IF(ABS(E$3*10^12-$A100)&gt;(E$3*10^12-$A99),$A99,$A100))</f>
        <v/>
      </c>
      <c r="F99">
        <f>IF(IF((F$3*10^12-$A100)*(F$3*10^12-$A99)*-1&lt;0,0,1)*IF(ABS(F$3*10^12-$A100)&gt;(F$3*10^12-$A99),$A99,$A100)=F100,0,IF((F$3*10^12-$A100)*(F$3*10^12-$A99)*-1&lt;0,0,1)*IF(ABS(F$3*10^12-$A100)&gt;(F$3*10^12-$A99),$A99,$A100))</f>
        <v/>
      </c>
      <c r="G99">
        <f>IF(IF((G$3*10^12-$A100)*(G$3*10^12-$A99)*-1&lt;0,0,1)*IF(ABS(G$3*10^12-$A100)&gt;(G$3*10^12-$A99),$A99,$A100)=G100,0,IF((G$3*10^12-$A100)*(G$3*10^12-$A99)*-1&lt;0,0,1)*IF(ABS(G$3*10^12-$A100)&gt;(G$3*10^12-$A99),$A99,$A100))</f>
        <v/>
      </c>
      <c r="H99">
        <f>IF(IF((H$3*10^12-$A100)*(H$3*10^12-$A99)*-1&lt;0,0,1)*IF(ABS(H$3*10^12-$A100)&gt;(H$3*10^12-$A99),$A99,$A100)=H100,0,IF((H$3*10^12-$A100)*(H$3*10^12-$A99)*-1&lt;0,0,1)*IF(ABS(H$3*10^12-$A100)&gt;(H$3*10^12-$A99),$A99,$A100))</f>
        <v/>
      </c>
      <c r="I99">
        <f>IF(IF((I$3*10^12-$A100)*(I$3*10^12-$A99)*-1&lt;0,0,1)*IF(ABS(I$3*10^12-$A100)&gt;(I$3*10^12-$A99),$A99,$A100)=I100,0,IF((I$3*10^12-$A100)*(I$3*10^12-$A99)*-1&lt;0,0,1)*IF(ABS(I$3*10^12-$A100)&gt;(I$3*10^12-$A99),$A99,$A100))</f>
        <v/>
      </c>
      <c r="J99">
        <f>IF(IF((J$3*10^12-$A100)*(J$3*10^12-$A99)*-1&lt;0,0,1)*IF(ABS(J$3*10^12-$A100)&gt;(J$3*10^12-$A99),$A99,$A100)=J100,0,IF((J$3*10^12-$A100)*(J$3*10^12-$A99)*-1&lt;0,0,1)*IF(ABS(J$3*10^12-$A100)&gt;(J$3*10^12-$A99),$A99,$A100))</f>
        <v/>
      </c>
      <c r="K99">
        <f>IF(IF((K$3*10^12-$A100)*(K$3*10^12-$A99)*-1&lt;0,0,1)*IF(ABS(K$3*10^12-$A100)&gt;(K$3*10^12-$A99),$A99,$A100)=K100,0,IF((K$3*10^12-$A100)*(K$3*10^12-$A99)*-1&lt;0,0,1)*IF(ABS(K$3*10^12-$A100)&gt;(K$3*10^12-$A99),$A99,$A100))</f>
        <v/>
      </c>
      <c r="L99">
        <f>IF(IF((L$3*10^12-$A100)*(L$3*10^12-$A99)*-1&lt;0,0,1)*IF(ABS(L$3*10^12-$A100)&gt;(L$3*10^12-$A99),$A99,$A100)=L100,0,IF((L$3*10^12-$A100)*(L$3*10^12-$A99)*-1&lt;0,0,1)*IF(ABS(L$3*10^12-$A100)&gt;(L$3*10^12-$A99),$A99,$A100))</f>
        <v/>
      </c>
      <c r="M99">
        <f>IF(IF((M$3*10^12-$A100)*(M$3*10^12-$A99)*-1&lt;0,0,1)*IF(ABS(M$3*10^12-$A100)&gt;(M$3*10^12-$A99),$A99,$A100)=M100,0,IF((M$3*10^12-$A100)*(M$3*10^12-$A99)*-1&lt;0,0,1)*IF(ABS(M$3*10^12-$A100)&gt;(M$3*10^12-$A99),$A99,$A100))</f>
        <v/>
      </c>
      <c r="N99">
        <f>IF(IF((N$3*10^12-$A100)*(N$3*10^12-$A99)*-1&lt;0,0,1)*IF(ABS(N$3*10^12-$A100)&gt;(N$3*10^12-$A99),$A99,$A100)=N100,0,IF((N$3*10^12-$A100)*(N$3*10^12-$A99)*-1&lt;0,0,1)*IF(ABS(N$3*10^12-$A100)&gt;(N$3*10^12-$A99),$A99,$A100))</f>
        <v/>
      </c>
    </row>
    <row r="100">
      <c r="A100">
        <f>A88*10</f>
        <v/>
      </c>
      <c r="B100">
        <f>IF(IF((B$3*10^12-$A101)*(B$3*10^12-$A100)*-1&lt;0,0,1)*IF(ABS(B$3*10^12-$A101)&gt;(B$3*10^12-$A100),$A100,$A101)=B101,0,IF((B$3*10^12-$A101)*(B$3*10^12-$A100)*-1&lt;0,0,1)*IF(ABS(B$3*10^12-$A101)&gt;(B$3*10^12-$A100),$A100,$A101))</f>
        <v/>
      </c>
      <c r="C100">
        <f>IF(IF((C$3*10^12-$A101)*(C$3*10^12-$A100)*-1&lt;0,0,1)*IF(ABS(C$3*10^12-$A101)&gt;(C$3*10^12-$A100),$A100,$A101)=C101,0,IF((C$3*10^12-$A101)*(C$3*10^12-$A100)*-1&lt;0,0,1)*IF(ABS(C$3*10^12-$A101)&gt;(C$3*10^12-$A100),$A100,$A101))</f>
        <v/>
      </c>
      <c r="D100">
        <f>IF(IF((D$3*10^12-$A101)*(D$3*10^12-$A100)*-1&lt;0,0,1)*IF(ABS(D$3*10^12-$A101)&gt;(D$3*10^12-$A100),$A100,$A101)=D101,0,IF((D$3*10^12-$A101)*(D$3*10^12-$A100)*-1&lt;0,0,1)*IF(ABS(D$3*10^12-$A101)&gt;(D$3*10^12-$A100),$A100,$A101))</f>
        <v/>
      </c>
      <c r="E100">
        <f>IF(IF((E$3*10^12-$A101)*(E$3*10^12-$A100)*-1&lt;0,0,1)*IF(ABS(E$3*10^12-$A101)&gt;(E$3*10^12-$A100),$A100,$A101)=E101,0,IF((E$3*10^12-$A101)*(E$3*10^12-$A100)*-1&lt;0,0,1)*IF(ABS(E$3*10^12-$A101)&gt;(E$3*10^12-$A100),$A100,$A101))</f>
        <v/>
      </c>
      <c r="F100">
        <f>IF(IF((F$3*10^12-$A101)*(F$3*10^12-$A100)*-1&lt;0,0,1)*IF(ABS(F$3*10^12-$A101)&gt;(F$3*10^12-$A100),$A100,$A101)=F101,0,IF((F$3*10^12-$A101)*(F$3*10^12-$A100)*-1&lt;0,0,1)*IF(ABS(F$3*10^12-$A101)&gt;(F$3*10^12-$A100),$A100,$A101))</f>
        <v/>
      </c>
      <c r="G100">
        <f>IF(IF((G$3*10^12-$A101)*(G$3*10^12-$A100)*-1&lt;0,0,1)*IF(ABS(G$3*10^12-$A101)&gt;(G$3*10^12-$A100),$A100,$A101)=G101,0,IF((G$3*10^12-$A101)*(G$3*10^12-$A100)*-1&lt;0,0,1)*IF(ABS(G$3*10^12-$A101)&gt;(G$3*10^12-$A100),$A100,$A101))</f>
        <v/>
      </c>
      <c r="H100">
        <f>IF(IF((H$3*10^12-$A101)*(H$3*10^12-$A100)*-1&lt;0,0,1)*IF(ABS(H$3*10^12-$A101)&gt;(H$3*10^12-$A100),$A100,$A101)=H101,0,IF((H$3*10^12-$A101)*(H$3*10^12-$A100)*-1&lt;0,0,1)*IF(ABS(H$3*10^12-$A101)&gt;(H$3*10^12-$A100),$A100,$A101))</f>
        <v/>
      </c>
      <c r="I100">
        <f>IF(IF((I$3*10^12-$A101)*(I$3*10^12-$A100)*-1&lt;0,0,1)*IF(ABS(I$3*10^12-$A101)&gt;(I$3*10^12-$A100),$A100,$A101)=I101,0,IF((I$3*10^12-$A101)*(I$3*10^12-$A100)*-1&lt;0,0,1)*IF(ABS(I$3*10^12-$A101)&gt;(I$3*10^12-$A100),$A100,$A101))</f>
        <v/>
      </c>
      <c r="J100">
        <f>IF(IF((J$3*10^12-$A101)*(J$3*10^12-$A100)*-1&lt;0,0,1)*IF(ABS(J$3*10^12-$A101)&gt;(J$3*10^12-$A100),$A100,$A101)=J101,0,IF((J$3*10^12-$A101)*(J$3*10^12-$A100)*-1&lt;0,0,1)*IF(ABS(J$3*10^12-$A101)&gt;(J$3*10^12-$A100),$A100,$A101))</f>
        <v/>
      </c>
      <c r="K100">
        <f>IF(IF((K$3*10^12-$A101)*(K$3*10^12-$A100)*-1&lt;0,0,1)*IF(ABS(K$3*10^12-$A101)&gt;(K$3*10^12-$A100),$A100,$A101)=K101,0,IF((K$3*10^12-$A101)*(K$3*10^12-$A100)*-1&lt;0,0,1)*IF(ABS(K$3*10^12-$A101)&gt;(K$3*10^12-$A100),$A100,$A101))</f>
        <v/>
      </c>
      <c r="L100">
        <f>IF(IF((L$3*10^12-$A101)*(L$3*10^12-$A100)*-1&lt;0,0,1)*IF(ABS(L$3*10^12-$A101)&gt;(L$3*10^12-$A100),$A100,$A101)=L101,0,IF((L$3*10^12-$A101)*(L$3*10^12-$A100)*-1&lt;0,0,1)*IF(ABS(L$3*10^12-$A101)&gt;(L$3*10^12-$A100),$A100,$A101))</f>
        <v/>
      </c>
      <c r="M100">
        <f>IF(IF((M$3*10^12-$A101)*(M$3*10^12-$A100)*-1&lt;0,0,1)*IF(ABS(M$3*10^12-$A101)&gt;(M$3*10^12-$A100),$A100,$A101)=M101,0,IF((M$3*10^12-$A101)*(M$3*10^12-$A100)*-1&lt;0,0,1)*IF(ABS(M$3*10^12-$A101)&gt;(M$3*10^12-$A100),$A100,$A101))</f>
        <v/>
      </c>
      <c r="N100">
        <f>IF(IF((N$3*10^12-$A101)*(N$3*10^12-$A100)*-1&lt;0,0,1)*IF(ABS(N$3*10^12-$A101)&gt;(N$3*10^12-$A100),$A100,$A101)=N101,0,IF((N$3*10^12-$A101)*(N$3*10^12-$A100)*-1&lt;0,0,1)*IF(ABS(N$3*10^12-$A101)&gt;(N$3*10^12-$A100),$A100,$A101))</f>
        <v/>
      </c>
    </row>
    <row r="101">
      <c r="A101">
        <f>A89*10</f>
        <v/>
      </c>
      <c r="B101">
        <f>IF(IF((B$3*10^12-$A102)*(B$3*10^12-$A101)*-1&lt;0,0,1)*IF(ABS(B$3*10^12-$A102)&gt;(B$3*10^12-$A101),$A101,$A102)=B102,0,IF((B$3*10^12-$A102)*(B$3*10^12-$A101)*-1&lt;0,0,1)*IF(ABS(B$3*10^12-$A102)&gt;(B$3*10^12-$A101),$A101,$A102))</f>
        <v/>
      </c>
      <c r="C101">
        <f>IF(IF((C$3*10^12-$A102)*(C$3*10^12-$A101)*-1&lt;0,0,1)*IF(ABS(C$3*10^12-$A102)&gt;(C$3*10^12-$A101),$A101,$A102)=C102,0,IF((C$3*10^12-$A102)*(C$3*10^12-$A101)*-1&lt;0,0,1)*IF(ABS(C$3*10^12-$A102)&gt;(C$3*10^12-$A101),$A101,$A102))</f>
        <v/>
      </c>
      <c r="D101">
        <f>IF(IF((D$3*10^12-$A102)*(D$3*10^12-$A101)*-1&lt;0,0,1)*IF(ABS(D$3*10^12-$A102)&gt;(D$3*10^12-$A101),$A101,$A102)=D102,0,IF((D$3*10^12-$A102)*(D$3*10^12-$A101)*-1&lt;0,0,1)*IF(ABS(D$3*10^12-$A102)&gt;(D$3*10^12-$A101),$A101,$A102))</f>
        <v/>
      </c>
      <c r="E101">
        <f>IF(IF((E$3*10^12-$A102)*(E$3*10^12-$A101)*-1&lt;0,0,1)*IF(ABS(E$3*10^12-$A102)&gt;(E$3*10^12-$A101),$A101,$A102)=E102,0,IF((E$3*10^12-$A102)*(E$3*10^12-$A101)*-1&lt;0,0,1)*IF(ABS(E$3*10^12-$A102)&gt;(E$3*10^12-$A101),$A101,$A102))</f>
        <v/>
      </c>
      <c r="F101">
        <f>IF(IF((F$3*10^12-$A102)*(F$3*10^12-$A101)*-1&lt;0,0,1)*IF(ABS(F$3*10^12-$A102)&gt;(F$3*10^12-$A101),$A101,$A102)=F102,0,IF((F$3*10^12-$A102)*(F$3*10^12-$A101)*-1&lt;0,0,1)*IF(ABS(F$3*10^12-$A102)&gt;(F$3*10^12-$A101),$A101,$A102))</f>
        <v/>
      </c>
      <c r="G101">
        <f>IF(IF((G$3*10^12-$A102)*(G$3*10^12-$A101)*-1&lt;0,0,1)*IF(ABS(G$3*10^12-$A102)&gt;(G$3*10^12-$A101),$A101,$A102)=G102,0,IF((G$3*10^12-$A102)*(G$3*10^12-$A101)*-1&lt;0,0,1)*IF(ABS(G$3*10^12-$A102)&gt;(G$3*10^12-$A101),$A101,$A102))</f>
        <v/>
      </c>
      <c r="H101">
        <f>IF(IF((H$3*10^12-$A102)*(H$3*10^12-$A101)*-1&lt;0,0,1)*IF(ABS(H$3*10^12-$A102)&gt;(H$3*10^12-$A101),$A101,$A102)=H102,0,IF((H$3*10^12-$A102)*(H$3*10^12-$A101)*-1&lt;0,0,1)*IF(ABS(H$3*10^12-$A102)&gt;(H$3*10^12-$A101),$A101,$A102))</f>
        <v/>
      </c>
      <c r="I101">
        <f>IF(IF((I$3*10^12-$A102)*(I$3*10^12-$A101)*-1&lt;0,0,1)*IF(ABS(I$3*10^12-$A102)&gt;(I$3*10^12-$A101),$A101,$A102)=I102,0,IF((I$3*10^12-$A102)*(I$3*10^12-$A101)*-1&lt;0,0,1)*IF(ABS(I$3*10^12-$A102)&gt;(I$3*10^12-$A101),$A101,$A102))</f>
        <v/>
      </c>
      <c r="J101">
        <f>IF(IF((J$3*10^12-$A102)*(J$3*10^12-$A101)*-1&lt;0,0,1)*IF(ABS(J$3*10^12-$A102)&gt;(J$3*10^12-$A101),$A101,$A102)=J102,0,IF((J$3*10^12-$A102)*(J$3*10^12-$A101)*-1&lt;0,0,1)*IF(ABS(J$3*10^12-$A102)&gt;(J$3*10^12-$A101),$A101,$A102))</f>
        <v/>
      </c>
      <c r="K101">
        <f>IF(IF((K$3*10^12-$A102)*(K$3*10^12-$A101)*-1&lt;0,0,1)*IF(ABS(K$3*10^12-$A102)&gt;(K$3*10^12-$A101),$A101,$A102)=K102,0,IF((K$3*10^12-$A102)*(K$3*10^12-$A101)*-1&lt;0,0,1)*IF(ABS(K$3*10^12-$A102)&gt;(K$3*10^12-$A101),$A101,$A102))</f>
        <v/>
      </c>
      <c r="L101">
        <f>IF(IF((L$3*10^12-$A102)*(L$3*10^12-$A101)*-1&lt;0,0,1)*IF(ABS(L$3*10^12-$A102)&gt;(L$3*10^12-$A101),$A101,$A102)=L102,0,IF((L$3*10^12-$A102)*(L$3*10^12-$A101)*-1&lt;0,0,1)*IF(ABS(L$3*10^12-$A102)&gt;(L$3*10^12-$A101),$A101,$A102))</f>
        <v/>
      </c>
      <c r="M101">
        <f>IF(IF((M$3*10^12-$A102)*(M$3*10^12-$A101)*-1&lt;0,0,1)*IF(ABS(M$3*10^12-$A102)&gt;(M$3*10^12-$A101),$A101,$A102)=M102,0,IF((M$3*10^12-$A102)*(M$3*10^12-$A101)*-1&lt;0,0,1)*IF(ABS(M$3*10^12-$A102)&gt;(M$3*10^12-$A101),$A101,$A102))</f>
        <v/>
      </c>
      <c r="N101">
        <f>IF(IF((N$3*10^12-$A102)*(N$3*10^12-$A101)*-1&lt;0,0,1)*IF(ABS(N$3*10^12-$A102)&gt;(N$3*10^12-$A101),$A101,$A102)=N102,0,IF((N$3*10^12-$A102)*(N$3*10^12-$A101)*-1&lt;0,0,1)*IF(ABS(N$3*10^12-$A102)&gt;(N$3*10^12-$A101),$A101,$A102))</f>
        <v/>
      </c>
    </row>
    <row r="102">
      <c r="A102">
        <f>A90*10</f>
        <v/>
      </c>
      <c r="B102">
        <f>IF(IF((B$3*10^12-$A103)*(B$3*10^12-$A102)*-1&lt;0,0,1)*IF(ABS(B$3*10^12-$A103)&gt;(B$3*10^12-$A102),$A102,$A103)=B103,0,IF((B$3*10^12-$A103)*(B$3*10^12-$A102)*-1&lt;0,0,1)*IF(ABS(B$3*10^12-$A103)&gt;(B$3*10^12-$A102),$A102,$A103))</f>
        <v/>
      </c>
      <c r="C102">
        <f>IF(IF((C$3*10^12-$A103)*(C$3*10^12-$A102)*-1&lt;0,0,1)*IF(ABS(C$3*10^12-$A103)&gt;(C$3*10^12-$A102),$A102,$A103)=C103,0,IF((C$3*10^12-$A103)*(C$3*10^12-$A102)*-1&lt;0,0,1)*IF(ABS(C$3*10^12-$A103)&gt;(C$3*10^12-$A102),$A102,$A103))</f>
        <v/>
      </c>
      <c r="D102">
        <f>IF(IF((D$3*10^12-$A103)*(D$3*10^12-$A102)*-1&lt;0,0,1)*IF(ABS(D$3*10^12-$A103)&gt;(D$3*10^12-$A102),$A102,$A103)=D103,0,IF((D$3*10^12-$A103)*(D$3*10^12-$A102)*-1&lt;0,0,1)*IF(ABS(D$3*10^12-$A103)&gt;(D$3*10^12-$A102),$A102,$A103))</f>
        <v/>
      </c>
      <c r="E102">
        <f>IF(IF((E$3*10^12-$A103)*(E$3*10^12-$A102)*-1&lt;0,0,1)*IF(ABS(E$3*10^12-$A103)&gt;(E$3*10^12-$A102),$A102,$A103)=E103,0,IF((E$3*10^12-$A103)*(E$3*10^12-$A102)*-1&lt;0,0,1)*IF(ABS(E$3*10^12-$A103)&gt;(E$3*10^12-$A102),$A102,$A103))</f>
        <v/>
      </c>
      <c r="F102">
        <f>IF(IF((F$3*10^12-$A103)*(F$3*10^12-$A102)*-1&lt;0,0,1)*IF(ABS(F$3*10^12-$A103)&gt;(F$3*10^12-$A102),$A102,$A103)=F103,0,IF((F$3*10^12-$A103)*(F$3*10^12-$A102)*-1&lt;0,0,1)*IF(ABS(F$3*10^12-$A103)&gt;(F$3*10^12-$A102),$A102,$A103))</f>
        <v/>
      </c>
      <c r="G102">
        <f>IF(IF((G$3*10^12-$A103)*(G$3*10^12-$A102)*-1&lt;0,0,1)*IF(ABS(G$3*10^12-$A103)&gt;(G$3*10^12-$A102),$A102,$A103)=G103,0,IF((G$3*10^12-$A103)*(G$3*10^12-$A102)*-1&lt;0,0,1)*IF(ABS(G$3*10^12-$A103)&gt;(G$3*10^12-$A102),$A102,$A103))</f>
        <v/>
      </c>
      <c r="H102">
        <f>IF(IF((H$3*10^12-$A103)*(H$3*10^12-$A102)*-1&lt;0,0,1)*IF(ABS(H$3*10^12-$A103)&gt;(H$3*10^12-$A102),$A102,$A103)=H103,0,IF((H$3*10^12-$A103)*(H$3*10^12-$A102)*-1&lt;0,0,1)*IF(ABS(H$3*10^12-$A103)&gt;(H$3*10^12-$A102),$A102,$A103))</f>
        <v/>
      </c>
      <c r="I102">
        <f>IF(IF((I$3*10^12-$A103)*(I$3*10^12-$A102)*-1&lt;0,0,1)*IF(ABS(I$3*10^12-$A103)&gt;(I$3*10^12-$A102),$A102,$A103)=I103,0,IF((I$3*10^12-$A103)*(I$3*10^12-$A102)*-1&lt;0,0,1)*IF(ABS(I$3*10^12-$A103)&gt;(I$3*10^12-$A102),$A102,$A103))</f>
        <v/>
      </c>
      <c r="J102">
        <f>IF(IF((J$3*10^12-$A103)*(J$3*10^12-$A102)*-1&lt;0,0,1)*IF(ABS(J$3*10^12-$A103)&gt;(J$3*10^12-$A102),$A102,$A103)=J103,0,IF((J$3*10^12-$A103)*(J$3*10^12-$A102)*-1&lt;0,0,1)*IF(ABS(J$3*10^12-$A103)&gt;(J$3*10^12-$A102),$A102,$A103))</f>
        <v/>
      </c>
      <c r="K102">
        <f>IF(IF((K$3*10^12-$A103)*(K$3*10^12-$A102)*-1&lt;0,0,1)*IF(ABS(K$3*10^12-$A103)&gt;(K$3*10^12-$A102),$A102,$A103)=K103,0,IF((K$3*10^12-$A103)*(K$3*10^12-$A102)*-1&lt;0,0,1)*IF(ABS(K$3*10^12-$A103)&gt;(K$3*10^12-$A102),$A102,$A103))</f>
        <v/>
      </c>
      <c r="L102">
        <f>IF(IF((L$3*10^12-$A103)*(L$3*10^12-$A102)*-1&lt;0,0,1)*IF(ABS(L$3*10^12-$A103)&gt;(L$3*10^12-$A102),$A102,$A103)=L103,0,IF((L$3*10^12-$A103)*(L$3*10^12-$A102)*-1&lt;0,0,1)*IF(ABS(L$3*10^12-$A103)&gt;(L$3*10^12-$A102),$A102,$A103))</f>
        <v/>
      </c>
      <c r="M102">
        <f>IF(IF((M$3*10^12-$A103)*(M$3*10^12-$A102)*-1&lt;0,0,1)*IF(ABS(M$3*10^12-$A103)&gt;(M$3*10^12-$A102),$A102,$A103)=M103,0,IF((M$3*10^12-$A103)*(M$3*10^12-$A102)*-1&lt;0,0,1)*IF(ABS(M$3*10^12-$A103)&gt;(M$3*10^12-$A102),$A102,$A103))</f>
        <v/>
      </c>
      <c r="N102">
        <f>IF(IF((N$3*10^12-$A103)*(N$3*10^12-$A102)*-1&lt;0,0,1)*IF(ABS(N$3*10^12-$A103)&gt;(N$3*10^12-$A102),$A102,$A103)=N103,0,IF((N$3*10^12-$A103)*(N$3*10^12-$A102)*-1&lt;0,0,1)*IF(ABS(N$3*10^12-$A103)&gt;(N$3*10^12-$A102),$A102,$A103))</f>
        <v/>
      </c>
    </row>
    <row r="103">
      <c r="A103">
        <f>A91*10</f>
        <v/>
      </c>
      <c r="B103">
        <f>IF(IF((B$3*10^12-$A104)*(B$3*10^12-$A103)*-1&lt;0,0,1)*IF(ABS(B$3*10^12-$A104)&gt;(B$3*10^12-$A103),$A103,$A104)=B104,0,IF((B$3*10^12-$A104)*(B$3*10^12-$A103)*-1&lt;0,0,1)*IF(ABS(B$3*10^12-$A104)&gt;(B$3*10^12-$A103),$A103,$A104))</f>
        <v/>
      </c>
      <c r="C103">
        <f>IF(IF((C$3*10^12-$A104)*(C$3*10^12-$A103)*-1&lt;0,0,1)*IF(ABS(C$3*10^12-$A104)&gt;(C$3*10^12-$A103),$A103,$A104)=C104,0,IF((C$3*10^12-$A104)*(C$3*10^12-$A103)*-1&lt;0,0,1)*IF(ABS(C$3*10^12-$A104)&gt;(C$3*10^12-$A103),$A103,$A104))</f>
        <v/>
      </c>
      <c r="D103">
        <f>IF(IF((D$3*10^12-$A104)*(D$3*10^12-$A103)*-1&lt;0,0,1)*IF(ABS(D$3*10^12-$A104)&gt;(D$3*10^12-$A103),$A103,$A104)=D104,0,IF((D$3*10^12-$A104)*(D$3*10^12-$A103)*-1&lt;0,0,1)*IF(ABS(D$3*10^12-$A104)&gt;(D$3*10^12-$A103),$A103,$A104))</f>
        <v/>
      </c>
      <c r="E103">
        <f>IF(IF((E$3*10^12-$A104)*(E$3*10^12-$A103)*-1&lt;0,0,1)*IF(ABS(E$3*10^12-$A104)&gt;(E$3*10^12-$A103),$A103,$A104)=E104,0,IF((E$3*10^12-$A104)*(E$3*10^12-$A103)*-1&lt;0,0,1)*IF(ABS(E$3*10^12-$A104)&gt;(E$3*10^12-$A103),$A103,$A104))</f>
        <v/>
      </c>
      <c r="F103">
        <f>IF(IF((F$3*10^12-$A104)*(F$3*10^12-$A103)*-1&lt;0,0,1)*IF(ABS(F$3*10^12-$A104)&gt;(F$3*10^12-$A103),$A103,$A104)=F104,0,IF((F$3*10^12-$A104)*(F$3*10^12-$A103)*-1&lt;0,0,1)*IF(ABS(F$3*10^12-$A104)&gt;(F$3*10^12-$A103),$A103,$A104))</f>
        <v/>
      </c>
      <c r="G103">
        <f>IF(IF((G$3*10^12-$A104)*(G$3*10^12-$A103)*-1&lt;0,0,1)*IF(ABS(G$3*10^12-$A104)&gt;(G$3*10^12-$A103),$A103,$A104)=G104,0,IF((G$3*10^12-$A104)*(G$3*10^12-$A103)*-1&lt;0,0,1)*IF(ABS(G$3*10^12-$A104)&gt;(G$3*10^12-$A103),$A103,$A104))</f>
        <v/>
      </c>
      <c r="H103">
        <f>IF(IF((H$3*10^12-$A104)*(H$3*10^12-$A103)*-1&lt;0,0,1)*IF(ABS(H$3*10^12-$A104)&gt;(H$3*10^12-$A103),$A103,$A104)=H104,0,IF((H$3*10^12-$A104)*(H$3*10^12-$A103)*-1&lt;0,0,1)*IF(ABS(H$3*10^12-$A104)&gt;(H$3*10^12-$A103),$A103,$A104))</f>
        <v/>
      </c>
      <c r="I103">
        <f>IF(IF((I$3*10^12-$A104)*(I$3*10^12-$A103)*-1&lt;0,0,1)*IF(ABS(I$3*10^12-$A104)&gt;(I$3*10^12-$A103),$A103,$A104)=I104,0,IF((I$3*10^12-$A104)*(I$3*10^12-$A103)*-1&lt;0,0,1)*IF(ABS(I$3*10^12-$A104)&gt;(I$3*10^12-$A103),$A103,$A104))</f>
        <v/>
      </c>
      <c r="J103">
        <f>IF(IF((J$3*10^12-$A104)*(J$3*10^12-$A103)*-1&lt;0,0,1)*IF(ABS(J$3*10^12-$A104)&gt;(J$3*10^12-$A103),$A103,$A104)=J104,0,IF((J$3*10^12-$A104)*(J$3*10^12-$A103)*-1&lt;0,0,1)*IF(ABS(J$3*10^12-$A104)&gt;(J$3*10^12-$A103),$A103,$A104))</f>
        <v/>
      </c>
      <c r="K103">
        <f>IF(IF((K$3*10^12-$A104)*(K$3*10^12-$A103)*-1&lt;0,0,1)*IF(ABS(K$3*10^12-$A104)&gt;(K$3*10^12-$A103),$A103,$A104)=K104,0,IF((K$3*10^12-$A104)*(K$3*10^12-$A103)*-1&lt;0,0,1)*IF(ABS(K$3*10^12-$A104)&gt;(K$3*10^12-$A103),$A103,$A104))</f>
        <v/>
      </c>
      <c r="L103">
        <f>IF(IF((L$3*10^12-$A104)*(L$3*10^12-$A103)*-1&lt;0,0,1)*IF(ABS(L$3*10^12-$A104)&gt;(L$3*10^12-$A103),$A103,$A104)=L104,0,IF((L$3*10^12-$A104)*(L$3*10^12-$A103)*-1&lt;0,0,1)*IF(ABS(L$3*10^12-$A104)&gt;(L$3*10^12-$A103),$A103,$A104))</f>
        <v/>
      </c>
      <c r="M103">
        <f>IF(IF((M$3*10^12-$A104)*(M$3*10^12-$A103)*-1&lt;0,0,1)*IF(ABS(M$3*10^12-$A104)&gt;(M$3*10^12-$A103),$A103,$A104)=M104,0,IF((M$3*10^12-$A104)*(M$3*10^12-$A103)*-1&lt;0,0,1)*IF(ABS(M$3*10^12-$A104)&gt;(M$3*10^12-$A103),$A103,$A104))</f>
        <v/>
      </c>
      <c r="N103">
        <f>IF(IF((N$3*10^12-$A104)*(N$3*10^12-$A103)*-1&lt;0,0,1)*IF(ABS(N$3*10^12-$A104)&gt;(N$3*10^12-$A103),$A103,$A104)=N104,0,IF((N$3*10^12-$A104)*(N$3*10^12-$A103)*-1&lt;0,0,1)*IF(ABS(N$3*10^12-$A104)&gt;(N$3*10^12-$A103),$A103,$A104))</f>
        <v/>
      </c>
    </row>
    <row r="104">
      <c r="A104">
        <f>A92*10</f>
        <v/>
      </c>
      <c r="B104">
        <f>IF(IF((B$3*10^12-$A105)*(B$3*10^12-$A104)*-1&lt;0,0,1)*IF(ABS(B$3*10^12-$A105)&gt;(B$3*10^12-$A104),$A104,$A105)=B105,0,IF((B$3*10^12-$A105)*(B$3*10^12-$A104)*-1&lt;0,0,1)*IF(ABS(B$3*10^12-$A105)&gt;(B$3*10^12-$A104),$A104,$A105))</f>
        <v/>
      </c>
      <c r="C104">
        <f>IF(IF((C$3*10^12-$A105)*(C$3*10^12-$A104)*-1&lt;0,0,1)*IF(ABS(C$3*10^12-$A105)&gt;(C$3*10^12-$A104),$A104,$A105)=C105,0,IF((C$3*10^12-$A105)*(C$3*10^12-$A104)*-1&lt;0,0,1)*IF(ABS(C$3*10^12-$A105)&gt;(C$3*10^12-$A104),$A104,$A105))</f>
        <v/>
      </c>
      <c r="D104">
        <f>IF(IF((D$3*10^12-$A105)*(D$3*10^12-$A104)*-1&lt;0,0,1)*IF(ABS(D$3*10^12-$A105)&gt;(D$3*10^12-$A104),$A104,$A105)=D105,0,IF((D$3*10^12-$A105)*(D$3*10^12-$A104)*-1&lt;0,0,1)*IF(ABS(D$3*10^12-$A105)&gt;(D$3*10^12-$A104),$A104,$A105))</f>
        <v/>
      </c>
      <c r="E104">
        <f>IF(IF((E$3*10^12-$A105)*(E$3*10^12-$A104)*-1&lt;0,0,1)*IF(ABS(E$3*10^12-$A105)&gt;(E$3*10^12-$A104),$A104,$A105)=E105,0,IF((E$3*10^12-$A105)*(E$3*10^12-$A104)*-1&lt;0,0,1)*IF(ABS(E$3*10^12-$A105)&gt;(E$3*10^12-$A104),$A104,$A105))</f>
        <v/>
      </c>
      <c r="F104">
        <f>IF(IF((F$3*10^12-$A105)*(F$3*10^12-$A104)*-1&lt;0,0,1)*IF(ABS(F$3*10^12-$A105)&gt;(F$3*10^12-$A104),$A104,$A105)=F105,0,IF((F$3*10^12-$A105)*(F$3*10^12-$A104)*-1&lt;0,0,1)*IF(ABS(F$3*10^12-$A105)&gt;(F$3*10^12-$A104),$A104,$A105))</f>
        <v/>
      </c>
      <c r="G104">
        <f>IF(IF((G$3*10^12-$A105)*(G$3*10^12-$A104)*-1&lt;0,0,1)*IF(ABS(G$3*10^12-$A105)&gt;(G$3*10^12-$A104),$A104,$A105)=G105,0,IF((G$3*10^12-$A105)*(G$3*10^12-$A104)*-1&lt;0,0,1)*IF(ABS(G$3*10^12-$A105)&gt;(G$3*10^12-$A104),$A104,$A105))</f>
        <v/>
      </c>
      <c r="H104">
        <f>IF(IF((H$3*10^12-$A105)*(H$3*10^12-$A104)*-1&lt;0,0,1)*IF(ABS(H$3*10^12-$A105)&gt;(H$3*10^12-$A104),$A104,$A105)=H105,0,IF((H$3*10^12-$A105)*(H$3*10^12-$A104)*-1&lt;0,0,1)*IF(ABS(H$3*10^12-$A105)&gt;(H$3*10^12-$A104),$A104,$A105))</f>
        <v/>
      </c>
      <c r="I104">
        <f>IF(IF((I$3*10^12-$A105)*(I$3*10^12-$A104)*-1&lt;0,0,1)*IF(ABS(I$3*10^12-$A105)&gt;(I$3*10^12-$A104),$A104,$A105)=I105,0,IF((I$3*10^12-$A105)*(I$3*10^12-$A104)*-1&lt;0,0,1)*IF(ABS(I$3*10^12-$A105)&gt;(I$3*10^12-$A104),$A104,$A105))</f>
        <v/>
      </c>
      <c r="J104">
        <f>IF(IF((J$3*10^12-$A105)*(J$3*10^12-$A104)*-1&lt;0,0,1)*IF(ABS(J$3*10^12-$A105)&gt;(J$3*10^12-$A104),$A104,$A105)=J105,0,IF((J$3*10^12-$A105)*(J$3*10^12-$A104)*-1&lt;0,0,1)*IF(ABS(J$3*10^12-$A105)&gt;(J$3*10^12-$A104),$A104,$A105))</f>
        <v/>
      </c>
      <c r="K104">
        <f>IF(IF((K$3*10^12-$A105)*(K$3*10^12-$A104)*-1&lt;0,0,1)*IF(ABS(K$3*10^12-$A105)&gt;(K$3*10^12-$A104),$A104,$A105)=K105,0,IF((K$3*10^12-$A105)*(K$3*10^12-$A104)*-1&lt;0,0,1)*IF(ABS(K$3*10^12-$A105)&gt;(K$3*10^12-$A104),$A104,$A105))</f>
        <v/>
      </c>
      <c r="L104">
        <f>IF(IF((L$3*10^12-$A105)*(L$3*10^12-$A104)*-1&lt;0,0,1)*IF(ABS(L$3*10^12-$A105)&gt;(L$3*10^12-$A104),$A104,$A105)=L105,0,IF((L$3*10^12-$A105)*(L$3*10^12-$A104)*-1&lt;0,0,1)*IF(ABS(L$3*10^12-$A105)&gt;(L$3*10^12-$A104),$A104,$A105))</f>
        <v/>
      </c>
      <c r="M104">
        <f>IF(IF((M$3*10^12-$A105)*(M$3*10^12-$A104)*-1&lt;0,0,1)*IF(ABS(M$3*10^12-$A105)&gt;(M$3*10^12-$A104),$A104,$A105)=M105,0,IF((M$3*10^12-$A105)*(M$3*10^12-$A104)*-1&lt;0,0,1)*IF(ABS(M$3*10^12-$A105)&gt;(M$3*10^12-$A104),$A104,$A105))</f>
        <v/>
      </c>
      <c r="N104">
        <f>IF(IF((N$3*10^12-$A105)*(N$3*10^12-$A104)*-1&lt;0,0,1)*IF(ABS(N$3*10^12-$A105)&gt;(N$3*10^12-$A104),$A104,$A105)=N105,0,IF((N$3*10^12-$A105)*(N$3*10^12-$A104)*-1&lt;0,0,1)*IF(ABS(N$3*10^12-$A105)&gt;(N$3*10^12-$A104),$A104,$A105))</f>
        <v/>
      </c>
    </row>
    <row r="105">
      <c r="A105">
        <f>A93*10</f>
        <v/>
      </c>
      <c r="B105">
        <f>IF(IF((B$3*10^12-$A106)*(B$3*10^12-$A105)*-1&lt;0,0,1)*IF(ABS(B$3*10^12-$A106)&gt;(B$3*10^12-$A105),$A105,$A106)=B106,0,IF((B$3*10^12-$A106)*(B$3*10^12-$A105)*-1&lt;0,0,1)*IF(ABS(B$3*10^12-$A106)&gt;(B$3*10^12-$A105),$A105,$A106))</f>
        <v/>
      </c>
      <c r="C105">
        <f>IF(IF((C$3*10^12-$A106)*(C$3*10^12-$A105)*-1&lt;0,0,1)*IF(ABS(C$3*10^12-$A106)&gt;(C$3*10^12-$A105),$A105,$A106)=C106,0,IF((C$3*10^12-$A106)*(C$3*10^12-$A105)*-1&lt;0,0,1)*IF(ABS(C$3*10^12-$A106)&gt;(C$3*10^12-$A105),$A105,$A106))</f>
        <v/>
      </c>
      <c r="D105">
        <f>IF(IF((D$3*10^12-$A106)*(D$3*10^12-$A105)*-1&lt;0,0,1)*IF(ABS(D$3*10^12-$A106)&gt;(D$3*10^12-$A105),$A105,$A106)=D106,0,IF((D$3*10^12-$A106)*(D$3*10^12-$A105)*-1&lt;0,0,1)*IF(ABS(D$3*10^12-$A106)&gt;(D$3*10^12-$A105),$A105,$A106))</f>
        <v/>
      </c>
      <c r="E105">
        <f>IF(IF((E$3*10^12-$A106)*(E$3*10^12-$A105)*-1&lt;0,0,1)*IF(ABS(E$3*10^12-$A106)&gt;(E$3*10^12-$A105),$A105,$A106)=E106,0,IF((E$3*10^12-$A106)*(E$3*10^12-$A105)*-1&lt;0,0,1)*IF(ABS(E$3*10^12-$A106)&gt;(E$3*10^12-$A105),$A105,$A106))</f>
        <v/>
      </c>
      <c r="F105">
        <f>IF(IF((F$3*10^12-$A106)*(F$3*10^12-$A105)*-1&lt;0,0,1)*IF(ABS(F$3*10^12-$A106)&gt;(F$3*10^12-$A105),$A105,$A106)=F106,0,IF((F$3*10^12-$A106)*(F$3*10^12-$A105)*-1&lt;0,0,1)*IF(ABS(F$3*10^12-$A106)&gt;(F$3*10^12-$A105),$A105,$A106))</f>
        <v/>
      </c>
      <c r="G105">
        <f>IF(IF((G$3*10^12-$A106)*(G$3*10^12-$A105)*-1&lt;0,0,1)*IF(ABS(G$3*10^12-$A106)&gt;(G$3*10^12-$A105),$A105,$A106)=G106,0,IF((G$3*10^12-$A106)*(G$3*10^12-$A105)*-1&lt;0,0,1)*IF(ABS(G$3*10^12-$A106)&gt;(G$3*10^12-$A105),$A105,$A106))</f>
        <v/>
      </c>
      <c r="H105">
        <f>IF(IF((H$3*10^12-$A106)*(H$3*10^12-$A105)*-1&lt;0,0,1)*IF(ABS(H$3*10^12-$A106)&gt;(H$3*10^12-$A105),$A105,$A106)=H106,0,IF((H$3*10^12-$A106)*(H$3*10^12-$A105)*-1&lt;0,0,1)*IF(ABS(H$3*10^12-$A106)&gt;(H$3*10^12-$A105),$A105,$A106))</f>
        <v/>
      </c>
      <c r="I105">
        <f>IF(IF((I$3*10^12-$A106)*(I$3*10^12-$A105)*-1&lt;0,0,1)*IF(ABS(I$3*10^12-$A106)&gt;(I$3*10^12-$A105),$A105,$A106)=I106,0,IF((I$3*10^12-$A106)*(I$3*10^12-$A105)*-1&lt;0,0,1)*IF(ABS(I$3*10^12-$A106)&gt;(I$3*10^12-$A105),$A105,$A106))</f>
        <v/>
      </c>
      <c r="J105">
        <f>IF(IF((J$3*10^12-$A106)*(J$3*10^12-$A105)*-1&lt;0,0,1)*IF(ABS(J$3*10^12-$A106)&gt;(J$3*10^12-$A105),$A105,$A106)=J106,0,IF((J$3*10^12-$A106)*(J$3*10^12-$A105)*-1&lt;0,0,1)*IF(ABS(J$3*10^12-$A106)&gt;(J$3*10^12-$A105),$A105,$A106))</f>
        <v/>
      </c>
      <c r="K105">
        <f>IF(IF((K$3*10^12-$A106)*(K$3*10^12-$A105)*-1&lt;0,0,1)*IF(ABS(K$3*10^12-$A106)&gt;(K$3*10^12-$A105),$A105,$A106)=K106,0,IF((K$3*10^12-$A106)*(K$3*10^12-$A105)*-1&lt;0,0,1)*IF(ABS(K$3*10^12-$A106)&gt;(K$3*10^12-$A105),$A105,$A106))</f>
        <v/>
      </c>
      <c r="L105">
        <f>IF(IF((L$3*10^12-$A106)*(L$3*10^12-$A105)*-1&lt;0,0,1)*IF(ABS(L$3*10^12-$A106)&gt;(L$3*10^12-$A105),$A105,$A106)=L106,0,IF((L$3*10^12-$A106)*(L$3*10^12-$A105)*-1&lt;0,0,1)*IF(ABS(L$3*10^12-$A106)&gt;(L$3*10^12-$A105),$A105,$A106))</f>
        <v/>
      </c>
      <c r="M105">
        <f>IF(IF((M$3*10^12-$A106)*(M$3*10^12-$A105)*-1&lt;0,0,1)*IF(ABS(M$3*10^12-$A106)&gt;(M$3*10^12-$A105),$A105,$A106)=M106,0,IF((M$3*10^12-$A106)*(M$3*10^12-$A105)*-1&lt;0,0,1)*IF(ABS(M$3*10^12-$A106)&gt;(M$3*10^12-$A105),$A105,$A106))</f>
        <v/>
      </c>
      <c r="N105">
        <f>IF(IF((N$3*10^12-$A106)*(N$3*10^12-$A105)*-1&lt;0,0,1)*IF(ABS(N$3*10^12-$A106)&gt;(N$3*10^12-$A105),$A105,$A106)=N106,0,IF((N$3*10^12-$A106)*(N$3*10^12-$A105)*-1&lt;0,0,1)*IF(ABS(N$3*10^12-$A106)&gt;(N$3*10^12-$A105),$A105,$A106))</f>
        <v/>
      </c>
    </row>
    <row r="106">
      <c r="A106">
        <f>A94*10</f>
        <v/>
      </c>
      <c r="B106">
        <f>IF(IF((B$3*10^12-$A107)*(B$3*10^12-$A106)*-1&lt;0,0,1)*IF(ABS(B$3*10^12-$A107)&gt;(B$3*10^12-$A106),$A106,$A107)=B107,0,IF((B$3*10^12-$A107)*(B$3*10^12-$A106)*-1&lt;0,0,1)*IF(ABS(B$3*10^12-$A107)&gt;(B$3*10^12-$A106),$A106,$A107))</f>
        <v/>
      </c>
      <c r="C106">
        <f>IF(IF((C$3*10^12-$A107)*(C$3*10^12-$A106)*-1&lt;0,0,1)*IF(ABS(C$3*10^12-$A107)&gt;(C$3*10^12-$A106),$A106,$A107)=C107,0,IF((C$3*10^12-$A107)*(C$3*10^12-$A106)*-1&lt;0,0,1)*IF(ABS(C$3*10^12-$A107)&gt;(C$3*10^12-$A106),$A106,$A107))</f>
        <v/>
      </c>
      <c r="D106">
        <f>IF(IF((D$3*10^12-$A107)*(D$3*10^12-$A106)*-1&lt;0,0,1)*IF(ABS(D$3*10^12-$A107)&gt;(D$3*10^12-$A106),$A106,$A107)=D107,0,IF((D$3*10^12-$A107)*(D$3*10^12-$A106)*-1&lt;0,0,1)*IF(ABS(D$3*10^12-$A107)&gt;(D$3*10^12-$A106),$A106,$A107))</f>
        <v/>
      </c>
      <c r="E106">
        <f>IF(IF((E$3*10^12-$A107)*(E$3*10^12-$A106)*-1&lt;0,0,1)*IF(ABS(E$3*10^12-$A107)&gt;(E$3*10^12-$A106),$A106,$A107)=E107,0,IF((E$3*10^12-$A107)*(E$3*10^12-$A106)*-1&lt;0,0,1)*IF(ABS(E$3*10^12-$A107)&gt;(E$3*10^12-$A106),$A106,$A107))</f>
        <v/>
      </c>
      <c r="F106">
        <f>IF(IF((F$3*10^12-$A107)*(F$3*10^12-$A106)*-1&lt;0,0,1)*IF(ABS(F$3*10^12-$A107)&gt;(F$3*10^12-$A106),$A106,$A107)=F107,0,IF((F$3*10^12-$A107)*(F$3*10^12-$A106)*-1&lt;0,0,1)*IF(ABS(F$3*10^12-$A107)&gt;(F$3*10^12-$A106),$A106,$A107))</f>
        <v/>
      </c>
      <c r="G106">
        <f>IF(IF((G$3*10^12-$A107)*(G$3*10^12-$A106)*-1&lt;0,0,1)*IF(ABS(G$3*10^12-$A107)&gt;(G$3*10^12-$A106),$A106,$A107)=G107,0,IF((G$3*10^12-$A107)*(G$3*10^12-$A106)*-1&lt;0,0,1)*IF(ABS(G$3*10^12-$A107)&gt;(G$3*10^12-$A106),$A106,$A107))</f>
        <v/>
      </c>
      <c r="H106">
        <f>IF(IF((H$3*10^12-$A107)*(H$3*10^12-$A106)*-1&lt;0,0,1)*IF(ABS(H$3*10^12-$A107)&gt;(H$3*10^12-$A106),$A106,$A107)=H107,0,IF((H$3*10^12-$A107)*(H$3*10^12-$A106)*-1&lt;0,0,1)*IF(ABS(H$3*10^12-$A107)&gt;(H$3*10^12-$A106),$A106,$A107))</f>
        <v/>
      </c>
      <c r="I106">
        <f>IF(IF((I$3*10^12-$A107)*(I$3*10^12-$A106)*-1&lt;0,0,1)*IF(ABS(I$3*10^12-$A107)&gt;(I$3*10^12-$A106),$A106,$A107)=I107,0,IF((I$3*10^12-$A107)*(I$3*10^12-$A106)*-1&lt;0,0,1)*IF(ABS(I$3*10^12-$A107)&gt;(I$3*10^12-$A106),$A106,$A107))</f>
        <v/>
      </c>
      <c r="J106">
        <f>IF(IF((J$3*10^12-$A107)*(J$3*10^12-$A106)*-1&lt;0,0,1)*IF(ABS(J$3*10^12-$A107)&gt;(J$3*10^12-$A106),$A106,$A107)=J107,0,IF((J$3*10^12-$A107)*(J$3*10^12-$A106)*-1&lt;0,0,1)*IF(ABS(J$3*10^12-$A107)&gt;(J$3*10^12-$A106),$A106,$A107))</f>
        <v/>
      </c>
      <c r="K106">
        <f>IF(IF((K$3*10^12-$A107)*(K$3*10^12-$A106)*-1&lt;0,0,1)*IF(ABS(K$3*10^12-$A107)&gt;(K$3*10^12-$A106),$A106,$A107)=K107,0,IF((K$3*10^12-$A107)*(K$3*10^12-$A106)*-1&lt;0,0,1)*IF(ABS(K$3*10^12-$A107)&gt;(K$3*10^12-$A106),$A106,$A107))</f>
        <v/>
      </c>
      <c r="L106">
        <f>IF(IF((L$3*10^12-$A107)*(L$3*10^12-$A106)*-1&lt;0,0,1)*IF(ABS(L$3*10^12-$A107)&gt;(L$3*10^12-$A106),$A106,$A107)=L107,0,IF((L$3*10^12-$A107)*(L$3*10^12-$A106)*-1&lt;0,0,1)*IF(ABS(L$3*10^12-$A107)&gt;(L$3*10^12-$A106),$A106,$A107))</f>
        <v/>
      </c>
      <c r="M106">
        <f>IF(IF((M$3*10^12-$A107)*(M$3*10^12-$A106)*-1&lt;0,0,1)*IF(ABS(M$3*10^12-$A107)&gt;(M$3*10^12-$A106),$A106,$A107)=M107,0,IF((M$3*10^12-$A107)*(M$3*10^12-$A106)*-1&lt;0,0,1)*IF(ABS(M$3*10^12-$A107)&gt;(M$3*10^12-$A106),$A106,$A107))</f>
        <v/>
      </c>
      <c r="N106">
        <f>IF(IF((N$3*10^12-$A107)*(N$3*10^12-$A106)*-1&lt;0,0,1)*IF(ABS(N$3*10^12-$A107)&gt;(N$3*10^12-$A106),$A106,$A107)=N107,0,IF((N$3*10^12-$A107)*(N$3*10^12-$A106)*-1&lt;0,0,1)*IF(ABS(N$3*10^12-$A107)&gt;(N$3*10^12-$A106),$A106,$A107))</f>
        <v/>
      </c>
    </row>
    <row r="107">
      <c r="A107">
        <f>A95*10</f>
        <v/>
      </c>
      <c r="B107">
        <f>IF(IF((B$3*10^12-$A108)*(B$3*10^12-$A107)*-1&lt;0,0,1)*IF(ABS(B$3*10^12-$A108)&gt;(B$3*10^12-$A107),$A107,$A108)=B108,0,IF((B$3*10^12-$A108)*(B$3*10^12-$A107)*-1&lt;0,0,1)*IF(ABS(B$3*10^12-$A108)&gt;(B$3*10^12-$A107),$A107,$A108))</f>
        <v/>
      </c>
      <c r="C107">
        <f>IF(IF((C$3*10^12-$A108)*(C$3*10^12-$A107)*-1&lt;0,0,1)*IF(ABS(C$3*10^12-$A108)&gt;(C$3*10^12-$A107),$A107,$A108)=C108,0,IF((C$3*10^12-$A108)*(C$3*10^12-$A107)*-1&lt;0,0,1)*IF(ABS(C$3*10^12-$A108)&gt;(C$3*10^12-$A107),$A107,$A108))</f>
        <v/>
      </c>
      <c r="D107">
        <f>IF(IF((D$3*10^12-$A108)*(D$3*10^12-$A107)*-1&lt;0,0,1)*IF(ABS(D$3*10^12-$A108)&gt;(D$3*10^12-$A107),$A107,$A108)=D108,0,IF((D$3*10^12-$A108)*(D$3*10^12-$A107)*-1&lt;0,0,1)*IF(ABS(D$3*10^12-$A108)&gt;(D$3*10^12-$A107),$A107,$A108))</f>
        <v/>
      </c>
      <c r="E107">
        <f>IF(IF((E$3*10^12-$A108)*(E$3*10^12-$A107)*-1&lt;0,0,1)*IF(ABS(E$3*10^12-$A108)&gt;(E$3*10^12-$A107),$A107,$A108)=E108,0,IF((E$3*10^12-$A108)*(E$3*10^12-$A107)*-1&lt;0,0,1)*IF(ABS(E$3*10^12-$A108)&gt;(E$3*10^12-$A107),$A107,$A108))</f>
        <v/>
      </c>
      <c r="F107">
        <f>IF(IF((F$3*10^12-$A108)*(F$3*10^12-$A107)*-1&lt;0,0,1)*IF(ABS(F$3*10^12-$A108)&gt;(F$3*10^12-$A107),$A107,$A108)=F108,0,IF((F$3*10^12-$A108)*(F$3*10^12-$A107)*-1&lt;0,0,1)*IF(ABS(F$3*10^12-$A108)&gt;(F$3*10^12-$A107),$A107,$A108))</f>
        <v/>
      </c>
      <c r="G107">
        <f>IF(IF((G$3*10^12-$A108)*(G$3*10^12-$A107)*-1&lt;0,0,1)*IF(ABS(G$3*10^12-$A108)&gt;(G$3*10^12-$A107),$A107,$A108)=G108,0,IF((G$3*10^12-$A108)*(G$3*10^12-$A107)*-1&lt;0,0,1)*IF(ABS(G$3*10^12-$A108)&gt;(G$3*10^12-$A107),$A107,$A108))</f>
        <v/>
      </c>
      <c r="H107">
        <f>IF(IF((H$3*10^12-$A108)*(H$3*10^12-$A107)*-1&lt;0,0,1)*IF(ABS(H$3*10^12-$A108)&gt;(H$3*10^12-$A107),$A107,$A108)=H108,0,IF((H$3*10^12-$A108)*(H$3*10^12-$A107)*-1&lt;0,0,1)*IF(ABS(H$3*10^12-$A108)&gt;(H$3*10^12-$A107),$A107,$A108))</f>
        <v/>
      </c>
      <c r="I107">
        <f>IF(IF((I$3*10^12-$A108)*(I$3*10^12-$A107)*-1&lt;0,0,1)*IF(ABS(I$3*10^12-$A108)&gt;(I$3*10^12-$A107),$A107,$A108)=I108,0,IF((I$3*10^12-$A108)*(I$3*10^12-$A107)*-1&lt;0,0,1)*IF(ABS(I$3*10^12-$A108)&gt;(I$3*10^12-$A107),$A107,$A108))</f>
        <v/>
      </c>
      <c r="J107">
        <f>IF(IF((J$3*10^12-$A108)*(J$3*10^12-$A107)*-1&lt;0,0,1)*IF(ABS(J$3*10^12-$A108)&gt;(J$3*10^12-$A107),$A107,$A108)=J108,0,IF((J$3*10^12-$A108)*(J$3*10^12-$A107)*-1&lt;0,0,1)*IF(ABS(J$3*10^12-$A108)&gt;(J$3*10^12-$A107),$A107,$A108))</f>
        <v/>
      </c>
      <c r="K107">
        <f>IF(IF((K$3*10^12-$A108)*(K$3*10^12-$A107)*-1&lt;0,0,1)*IF(ABS(K$3*10^12-$A108)&gt;(K$3*10^12-$A107),$A107,$A108)=K108,0,IF((K$3*10^12-$A108)*(K$3*10^12-$A107)*-1&lt;0,0,1)*IF(ABS(K$3*10^12-$A108)&gt;(K$3*10^12-$A107),$A107,$A108))</f>
        <v/>
      </c>
      <c r="L107">
        <f>IF(IF((L$3*10^12-$A108)*(L$3*10^12-$A107)*-1&lt;0,0,1)*IF(ABS(L$3*10^12-$A108)&gt;(L$3*10^12-$A107),$A107,$A108)=L108,0,IF((L$3*10^12-$A108)*(L$3*10^12-$A107)*-1&lt;0,0,1)*IF(ABS(L$3*10^12-$A108)&gt;(L$3*10^12-$A107),$A107,$A108))</f>
        <v/>
      </c>
      <c r="M107">
        <f>IF(IF((M$3*10^12-$A108)*(M$3*10^12-$A107)*-1&lt;0,0,1)*IF(ABS(M$3*10^12-$A108)&gt;(M$3*10^12-$A107),$A107,$A108)=M108,0,IF((M$3*10^12-$A108)*(M$3*10^12-$A107)*-1&lt;0,0,1)*IF(ABS(M$3*10^12-$A108)&gt;(M$3*10^12-$A107),$A107,$A108))</f>
        <v/>
      </c>
      <c r="N107">
        <f>IF(IF((N$3*10^12-$A108)*(N$3*10^12-$A107)*-1&lt;0,0,1)*IF(ABS(N$3*10^12-$A108)&gt;(N$3*10^12-$A107),$A107,$A108)=N108,0,IF((N$3*10^12-$A108)*(N$3*10^12-$A107)*-1&lt;0,0,1)*IF(ABS(N$3*10^12-$A108)&gt;(N$3*10^12-$A107),$A107,$A108))</f>
        <v/>
      </c>
    </row>
    <row r="108">
      <c r="A108">
        <f>A96*10</f>
        <v/>
      </c>
      <c r="B108">
        <f>IF(IF((B$3*10^12-$A109)*(B$3*10^12-$A108)*-1&lt;0,0,1)*IF(ABS(B$3*10^12-$A109)&gt;(B$3*10^12-$A108),$A108,$A109)=B109,0,IF((B$3*10^12-$A109)*(B$3*10^12-$A108)*-1&lt;0,0,1)*IF(ABS(B$3*10^12-$A109)&gt;(B$3*10^12-$A108),$A108,$A109))</f>
        <v/>
      </c>
      <c r="C108">
        <f>IF(IF((C$3*10^12-$A109)*(C$3*10^12-$A108)*-1&lt;0,0,1)*IF(ABS(C$3*10^12-$A109)&gt;(C$3*10^12-$A108),$A108,$A109)=C109,0,IF((C$3*10^12-$A109)*(C$3*10^12-$A108)*-1&lt;0,0,1)*IF(ABS(C$3*10^12-$A109)&gt;(C$3*10^12-$A108),$A108,$A109))</f>
        <v/>
      </c>
      <c r="D108">
        <f>IF(IF((D$3*10^12-$A109)*(D$3*10^12-$A108)*-1&lt;0,0,1)*IF(ABS(D$3*10^12-$A109)&gt;(D$3*10^12-$A108),$A108,$A109)=D109,0,IF((D$3*10^12-$A109)*(D$3*10^12-$A108)*-1&lt;0,0,1)*IF(ABS(D$3*10^12-$A109)&gt;(D$3*10^12-$A108),$A108,$A109))</f>
        <v/>
      </c>
      <c r="E108">
        <f>IF(IF((E$3*10^12-$A109)*(E$3*10^12-$A108)*-1&lt;0,0,1)*IF(ABS(E$3*10^12-$A109)&gt;(E$3*10^12-$A108),$A108,$A109)=E109,0,IF((E$3*10^12-$A109)*(E$3*10^12-$A108)*-1&lt;0,0,1)*IF(ABS(E$3*10^12-$A109)&gt;(E$3*10^12-$A108),$A108,$A109))</f>
        <v/>
      </c>
      <c r="F108">
        <f>IF(IF((F$3*10^12-$A109)*(F$3*10^12-$A108)*-1&lt;0,0,1)*IF(ABS(F$3*10^12-$A109)&gt;(F$3*10^12-$A108),$A108,$A109)=F109,0,IF((F$3*10^12-$A109)*(F$3*10^12-$A108)*-1&lt;0,0,1)*IF(ABS(F$3*10^12-$A109)&gt;(F$3*10^12-$A108),$A108,$A109))</f>
        <v/>
      </c>
      <c r="G108">
        <f>IF(IF((G$3*10^12-$A109)*(G$3*10^12-$A108)*-1&lt;0,0,1)*IF(ABS(G$3*10^12-$A109)&gt;(G$3*10^12-$A108),$A108,$A109)=G109,0,IF((G$3*10^12-$A109)*(G$3*10^12-$A108)*-1&lt;0,0,1)*IF(ABS(G$3*10^12-$A109)&gt;(G$3*10^12-$A108),$A108,$A109))</f>
        <v/>
      </c>
      <c r="H108">
        <f>IF(IF((H$3*10^12-$A109)*(H$3*10^12-$A108)*-1&lt;0,0,1)*IF(ABS(H$3*10^12-$A109)&gt;(H$3*10^12-$A108),$A108,$A109)=H109,0,IF((H$3*10^12-$A109)*(H$3*10^12-$A108)*-1&lt;0,0,1)*IF(ABS(H$3*10^12-$A109)&gt;(H$3*10^12-$A108),$A108,$A109))</f>
        <v/>
      </c>
      <c r="I108">
        <f>IF(IF((I$3*10^12-$A109)*(I$3*10^12-$A108)*-1&lt;0,0,1)*IF(ABS(I$3*10^12-$A109)&gt;(I$3*10^12-$A108),$A108,$A109)=I109,0,IF((I$3*10^12-$A109)*(I$3*10^12-$A108)*-1&lt;0,0,1)*IF(ABS(I$3*10^12-$A109)&gt;(I$3*10^12-$A108),$A108,$A109))</f>
        <v/>
      </c>
      <c r="J108">
        <f>IF(IF((J$3*10^12-$A109)*(J$3*10^12-$A108)*-1&lt;0,0,1)*IF(ABS(J$3*10^12-$A109)&gt;(J$3*10^12-$A108),$A108,$A109)=J109,0,IF((J$3*10^12-$A109)*(J$3*10^12-$A108)*-1&lt;0,0,1)*IF(ABS(J$3*10^12-$A109)&gt;(J$3*10^12-$A108),$A108,$A109))</f>
        <v/>
      </c>
      <c r="K108">
        <f>IF(IF((K$3*10^12-$A109)*(K$3*10^12-$A108)*-1&lt;0,0,1)*IF(ABS(K$3*10^12-$A109)&gt;(K$3*10^12-$A108),$A108,$A109)=K109,0,IF((K$3*10^12-$A109)*(K$3*10^12-$A108)*-1&lt;0,0,1)*IF(ABS(K$3*10^12-$A109)&gt;(K$3*10^12-$A108),$A108,$A109))</f>
        <v/>
      </c>
      <c r="L108">
        <f>IF(IF((L$3*10^12-$A109)*(L$3*10^12-$A108)*-1&lt;0,0,1)*IF(ABS(L$3*10^12-$A109)&gt;(L$3*10^12-$A108),$A108,$A109)=L109,0,IF((L$3*10^12-$A109)*(L$3*10^12-$A108)*-1&lt;0,0,1)*IF(ABS(L$3*10^12-$A109)&gt;(L$3*10^12-$A108),$A108,$A109))</f>
        <v/>
      </c>
      <c r="M108">
        <f>IF(IF((M$3*10^12-$A109)*(M$3*10^12-$A108)*-1&lt;0,0,1)*IF(ABS(M$3*10^12-$A109)&gt;(M$3*10^12-$A108),$A108,$A109)=M109,0,IF((M$3*10^12-$A109)*(M$3*10^12-$A108)*-1&lt;0,0,1)*IF(ABS(M$3*10^12-$A109)&gt;(M$3*10^12-$A108),$A108,$A109))</f>
        <v/>
      </c>
      <c r="N108">
        <f>IF(IF((N$3*10^12-$A109)*(N$3*10^12-$A108)*-1&lt;0,0,1)*IF(ABS(N$3*10^12-$A109)&gt;(N$3*10^12-$A108),$A108,$A109)=N109,0,IF((N$3*10^12-$A109)*(N$3*10^12-$A108)*-1&lt;0,0,1)*IF(ABS(N$3*10^12-$A109)&gt;(N$3*10^12-$A108),$A108,$A109))</f>
        <v/>
      </c>
    </row>
    <row r="109">
      <c r="A109">
        <f>A97*10</f>
        <v/>
      </c>
      <c r="B109">
        <f>IF(IF((B$3*10^12-$A110)*(B$3*10^12-$A109)*-1&lt;0,0,1)*IF(ABS(B$3*10^12-$A110)&gt;(B$3*10^12-$A109),$A109,$A110)=B110,0,IF((B$3*10^12-$A110)*(B$3*10^12-$A109)*-1&lt;0,0,1)*IF(ABS(B$3*10^12-$A110)&gt;(B$3*10^12-$A109),$A109,$A110))</f>
        <v/>
      </c>
      <c r="C109">
        <f>IF(IF((C$3*10^12-$A110)*(C$3*10^12-$A109)*-1&lt;0,0,1)*IF(ABS(C$3*10^12-$A110)&gt;(C$3*10^12-$A109),$A109,$A110)=C110,0,IF((C$3*10^12-$A110)*(C$3*10^12-$A109)*-1&lt;0,0,1)*IF(ABS(C$3*10^12-$A110)&gt;(C$3*10^12-$A109),$A109,$A110))</f>
        <v/>
      </c>
      <c r="D109">
        <f>IF(IF((D$3*10^12-$A110)*(D$3*10^12-$A109)*-1&lt;0,0,1)*IF(ABS(D$3*10^12-$A110)&gt;(D$3*10^12-$A109),$A109,$A110)=D110,0,IF((D$3*10^12-$A110)*(D$3*10^12-$A109)*-1&lt;0,0,1)*IF(ABS(D$3*10^12-$A110)&gt;(D$3*10^12-$A109),$A109,$A110))</f>
        <v/>
      </c>
      <c r="E109">
        <f>IF(IF((E$3*10^12-$A110)*(E$3*10^12-$A109)*-1&lt;0,0,1)*IF(ABS(E$3*10^12-$A110)&gt;(E$3*10^12-$A109),$A109,$A110)=E110,0,IF((E$3*10^12-$A110)*(E$3*10^12-$A109)*-1&lt;0,0,1)*IF(ABS(E$3*10^12-$A110)&gt;(E$3*10^12-$A109),$A109,$A110))</f>
        <v/>
      </c>
      <c r="F109">
        <f>IF(IF((F$3*10^12-$A110)*(F$3*10^12-$A109)*-1&lt;0,0,1)*IF(ABS(F$3*10^12-$A110)&gt;(F$3*10^12-$A109),$A109,$A110)=F110,0,IF((F$3*10^12-$A110)*(F$3*10^12-$A109)*-1&lt;0,0,1)*IF(ABS(F$3*10^12-$A110)&gt;(F$3*10^12-$A109),$A109,$A110))</f>
        <v/>
      </c>
      <c r="G109">
        <f>IF(IF((G$3*10^12-$A110)*(G$3*10^12-$A109)*-1&lt;0,0,1)*IF(ABS(G$3*10^12-$A110)&gt;(G$3*10^12-$A109),$A109,$A110)=G110,0,IF((G$3*10^12-$A110)*(G$3*10^12-$A109)*-1&lt;0,0,1)*IF(ABS(G$3*10^12-$A110)&gt;(G$3*10^12-$A109),$A109,$A110))</f>
        <v/>
      </c>
      <c r="H109">
        <f>IF(IF((H$3*10^12-$A110)*(H$3*10^12-$A109)*-1&lt;0,0,1)*IF(ABS(H$3*10^12-$A110)&gt;(H$3*10^12-$A109),$A109,$A110)=H110,0,IF((H$3*10^12-$A110)*(H$3*10^12-$A109)*-1&lt;0,0,1)*IF(ABS(H$3*10^12-$A110)&gt;(H$3*10^12-$A109),$A109,$A110))</f>
        <v/>
      </c>
      <c r="I109">
        <f>IF(IF((I$3*10^12-$A110)*(I$3*10^12-$A109)*-1&lt;0,0,1)*IF(ABS(I$3*10^12-$A110)&gt;(I$3*10^12-$A109),$A109,$A110)=I110,0,IF((I$3*10^12-$A110)*(I$3*10^12-$A109)*-1&lt;0,0,1)*IF(ABS(I$3*10^12-$A110)&gt;(I$3*10^12-$A109),$A109,$A110))</f>
        <v/>
      </c>
      <c r="J109">
        <f>IF(IF((J$3*10^12-$A110)*(J$3*10^12-$A109)*-1&lt;0,0,1)*IF(ABS(J$3*10^12-$A110)&gt;(J$3*10^12-$A109),$A109,$A110)=J110,0,IF((J$3*10^12-$A110)*(J$3*10^12-$A109)*-1&lt;0,0,1)*IF(ABS(J$3*10^12-$A110)&gt;(J$3*10^12-$A109),$A109,$A110))</f>
        <v/>
      </c>
      <c r="K109">
        <f>IF(IF((K$3*10^12-$A110)*(K$3*10^12-$A109)*-1&lt;0,0,1)*IF(ABS(K$3*10^12-$A110)&gt;(K$3*10^12-$A109),$A109,$A110)=K110,0,IF((K$3*10^12-$A110)*(K$3*10^12-$A109)*-1&lt;0,0,1)*IF(ABS(K$3*10^12-$A110)&gt;(K$3*10^12-$A109),$A109,$A110))</f>
        <v/>
      </c>
      <c r="L109">
        <f>IF(IF((L$3*10^12-$A110)*(L$3*10^12-$A109)*-1&lt;0,0,1)*IF(ABS(L$3*10^12-$A110)&gt;(L$3*10^12-$A109),$A109,$A110)=L110,0,IF((L$3*10^12-$A110)*(L$3*10^12-$A109)*-1&lt;0,0,1)*IF(ABS(L$3*10^12-$A110)&gt;(L$3*10^12-$A109),$A109,$A110))</f>
        <v/>
      </c>
      <c r="M109">
        <f>IF(IF((M$3*10^12-$A110)*(M$3*10^12-$A109)*-1&lt;0,0,1)*IF(ABS(M$3*10^12-$A110)&gt;(M$3*10^12-$A109),$A109,$A110)=M110,0,IF((M$3*10^12-$A110)*(M$3*10^12-$A109)*-1&lt;0,0,1)*IF(ABS(M$3*10^12-$A110)&gt;(M$3*10^12-$A109),$A109,$A110))</f>
        <v/>
      </c>
      <c r="N109">
        <f>IF(IF((N$3*10^12-$A110)*(N$3*10^12-$A109)*-1&lt;0,0,1)*IF(ABS(N$3*10^12-$A110)&gt;(N$3*10^12-$A109),$A109,$A110)=N110,0,IF((N$3*10^12-$A110)*(N$3*10^12-$A109)*-1&lt;0,0,1)*IF(ABS(N$3*10^12-$A110)&gt;(N$3*10^12-$A109),$A109,$A110))</f>
        <v/>
      </c>
    </row>
    <row r="110">
      <c r="A110">
        <f>A98*10</f>
        <v/>
      </c>
      <c r="B110">
        <f>IF(IF((B$3*10^12-$A111)*(B$3*10^12-$A110)*-1&lt;0,0,1)*IF(ABS(B$3*10^12-$A111)&gt;(B$3*10^12-$A110),$A110,$A111)=B111,0,IF((B$3*10^12-$A111)*(B$3*10^12-$A110)*-1&lt;0,0,1)*IF(ABS(B$3*10^12-$A111)&gt;(B$3*10^12-$A110),$A110,$A111))</f>
        <v/>
      </c>
      <c r="C110">
        <f>IF(IF((C$3*10^12-$A111)*(C$3*10^12-$A110)*-1&lt;0,0,1)*IF(ABS(C$3*10^12-$A111)&gt;(C$3*10^12-$A110),$A110,$A111)=C111,0,IF((C$3*10^12-$A111)*(C$3*10^12-$A110)*-1&lt;0,0,1)*IF(ABS(C$3*10^12-$A111)&gt;(C$3*10^12-$A110),$A110,$A111))</f>
        <v/>
      </c>
      <c r="D110">
        <f>IF(IF((D$3*10^12-$A111)*(D$3*10^12-$A110)*-1&lt;0,0,1)*IF(ABS(D$3*10^12-$A111)&gt;(D$3*10^12-$A110),$A110,$A111)=D111,0,IF((D$3*10^12-$A111)*(D$3*10^12-$A110)*-1&lt;0,0,1)*IF(ABS(D$3*10^12-$A111)&gt;(D$3*10^12-$A110),$A110,$A111))</f>
        <v/>
      </c>
      <c r="E110">
        <f>IF(IF((E$3*10^12-$A111)*(E$3*10^12-$A110)*-1&lt;0,0,1)*IF(ABS(E$3*10^12-$A111)&gt;(E$3*10^12-$A110),$A110,$A111)=E111,0,IF((E$3*10^12-$A111)*(E$3*10^12-$A110)*-1&lt;0,0,1)*IF(ABS(E$3*10^12-$A111)&gt;(E$3*10^12-$A110),$A110,$A111))</f>
        <v/>
      </c>
      <c r="F110">
        <f>IF(IF((F$3*10^12-$A111)*(F$3*10^12-$A110)*-1&lt;0,0,1)*IF(ABS(F$3*10^12-$A111)&gt;(F$3*10^12-$A110),$A110,$A111)=F111,0,IF((F$3*10^12-$A111)*(F$3*10^12-$A110)*-1&lt;0,0,1)*IF(ABS(F$3*10^12-$A111)&gt;(F$3*10^12-$A110),$A110,$A111))</f>
        <v/>
      </c>
      <c r="G110">
        <f>IF(IF((G$3*10^12-$A111)*(G$3*10^12-$A110)*-1&lt;0,0,1)*IF(ABS(G$3*10^12-$A111)&gt;(G$3*10^12-$A110),$A110,$A111)=G111,0,IF((G$3*10^12-$A111)*(G$3*10^12-$A110)*-1&lt;0,0,1)*IF(ABS(G$3*10^12-$A111)&gt;(G$3*10^12-$A110),$A110,$A111))</f>
        <v/>
      </c>
      <c r="H110">
        <f>IF(IF((H$3*10^12-$A111)*(H$3*10^12-$A110)*-1&lt;0,0,1)*IF(ABS(H$3*10^12-$A111)&gt;(H$3*10^12-$A110),$A110,$A111)=H111,0,IF((H$3*10^12-$A111)*(H$3*10^12-$A110)*-1&lt;0,0,1)*IF(ABS(H$3*10^12-$A111)&gt;(H$3*10^12-$A110),$A110,$A111))</f>
        <v/>
      </c>
      <c r="I110">
        <f>IF(IF((I$3*10^12-$A111)*(I$3*10^12-$A110)*-1&lt;0,0,1)*IF(ABS(I$3*10^12-$A111)&gt;(I$3*10^12-$A110),$A110,$A111)=I111,0,IF((I$3*10^12-$A111)*(I$3*10^12-$A110)*-1&lt;0,0,1)*IF(ABS(I$3*10^12-$A111)&gt;(I$3*10^12-$A110),$A110,$A111))</f>
        <v/>
      </c>
      <c r="J110">
        <f>IF(IF((J$3*10^12-$A111)*(J$3*10^12-$A110)*-1&lt;0,0,1)*IF(ABS(J$3*10^12-$A111)&gt;(J$3*10^12-$A110),$A110,$A111)=J111,0,IF((J$3*10^12-$A111)*(J$3*10^12-$A110)*-1&lt;0,0,1)*IF(ABS(J$3*10^12-$A111)&gt;(J$3*10^12-$A110),$A110,$A111))</f>
        <v/>
      </c>
      <c r="K110">
        <f>IF(IF((K$3*10^12-$A111)*(K$3*10^12-$A110)*-1&lt;0,0,1)*IF(ABS(K$3*10^12-$A111)&gt;(K$3*10^12-$A110),$A110,$A111)=K111,0,IF((K$3*10^12-$A111)*(K$3*10^12-$A110)*-1&lt;0,0,1)*IF(ABS(K$3*10^12-$A111)&gt;(K$3*10^12-$A110),$A110,$A111))</f>
        <v/>
      </c>
      <c r="L110">
        <f>IF(IF((L$3*10^12-$A111)*(L$3*10^12-$A110)*-1&lt;0,0,1)*IF(ABS(L$3*10^12-$A111)&gt;(L$3*10^12-$A110),$A110,$A111)=L111,0,IF((L$3*10^12-$A111)*(L$3*10^12-$A110)*-1&lt;0,0,1)*IF(ABS(L$3*10^12-$A111)&gt;(L$3*10^12-$A110),$A110,$A111))</f>
        <v/>
      </c>
      <c r="M110">
        <f>IF(IF((M$3*10^12-$A111)*(M$3*10^12-$A110)*-1&lt;0,0,1)*IF(ABS(M$3*10^12-$A111)&gt;(M$3*10^12-$A110),$A110,$A111)=M111,0,IF((M$3*10^12-$A111)*(M$3*10^12-$A110)*-1&lt;0,0,1)*IF(ABS(M$3*10^12-$A111)&gt;(M$3*10^12-$A110),$A110,$A111))</f>
        <v/>
      </c>
      <c r="N110">
        <f>IF(IF((N$3*10^12-$A111)*(N$3*10^12-$A110)*-1&lt;0,0,1)*IF(ABS(N$3*10^12-$A111)&gt;(N$3*10^12-$A110),$A110,$A111)=N111,0,IF((N$3*10^12-$A111)*(N$3*10^12-$A110)*-1&lt;0,0,1)*IF(ABS(N$3*10^12-$A111)&gt;(N$3*10^12-$A110),$A110,$A111))</f>
        <v/>
      </c>
    </row>
    <row r="111">
      <c r="A111">
        <f>A99*10</f>
        <v/>
      </c>
      <c r="B111">
        <f>IF(IF((B$3*10^12-$A112)*(B$3*10^12-$A111)*-1&lt;0,0,1)*IF(ABS(B$3*10^12-$A112)&gt;(B$3*10^12-$A111),$A111,$A112)=B112,0,IF((B$3*10^12-$A112)*(B$3*10^12-$A111)*-1&lt;0,0,1)*IF(ABS(B$3*10^12-$A112)&gt;(B$3*10^12-$A111),$A111,$A112))</f>
        <v/>
      </c>
      <c r="C111">
        <f>IF(IF((C$3*10^12-$A112)*(C$3*10^12-$A111)*-1&lt;0,0,1)*IF(ABS(C$3*10^12-$A112)&gt;(C$3*10^12-$A111),$A111,$A112)=C112,0,IF((C$3*10^12-$A112)*(C$3*10^12-$A111)*-1&lt;0,0,1)*IF(ABS(C$3*10^12-$A112)&gt;(C$3*10^12-$A111),$A111,$A112))</f>
        <v/>
      </c>
      <c r="D111">
        <f>IF(IF((D$3*10^12-$A112)*(D$3*10^12-$A111)*-1&lt;0,0,1)*IF(ABS(D$3*10^12-$A112)&gt;(D$3*10^12-$A111),$A111,$A112)=D112,0,IF((D$3*10^12-$A112)*(D$3*10^12-$A111)*-1&lt;0,0,1)*IF(ABS(D$3*10^12-$A112)&gt;(D$3*10^12-$A111),$A111,$A112))</f>
        <v/>
      </c>
      <c r="E111">
        <f>IF(IF((E$3*10^12-$A112)*(E$3*10^12-$A111)*-1&lt;0,0,1)*IF(ABS(E$3*10^12-$A112)&gt;(E$3*10^12-$A111),$A111,$A112)=E112,0,IF((E$3*10^12-$A112)*(E$3*10^12-$A111)*-1&lt;0,0,1)*IF(ABS(E$3*10^12-$A112)&gt;(E$3*10^12-$A111),$A111,$A112))</f>
        <v/>
      </c>
      <c r="F111">
        <f>IF(IF((F$3*10^12-$A112)*(F$3*10^12-$A111)*-1&lt;0,0,1)*IF(ABS(F$3*10^12-$A112)&gt;(F$3*10^12-$A111),$A111,$A112)=F112,0,IF((F$3*10^12-$A112)*(F$3*10^12-$A111)*-1&lt;0,0,1)*IF(ABS(F$3*10^12-$A112)&gt;(F$3*10^12-$A111),$A111,$A112))</f>
        <v/>
      </c>
      <c r="G111">
        <f>IF(IF((G$3*10^12-$A112)*(G$3*10^12-$A111)*-1&lt;0,0,1)*IF(ABS(G$3*10^12-$A112)&gt;(G$3*10^12-$A111),$A111,$A112)=G112,0,IF((G$3*10^12-$A112)*(G$3*10^12-$A111)*-1&lt;0,0,1)*IF(ABS(G$3*10^12-$A112)&gt;(G$3*10^12-$A111),$A111,$A112))</f>
        <v/>
      </c>
      <c r="H111">
        <f>IF(IF((H$3*10^12-$A112)*(H$3*10^12-$A111)*-1&lt;0,0,1)*IF(ABS(H$3*10^12-$A112)&gt;(H$3*10^12-$A111),$A111,$A112)=H112,0,IF((H$3*10^12-$A112)*(H$3*10^12-$A111)*-1&lt;0,0,1)*IF(ABS(H$3*10^12-$A112)&gt;(H$3*10^12-$A111),$A111,$A112))</f>
        <v/>
      </c>
      <c r="I111">
        <f>IF(IF((I$3*10^12-$A112)*(I$3*10^12-$A111)*-1&lt;0,0,1)*IF(ABS(I$3*10^12-$A112)&gt;(I$3*10^12-$A111),$A111,$A112)=I112,0,IF((I$3*10^12-$A112)*(I$3*10^12-$A111)*-1&lt;0,0,1)*IF(ABS(I$3*10^12-$A112)&gt;(I$3*10^12-$A111),$A111,$A112))</f>
        <v/>
      </c>
      <c r="J111">
        <f>IF(IF((J$3*10^12-$A112)*(J$3*10^12-$A111)*-1&lt;0,0,1)*IF(ABS(J$3*10^12-$A112)&gt;(J$3*10^12-$A111),$A111,$A112)=J112,0,IF((J$3*10^12-$A112)*(J$3*10^12-$A111)*-1&lt;0,0,1)*IF(ABS(J$3*10^12-$A112)&gt;(J$3*10^12-$A111),$A111,$A112))</f>
        <v/>
      </c>
      <c r="K111">
        <f>IF(IF((K$3*10^12-$A112)*(K$3*10^12-$A111)*-1&lt;0,0,1)*IF(ABS(K$3*10^12-$A112)&gt;(K$3*10^12-$A111),$A111,$A112)=K112,0,IF((K$3*10^12-$A112)*(K$3*10^12-$A111)*-1&lt;0,0,1)*IF(ABS(K$3*10^12-$A112)&gt;(K$3*10^12-$A111),$A111,$A112))</f>
        <v/>
      </c>
      <c r="L111">
        <f>IF(IF((L$3*10^12-$A112)*(L$3*10^12-$A111)*-1&lt;0,0,1)*IF(ABS(L$3*10^12-$A112)&gt;(L$3*10^12-$A111),$A111,$A112)=L112,0,IF((L$3*10^12-$A112)*(L$3*10^12-$A111)*-1&lt;0,0,1)*IF(ABS(L$3*10^12-$A112)&gt;(L$3*10^12-$A111),$A111,$A112))</f>
        <v/>
      </c>
      <c r="M111">
        <f>IF(IF((M$3*10^12-$A112)*(M$3*10^12-$A111)*-1&lt;0,0,1)*IF(ABS(M$3*10^12-$A112)&gt;(M$3*10^12-$A111),$A111,$A112)=M112,0,IF((M$3*10^12-$A112)*(M$3*10^12-$A111)*-1&lt;0,0,1)*IF(ABS(M$3*10^12-$A112)&gt;(M$3*10^12-$A111),$A111,$A112))</f>
        <v/>
      </c>
      <c r="N111">
        <f>IF(IF((N$3*10^12-$A112)*(N$3*10^12-$A111)*-1&lt;0,0,1)*IF(ABS(N$3*10^12-$A112)&gt;(N$3*10^12-$A111),$A111,$A112)=N112,0,IF((N$3*10^12-$A112)*(N$3*10^12-$A111)*-1&lt;0,0,1)*IF(ABS(N$3*10^12-$A112)&gt;(N$3*10^12-$A111),$A111,$A112))</f>
        <v/>
      </c>
    </row>
    <row r="112">
      <c r="A112">
        <f>A100*10</f>
        <v/>
      </c>
      <c r="B112">
        <f>IF(IF((B$3*10^12-$A113)*(B$3*10^12-$A112)*-1&lt;0,0,1)*IF(ABS(B$3*10^12-$A113)&gt;(B$3*10^12-$A112),$A112,$A113)=B113,0,IF((B$3*10^12-$A113)*(B$3*10^12-$A112)*-1&lt;0,0,1)*IF(ABS(B$3*10^12-$A113)&gt;(B$3*10^12-$A112),$A112,$A113))</f>
        <v/>
      </c>
      <c r="C112">
        <f>IF(IF((C$3*10^12-$A113)*(C$3*10^12-$A112)*-1&lt;0,0,1)*IF(ABS(C$3*10^12-$A113)&gt;(C$3*10^12-$A112),$A112,$A113)=C113,0,IF((C$3*10^12-$A113)*(C$3*10^12-$A112)*-1&lt;0,0,1)*IF(ABS(C$3*10^12-$A113)&gt;(C$3*10^12-$A112),$A112,$A113))</f>
        <v/>
      </c>
      <c r="D112">
        <f>IF(IF((D$3*10^12-$A113)*(D$3*10^12-$A112)*-1&lt;0,0,1)*IF(ABS(D$3*10^12-$A113)&gt;(D$3*10^12-$A112),$A112,$A113)=D113,0,IF((D$3*10^12-$A113)*(D$3*10^12-$A112)*-1&lt;0,0,1)*IF(ABS(D$3*10^12-$A113)&gt;(D$3*10^12-$A112),$A112,$A113))</f>
        <v/>
      </c>
      <c r="E112">
        <f>IF(IF((E$3*10^12-$A113)*(E$3*10^12-$A112)*-1&lt;0,0,1)*IF(ABS(E$3*10^12-$A113)&gt;(E$3*10^12-$A112),$A112,$A113)=E113,0,IF((E$3*10^12-$A113)*(E$3*10^12-$A112)*-1&lt;0,0,1)*IF(ABS(E$3*10^12-$A113)&gt;(E$3*10^12-$A112),$A112,$A113))</f>
        <v/>
      </c>
      <c r="F112">
        <f>IF(IF((F$3*10^12-$A113)*(F$3*10^12-$A112)*-1&lt;0,0,1)*IF(ABS(F$3*10^12-$A113)&gt;(F$3*10^12-$A112),$A112,$A113)=F113,0,IF((F$3*10^12-$A113)*(F$3*10^12-$A112)*-1&lt;0,0,1)*IF(ABS(F$3*10^12-$A113)&gt;(F$3*10^12-$A112),$A112,$A113))</f>
        <v/>
      </c>
      <c r="G112">
        <f>IF(IF((G$3*10^12-$A113)*(G$3*10^12-$A112)*-1&lt;0,0,1)*IF(ABS(G$3*10^12-$A113)&gt;(G$3*10^12-$A112),$A112,$A113)=G113,0,IF((G$3*10^12-$A113)*(G$3*10^12-$A112)*-1&lt;0,0,1)*IF(ABS(G$3*10^12-$A113)&gt;(G$3*10^12-$A112),$A112,$A113))</f>
        <v/>
      </c>
      <c r="H112">
        <f>IF(IF((H$3*10^12-$A113)*(H$3*10^12-$A112)*-1&lt;0,0,1)*IF(ABS(H$3*10^12-$A113)&gt;(H$3*10^12-$A112),$A112,$A113)=H113,0,IF((H$3*10^12-$A113)*(H$3*10^12-$A112)*-1&lt;0,0,1)*IF(ABS(H$3*10^12-$A113)&gt;(H$3*10^12-$A112),$A112,$A113))</f>
        <v/>
      </c>
      <c r="I112">
        <f>IF(IF((I$3*10^12-$A113)*(I$3*10^12-$A112)*-1&lt;0,0,1)*IF(ABS(I$3*10^12-$A113)&gt;(I$3*10^12-$A112),$A112,$A113)=I113,0,IF((I$3*10^12-$A113)*(I$3*10^12-$A112)*-1&lt;0,0,1)*IF(ABS(I$3*10^12-$A113)&gt;(I$3*10^12-$A112),$A112,$A113))</f>
        <v/>
      </c>
      <c r="J112">
        <f>IF(IF((J$3*10^12-$A113)*(J$3*10^12-$A112)*-1&lt;0,0,1)*IF(ABS(J$3*10^12-$A113)&gt;(J$3*10^12-$A112),$A112,$A113)=J113,0,IF((J$3*10^12-$A113)*(J$3*10^12-$A112)*-1&lt;0,0,1)*IF(ABS(J$3*10^12-$A113)&gt;(J$3*10^12-$A112),$A112,$A113))</f>
        <v/>
      </c>
      <c r="K112">
        <f>IF(IF((K$3*10^12-$A113)*(K$3*10^12-$A112)*-1&lt;0,0,1)*IF(ABS(K$3*10^12-$A113)&gt;(K$3*10^12-$A112),$A112,$A113)=K113,0,IF((K$3*10^12-$A113)*(K$3*10^12-$A112)*-1&lt;0,0,1)*IF(ABS(K$3*10^12-$A113)&gt;(K$3*10^12-$A112),$A112,$A113))</f>
        <v/>
      </c>
      <c r="L112">
        <f>IF(IF((L$3*10^12-$A113)*(L$3*10^12-$A112)*-1&lt;0,0,1)*IF(ABS(L$3*10^12-$A113)&gt;(L$3*10^12-$A112),$A112,$A113)=L113,0,IF((L$3*10^12-$A113)*(L$3*10^12-$A112)*-1&lt;0,0,1)*IF(ABS(L$3*10^12-$A113)&gt;(L$3*10^12-$A112),$A112,$A113))</f>
        <v/>
      </c>
      <c r="M112">
        <f>IF(IF((M$3*10^12-$A113)*(M$3*10^12-$A112)*-1&lt;0,0,1)*IF(ABS(M$3*10^12-$A113)&gt;(M$3*10^12-$A112),$A112,$A113)=M113,0,IF((M$3*10^12-$A113)*(M$3*10^12-$A112)*-1&lt;0,0,1)*IF(ABS(M$3*10^12-$A113)&gt;(M$3*10^12-$A112),$A112,$A113))</f>
        <v/>
      </c>
      <c r="N112">
        <f>IF(IF((N$3*10^12-$A113)*(N$3*10^12-$A112)*-1&lt;0,0,1)*IF(ABS(N$3*10^12-$A113)&gt;(N$3*10^12-$A112),$A112,$A113)=N113,0,IF((N$3*10^12-$A113)*(N$3*10^12-$A112)*-1&lt;0,0,1)*IF(ABS(N$3*10^12-$A113)&gt;(N$3*10^12-$A112),$A112,$A113))</f>
        <v/>
      </c>
    </row>
    <row r="113">
      <c r="A113">
        <f>A101*10</f>
        <v/>
      </c>
      <c r="B113">
        <f>IF(IF((B$3*10^12-$A114)*(B$3*10^12-$A113)*-1&lt;0,0,1)*IF(ABS(B$3*10^12-$A114)&gt;(B$3*10^12-$A113),$A113,$A114)=B114,0,IF((B$3*10^12-$A114)*(B$3*10^12-$A113)*-1&lt;0,0,1)*IF(ABS(B$3*10^12-$A114)&gt;(B$3*10^12-$A113),$A113,$A114))</f>
        <v/>
      </c>
      <c r="C113">
        <f>IF(IF((C$3*10^12-$A114)*(C$3*10^12-$A113)*-1&lt;0,0,1)*IF(ABS(C$3*10^12-$A114)&gt;(C$3*10^12-$A113),$A113,$A114)=C114,0,IF((C$3*10^12-$A114)*(C$3*10^12-$A113)*-1&lt;0,0,1)*IF(ABS(C$3*10^12-$A114)&gt;(C$3*10^12-$A113),$A113,$A114))</f>
        <v/>
      </c>
      <c r="D113">
        <f>IF(IF((D$3*10^12-$A114)*(D$3*10^12-$A113)*-1&lt;0,0,1)*IF(ABS(D$3*10^12-$A114)&gt;(D$3*10^12-$A113),$A113,$A114)=D114,0,IF((D$3*10^12-$A114)*(D$3*10^12-$A113)*-1&lt;0,0,1)*IF(ABS(D$3*10^12-$A114)&gt;(D$3*10^12-$A113),$A113,$A114))</f>
        <v/>
      </c>
      <c r="E113">
        <f>IF(IF((E$3*10^12-$A114)*(E$3*10^12-$A113)*-1&lt;0,0,1)*IF(ABS(E$3*10^12-$A114)&gt;(E$3*10^12-$A113),$A113,$A114)=E114,0,IF((E$3*10^12-$A114)*(E$3*10^12-$A113)*-1&lt;0,0,1)*IF(ABS(E$3*10^12-$A114)&gt;(E$3*10^12-$A113),$A113,$A114))</f>
        <v/>
      </c>
      <c r="F113">
        <f>IF(IF((F$3*10^12-$A114)*(F$3*10^12-$A113)*-1&lt;0,0,1)*IF(ABS(F$3*10^12-$A114)&gt;(F$3*10^12-$A113),$A113,$A114)=F114,0,IF((F$3*10^12-$A114)*(F$3*10^12-$A113)*-1&lt;0,0,1)*IF(ABS(F$3*10^12-$A114)&gt;(F$3*10^12-$A113),$A113,$A114))</f>
        <v/>
      </c>
      <c r="G113">
        <f>IF(IF((G$3*10^12-$A114)*(G$3*10^12-$A113)*-1&lt;0,0,1)*IF(ABS(G$3*10^12-$A114)&gt;(G$3*10^12-$A113),$A113,$A114)=G114,0,IF((G$3*10^12-$A114)*(G$3*10^12-$A113)*-1&lt;0,0,1)*IF(ABS(G$3*10^12-$A114)&gt;(G$3*10^12-$A113),$A113,$A114))</f>
        <v/>
      </c>
      <c r="H113">
        <f>IF(IF((H$3*10^12-$A114)*(H$3*10^12-$A113)*-1&lt;0,0,1)*IF(ABS(H$3*10^12-$A114)&gt;(H$3*10^12-$A113),$A113,$A114)=H114,0,IF((H$3*10^12-$A114)*(H$3*10^12-$A113)*-1&lt;0,0,1)*IF(ABS(H$3*10^12-$A114)&gt;(H$3*10^12-$A113),$A113,$A114))</f>
        <v/>
      </c>
      <c r="I113">
        <f>IF(IF((I$3*10^12-$A114)*(I$3*10^12-$A113)*-1&lt;0,0,1)*IF(ABS(I$3*10^12-$A114)&gt;(I$3*10^12-$A113),$A113,$A114)=I114,0,IF((I$3*10^12-$A114)*(I$3*10^12-$A113)*-1&lt;0,0,1)*IF(ABS(I$3*10^12-$A114)&gt;(I$3*10^12-$A113),$A113,$A114))</f>
        <v/>
      </c>
      <c r="J113">
        <f>IF(IF((J$3*10^12-$A114)*(J$3*10^12-$A113)*-1&lt;0,0,1)*IF(ABS(J$3*10^12-$A114)&gt;(J$3*10^12-$A113),$A113,$A114)=J114,0,IF((J$3*10^12-$A114)*(J$3*10^12-$A113)*-1&lt;0,0,1)*IF(ABS(J$3*10^12-$A114)&gt;(J$3*10^12-$A113),$A113,$A114))</f>
        <v/>
      </c>
      <c r="K113">
        <f>IF(IF((K$3*10^12-$A114)*(K$3*10^12-$A113)*-1&lt;0,0,1)*IF(ABS(K$3*10^12-$A114)&gt;(K$3*10^12-$A113),$A113,$A114)=K114,0,IF((K$3*10^12-$A114)*(K$3*10^12-$A113)*-1&lt;0,0,1)*IF(ABS(K$3*10^12-$A114)&gt;(K$3*10^12-$A113),$A113,$A114))</f>
        <v/>
      </c>
      <c r="L113">
        <f>IF(IF((L$3*10^12-$A114)*(L$3*10^12-$A113)*-1&lt;0,0,1)*IF(ABS(L$3*10^12-$A114)&gt;(L$3*10^12-$A113),$A113,$A114)=L114,0,IF((L$3*10^12-$A114)*(L$3*10^12-$A113)*-1&lt;0,0,1)*IF(ABS(L$3*10^12-$A114)&gt;(L$3*10^12-$A113),$A113,$A114))</f>
        <v/>
      </c>
      <c r="M113">
        <f>IF(IF((M$3*10^12-$A114)*(M$3*10^12-$A113)*-1&lt;0,0,1)*IF(ABS(M$3*10^12-$A114)&gt;(M$3*10^12-$A113),$A113,$A114)=M114,0,IF((M$3*10^12-$A114)*(M$3*10^12-$A113)*-1&lt;0,0,1)*IF(ABS(M$3*10^12-$A114)&gt;(M$3*10^12-$A113),$A113,$A114))</f>
        <v/>
      </c>
      <c r="N113">
        <f>IF(IF((N$3*10^12-$A114)*(N$3*10^12-$A113)*-1&lt;0,0,1)*IF(ABS(N$3*10^12-$A114)&gt;(N$3*10^12-$A113),$A113,$A114)=N114,0,IF((N$3*10^12-$A114)*(N$3*10^12-$A113)*-1&lt;0,0,1)*IF(ABS(N$3*10^12-$A114)&gt;(N$3*10^12-$A113),$A113,$A114))</f>
        <v/>
      </c>
    </row>
    <row r="114">
      <c r="A114">
        <f>A102*10</f>
        <v/>
      </c>
      <c r="B114">
        <f>IF(IF((B$3*10^12-$A115)*(B$3*10^12-$A114)*-1&lt;0,0,1)*IF(ABS(B$3*10^12-$A115)&gt;(B$3*10^12-$A114),$A114,$A115)=B115,0,IF((B$3*10^12-$A115)*(B$3*10^12-$A114)*-1&lt;0,0,1)*IF(ABS(B$3*10^12-$A115)&gt;(B$3*10^12-$A114),$A114,$A115))</f>
        <v/>
      </c>
      <c r="C114">
        <f>IF(IF((C$3*10^12-$A115)*(C$3*10^12-$A114)*-1&lt;0,0,1)*IF(ABS(C$3*10^12-$A115)&gt;(C$3*10^12-$A114),$A114,$A115)=C115,0,IF((C$3*10^12-$A115)*(C$3*10^12-$A114)*-1&lt;0,0,1)*IF(ABS(C$3*10^12-$A115)&gt;(C$3*10^12-$A114),$A114,$A115))</f>
        <v/>
      </c>
      <c r="D114">
        <f>IF(IF((D$3*10^12-$A115)*(D$3*10^12-$A114)*-1&lt;0,0,1)*IF(ABS(D$3*10^12-$A115)&gt;(D$3*10^12-$A114),$A114,$A115)=D115,0,IF((D$3*10^12-$A115)*(D$3*10^12-$A114)*-1&lt;0,0,1)*IF(ABS(D$3*10^12-$A115)&gt;(D$3*10^12-$A114),$A114,$A115))</f>
        <v/>
      </c>
      <c r="E114">
        <f>IF(IF((E$3*10^12-$A115)*(E$3*10^12-$A114)*-1&lt;0,0,1)*IF(ABS(E$3*10^12-$A115)&gt;(E$3*10^12-$A114),$A114,$A115)=E115,0,IF((E$3*10^12-$A115)*(E$3*10^12-$A114)*-1&lt;0,0,1)*IF(ABS(E$3*10^12-$A115)&gt;(E$3*10^12-$A114),$A114,$A115))</f>
        <v/>
      </c>
      <c r="F114">
        <f>IF(IF((F$3*10^12-$A115)*(F$3*10^12-$A114)*-1&lt;0,0,1)*IF(ABS(F$3*10^12-$A115)&gt;(F$3*10^12-$A114),$A114,$A115)=F115,0,IF((F$3*10^12-$A115)*(F$3*10^12-$A114)*-1&lt;0,0,1)*IF(ABS(F$3*10^12-$A115)&gt;(F$3*10^12-$A114),$A114,$A115))</f>
        <v/>
      </c>
      <c r="G114">
        <f>IF(IF((G$3*10^12-$A115)*(G$3*10^12-$A114)*-1&lt;0,0,1)*IF(ABS(G$3*10^12-$A115)&gt;(G$3*10^12-$A114),$A114,$A115)=G115,0,IF((G$3*10^12-$A115)*(G$3*10^12-$A114)*-1&lt;0,0,1)*IF(ABS(G$3*10^12-$A115)&gt;(G$3*10^12-$A114),$A114,$A115))</f>
        <v/>
      </c>
      <c r="H114">
        <f>IF(IF((H$3*10^12-$A115)*(H$3*10^12-$A114)*-1&lt;0,0,1)*IF(ABS(H$3*10^12-$A115)&gt;(H$3*10^12-$A114),$A114,$A115)=H115,0,IF((H$3*10^12-$A115)*(H$3*10^12-$A114)*-1&lt;0,0,1)*IF(ABS(H$3*10^12-$A115)&gt;(H$3*10^12-$A114),$A114,$A115))</f>
        <v/>
      </c>
      <c r="I114">
        <f>IF(IF((I$3*10^12-$A115)*(I$3*10^12-$A114)*-1&lt;0,0,1)*IF(ABS(I$3*10^12-$A115)&gt;(I$3*10^12-$A114),$A114,$A115)=I115,0,IF((I$3*10^12-$A115)*(I$3*10^12-$A114)*-1&lt;0,0,1)*IF(ABS(I$3*10^12-$A115)&gt;(I$3*10^12-$A114),$A114,$A115))</f>
        <v/>
      </c>
      <c r="J114">
        <f>IF(IF((J$3*10^12-$A115)*(J$3*10^12-$A114)*-1&lt;0,0,1)*IF(ABS(J$3*10^12-$A115)&gt;(J$3*10^12-$A114),$A114,$A115)=J115,0,IF((J$3*10^12-$A115)*(J$3*10^12-$A114)*-1&lt;0,0,1)*IF(ABS(J$3*10^12-$A115)&gt;(J$3*10^12-$A114),$A114,$A115))</f>
        <v/>
      </c>
      <c r="K114">
        <f>IF(IF((K$3*10^12-$A115)*(K$3*10^12-$A114)*-1&lt;0,0,1)*IF(ABS(K$3*10^12-$A115)&gt;(K$3*10^12-$A114),$A114,$A115)=K115,0,IF((K$3*10^12-$A115)*(K$3*10^12-$A114)*-1&lt;0,0,1)*IF(ABS(K$3*10^12-$A115)&gt;(K$3*10^12-$A114),$A114,$A115))</f>
        <v/>
      </c>
      <c r="L114">
        <f>IF(IF((L$3*10^12-$A115)*(L$3*10^12-$A114)*-1&lt;0,0,1)*IF(ABS(L$3*10^12-$A115)&gt;(L$3*10^12-$A114),$A114,$A115)=L115,0,IF((L$3*10^12-$A115)*(L$3*10^12-$A114)*-1&lt;0,0,1)*IF(ABS(L$3*10^12-$A115)&gt;(L$3*10^12-$A114),$A114,$A115))</f>
        <v/>
      </c>
      <c r="M114">
        <f>IF(IF((M$3*10^12-$A115)*(M$3*10^12-$A114)*-1&lt;0,0,1)*IF(ABS(M$3*10^12-$A115)&gt;(M$3*10^12-$A114),$A114,$A115)=M115,0,IF((M$3*10^12-$A115)*(M$3*10^12-$A114)*-1&lt;0,0,1)*IF(ABS(M$3*10^12-$A115)&gt;(M$3*10^12-$A114),$A114,$A115))</f>
        <v/>
      </c>
      <c r="N114">
        <f>IF(IF((N$3*10^12-$A115)*(N$3*10^12-$A114)*-1&lt;0,0,1)*IF(ABS(N$3*10^12-$A115)&gt;(N$3*10^12-$A114),$A114,$A115)=N115,0,IF((N$3*10^12-$A115)*(N$3*10^12-$A114)*-1&lt;0,0,1)*IF(ABS(N$3*10^12-$A115)&gt;(N$3*10^12-$A114),$A114,$A115))</f>
        <v/>
      </c>
    </row>
    <row r="115">
      <c r="A115">
        <f>A103*10</f>
        <v/>
      </c>
      <c r="B115">
        <f>IF(IF((B$3*10^12-$A116)*(B$3*10^12-$A115)*-1&lt;0,0,1)*IF(ABS(B$3*10^12-$A116)&gt;(B$3*10^12-$A115),$A115,$A116)=B116,0,IF((B$3*10^12-$A116)*(B$3*10^12-$A115)*-1&lt;0,0,1)*IF(ABS(B$3*10^12-$A116)&gt;(B$3*10^12-$A115),$A115,$A116))</f>
        <v/>
      </c>
      <c r="C115">
        <f>IF(IF((C$3*10^12-$A116)*(C$3*10^12-$A115)*-1&lt;0,0,1)*IF(ABS(C$3*10^12-$A116)&gt;(C$3*10^12-$A115),$A115,$A116)=C116,0,IF((C$3*10^12-$A116)*(C$3*10^12-$A115)*-1&lt;0,0,1)*IF(ABS(C$3*10^12-$A116)&gt;(C$3*10^12-$A115),$A115,$A116))</f>
        <v/>
      </c>
      <c r="D115">
        <f>IF(IF((D$3*10^12-$A116)*(D$3*10^12-$A115)*-1&lt;0,0,1)*IF(ABS(D$3*10^12-$A116)&gt;(D$3*10^12-$A115),$A115,$A116)=D116,0,IF((D$3*10^12-$A116)*(D$3*10^12-$A115)*-1&lt;0,0,1)*IF(ABS(D$3*10^12-$A116)&gt;(D$3*10^12-$A115),$A115,$A116))</f>
        <v/>
      </c>
      <c r="E115">
        <f>IF(IF((E$3*10^12-$A116)*(E$3*10^12-$A115)*-1&lt;0,0,1)*IF(ABS(E$3*10^12-$A116)&gt;(E$3*10^12-$A115),$A115,$A116)=E116,0,IF((E$3*10^12-$A116)*(E$3*10^12-$A115)*-1&lt;0,0,1)*IF(ABS(E$3*10^12-$A116)&gt;(E$3*10^12-$A115),$A115,$A116))</f>
        <v/>
      </c>
      <c r="F115">
        <f>IF(IF((F$3*10^12-$A116)*(F$3*10^12-$A115)*-1&lt;0,0,1)*IF(ABS(F$3*10^12-$A116)&gt;(F$3*10^12-$A115),$A115,$A116)=F116,0,IF((F$3*10^12-$A116)*(F$3*10^12-$A115)*-1&lt;0,0,1)*IF(ABS(F$3*10^12-$A116)&gt;(F$3*10^12-$A115),$A115,$A116))</f>
        <v/>
      </c>
      <c r="G115">
        <f>IF(IF((G$3*10^12-$A116)*(G$3*10^12-$A115)*-1&lt;0,0,1)*IF(ABS(G$3*10^12-$A116)&gt;(G$3*10^12-$A115),$A115,$A116)=G116,0,IF((G$3*10^12-$A116)*(G$3*10^12-$A115)*-1&lt;0,0,1)*IF(ABS(G$3*10^12-$A116)&gt;(G$3*10^12-$A115),$A115,$A116))</f>
        <v/>
      </c>
      <c r="H115">
        <f>IF(IF((H$3*10^12-$A116)*(H$3*10^12-$A115)*-1&lt;0,0,1)*IF(ABS(H$3*10^12-$A116)&gt;(H$3*10^12-$A115),$A115,$A116)=H116,0,IF((H$3*10^12-$A116)*(H$3*10^12-$A115)*-1&lt;0,0,1)*IF(ABS(H$3*10^12-$A116)&gt;(H$3*10^12-$A115),$A115,$A116))</f>
        <v/>
      </c>
      <c r="I115">
        <f>IF(IF((I$3*10^12-$A116)*(I$3*10^12-$A115)*-1&lt;0,0,1)*IF(ABS(I$3*10^12-$A116)&gt;(I$3*10^12-$A115),$A115,$A116)=I116,0,IF((I$3*10^12-$A116)*(I$3*10^12-$A115)*-1&lt;0,0,1)*IF(ABS(I$3*10^12-$A116)&gt;(I$3*10^12-$A115),$A115,$A116))</f>
        <v/>
      </c>
      <c r="J115">
        <f>IF(IF((J$3*10^12-$A116)*(J$3*10^12-$A115)*-1&lt;0,0,1)*IF(ABS(J$3*10^12-$A116)&gt;(J$3*10^12-$A115),$A115,$A116)=J116,0,IF((J$3*10^12-$A116)*(J$3*10^12-$A115)*-1&lt;0,0,1)*IF(ABS(J$3*10^12-$A116)&gt;(J$3*10^12-$A115),$A115,$A116))</f>
        <v/>
      </c>
      <c r="K115">
        <f>IF(IF((K$3*10^12-$A116)*(K$3*10^12-$A115)*-1&lt;0,0,1)*IF(ABS(K$3*10^12-$A116)&gt;(K$3*10^12-$A115),$A115,$A116)=K116,0,IF((K$3*10^12-$A116)*(K$3*10^12-$A115)*-1&lt;0,0,1)*IF(ABS(K$3*10^12-$A116)&gt;(K$3*10^12-$A115),$A115,$A116))</f>
        <v/>
      </c>
      <c r="L115">
        <f>IF(IF((L$3*10^12-$A116)*(L$3*10^12-$A115)*-1&lt;0,0,1)*IF(ABS(L$3*10^12-$A116)&gt;(L$3*10^12-$A115),$A115,$A116)=L116,0,IF((L$3*10^12-$A116)*(L$3*10^12-$A115)*-1&lt;0,0,1)*IF(ABS(L$3*10^12-$A116)&gt;(L$3*10^12-$A115),$A115,$A116))</f>
        <v/>
      </c>
      <c r="M115">
        <f>IF(IF((M$3*10^12-$A116)*(M$3*10^12-$A115)*-1&lt;0,0,1)*IF(ABS(M$3*10^12-$A116)&gt;(M$3*10^12-$A115),$A115,$A116)=M116,0,IF((M$3*10^12-$A116)*(M$3*10^12-$A115)*-1&lt;0,0,1)*IF(ABS(M$3*10^12-$A116)&gt;(M$3*10^12-$A115),$A115,$A116))</f>
        <v/>
      </c>
      <c r="N115">
        <f>IF(IF((N$3*10^12-$A116)*(N$3*10^12-$A115)*-1&lt;0,0,1)*IF(ABS(N$3*10^12-$A116)&gt;(N$3*10^12-$A115),$A115,$A116)=N116,0,IF((N$3*10^12-$A116)*(N$3*10^12-$A115)*-1&lt;0,0,1)*IF(ABS(N$3*10^12-$A116)&gt;(N$3*10^12-$A115),$A115,$A116))</f>
        <v/>
      </c>
    </row>
    <row r="116">
      <c r="A116">
        <f>A104*10</f>
        <v/>
      </c>
      <c r="B116">
        <f>IF(IF((B$3*10^12-$A117)*(B$3*10^12-$A116)*-1&lt;0,0,1)*IF(ABS(B$3*10^12-$A117)&gt;(B$3*10^12-$A116),$A116,$A117)=B117,0,IF((B$3*10^12-$A117)*(B$3*10^12-$A116)*-1&lt;0,0,1)*IF(ABS(B$3*10^12-$A117)&gt;(B$3*10^12-$A116),$A116,$A117))</f>
        <v/>
      </c>
      <c r="C116">
        <f>IF(IF((C$3*10^12-$A117)*(C$3*10^12-$A116)*-1&lt;0,0,1)*IF(ABS(C$3*10^12-$A117)&gt;(C$3*10^12-$A116),$A116,$A117)=C117,0,IF((C$3*10^12-$A117)*(C$3*10^12-$A116)*-1&lt;0,0,1)*IF(ABS(C$3*10^12-$A117)&gt;(C$3*10^12-$A116),$A116,$A117))</f>
        <v/>
      </c>
      <c r="D116">
        <f>IF(IF((D$3*10^12-$A117)*(D$3*10^12-$A116)*-1&lt;0,0,1)*IF(ABS(D$3*10^12-$A117)&gt;(D$3*10^12-$A116),$A116,$A117)=D117,0,IF((D$3*10^12-$A117)*(D$3*10^12-$A116)*-1&lt;0,0,1)*IF(ABS(D$3*10^12-$A117)&gt;(D$3*10^12-$A116),$A116,$A117))</f>
        <v/>
      </c>
      <c r="E116">
        <f>IF(IF((E$3*10^12-$A117)*(E$3*10^12-$A116)*-1&lt;0,0,1)*IF(ABS(E$3*10^12-$A117)&gt;(E$3*10^12-$A116),$A116,$A117)=E117,0,IF((E$3*10^12-$A117)*(E$3*10^12-$A116)*-1&lt;0,0,1)*IF(ABS(E$3*10^12-$A117)&gt;(E$3*10^12-$A116),$A116,$A117))</f>
        <v/>
      </c>
      <c r="F116">
        <f>IF(IF((F$3*10^12-$A117)*(F$3*10^12-$A116)*-1&lt;0,0,1)*IF(ABS(F$3*10^12-$A117)&gt;(F$3*10^12-$A116),$A116,$A117)=F117,0,IF((F$3*10^12-$A117)*(F$3*10^12-$A116)*-1&lt;0,0,1)*IF(ABS(F$3*10^12-$A117)&gt;(F$3*10^12-$A116),$A116,$A117))</f>
        <v/>
      </c>
      <c r="G116">
        <f>IF(IF((G$3*10^12-$A117)*(G$3*10^12-$A116)*-1&lt;0,0,1)*IF(ABS(G$3*10^12-$A117)&gt;(G$3*10^12-$A116),$A116,$A117)=G117,0,IF((G$3*10^12-$A117)*(G$3*10^12-$A116)*-1&lt;0,0,1)*IF(ABS(G$3*10^12-$A117)&gt;(G$3*10^12-$A116),$A116,$A117))</f>
        <v/>
      </c>
      <c r="H116">
        <f>IF(IF((H$3*10^12-$A117)*(H$3*10^12-$A116)*-1&lt;0,0,1)*IF(ABS(H$3*10^12-$A117)&gt;(H$3*10^12-$A116),$A116,$A117)=H117,0,IF((H$3*10^12-$A117)*(H$3*10^12-$A116)*-1&lt;0,0,1)*IF(ABS(H$3*10^12-$A117)&gt;(H$3*10^12-$A116),$A116,$A117))</f>
        <v/>
      </c>
      <c r="I116">
        <f>IF(IF((I$3*10^12-$A117)*(I$3*10^12-$A116)*-1&lt;0,0,1)*IF(ABS(I$3*10^12-$A117)&gt;(I$3*10^12-$A116),$A116,$A117)=I117,0,IF((I$3*10^12-$A117)*(I$3*10^12-$A116)*-1&lt;0,0,1)*IF(ABS(I$3*10^12-$A117)&gt;(I$3*10^12-$A116),$A116,$A117))</f>
        <v/>
      </c>
      <c r="J116">
        <f>IF(IF((J$3*10^12-$A117)*(J$3*10^12-$A116)*-1&lt;0,0,1)*IF(ABS(J$3*10^12-$A117)&gt;(J$3*10^12-$A116),$A116,$A117)=J117,0,IF((J$3*10^12-$A117)*(J$3*10^12-$A116)*-1&lt;0,0,1)*IF(ABS(J$3*10^12-$A117)&gt;(J$3*10^12-$A116),$A116,$A117))</f>
        <v/>
      </c>
      <c r="K116">
        <f>IF(IF((K$3*10^12-$A117)*(K$3*10^12-$A116)*-1&lt;0,0,1)*IF(ABS(K$3*10^12-$A117)&gt;(K$3*10^12-$A116),$A116,$A117)=K117,0,IF((K$3*10^12-$A117)*(K$3*10^12-$A116)*-1&lt;0,0,1)*IF(ABS(K$3*10^12-$A117)&gt;(K$3*10^12-$A116),$A116,$A117))</f>
        <v/>
      </c>
      <c r="L116">
        <f>IF(IF((L$3*10^12-$A117)*(L$3*10^12-$A116)*-1&lt;0,0,1)*IF(ABS(L$3*10^12-$A117)&gt;(L$3*10^12-$A116),$A116,$A117)=L117,0,IF((L$3*10^12-$A117)*(L$3*10^12-$A116)*-1&lt;0,0,1)*IF(ABS(L$3*10^12-$A117)&gt;(L$3*10^12-$A116),$A116,$A117))</f>
        <v/>
      </c>
      <c r="M116">
        <f>IF(IF((M$3*10^12-$A117)*(M$3*10^12-$A116)*-1&lt;0,0,1)*IF(ABS(M$3*10^12-$A117)&gt;(M$3*10^12-$A116),$A116,$A117)=M117,0,IF((M$3*10^12-$A117)*(M$3*10^12-$A116)*-1&lt;0,0,1)*IF(ABS(M$3*10^12-$A117)&gt;(M$3*10^12-$A116),$A116,$A117))</f>
        <v/>
      </c>
      <c r="N116">
        <f>IF(IF((N$3*10^12-$A117)*(N$3*10^12-$A116)*-1&lt;0,0,1)*IF(ABS(N$3*10^12-$A117)&gt;(N$3*10^12-$A116),$A116,$A117)=N117,0,IF((N$3*10^12-$A117)*(N$3*10^12-$A116)*-1&lt;0,0,1)*IF(ABS(N$3*10^12-$A117)&gt;(N$3*10^12-$A116),$A116,$A117))</f>
        <v/>
      </c>
    </row>
    <row r="117">
      <c r="A117">
        <f>A105*10</f>
        <v/>
      </c>
      <c r="B117">
        <f>IF(IF((B$3*10^12-$A118)*(B$3*10^12-$A117)*-1&lt;0,0,1)*IF(ABS(B$3*10^12-$A118)&gt;(B$3*10^12-$A117),$A117,$A118)=B118,0,IF((B$3*10^12-$A118)*(B$3*10^12-$A117)*-1&lt;0,0,1)*IF(ABS(B$3*10^12-$A118)&gt;(B$3*10^12-$A117),$A117,$A118))</f>
        <v/>
      </c>
      <c r="C117">
        <f>IF(IF((C$3*10^12-$A118)*(C$3*10^12-$A117)*-1&lt;0,0,1)*IF(ABS(C$3*10^12-$A118)&gt;(C$3*10^12-$A117),$A117,$A118)=C118,0,IF((C$3*10^12-$A118)*(C$3*10^12-$A117)*-1&lt;0,0,1)*IF(ABS(C$3*10^12-$A118)&gt;(C$3*10^12-$A117),$A117,$A118))</f>
        <v/>
      </c>
      <c r="D117">
        <f>IF(IF((D$3*10^12-$A118)*(D$3*10^12-$A117)*-1&lt;0,0,1)*IF(ABS(D$3*10^12-$A118)&gt;(D$3*10^12-$A117),$A117,$A118)=D118,0,IF((D$3*10^12-$A118)*(D$3*10^12-$A117)*-1&lt;0,0,1)*IF(ABS(D$3*10^12-$A118)&gt;(D$3*10^12-$A117),$A117,$A118))</f>
        <v/>
      </c>
      <c r="E117">
        <f>IF(IF((E$3*10^12-$A118)*(E$3*10^12-$A117)*-1&lt;0,0,1)*IF(ABS(E$3*10^12-$A118)&gt;(E$3*10^12-$A117),$A117,$A118)=E118,0,IF((E$3*10^12-$A118)*(E$3*10^12-$A117)*-1&lt;0,0,1)*IF(ABS(E$3*10^12-$A118)&gt;(E$3*10^12-$A117),$A117,$A118))</f>
        <v/>
      </c>
      <c r="F117">
        <f>IF(IF((F$3*10^12-$A118)*(F$3*10^12-$A117)*-1&lt;0,0,1)*IF(ABS(F$3*10^12-$A118)&gt;(F$3*10^12-$A117),$A117,$A118)=F118,0,IF((F$3*10^12-$A118)*(F$3*10^12-$A117)*-1&lt;0,0,1)*IF(ABS(F$3*10^12-$A118)&gt;(F$3*10^12-$A117),$A117,$A118))</f>
        <v/>
      </c>
      <c r="G117">
        <f>IF(IF((G$3*10^12-$A118)*(G$3*10^12-$A117)*-1&lt;0,0,1)*IF(ABS(G$3*10^12-$A118)&gt;(G$3*10^12-$A117),$A117,$A118)=G118,0,IF((G$3*10^12-$A118)*(G$3*10^12-$A117)*-1&lt;0,0,1)*IF(ABS(G$3*10^12-$A118)&gt;(G$3*10^12-$A117),$A117,$A118))</f>
        <v/>
      </c>
      <c r="H117">
        <f>IF(IF((H$3*10^12-$A118)*(H$3*10^12-$A117)*-1&lt;0,0,1)*IF(ABS(H$3*10^12-$A118)&gt;(H$3*10^12-$A117),$A117,$A118)=H118,0,IF((H$3*10^12-$A118)*(H$3*10^12-$A117)*-1&lt;0,0,1)*IF(ABS(H$3*10^12-$A118)&gt;(H$3*10^12-$A117),$A117,$A118))</f>
        <v/>
      </c>
      <c r="I117">
        <f>IF(IF((I$3*10^12-$A118)*(I$3*10^12-$A117)*-1&lt;0,0,1)*IF(ABS(I$3*10^12-$A118)&gt;(I$3*10^12-$A117),$A117,$A118)=I118,0,IF((I$3*10^12-$A118)*(I$3*10^12-$A117)*-1&lt;0,0,1)*IF(ABS(I$3*10^12-$A118)&gt;(I$3*10^12-$A117),$A117,$A118))</f>
        <v/>
      </c>
      <c r="J117">
        <f>IF(IF((J$3*10^12-$A118)*(J$3*10^12-$A117)*-1&lt;0,0,1)*IF(ABS(J$3*10^12-$A118)&gt;(J$3*10^12-$A117),$A117,$A118)=J118,0,IF((J$3*10^12-$A118)*(J$3*10^12-$A117)*-1&lt;0,0,1)*IF(ABS(J$3*10^12-$A118)&gt;(J$3*10^12-$A117),$A117,$A118))</f>
        <v/>
      </c>
      <c r="K117">
        <f>IF(IF((K$3*10^12-$A118)*(K$3*10^12-$A117)*-1&lt;0,0,1)*IF(ABS(K$3*10^12-$A118)&gt;(K$3*10^12-$A117),$A117,$A118)=K118,0,IF((K$3*10^12-$A118)*(K$3*10^12-$A117)*-1&lt;0,0,1)*IF(ABS(K$3*10^12-$A118)&gt;(K$3*10^12-$A117),$A117,$A118))</f>
        <v/>
      </c>
      <c r="L117">
        <f>IF(IF((L$3*10^12-$A118)*(L$3*10^12-$A117)*-1&lt;0,0,1)*IF(ABS(L$3*10^12-$A118)&gt;(L$3*10^12-$A117),$A117,$A118)=L118,0,IF((L$3*10^12-$A118)*(L$3*10^12-$A117)*-1&lt;0,0,1)*IF(ABS(L$3*10^12-$A118)&gt;(L$3*10^12-$A117),$A117,$A118))</f>
        <v/>
      </c>
      <c r="M117">
        <f>IF(IF((M$3*10^12-$A118)*(M$3*10^12-$A117)*-1&lt;0,0,1)*IF(ABS(M$3*10^12-$A118)&gt;(M$3*10^12-$A117),$A117,$A118)=M118,0,IF((M$3*10^12-$A118)*(M$3*10^12-$A117)*-1&lt;0,0,1)*IF(ABS(M$3*10^12-$A118)&gt;(M$3*10^12-$A117),$A117,$A118))</f>
        <v/>
      </c>
      <c r="N117">
        <f>IF(IF((N$3*10^12-$A118)*(N$3*10^12-$A117)*-1&lt;0,0,1)*IF(ABS(N$3*10^12-$A118)&gt;(N$3*10^12-$A117),$A117,$A118)=N118,0,IF((N$3*10^12-$A118)*(N$3*10^12-$A117)*-1&lt;0,0,1)*IF(ABS(N$3*10^12-$A118)&gt;(N$3*10^12-$A117),$A117,$A118))</f>
        <v/>
      </c>
    </row>
    <row r="118">
      <c r="A118">
        <f>A106*10</f>
        <v/>
      </c>
      <c r="B118">
        <f>IF(IF((B$3*10^12-$A119)*(B$3*10^12-$A118)*-1&lt;0,0,1)*IF(ABS(B$3*10^12-$A119)&gt;(B$3*10^12-$A118),$A118,$A119)=B119,0,IF((B$3*10^12-$A119)*(B$3*10^12-$A118)*-1&lt;0,0,1)*IF(ABS(B$3*10^12-$A119)&gt;(B$3*10^12-$A118),$A118,$A119))</f>
        <v/>
      </c>
      <c r="C118">
        <f>IF(IF((C$3*10^12-$A119)*(C$3*10^12-$A118)*-1&lt;0,0,1)*IF(ABS(C$3*10^12-$A119)&gt;(C$3*10^12-$A118),$A118,$A119)=C119,0,IF((C$3*10^12-$A119)*(C$3*10^12-$A118)*-1&lt;0,0,1)*IF(ABS(C$3*10^12-$A119)&gt;(C$3*10^12-$A118),$A118,$A119))</f>
        <v/>
      </c>
      <c r="D118">
        <f>IF(IF((D$3*10^12-$A119)*(D$3*10^12-$A118)*-1&lt;0,0,1)*IF(ABS(D$3*10^12-$A119)&gt;(D$3*10^12-$A118),$A118,$A119)=D119,0,IF((D$3*10^12-$A119)*(D$3*10^12-$A118)*-1&lt;0,0,1)*IF(ABS(D$3*10^12-$A119)&gt;(D$3*10^12-$A118),$A118,$A119))</f>
        <v/>
      </c>
      <c r="E118">
        <f>IF(IF((E$3*10^12-$A119)*(E$3*10^12-$A118)*-1&lt;0,0,1)*IF(ABS(E$3*10^12-$A119)&gt;(E$3*10^12-$A118),$A118,$A119)=E119,0,IF((E$3*10^12-$A119)*(E$3*10^12-$A118)*-1&lt;0,0,1)*IF(ABS(E$3*10^12-$A119)&gt;(E$3*10^12-$A118),$A118,$A119))</f>
        <v/>
      </c>
      <c r="F118">
        <f>IF(IF((F$3*10^12-$A119)*(F$3*10^12-$A118)*-1&lt;0,0,1)*IF(ABS(F$3*10^12-$A119)&gt;(F$3*10^12-$A118),$A118,$A119)=F119,0,IF((F$3*10^12-$A119)*(F$3*10^12-$A118)*-1&lt;0,0,1)*IF(ABS(F$3*10^12-$A119)&gt;(F$3*10^12-$A118),$A118,$A119))</f>
        <v/>
      </c>
      <c r="G118">
        <f>IF(IF((G$3*10^12-$A119)*(G$3*10^12-$A118)*-1&lt;0,0,1)*IF(ABS(G$3*10^12-$A119)&gt;(G$3*10^12-$A118),$A118,$A119)=G119,0,IF((G$3*10^12-$A119)*(G$3*10^12-$A118)*-1&lt;0,0,1)*IF(ABS(G$3*10^12-$A119)&gt;(G$3*10^12-$A118),$A118,$A119))</f>
        <v/>
      </c>
      <c r="H118">
        <f>IF(IF((H$3*10^12-$A119)*(H$3*10^12-$A118)*-1&lt;0,0,1)*IF(ABS(H$3*10^12-$A119)&gt;(H$3*10^12-$A118),$A118,$A119)=H119,0,IF((H$3*10^12-$A119)*(H$3*10^12-$A118)*-1&lt;0,0,1)*IF(ABS(H$3*10^12-$A119)&gt;(H$3*10^12-$A118),$A118,$A119))</f>
        <v/>
      </c>
      <c r="I118">
        <f>IF(IF((I$3*10^12-$A119)*(I$3*10^12-$A118)*-1&lt;0,0,1)*IF(ABS(I$3*10^12-$A119)&gt;(I$3*10^12-$A118),$A118,$A119)=I119,0,IF((I$3*10^12-$A119)*(I$3*10^12-$A118)*-1&lt;0,0,1)*IF(ABS(I$3*10^12-$A119)&gt;(I$3*10^12-$A118),$A118,$A119))</f>
        <v/>
      </c>
      <c r="J118">
        <f>IF(IF((J$3*10^12-$A119)*(J$3*10^12-$A118)*-1&lt;0,0,1)*IF(ABS(J$3*10^12-$A119)&gt;(J$3*10^12-$A118),$A118,$A119)=J119,0,IF((J$3*10^12-$A119)*(J$3*10^12-$A118)*-1&lt;0,0,1)*IF(ABS(J$3*10^12-$A119)&gt;(J$3*10^12-$A118),$A118,$A119))</f>
        <v/>
      </c>
      <c r="K118">
        <f>IF(IF((K$3*10^12-$A119)*(K$3*10^12-$A118)*-1&lt;0,0,1)*IF(ABS(K$3*10^12-$A119)&gt;(K$3*10^12-$A118),$A118,$A119)=K119,0,IF((K$3*10^12-$A119)*(K$3*10^12-$A118)*-1&lt;0,0,1)*IF(ABS(K$3*10^12-$A119)&gt;(K$3*10^12-$A118),$A118,$A119))</f>
        <v/>
      </c>
      <c r="L118">
        <f>IF(IF((L$3*10^12-$A119)*(L$3*10^12-$A118)*-1&lt;0,0,1)*IF(ABS(L$3*10^12-$A119)&gt;(L$3*10^12-$A118),$A118,$A119)=L119,0,IF((L$3*10^12-$A119)*(L$3*10^12-$A118)*-1&lt;0,0,1)*IF(ABS(L$3*10^12-$A119)&gt;(L$3*10^12-$A118),$A118,$A119))</f>
        <v/>
      </c>
      <c r="M118">
        <f>IF(IF((M$3*10^12-$A119)*(M$3*10^12-$A118)*-1&lt;0,0,1)*IF(ABS(M$3*10^12-$A119)&gt;(M$3*10^12-$A118),$A118,$A119)=M119,0,IF((M$3*10^12-$A119)*(M$3*10^12-$A118)*-1&lt;0,0,1)*IF(ABS(M$3*10^12-$A119)&gt;(M$3*10^12-$A118),$A118,$A119))</f>
        <v/>
      </c>
      <c r="N118">
        <f>IF(IF((N$3*10^12-$A119)*(N$3*10^12-$A118)*-1&lt;0,0,1)*IF(ABS(N$3*10^12-$A119)&gt;(N$3*10^12-$A118),$A118,$A119)=N119,0,IF((N$3*10^12-$A119)*(N$3*10^12-$A118)*-1&lt;0,0,1)*IF(ABS(N$3*10^12-$A119)&gt;(N$3*10^12-$A118),$A118,$A119))</f>
        <v/>
      </c>
    </row>
    <row r="119">
      <c r="A119">
        <f>A107*10</f>
        <v/>
      </c>
      <c r="B119">
        <f>IF(IF((B$3*10^12-$A120)*(B$3*10^12-$A119)*-1&lt;0,0,1)*IF(ABS(B$3*10^12-$A120)&gt;(B$3*10^12-$A119),$A119,$A120)=B120,0,IF((B$3*10^12-$A120)*(B$3*10^12-$A119)*-1&lt;0,0,1)*IF(ABS(B$3*10^12-$A120)&gt;(B$3*10^12-$A119),$A119,$A120))</f>
        <v/>
      </c>
      <c r="C119">
        <f>IF(IF((C$3*10^12-$A120)*(C$3*10^12-$A119)*-1&lt;0,0,1)*IF(ABS(C$3*10^12-$A120)&gt;(C$3*10^12-$A119),$A119,$A120)=C120,0,IF((C$3*10^12-$A120)*(C$3*10^12-$A119)*-1&lt;0,0,1)*IF(ABS(C$3*10^12-$A120)&gt;(C$3*10^12-$A119),$A119,$A120))</f>
        <v/>
      </c>
      <c r="D119">
        <f>IF(IF((D$3*10^12-$A120)*(D$3*10^12-$A119)*-1&lt;0,0,1)*IF(ABS(D$3*10^12-$A120)&gt;(D$3*10^12-$A119),$A119,$A120)=D120,0,IF((D$3*10^12-$A120)*(D$3*10^12-$A119)*-1&lt;0,0,1)*IF(ABS(D$3*10^12-$A120)&gt;(D$3*10^12-$A119),$A119,$A120))</f>
        <v/>
      </c>
      <c r="E119">
        <f>IF(IF((E$3*10^12-$A120)*(E$3*10^12-$A119)*-1&lt;0,0,1)*IF(ABS(E$3*10^12-$A120)&gt;(E$3*10^12-$A119),$A119,$A120)=E120,0,IF((E$3*10^12-$A120)*(E$3*10^12-$A119)*-1&lt;0,0,1)*IF(ABS(E$3*10^12-$A120)&gt;(E$3*10^12-$A119),$A119,$A120))</f>
        <v/>
      </c>
      <c r="F119">
        <f>IF(IF((F$3*10^12-$A120)*(F$3*10^12-$A119)*-1&lt;0,0,1)*IF(ABS(F$3*10^12-$A120)&gt;(F$3*10^12-$A119),$A119,$A120)=F120,0,IF((F$3*10^12-$A120)*(F$3*10^12-$A119)*-1&lt;0,0,1)*IF(ABS(F$3*10^12-$A120)&gt;(F$3*10^12-$A119),$A119,$A120))</f>
        <v/>
      </c>
      <c r="G119">
        <f>IF(IF((G$3*10^12-$A120)*(G$3*10^12-$A119)*-1&lt;0,0,1)*IF(ABS(G$3*10^12-$A120)&gt;(G$3*10^12-$A119),$A119,$A120)=G120,0,IF((G$3*10^12-$A120)*(G$3*10^12-$A119)*-1&lt;0,0,1)*IF(ABS(G$3*10^12-$A120)&gt;(G$3*10^12-$A119),$A119,$A120))</f>
        <v/>
      </c>
      <c r="H119">
        <f>IF(IF((H$3*10^12-$A120)*(H$3*10^12-$A119)*-1&lt;0,0,1)*IF(ABS(H$3*10^12-$A120)&gt;(H$3*10^12-$A119),$A119,$A120)=H120,0,IF((H$3*10^12-$A120)*(H$3*10^12-$A119)*-1&lt;0,0,1)*IF(ABS(H$3*10^12-$A120)&gt;(H$3*10^12-$A119),$A119,$A120))</f>
        <v/>
      </c>
      <c r="I119">
        <f>IF(IF((I$3*10^12-$A120)*(I$3*10^12-$A119)*-1&lt;0,0,1)*IF(ABS(I$3*10^12-$A120)&gt;(I$3*10^12-$A119),$A119,$A120)=I120,0,IF((I$3*10^12-$A120)*(I$3*10^12-$A119)*-1&lt;0,0,1)*IF(ABS(I$3*10^12-$A120)&gt;(I$3*10^12-$A119),$A119,$A120))</f>
        <v/>
      </c>
      <c r="J119">
        <f>IF(IF((J$3*10^12-$A120)*(J$3*10^12-$A119)*-1&lt;0,0,1)*IF(ABS(J$3*10^12-$A120)&gt;(J$3*10^12-$A119),$A119,$A120)=J120,0,IF((J$3*10^12-$A120)*(J$3*10^12-$A119)*-1&lt;0,0,1)*IF(ABS(J$3*10^12-$A120)&gt;(J$3*10^12-$A119),$A119,$A120))</f>
        <v/>
      </c>
      <c r="K119">
        <f>IF(IF((K$3*10^12-$A120)*(K$3*10^12-$A119)*-1&lt;0,0,1)*IF(ABS(K$3*10^12-$A120)&gt;(K$3*10^12-$A119),$A119,$A120)=K120,0,IF((K$3*10^12-$A120)*(K$3*10^12-$A119)*-1&lt;0,0,1)*IF(ABS(K$3*10^12-$A120)&gt;(K$3*10^12-$A119),$A119,$A120))</f>
        <v/>
      </c>
      <c r="L119">
        <f>IF(IF((L$3*10^12-$A120)*(L$3*10^12-$A119)*-1&lt;0,0,1)*IF(ABS(L$3*10^12-$A120)&gt;(L$3*10^12-$A119),$A119,$A120)=L120,0,IF((L$3*10^12-$A120)*(L$3*10^12-$A119)*-1&lt;0,0,1)*IF(ABS(L$3*10^12-$A120)&gt;(L$3*10^12-$A119),$A119,$A120))</f>
        <v/>
      </c>
      <c r="M119">
        <f>IF(IF((M$3*10^12-$A120)*(M$3*10^12-$A119)*-1&lt;0,0,1)*IF(ABS(M$3*10^12-$A120)&gt;(M$3*10^12-$A119),$A119,$A120)=M120,0,IF((M$3*10^12-$A120)*(M$3*10^12-$A119)*-1&lt;0,0,1)*IF(ABS(M$3*10^12-$A120)&gt;(M$3*10^12-$A119),$A119,$A120))</f>
        <v/>
      </c>
      <c r="N119">
        <f>IF(IF((N$3*10^12-$A120)*(N$3*10^12-$A119)*-1&lt;0,0,1)*IF(ABS(N$3*10^12-$A120)&gt;(N$3*10^12-$A119),$A119,$A120)=N120,0,IF((N$3*10^12-$A120)*(N$3*10^12-$A119)*-1&lt;0,0,1)*IF(ABS(N$3*10^12-$A120)&gt;(N$3*10^12-$A119),$A119,$A120))</f>
        <v/>
      </c>
    </row>
    <row r="120">
      <c r="A120">
        <f>A108*10</f>
        <v/>
      </c>
      <c r="B120">
        <f>IF(IF((B$3*10^12-$A121)*(B$3*10^12-$A120)*-1&lt;0,0,1)*IF(ABS(B$3*10^12-$A121)&gt;(B$3*10^12-$A120),$A120,$A121)=B121,0,IF((B$3*10^12-$A121)*(B$3*10^12-$A120)*-1&lt;0,0,1)*IF(ABS(B$3*10^12-$A121)&gt;(B$3*10^12-$A120),$A120,$A121))</f>
        <v/>
      </c>
      <c r="C120">
        <f>IF(IF((C$3*10^12-$A121)*(C$3*10^12-$A120)*-1&lt;0,0,1)*IF(ABS(C$3*10^12-$A121)&gt;(C$3*10^12-$A120),$A120,$A121)=C121,0,IF((C$3*10^12-$A121)*(C$3*10^12-$A120)*-1&lt;0,0,1)*IF(ABS(C$3*10^12-$A121)&gt;(C$3*10^12-$A120),$A120,$A121))</f>
        <v/>
      </c>
      <c r="D120">
        <f>IF(IF((D$3*10^12-$A121)*(D$3*10^12-$A120)*-1&lt;0,0,1)*IF(ABS(D$3*10^12-$A121)&gt;(D$3*10^12-$A120),$A120,$A121)=D121,0,IF((D$3*10^12-$A121)*(D$3*10^12-$A120)*-1&lt;0,0,1)*IF(ABS(D$3*10^12-$A121)&gt;(D$3*10^12-$A120),$A120,$A121))</f>
        <v/>
      </c>
      <c r="E120">
        <f>IF(IF((E$3*10^12-$A121)*(E$3*10^12-$A120)*-1&lt;0,0,1)*IF(ABS(E$3*10^12-$A121)&gt;(E$3*10^12-$A120),$A120,$A121)=E121,0,IF((E$3*10^12-$A121)*(E$3*10^12-$A120)*-1&lt;0,0,1)*IF(ABS(E$3*10^12-$A121)&gt;(E$3*10^12-$A120),$A120,$A121))</f>
        <v/>
      </c>
      <c r="F120">
        <f>IF(IF((F$3*10^12-$A121)*(F$3*10^12-$A120)*-1&lt;0,0,1)*IF(ABS(F$3*10^12-$A121)&gt;(F$3*10^12-$A120),$A120,$A121)=F121,0,IF((F$3*10^12-$A121)*(F$3*10^12-$A120)*-1&lt;0,0,1)*IF(ABS(F$3*10^12-$A121)&gt;(F$3*10^12-$A120),$A120,$A121))</f>
        <v/>
      </c>
      <c r="G120">
        <f>IF(IF((G$3*10^12-$A121)*(G$3*10^12-$A120)*-1&lt;0,0,1)*IF(ABS(G$3*10^12-$A121)&gt;(G$3*10^12-$A120),$A120,$A121)=G121,0,IF((G$3*10^12-$A121)*(G$3*10^12-$A120)*-1&lt;0,0,1)*IF(ABS(G$3*10^12-$A121)&gt;(G$3*10^12-$A120),$A120,$A121))</f>
        <v/>
      </c>
      <c r="H120">
        <f>IF(IF((H$3*10^12-$A121)*(H$3*10^12-$A120)*-1&lt;0,0,1)*IF(ABS(H$3*10^12-$A121)&gt;(H$3*10^12-$A120),$A120,$A121)=H121,0,IF((H$3*10^12-$A121)*(H$3*10^12-$A120)*-1&lt;0,0,1)*IF(ABS(H$3*10^12-$A121)&gt;(H$3*10^12-$A120),$A120,$A121))</f>
        <v/>
      </c>
      <c r="I120">
        <f>IF(IF((I$3*10^12-$A121)*(I$3*10^12-$A120)*-1&lt;0,0,1)*IF(ABS(I$3*10^12-$A121)&gt;(I$3*10^12-$A120),$A120,$A121)=I121,0,IF((I$3*10^12-$A121)*(I$3*10^12-$A120)*-1&lt;0,0,1)*IF(ABS(I$3*10^12-$A121)&gt;(I$3*10^12-$A120),$A120,$A121))</f>
        <v/>
      </c>
      <c r="J120">
        <f>IF(IF((J$3*10^12-$A121)*(J$3*10^12-$A120)*-1&lt;0,0,1)*IF(ABS(J$3*10^12-$A121)&gt;(J$3*10^12-$A120),$A120,$A121)=J121,0,IF((J$3*10^12-$A121)*(J$3*10^12-$A120)*-1&lt;0,0,1)*IF(ABS(J$3*10^12-$A121)&gt;(J$3*10^12-$A120),$A120,$A121))</f>
        <v/>
      </c>
      <c r="K120">
        <f>IF(IF((K$3*10^12-$A121)*(K$3*10^12-$A120)*-1&lt;0,0,1)*IF(ABS(K$3*10^12-$A121)&gt;(K$3*10^12-$A120),$A120,$A121)=K121,0,IF((K$3*10^12-$A121)*(K$3*10^12-$A120)*-1&lt;0,0,1)*IF(ABS(K$3*10^12-$A121)&gt;(K$3*10^12-$A120),$A120,$A121))</f>
        <v/>
      </c>
      <c r="L120">
        <f>IF(IF((L$3*10^12-$A121)*(L$3*10^12-$A120)*-1&lt;0,0,1)*IF(ABS(L$3*10^12-$A121)&gt;(L$3*10^12-$A120),$A120,$A121)=L121,0,IF((L$3*10^12-$A121)*(L$3*10^12-$A120)*-1&lt;0,0,1)*IF(ABS(L$3*10^12-$A121)&gt;(L$3*10^12-$A120),$A120,$A121))</f>
        <v/>
      </c>
      <c r="M120">
        <f>IF(IF((M$3*10^12-$A121)*(M$3*10^12-$A120)*-1&lt;0,0,1)*IF(ABS(M$3*10^12-$A121)&gt;(M$3*10^12-$A120),$A120,$A121)=M121,0,IF((M$3*10^12-$A121)*(M$3*10^12-$A120)*-1&lt;0,0,1)*IF(ABS(M$3*10^12-$A121)&gt;(M$3*10^12-$A120),$A120,$A121))</f>
        <v/>
      </c>
      <c r="N120">
        <f>IF(IF((N$3*10^12-$A121)*(N$3*10^12-$A120)*-1&lt;0,0,1)*IF(ABS(N$3*10^12-$A121)&gt;(N$3*10^12-$A120),$A120,$A121)=N121,0,IF((N$3*10^12-$A121)*(N$3*10^12-$A120)*-1&lt;0,0,1)*IF(ABS(N$3*10^12-$A121)&gt;(N$3*10^12-$A120),$A120,$A121))</f>
        <v/>
      </c>
    </row>
    <row r="121">
      <c r="A121">
        <f>A109*10</f>
        <v/>
      </c>
      <c r="B121">
        <f>IF(IF((B$3*10^12-$A122)*(B$3*10^12-$A121)*-1&lt;0,0,1)*IF(ABS(B$3*10^12-$A122)&gt;(B$3*10^12-$A121),$A121,$A122)=B122,0,IF((B$3*10^12-$A122)*(B$3*10^12-$A121)*-1&lt;0,0,1)*IF(ABS(B$3*10^12-$A122)&gt;(B$3*10^12-$A121),$A121,$A122))</f>
        <v/>
      </c>
      <c r="C121">
        <f>IF(IF((C$3*10^12-$A122)*(C$3*10^12-$A121)*-1&lt;0,0,1)*IF(ABS(C$3*10^12-$A122)&gt;(C$3*10^12-$A121),$A121,$A122)=C122,0,IF((C$3*10^12-$A122)*(C$3*10^12-$A121)*-1&lt;0,0,1)*IF(ABS(C$3*10^12-$A122)&gt;(C$3*10^12-$A121),$A121,$A122))</f>
        <v/>
      </c>
      <c r="D121">
        <f>IF(IF((D$3*10^12-$A122)*(D$3*10^12-$A121)*-1&lt;0,0,1)*IF(ABS(D$3*10^12-$A122)&gt;(D$3*10^12-$A121),$A121,$A122)=D122,0,IF((D$3*10^12-$A122)*(D$3*10^12-$A121)*-1&lt;0,0,1)*IF(ABS(D$3*10^12-$A122)&gt;(D$3*10^12-$A121),$A121,$A122))</f>
        <v/>
      </c>
      <c r="E121">
        <f>IF(IF((E$3*10^12-$A122)*(E$3*10^12-$A121)*-1&lt;0,0,1)*IF(ABS(E$3*10^12-$A122)&gt;(E$3*10^12-$A121),$A121,$A122)=E122,0,IF((E$3*10^12-$A122)*(E$3*10^12-$A121)*-1&lt;0,0,1)*IF(ABS(E$3*10^12-$A122)&gt;(E$3*10^12-$A121),$A121,$A122))</f>
        <v/>
      </c>
      <c r="F121">
        <f>IF(IF((F$3*10^12-$A122)*(F$3*10^12-$A121)*-1&lt;0,0,1)*IF(ABS(F$3*10^12-$A122)&gt;(F$3*10^12-$A121),$A121,$A122)=F122,0,IF((F$3*10^12-$A122)*(F$3*10^12-$A121)*-1&lt;0,0,1)*IF(ABS(F$3*10^12-$A122)&gt;(F$3*10^12-$A121),$A121,$A122))</f>
        <v/>
      </c>
      <c r="G121">
        <f>IF(IF((G$3*10^12-$A122)*(G$3*10^12-$A121)*-1&lt;0,0,1)*IF(ABS(G$3*10^12-$A122)&gt;(G$3*10^12-$A121),$A121,$A122)=G122,0,IF((G$3*10^12-$A122)*(G$3*10^12-$A121)*-1&lt;0,0,1)*IF(ABS(G$3*10^12-$A122)&gt;(G$3*10^12-$A121),$A121,$A122))</f>
        <v/>
      </c>
      <c r="H121">
        <f>IF(IF((H$3*10^12-$A122)*(H$3*10^12-$A121)*-1&lt;0,0,1)*IF(ABS(H$3*10^12-$A122)&gt;(H$3*10^12-$A121),$A121,$A122)=H122,0,IF((H$3*10^12-$A122)*(H$3*10^12-$A121)*-1&lt;0,0,1)*IF(ABS(H$3*10^12-$A122)&gt;(H$3*10^12-$A121),$A121,$A122))</f>
        <v/>
      </c>
      <c r="I121">
        <f>IF(IF((I$3*10^12-$A122)*(I$3*10^12-$A121)*-1&lt;0,0,1)*IF(ABS(I$3*10^12-$A122)&gt;(I$3*10^12-$A121),$A121,$A122)=I122,0,IF((I$3*10^12-$A122)*(I$3*10^12-$A121)*-1&lt;0,0,1)*IF(ABS(I$3*10^12-$A122)&gt;(I$3*10^12-$A121),$A121,$A122))</f>
        <v/>
      </c>
      <c r="J121">
        <f>IF(IF((J$3*10^12-$A122)*(J$3*10^12-$A121)*-1&lt;0,0,1)*IF(ABS(J$3*10^12-$A122)&gt;(J$3*10^12-$A121),$A121,$A122)=J122,0,IF((J$3*10^12-$A122)*(J$3*10^12-$A121)*-1&lt;0,0,1)*IF(ABS(J$3*10^12-$A122)&gt;(J$3*10^12-$A121),$A121,$A122))</f>
        <v/>
      </c>
      <c r="K121">
        <f>IF(IF((K$3*10^12-$A122)*(K$3*10^12-$A121)*-1&lt;0,0,1)*IF(ABS(K$3*10^12-$A122)&gt;(K$3*10^12-$A121),$A121,$A122)=K122,0,IF((K$3*10^12-$A122)*(K$3*10^12-$A121)*-1&lt;0,0,1)*IF(ABS(K$3*10^12-$A122)&gt;(K$3*10^12-$A121),$A121,$A122))</f>
        <v/>
      </c>
      <c r="L121">
        <f>IF(IF((L$3*10^12-$A122)*(L$3*10^12-$A121)*-1&lt;0,0,1)*IF(ABS(L$3*10^12-$A122)&gt;(L$3*10^12-$A121),$A121,$A122)=L122,0,IF((L$3*10^12-$A122)*(L$3*10^12-$A121)*-1&lt;0,0,1)*IF(ABS(L$3*10^12-$A122)&gt;(L$3*10^12-$A121),$A121,$A122))</f>
        <v/>
      </c>
      <c r="M121">
        <f>IF(IF((M$3*10^12-$A122)*(M$3*10^12-$A121)*-1&lt;0,0,1)*IF(ABS(M$3*10^12-$A122)&gt;(M$3*10^12-$A121),$A121,$A122)=M122,0,IF((M$3*10^12-$A122)*(M$3*10^12-$A121)*-1&lt;0,0,1)*IF(ABS(M$3*10^12-$A122)&gt;(M$3*10^12-$A121),$A121,$A122))</f>
        <v/>
      </c>
      <c r="N121">
        <f>IF(IF((N$3*10^12-$A122)*(N$3*10^12-$A121)*-1&lt;0,0,1)*IF(ABS(N$3*10^12-$A122)&gt;(N$3*10^12-$A121),$A121,$A122)=N122,0,IF((N$3*10^12-$A122)*(N$3*10^12-$A121)*-1&lt;0,0,1)*IF(ABS(N$3*10^12-$A122)&gt;(N$3*10^12-$A121),$A121,$A122))</f>
        <v/>
      </c>
    </row>
    <row r="122">
      <c r="A122">
        <f>A110*10</f>
        <v/>
      </c>
      <c r="B122">
        <f>IF(IF((B$3*10^12-$A123)*(B$3*10^12-$A122)*-1&lt;0,0,1)*IF(ABS(B$3*10^12-$A123)&gt;(B$3*10^12-$A122),$A122,$A123)=B123,0,IF((B$3*10^12-$A123)*(B$3*10^12-$A122)*-1&lt;0,0,1)*IF(ABS(B$3*10^12-$A123)&gt;(B$3*10^12-$A122),$A122,$A123))</f>
        <v/>
      </c>
      <c r="C122">
        <f>IF(IF((C$3*10^12-$A123)*(C$3*10^12-$A122)*-1&lt;0,0,1)*IF(ABS(C$3*10^12-$A123)&gt;(C$3*10^12-$A122),$A122,$A123)=C123,0,IF((C$3*10^12-$A123)*(C$3*10^12-$A122)*-1&lt;0,0,1)*IF(ABS(C$3*10^12-$A123)&gt;(C$3*10^12-$A122),$A122,$A123))</f>
        <v/>
      </c>
      <c r="D122">
        <f>IF(IF((D$3*10^12-$A123)*(D$3*10^12-$A122)*-1&lt;0,0,1)*IF(ABS(D$3*10^12-$A123)&gt;(D$3*10^12-$A122),$A122,$A123)=D123,0,IF((D$3*10^12-$A123)*(D$3*10^12-$A122)*-1&lt;0,0,1)*IF(ABS(D$3*10^12-$A123)&gt;(D$3*10^12-$A122),$A122,$A123))</f>
        <v/>
      </c>
      <c r="E122">
        <f>IF(IF((E$3*10^12-$A123)*(E$3*10^12-$A122)*-1&lt;0,0,1)*IF(ABS(E$3*10^12-$A123)&gt;(E$3*10^12-$A122),$A122,$A123)=E123,0,IF((E$3*10^12-$A123)*(E$3*10^12-$A122)*-1&lt;0,0,1)*IF(ABS(E$3*10^12-$A123)&gt;(E$3*10^12-$A122),$A122,$A123))</f>
        <v/>
      </c>
      <c r="F122">
        <f>IF(IF((F$3*10^12-$A123)*(F$3*10^12-$A122)*-1&lt;0,0,1)*IF(ABS(F$3*10^12-$A123)&gt;(F$3*10^12-$A122),$A122,$A123)=F123,0,IF((F$3*10^12-$A123)*(F$3*10^12-$A122)*-1&lt;0,0,1)*IF(ABS(F$3*10^12-$A123)&gt;(F$3*10^12-$A122),$A122,$A123))</f>
        <v/>
      </c>
      <c r="G122">
        <f>IF(IF((G$3*10^12-$A123)*(G$3*10^12-$A122)*-1&lt;0,0,1)*IF(ABS(G$3*10^12-$A123)&gt;(G$3*10^12-$A122),$A122,$A123)=G123,0,IF((G$3*10^12-$A123)*(G$3*10^12-$A122)*-1&lt;0,0,1)*IF(ABS(G$3*10^12-$A123)&gt;(G$3*10^12-$A122),$A122,$A123))</f>
        <v/>
      </c>
      <c r="H122">
        <f>IF(IF((H$3*10^12-$A123)*(H$3*10^12-$A122)*-1&lt;0,0,1)*IF(ABS(H$3*10^12-$A123)&gt;(H$3*10^12-$A122),$A122,$A123)=H123,0,IF((H$3*10^12-$A123)*(H$3*10^12-$A122)*-1&lt;0,0,1)*IF(ABS(H$3*10^12-$A123)&gt;(H$3*10^12-$A122),$A122,$A123))</f>
        <v/>
      </c>
      <c r="I122">
        <f>IF(IF((I$3*10^12-$A123)*(I$3*10^12-$A122)*-1&lt;0,0,1)*IF(ABS(I$3*10^12-$A123)&gt;(I$3*10^12-$A122),$A122,$A123)=I123,0,IF((I$3*10^12-$A123)*(I$3*10^12-$A122)*-1&lt;0,0,1)*IF(ABS(I$3*10^12-$A123)&gt;(I$3*10^12-$A122),$A122,$A123))</f>
        <v/>
      </c>
      <c r="J122">
        <f>IF(IF((J$3*10^12-$A123)*(J$3*10^12-$A122)*-1&lt;0,0,1)*IF(ABS(J$3*10^12-$A123)&gt;(J$3*10^12-$A122),$A122,$A123)=J123,0,IF((J$3*10^12-$A123)*(J$3*10^12-$A122)*-1&lt;0,0,1)*IF(ABS(J$3*10^12-$A123)&gt;(J$3*10^12-$A122),$A122,$A123))</f>
        <v/>
      </c>
      <c r="K122">
        <f>IF(IF((K$3*10^12-$A123)*(K$3*10^12-$A122)*-1&lt;0,0,1)*IF(ABS(K$3*10^12-$A123)&gt;(K$3*10^12-$A122),$A122,$A123)=K123,0,IF((K$3*10^12-$A123)*(K$3*10^12-$A122)*-1&lt;0,0,1)*IF(ABS(K$3*10^12-$A123)&gt;(K$3*10^12-$A122),$A122,$A123))</f>
        <v/>
      </c>
      <c r="L122">
        <f>IF(IF((L$3*10^12-$A123)*(L$3*10^12-$A122)*-1&lt;0,0,1)*IF(ABS(L$3*10^12-$A123)&gt;(L$3*10^12-$A122),$A122,$A123)=L123,0,IF((L$3*10^12-$A123)*(L$3*10^12-$A122)*-1&lt;0,0,1)*IF(ABS(L$3*10^12-$A123)&gt;(L$3*10^12-$A122),$A122,$A123))</f>
        <v/>
      </c>
      <c r="M122">
        <f>IF(IF((M$3*10^12-$A123)*(M$3*10^12-$A122)*-1&lt;0,0,1)*IF(ABS(M$3*10^12-$A123)&gt;(M$3*10^12-$A122),$A122,$A123)=M123,0,IF((M$3*10^12-$A123)*(M$3*10^12-$A122)*-1&lt;0,0,1)*IF(ABS(M$3*10^12-$A123)&gt;(M$3*10^12-$A122),$A122,$A123))</f>
        <v/>
      </c>
      <c r="N122">
        <f>IF(IF((N$3*10^12-$A123)*(N$3*10^12-$A122)*-1&lt;0,0,1)*IF(ABS(N$3*10^12-$A123)&gt;(N$3*10^12-$A122),$A122,$A123)=N123,0,IF((N$3*10^12-$A123)*(N$3*10^12-$A122)*-1&lt;0,0,1)*IF(ABS(N$3*10^12-$A123)&gt;(N$3*10^12-$A122),$A122,$A123))</f>
        <v/>
      </c>
    </row>
    <row r="123">
      <c r="A123">
        <f>A111*10</f>
        <v/>
      </c>
      <c r="B123">
        <f>IF(IF((B$3*10^12-$A124)*(B$3*10^12-$A123)*-1&lt;0,0,1)*IF(ABS(B$3*10^12-$A124)&gt;(B$3*10^12-$A123),$A123,$A124)=B124,0,IF((B$3*10^12-$A124)*(B$3*10^12-$A123)*-1&lt;0,0,1)*IF(ABS(B$3*10^12-$A124)&gt;(B$3*10^12-$A123),$A123,$A124))</f>
        <v/>
      </c>
      <c r="C123">
        <f>IF(IF((C$3*10^12-$A124)*(C$3*10^12-$A123)*-1&lt;0,0,1)*IF(ABS(C$3*10^12-$A124)&gt;(C$3*10^12-$A123),$A123,$A124)=C124,0,IF((C$3*10^12-$A124)*(C$3*10^12-$A123)*-1&lt;0,0,1)*IF(ABS(C$3*10^12-$A124)&gt;(C$3*10^12-$A123),$A123,$A124))</f>
        <v/>
      </c>
      <c r="D123">
        <f>IF(IF((D$3*10^12-$A124)*(D$3*10^12-$A123)*-1&lt;0,0,1)*IF(ABS(D$3*10^12-$A124)&gt;(D$3*10^12-$A123),$A123,$A124)=D124,0,IF((D$3*10^12-$A124)*(D$3*10^12-$A123)*-1&lt;0,0,1)*IF(ABS(D$3*10^12-$A124)&gt;(D$3*10^12-$A123),$A123,$A124))</f>
        <v/>
      </c>
      <c r="E123">
        <f>IF(IF((E$3*10^12-$A124)*(E$3*10^12-$A123)*-1&lt;0,0,1)*IF(ABS(E$3*10^12-$A124)&gt;(E$3*10^12-$A123),$A123,$A124)=E124,0,IF((E$3*10^12-$A124)*(E$3*10^12-$A123)*-1&lt;0,0,1)*IF(ABS(E$3*10^12-$A124)&gt;(E$3*10^12-$A123),$A123,$A124))</f>
        <v/>
      </c>
      <c r="F123">
        <f>IF(IF((F$3*10^12-$A124)*(F$3*10^12-$A123)*-1&lt;0,0,1)*IF(ABS(F$3*10^12-$A124)&gt;(F$3*10^12-$A123),$A123,$A124)=F124,0,IF((F$3*10^12-$A124)*(F$3*10^12-$A123)*-1&lt;0,0,1)*IF(ABS(F$3*10^12-$A124)&gt;(F$3*10^12-$A123),$A123,$A124))</f>
        <v/>
      </c>
      <c r="G123">
        <f>IF(IF((G$3*10^12-$A124)*(G$3*10^12-$A123)*-1&lt;0,0,1)*IF(ABS(G$3*10^12-$A124)&gt;(G$3*10^12-$A123),$A123,$A124)=G124,0,IF((G$3*10^12-$A124)*(G$3*10^12-$A123)*-1&lt;0,0,1)*IF(ABS(G$3*10^12-$A124)&gt;(G$3*10^12-$A123),$A123,$A124))</f>
        <v/>
      </c>
      <c r="H123">
        <f>IF(IF((H$3*10^12-$A124)*(H$3*10^12-$A123)*-1&lt;0,0,1)*IF(ABS(H$3*10^12-$A124)&gt;(H$3*10^12-$A123),$A123,$A124)=H124,0,IF((H$3*10^12-$A124)*(H$3*10^12-$A123)*-1&lt;0,0,1)*IF(ABS(H$3*10^12-$A124)&gt;(H$3*10^12-$A123),$A123,$A124))</f>
        <v/>
      </c>
      <c r="I123">
        <f>IF(IF((I$3*10^12-$A124)*(I$3*10^12-$A123)*-1&lt;0,0,1)*IF(ABS(I$3*10^12-$A124)&gt;(I$3*10^12-$A123),$A123,$A124)=I124,0,IF((I$3*10^12-$A124)*(I$3*10^12-$A123)*-1&lt;0,0,1)*IF(ABS(I$3*10^12-$A124)&gt;(I$3*10^12-$A123),$A123,$A124))</f>
        <v/>
      </c>
      <c r="J123">
        <f>IF(IF((J$3*10^12-$A124)*(J$3*10^12-$A123)*-1&lt;0,0,1)*IF(ABS(J$3*10^12-$A124)&gt;(J$3*10^12-$A123),$A123,$A124)=J124,0,IF((J$3*10^12-$A124)*(J$3*10^12-$A123)*-1&lt;0,0,1)*IF(ABS(J$3*10^12-$A124)&gt;(J$3*10^12-$A123),$A123,$A124))</f>
        <v/>
      </c>
      <c r="K123">
        <f>IF(IF((K$3*10^12-$A124)*(K$3*10^12-$A123)*-1&lt;0,0,1)*IF(ABS(K$3*10^12-$A124)&gt;(K$3*10^12-$A123),$A123,$A124)=K124,0,IF((K$3*10^12-$A124)*(K$3*10^12-$A123)*-1&lt;0,0,1)*IF(ABS(K$3*10^12-$A124)&gt;(K$3*10^12-$A123),$A123,$A124))</f>
        <v/>
      </c>
      <c r="L123">
        <f>IF(IF((L$3*10^12-$A124)*(L$3*10^12-$A123)*-1&lt;0,0,1)*IF(ABS(L$3*10^12-$A124)&gt;(L$3*10^12-$A123),$A123,$A124)=L124,0,IF((L$3*10^12-$A124)*(L$3*10^12-$A123)*-1&lt;0,0,1)*IF(ABS(L$3*10^12-$A124)&gt;(L$3*10^12-$A123),$A123,$A124))</f>
        <v/>
      </c>
      <c r="M123">
        <f>IF(IF((M$3*10^12-$A124)*(M$3*10^12-$A123)*-1&lt;0,0,1)*IF(ABS(M$3*10^12-$A124)&gt;(M$3*10^12-$A123),$A123,$A124)=M124,0,IF((M$3*10^12-$A124)*(M$3*10^12-$A123)*-1&lt;0,0,1)*IF(ABS(M$3*10^12-$A124)&gt;(M$3*10^12-$A123),$A123,$A124))</f>
        <v/>
      </c>
      <c r="N123">
        <f>IF(IF((N$3*10^12-$A124)*(N$3*10^12-$A123)*-1&lt;0,0,1)*IF(ABS(N$3*10^12-$A124)&gt;(N$3*10^12-$A123),$A123,$A124)=N124,0,IF((N$3*10^12-$A124)*(N$3*10^12-$A123)*-1&lt;0,0,1)*IF(ABS(N$3*10^12-$A124)&gt;(N$3*10^12-$A123),$A123,$A124))</f>
        <v/>
      </c>
    </row>
    <row r="124">
      <c r="A124">
        <f>A112*10</f>
        <v/>
      </c>
      <c r="B124">
        <f>IF(IF((B$3*10^12-$A125)*(B$3*10^12-$A124)*-1&lt;0,0,1)*IF(ABS(B$3*10^12-$A125)&gt;(B$3*10^12-$A124),$A124,$A125)=B125,0,IF((B$3*10^12-$A125)*(B$3*10^12-$A124)*-1&lt;0,0,1)*IF(ABS(B$3*10^12-$A125)&gt;(B$3*10^12-$A124),$A124,$A125))</f>
        <v/>
      </c>
      <c r="C124">
        <f>IF(IF((C$3*10^12-$A125)*(C$3*10^12-$A124)*-1&lt;0,0,1)*IF(ABS(C$3*10^12-$A125)&gt;(C$3*10^12-$A124),$A124,$A125)=C125,0,IF((C$3*10^12-$A125)*(C$3*10^12-$A124)*-1&lt;0,0,1)*IF(ABS(C$3*10^12-$A125)&gt;(C$3*10^12-$A124),$A124,$A125))</f>
        <v/>
      </c>
      <c r="D124">
        <f>IF(IF((D$3*10^12-$A125)*(D$3*10^12-$A124)*-1&lt;0,0,1)*IF(ABS(D$3*10^12-$A125)&gt;(D$3*10^12-$A124),$A124,$A125)=D125,0,IF((D$3*10^12-$A125)*(D$3*10^12-$A124)*-1&lt;0,0,1)*IF(ABS(D$3*10^12-$A125)&gt;(D$3*10^12-$A124),$A124,$A125))</f>
        <v/>
      </c>
      <c r="E124">
        <f>IF(IF((E$3*10^12-$A125)*(E$3*10^12-$A124)*-1&lt;0,0,1)*IF(ABS(E$3*10^12-$A125)&gt;(E$3*10^12-$A124),$A124,$A125)=E125,0,IF((E$3*10^12-$A125)*(E$3*10^12-$A124)*-1&lt;0,0,1)*IF(ABS(E$3*10^12-$A125)&gt;(E$3*10^12-$A124),$A124,$A125))</f>
        <v/>
      </c>
      <c r="F124">
        <f>IF(IF((F$3*10^12-$A125)*(F$3*10^12-$A124)*-1&lt;0,0,1)*IF(ABS(F$3*10^12-$A125)&gt;(F$3*10^12-$A124),$A124,$A125)=F125,0,IF((F$3*10^12-$A125)*(F$3*10^12-$A124)*-1&lt;0,0,1)*IF(ABS(F$3*10^12-$A125)&gt;(F$3*10^12-$A124),$A124,$A125))</f>
        <v/>
      </c>
      <c r="G124">
        <f>IF(IF((G$3*10^12-$A125)*(G$3*10^12-$A124)*-1&lt;0,0,1)*IF(ABS(G$3*10^12-$A125)&gt;(G$3*10^12-$A124),$A124,$A125)=G125,0,IF((G$3*10^12-$A125)*(G$3*10^12-$A124)*-1&lt;0,0,1)*IF(ABS(G$3*10^12-$A125)&gt;(G$3*10^12-$A124),$A124,$A125))</f>
        <v/>
      </c>
      <c r="H124">
        <f>IF(IF((H$3*10^12-$A125)*(H$3*10^12-$A124)*-1&lt;0,0,1)*IF(ABS(H$3*10^12-$A125)&gt;(H$3*10^12-$A124),$A124,$A125)=H125,0,IF((H$3*10^12-$A125)*(H$3*10^12-$A124)*-1&lt;0,0,1)*IF(ABS(H$3*10^12-$A125)&gt;(H$3*10^12-$A124),$A124,$A125))</f>
        <v/>
      </c>
      <c r="I124">
        <f>IF(IF((I$3*10^12-$A125)*(I$3*10^12-$A124)*-1&lt;0,0,1)*IF(ABS(I$3*10^12-$A125)&gt;(I$3*10^12-$A124),$A124,$A125)=I125,0,IF((I$3*10^12-$A125)*(I$3*10^12-$A124)*-1&lt;0,0,1)*IF(ABS(I$3*10^12-$A125)&gt;(I$3*10^12-$A124),$A124,$A125))</f>
        <v/>
      </c>
      <c r="J124">
        <f>IF(IF((J$3*10^12-$A125)*(J$3*10^12-$A124)*-1&lt;0,0,1)*IF(ABS(J$3*10^12-$A125)&gt;(J$3*10^12-$A124),$A124,$A125)=J125,0,IF((J$3*10^12-$A125)*(J$3*10^12-$A124)*-1&lt;0,0,1)*IF(ABS(J$3*10^12-$A125)&gt;(J$3*10^12-$A124),$A124,$A125))</f>
        <v/>
      </c>
      <c r="K124">
        <f>IF(IF((K$3*10^12-$A125)*(K$3*10^12-$A124)*-1&lt;0,0,1)*IF(ABS(K$3*10^12-$A125)&gt;(K$3*10^12-$A124),$A124,$A125)=K125,0,IF((K$3*10^12-$A125)*(K$3*10^12-$A124)*-1&lt;0,0,1)*IF(ABS(K$3*10^12-$A125)&gt;(K$3*10^12-$A124),$A124,$A125))</f>
        <v/>
      </c>
      <c r="L124">
        <f>IF(IF((L$3*10^12-$A125)*(L$3*10^12-$A124)*-1&lt;0,0,1)*IF(ABS(L$3*10^12-$A125)&gt;(L$3*10^12-$A124),$A124,$A125)=L125,0,IF((L$3*10^12-$A125)*(L$3*10^12-$A124)*-1&lt;0,0,1)*IF(ABS(L$3*10^12-$A125)&gt;(L$3*10^12-$A124),$A124,$A125))</f>
        <v/>
      </c>
      <c r="M124">
        <f>IF(IF((M$3*10^12-$A125)*(M$3*10^12-$A124)*-1&lt;0,0,1)*IF(ABS(M$3*10^12-$A125)&gt;(M$3*10^12-$A124),$A124,$A125)=M125,0,IF((M$3*10^12-$A125)*(M$3*10^12-$A124)*-1&lt;0,0,1)*IF(ABS(M$3*10^12-$A125)&gt;(M$3*10^12-$A124),$A124,$A125))</f>
        <v/>
      </c>
      <c r="N124">
        <f>IF(IF((N$3*10^12-$A125)*(N$3*10^12-$A124)*-1&lt;0,0,1)*IF(ABS(N$3*10^12-$A125)&gt;(N$3*10^12-$A124),$A124,$A125)=N125,0,IF((N$3*10^12-$A125)*(N$3*10^12-$A124)*-1&lt;0,0,1)*IF(ABS(N$3*10^12-$A125)&gt;(N$3*10^12-$A124),$A124,$A125))</f>
        <v/>
      </c>
    </row>
    <row r="125">
      <c r="A125">
        <f>A113*10</f>
        <v/>
      </c>
      <c r="B125">
        <f>IF(IF((B$3*10^12-$A126)*(B$3*10^12-$A125)*-1&lt;0,0,1)*IF(ABS(B$3*10^12-$A126)&gt;(B$3*10^12-$A125),$A125,$A126)=B126,0,IF((B$3*10^12-$A126)*(B$3*10^12-$A125)*-1&lt;0,0,1)*IF(ABS(B$3*10^12-$A126)&gt;(B$3*10^12-$A125),$A125,$A126))</f>
        <v/>
      </c>
      <c r="C125">
        <f>IF(IF((C$3*10^12-$A126)*(C$3*10^12-$A125)*-1&lt;0,0,1)*IF(ABS(C$3*10^12-$A126)&gt;(C$3*10^12-$A125),$A125,$A126)=C126,0,IF((C$3*10^12-$A126)*(C$3*10^12-$A125)*-1&lt;0,0,1)*IF(ABS(C$3*10^12-$A126)&gt;(C$3*10^12-$A125),$A125,$A126))</f>
        <v/>
      </c>
      <c r="D125">
        <f>IF(IF((D$3*10^12-$A126)*(D$3*10^12-$A125)*-1&lt;0,0,1)*IF(ABS(D$3*10^12-$A126)&gt;(D$3*10^12-$A125),$A125,$A126)=D126,0,IF((D$3*10^12-$A126)*(D$3*10^12-$A125)*-1&lt;0,0,1)*IF(ABS(D$3*10^12-$A126)&gt;(D$3*10^12-$A125),$A125,$A126))</f>
        <v/>
      </c>
      <c r="E125">
        <f>IF(IF((E$3*10^12-$A126)*(E$3*10^12-$A125)*-1&lt;0,0,1)*IF(ABS(E$3*10^12-$A126)&gt;(E$3*10^12-$A125),$A125,$A126)=E126,0,IF((E$3*10^12-$A126)*(E$3*10^12-$A125)*-1&lt;0,0,1)*IF(ABS(E$3*10^12-$A126)&gt;(E$3*10^12-$A125),$A125,$A126))</f>
        <v/>
      </c>
      <c r="F125">
        <f>IF(IF((F$3*10^12-$A126)*(F$3*10^12-$A125)*-1&lt;0,0,1)*IF(ABS(F$3*10^12-$A126)&gt;(F$3*10^12-$A125),$A125,$A126)=F126,0,IF((F$3*10^12-$A126)*(F$3*10^12-$A125)*-1&lt;0,0,1)*IF(ABS(F$3*10^12-$A126)&gt;(F$3*10^12-$A125),$A125,$A126))</f>
        <v/>
      </c>
      <c r="G125">
        <f>IF(IF((G$3*10^12-$A126)*(G$3*10^12-$A125)*-1&lt;0,0,1)*IF(ABS(G$3*10^12-$A126)&gt;(G$3*10^12-$A125),$A125,$A126)=G126,0,IF((G$3*10^12-$A126)*(G$3*10^12-$A125)*-1&lt;0,0,1)*IF(ABS(G$3*10^12-$A126)&gt;(G$3*10^12-$A125),$A125,$A126))</f>
        <v/>
      </c>
      <c r="H125">
        <f>IF(IF((H$3*10^12-$A126)*(H$3*10^12-$A125)*-1&lt;0,0,1)*IF(ABS(H$3*10^12-$A126)&gt;(H$3*10^12-$A125),$A125,$A126)=H126,0,IF((H$3*10^12-$A126)*(H$3*10^12-$A125)*-1&lt;0,0,1)*IF(ABS(H$3*10^12-$A126)&gt;(H$3*10^12-$A125),$A125,$A126))</f>
        <v/>
      </c>
      <c r="I125">
        <f>IF(IF((I$3*10^12-$A126)*(I$3*10^12-$A125)*-1&lt;0,0,1)*IF(ABS(I$3*10^12-$A126)&gt;(I$3*10^12-$A125),$A125,$A126)=I126,0,IF((I$3*10^12-$A126)*(I$3*10^12-$A125)*-1&lt;0,0,1)*IF(ABS(I$3*10^12-$A126)&gt;(I$3*10^12-$A125),$A125,$A126))</f>
        <v/>
      </c>
      <c r="J125">
        <f>IF(IF((J$3*10^12-$A126)*(J$3*10^12-$A125)*-1&lt;0,0,1)*IF(ABS(J$3*10^12-$A126)&gt;(J$3*10^12-$A125),$A125,$A126)=J126,0,IF((J$3*10^12-$A126)*(J$3*10^12-$A125)*-1&lt;0,0,1)*IF(ABS(J$3*10^12-$A126)&gt;(J$3*10^12-$A125),$A125,$A126))</f>
        <v/>
      </c>
      <c r="K125">
        <f>IF(IF((K$3*10^12-$A126)*(K$3*10^12-$A125)*-1&lt;0,0,1)*IF(ABS(K$3*10^12-$A126)&gt;(K$3*10^12-$A125),$A125,$A126)=K126,0,IF((K$3*10^12-$A126)*(K$3*10^12-$A125)*-1&lt;0,0,1)*IF(ABS(K$3*10^12-$A126)&gt;(K$3*10^12-$A125),$A125,$A126))</f>
        <v/>
      </c>
      <c r="L125">
        <f>IF(IF((L$3*10^12-$A126)*(L$3*10^12-$A125)*-1&lt;0,0,1)*IF(ABS(L$3*10^12-$A126)&gt;(L$3*10^12-$A125),$A125,$A126)=L126,0,IF((L$3*10^12-$A126)*(L$3*10^12-$A125)*-1&lt;0,0,1)*IF(ABS(L$3*10^12-$A126)&gt;(L$3*10^12-$A125),$A125,$A126))</f>
        <v/>
      </c>
      <c r="M125">
        <f>IF(IF((M$3*10^12-$A126)*(M$3*10^12-$A125)*-1&lt;0,0,1)*IF(ABS(M$3*10^12-$A126)&gt;(M$3*10^12-$A125),$A125,$A126)=M126,0,IF((M$3*10^12-$A126)*(M$3*10^12-$A125)*-1&lt;0,0,1)*IF(ABS(M$3*10^12-$A126)&gt;(M$3*10^12-$A125),$A125,$A126))</f>
        <v/>
      </c>
      <c r="N125">
        <f>IF(IF((N$3*10^12-$A126)*(N$3*10^12-$A125)*-1&lt;0,0,1)*IF(ABS(N$3*10^12-$A126)&gt;(N$3*10^12-$A125),$A125,$A126)=N126,0,IF((N$3*10^12-$A126)*(N$3*10^12-$A125)*-1&lt;0,0,1)*IF(ABS(N$3*10^12-$A126)&gt;(N$3*10^12-$A125),$A125,$A126))</f>
        <v/>
      </c>
    </row>
    <row r="126">
      <c r="A126">
        <f>A114*10</f>
        <v/>
      </c>
      <c r="B126">
        <f>IF(IF((B$3*10^12-$A127)*(B$3*10^12-$A126)*-1&lt;0,0,1)*IF(ABS(B$3*10^12-$A127)&gt;(B$3*10^12-$A126),$A126,$A127)=B127,0,IF((B$3*10^12-$A127)*(B$3*10^12-$A126)*-1&lt;0,0,1)*IF(ABS(B$3*10^12-$A127)&gt;(B$3*10^12-$A126),$A126,$A127))</f>
        <v/>
      </c>
      <c r="C126">
        <f>IF(IF((C$3*10^12-$A127)*(C$3*10^12-$A126)*-1&lt;0,0,1)*IF(ABS(C$3*10^12-$A127)&gt;(C$3*10^12-$A126),$A126,$A127)=C127,0,IF((C$3*10^12-$A127)*(C$3*10^12-$A126)*-1&lt;0,0,1)*IF(ABS(C$3*10^12-$A127)&gt;(C$3*10^12-$A126),$A126,$A127))</f>
        <v/>
      </c>
      <c r="D126">
        <f>IF(IF((D$3*10^12-$A127)*(D$3*10^12-$A126)*-1&lt;0,0,1)*IF(ABS(D$3*10^12-$A127)&gt;(D$3*10^12-$A126),$A126,$A127)=D127,0,IF((D$3*10^12-$A127)*(D$3*10^12-$A126)*-1&lt;0,0,1)*IF(ABS(D$3*10^12-$A127)&gt;(D$3*10^12-$A126),$A126,$A127))</f>
        <v/>
      </c>
      <c r="E126">
        <f>IF(IF((E$3*10^12-$A127)*(E$3*10^12-$A126)*-1&lt;0,0,1)*IF(ABS(E$3*10^12-$A127)&gt;(E$3*10^12-$A126),$A126,$A127)=E127,0,IF((E$3*10^12-$A127)*(E$3*10^12-$A126)*-1&lt;0,0,1)*IF(ABS(E$3*10^12-$A127)&gt;(E$3*10^12-$A126),$A126,$A127))</f>
        <v/>
      </c>
      <c r="F126">
        <f>IF(IF((F$3*10^12-$A127)*(F$3*10^12-$A126)*-1&lt;0,0,1)*IF(ABS(F$3*10^12-$A127)&gt;(F$3*10^12-$A126),$A126,$A127)=F127,0,IF((F$3*10^12-$A127)*(F$3*10^12-$A126)*-1&lt;0,0,1)*IF(ABS(F$3*10^12-$A127)&gt;(F$3*10^12-$A126),$A126,$A127))</f>
        <v/>
      </c>
      <c r="G126">
        <f>IF(IF((G$3*10^12-$A127)*(G$3*10^12-$A126)*-1&lt;0,0,1)*IF(ABS(G$3*10^12-$A127)&gt;(G$3*10^12-$A126),$A126,$A127)=G127,0,IF((G$3*10^12-$A127)*(G$3*10^12-$A126)*-1&lt;0,0,1)*IF(ABS(G$3*10^12-$A127)&gt;(G$3*10^12-$A126),$A126,$A127))</f>
        <v/>
      </c>
      <c r="H126">
        <f>IF(IF((H$3*10^12-$A127)*(H$3*10^12-$A126)*-1&lt;0,0,1)*IF(ABS(H$3*10^12-$A127)&gt;(H$3*10^12-$A126),$A126,$A127)=H127,0,IF((H$3*10^12-$A127)*(H$3*10^12-$A126)*-1&lt;0,0,1)*IF(ABS(H$3*10^12-$A127)&gt;(H$3*10^12-$A126),$A126,$A127))</f>
        <v/>
      </c>
      <c r="I126">
        <f>IF(IF((I$3*10^12-$A127)*(I$3*10^12-$A126)*-1&lt;0,0,1)*IF(ABS(I$3*10^12-$A127)&gt;(I$3*10^12-$A126),$A126,$A127)=I127,0,IF((I$3*10^12-$A127)*(I$3*10^12-$A126)*-1&lt;0,0,1)*IF(ABS(I$3*10^12-$A127)&gt;(I$3*10^12-$A126),$A126,$A127))</f>
        <v/>
      </c>
      <c r="J126">
        <f>IF(IF((J$3*10^12-$A127)*(J$3*10^12-$A126)*-1&lt;0,0,1)*IF(ABS(J$3*10^12-$A127)&gt;(J$3*10^12-$A126),$A126,$A127)=J127,0,IF((J$3*10^12-$A127)*(J$3*10^12-$A126)*-1&lt;0,0,1)*IF(ABS(J$3*10^12-$A127)&gt;(J$3*10^12-$A126),$A126,$A127))</f>
        <v/>
      </c>
      <c r="K126">
        <f>IF(IF((K$3*10^12-$A127)*(K$3*10^12-$A126)*-1&lt;0,0,1)*IF(ABS(K$3*10^12-$A127)&gt;(K$3*10^12-$A126),$A126,$A127)=K127,0,IF((K$3*10^12-$A127)*(K$3*10^12-$A126)*-1&lt;0,0,1)*IF(ABS(K$3*10^12-$A127)&gt;(K$3*10^12-$A126),$A126,$A127))</f>
        <v/>
      </c>
      <c r="L126">
        <f>IF(IF((L$3*10^12-$A127)*(L$3*10^12-$A126)*-1&lt;0,0,1)*IF(ABS(L$3*10^12-$A127)&gt;(L$3*10^12-$A126),$A126,$A127)=L127,0,IF((L$3*10^12-$A127)*(L$3*10^12-$A126)*-1&lt;0,0,1)*IF(ABS(L$3*10^12-$A127)&gt;(L$3*10^12-$A126),$A126,$A127))</f>
        <v/>
      </c>
      <c r="M126">
        <f>IF(IF((M$3*10^12-$A127)*(M$3*10^12-$A126)*-1&lt;0,0,1)*IF(ABS(M$3*10^12-$A127)&gt;(M$3*10^12-$A126),$A126,$A127)=M127,0,IF((M$3*10^12-$A127)*(M$3*10^12-$A126)*-1&lt;0,0,1)*IF(ABS(M$3*10^12-$A127)&gt;(M$3*10^12-$A126),$A126,$A127))</f>
        <v/>
      </c>
      <c r="N126">
        <f>IF(IF((N$3*10^12-$A127)*(N$3*10^12-$A126)*-1&lt;0,0,1)*IF(ABS(N$3*10^12-$A127)&gt;(N$3*10^12-$A126),$A126,$A127)=N127,0,IF((N$3*10^12-$A127)*(N$3*10^12-$A126)*-1&lt;0,0,1)*IF(ABS(N$3*10^12-$A127)&gt;(N$3*10^12-$A126),$A126,$A127))</f>
        <v/>
      </c>
    </row>
    <row r="127">
      <c r="A127">
        <f>A115*10</f>
        <v/>
      </c>
      <c r="B127">
        <f>IF(IF((B$3*10^12-$A128)*(B$3*10^12-$A127)*-1&lt;0,0,1)*IF(ABS(B$3*10^12-$A128)&gt;(B$3*10^12-$A127),$A127,$A128)=B128,0,IF((B$3*10^12-$A128)*(B$3*10^12-$A127)*-1&lt;0,0,1)*IF(ABS(B$3*10^12-$A128)&gt;(B$3*10^12-$A127),$A127,$A128))</f>
        <v/>
      </c>
      <c r="C127">
        <f>IF(IF((C$3*10^12-$A128)*(C$3*10^12-$A127)*-1&lt;0,0,1)*IF(ABS(C$3*10^12-$A128)&gt;(C$3*10^12-$A127),$A127,$A128)=C128,0,IF((C$3*10^12-$A128)*(C$3*10^12-$A127)*-1&lt;0,0,1)*IF(ABS(C$3*10^12-$A128)&gt;(C$3*10^12-$A127),$A127,$A128))</f>
        <v/>
      </c>
      <c r="D127">
        <f>IF(IF((D$3*10^12-$A128)*(D$3*10^12-$A127)*-1&lt;0,0,1)*IF(ABS(D$3*10^12-$A128)&gt;(D$3*10^12-$A127),$A127,$A128)=D128,0,IF((D$3*10^12-$A128)*(D$3*10^12-$A127)*-1&lt;0,0,1)*IF(ABS(D$3*10^12-$A128)&gt;(D$3*10^12-$A127),$A127,$A128))</f>
        <v/>
      </c>
      <c r="E127">
        <f>IF(IF((E$3*10^12-$A128)*(E$3*10^12-$A127)*-1&lt;0,0,1)*IF(ABS(E$3*10^12-$A128)&gt;(E$3*10^12-$A127),$A127,$A128)=E128,0,IF((E$3*10^12-$A128)*(E$3*10^12-$A127)*-1&lt;0,0,1)*IF(ABS(E$3*10^12-$A128)&gt;(E$3*10^12-$A127),$A127,$A128))</f>
        <v/>
      </c>
      <c r="F127">
        <f>IF(IF((F$3*10^12-$A128)*(F$3*10^12-$A127)*-1&lt;0,0,1)*IF(ABS(F$3*10^12-$A128)&gt;(F$3*10^12-$A127),$A127,$A128)=F128,0,IF((F$3*10^12-$A128)*(F$3*10^12-$A127)*-1&lt;0,0,1)*IF(ABS(F$3*10^12-$A128)&gt;(F$3*10^12-$A127),$A127,$A128))</f>
        <v/>
      </c>
      <c r="G127">
        <f>IF(IF((G$3*10^12-$A128)*(G$3*10^12-$A127)*-1&lt;0,0,1)*IF(ABS(G$3*10^12-$A128)&gt;(G$3*10^12-$A127),$A127,$A128)=G128,0,IF((G$3*10^12-$A128)*(G$3*10^12-$A127)*-1&lt;0,0,1)*IF(ABS(G$3*10^12-$A128)&gt;(G$3*10^12-$A127),$A127,$A128))</f>
        <v/>
      </c>
      <c r="H127">
        <f>IF(IF((H$3*10^12-$A128)*(H$3*10^12-$A127)*-1&lt;0,0,1)*IF(ABS(H$3*10^12-$A128)&gt;(H$3*10^12-$A127),$A127,$A128)=H128,0,IF((H$3*10^12-$A128)*(H$3*10^12-$A127)*-1&lt;0,0,1)*IF(ABS(H$3*10^12-$A128)&gt;(H$3*10^12-$A127),$A127,$A128))</f>
        <v/>
      </c>
      <c r="I127">
        <f>IF(IF((I$3*10^12-$A128)*(I$3*10^12-$A127)*-1&lt;0,0,1)*IF(ABS(I$3*10^12-$A128)&gt;(I$3*10^12-$A127),$A127,$A128)=I128,0,IF((I$3*10^12-$A128)*(I$3*10^12-$A127)*-1&lt;0,0,1)*IF(ABS(I$3*10^12-$A128)&gt;(I$3*10^12-$A127),$A127,$A128))</f>
        <v/>
      </c>
      <c r="J127">
        <f>IF(IF((J$3*10^12-$A128)*(J$3*10^12-$A127)*-1&lt;0,0,1)*IF(ABS(J$3*10^12-$A128)&gt;(J$3*10^12-$A127),$A127,$A128)=J128,0,IF((J$3*10^12-$A128)*(J$3*10^12-$A127)*-1&lt;0,0,1)*IF(ABS(J$3*10^12-$A128)&gt;(J$3*10^12-$A127),$A127,$A128))</f>
        <v/>
      </c>
      <c r="K127">
        <f>IF(IF((K$3*10^12-$A128)*(K$3*10^12-$A127)*-1&lt;0,0,1)*IF(ABS(K$3*10^12-$A128)&gt;(K$3*10^12-$A127),$A127,$A128)=K128,0,IF((K$3*10^12-$A128)*(K$3*10^12-$A127)*-1&lt;0,0,1)*IF(ABS(K$3*10^12-$A128)&gt;(K$3*10^12-$A127),$A127,$A128))</f>
        <v/>
      </c>
      <c r="L127">
        <f>IF(IF((L$3*10^12-$A128)*(L$3*10^12-$A127)*-1&lt;0,0,1)*IF(ABS(L$3*10^12-$A128)&gt;(L$3*10^12-$A127),$A127,$A128)=L128,0,IF((L$3*10^12-$A128)*(L$3*10^12-$A127)*-1&lt;0,0,1)*IF(ABS(L$3*10^12-$A128)&gt;(L$3*10^12-$A127),$A127,$A128))</f>
        <v/>
      </c>
      <c r="M127">
        <f>IF(IF((M$3*10^12-$A128)*(M$3*10^12-$A127)*-1&lt;0,0,1)*IF(ABS(M$3*10^12-$A128)&gt;(M$3*10^12-$A127),$A127,$A128)=M128,0,IF((M$3*10^12-$A128)*(M$3*10^12-$A127)*-1&lt;0,0,1)*IF(ABS(M$3*10^12-$A128)&gt;(M$3*10^12-$A127),$A127,$A128))</f>
        <v/>
      </c>
      <c r="N127">
        <f>IF(IF((N$3*10^12-$A128)*(N$3*10^12-$A127)*-1&lt;0,0,1)*IF(ABS(N$3*10^12-$A128)&gt;(N$3*10^12-$A127),$A127,$A128)=N128,0,IF((N$3*10^12-$A128)*(N$3*10^12-$A127)*-1&lt;0,0,1)*IF(ABS(N$3*10^12-$A128)&gt;(N$3*10^12-$A127),$A127,$A128))</f>
        <v/>
      </c>
    </row>
    <row r="128">
      <c r="A128">
        <f>A116*10</f>
        <v/>
      </c>
      <c r="B128">
        <f>IF(IF((B$3*10^12-$A129)*(B$3*10^12-$A128)*-1&lt;0,0,1)*IF(ABS(B$3*10^12-$A129)&gt;(B$3*10^12-$A128),$A128,$A129)=B129,0,IF((B$3*10^12-$A129)*(B$3*10^12-$A128)*-1&lt;0,0,1)*IF(ABS(B$3*10^12-$A129)&gt;(B$3*10^12-$A128),$A128,$A129))</f>
        <v/>
      </c>
      <c r="C128">
        <f>IF(IF((C$3*10^12-$A129)*(C$3*10^12-$A128)*-1&lt;0,0,1)*IF(ABS(C$3*10^12-$A129)&gt;(C$3*10^12-$A128),$A128,$A129)=C129,0,IF((C$3*10^12-$A129)*(C$3*10^12-$A128)*-1&lt;0,0,1)*IF(ABS(C$3*10^12-$A129)&gt;(C$3*10^12-$A128),$A128,$A129))</f>
        <v/>
      </c>
      <c r="D128">
        <f>IF(IF((D$3*10^12-$A129)*(D$3*10^12-$A128)*-1&lt;0,0,1)*IF(ABS(D$3*10^12-$A129)&gt;(D$3*10^12-$A128),$A128,$A129)=D129,0,IF((D$3*10^12-$A129)*(D$3*10^12-$A128)*-1&lt;0,0,1)*IF(ABS(D$3*10^12-$A129)&gt;(D$3*10^12-$A128),$A128,$A129))</f>
        <v/>
      </c>
      <c r="E128">
        <f>IF(IF((E$3*10^12-$A129)*(E$3*10^12-$A128)*-1&lt;0,0,1)*IF(ABS(E$3*10^12-$A129)&gt;(E$3*10^12-$A128),$A128,$A129)=E129,0,IF((E$3*10^12-$A129)*(E$3*10^12-$A128)*-1&lt;0,0,1)*IF(ABS(E$3*10^12-$A129)&gt;(E$3*10^12-$A128),$A128,$A129))</f>
        <v/>
      </c>
      <c r="F128">
        <f>IF(IF((F$3*10^12-$A129)*(F$3*10^12-$A128)*-1&lt;0,0,1)*IF(ABS(F$3*10^12-$A129)&gt;(F$3*10^12-$A128),$A128,$A129)=F129,0,IF((F$3*10^12-$A129)*(F$3*10^12-$A128)*-1&lt;0,0,1)*IF(ABS(F$3*10^12-$A129)&gt;(F$3*10^12-$A128),$A128,$A129))</f>
        <v/>
      </c>
      <c r="G128">
        <f>IF(IF((G$3*10^12-$A129)*(G$3*10^12-$A128)*-1&lt;0,0,1)*IF(ABS(G$3*10^12-$A129)&gt;(G$3*10^12-$A128),$A128,$A129)=G129,0,IF((G$3*10^12-$A129)*(G$3*10^12-$A128)*-1&lt;0,0,1)*IF(ABS(G$3*10^12-$A129)&gt;(G$3*10^12-$A128),$A128,$A129))</f>
        <v/>
      </c>
      <c r="H128">
        <f>IF(IF((H$3*10^12-$A129)*(H$3*10^12-$A128)*-1&lt;0,0,1)*IF(ABS(H$3*10^12-$A129)&gt;(H$3*10^12-$A128),$A128,$A129)=H129,0,IF((H$3*10^12-$A129)*(H$3*10^12-$A128)*-1&lt;0,0,1)*IF(ABS(H$3*10^12-$A129)&gt;(H$3*10^12-$A128),$A128,$A129))</f>
        <v/>
      </c>
      <c r="I128">
        <f>IF(IF((I$3*10^12-$A129)*(I$3*10^12-$A128)*-1&lt;0,0,1)*IF(ABS(I$3*10^12-$A129)&gt;(I$3*10^12-$A128),$A128,$A129)=I129,0,IF((I$3*10^12-$A129)*(I$3*10^12-$A128)*-1&lt;0,0,1)*IF(ABS(I$3*10^12-$A129)&gt;(I$3*10^12-$A128),$A128,$A129))</f>
        <v/>
      </c>
      <c r="J128">
        <f>IF(IF((J$3*10^12-$A129)*(J$3*10^12-$A128)*-1&lt;0,0,1)*IF(ABS(J$3*10^12-$A129)&gt;(J$3*10^12-$A128),$A128,$A129)=J129,0,IF((J$3*10^12-$A129)*(J$3*10^12-$A128)*-1&lt;0,0,1)*IF(ABS(J$3*10^12-$A129)&gt;(J$3*10^12-$A128),$A128,$A129))</f>
        <v/>
      </c>
      <c r="K128">
        <f>IF(IF((K$3*10^12-$A129)*(K$3*10^12-$A128)*-1&lt;0,0,1)*IF(ABS(K$3*10^12-$A129)&gt;(K$3*10^12-$A128),$A128,$A129)=K129,0,IF((K$3*10^12-$A129)*(K$3*10^12-$A128)*-1&lt;0,0,1)*IF(ABS(K$3*10^12-$A129)&gt;(K$3*10^12-$A128),$A128,$A129))</f>
        <v/>
      </c>
      <c r="L128">
        <f>IF(IF((L$3*10^12-$A129)*(L$3*10^12-$A128)*-1&lt;0,0,1)*IF(ABS(L$3*10^12-$A129)&gt;(L$3*10^12-$A128),$A128,$A129)=L129,0,IF((L$3*10^12-$A129)*(L$3*10^12-$A128)*-1&lt;0,0,1)*IF(ABS(L$3*10^12-$A129)&gt;(L$3*10^12-$A128),$A128,$A129))</f>
        <v/>
      </c>
      <c r="M128">
        <f>IF(IF((M$3*10^12-$A129)*(M$3*10^12-$A128)*-1&lt;0,0,1)*IF(ABS(M$3*10^12-$A129)&gt;(M$3*10^12-$A128),$A128,$A129)=M129,0,IF((M$3*10^12-$A129)*(M$3*10^12-$A128)*-1&lt;0,0,1)*IF(ABS(M$3*10^12-$A129)&gt;(M$3*10^12-$A128),$A128,$A129))</f>
        <v/>
      </c>
      <c r="N128">
        <f>IF(IF((N$3*10^12-$A129)*(N$3*10^12-$A128)*-1&lt;0,0,1)*IF(ABS(N$3*10^12-$A129)&gt;(N$3*10^12-$A128),$A128,$A129)=N129,0,IF((N$3*10^12-$A129)*(N$3*10^12-$A128)*-1&lt;0,0,1)*IF(ABS(N$3*10^12-$A129)&gt;(N$3*10^12-$A128),$A128,$A129))</f>
        <v/>
      </c>
    </row>
    <row r="129">
      <c r="A129">
        <f>A117*10</f>
        <v/>
      </c>
      <c r="B129">
        <f>IF(IF((B$3*10^12-$A130)*(B$3*10^12-$A129)*-1&lt;0,0,1)*IF(ABS(B$3*10^12-$A130)&gt;(B$3*10^12-$A129),$A129,$A130)=B130,0,IF((B$3*10^12-$A130)*(B$3*10^12-$A129)*-1&lt;0,0,1)*IF(ABS(B$3*10^12-$A130)&gt;(B$3*10^12-$A129),$A129,$A130))</f>
        <v/>
      </c>
      <c r="C129">
        <f>IF(IF((C$3*10^12-$A130)*(C$3*10^12-$A129)*-1&lt;0,0,1)*IF(ABS(C$3*10^12-$A130)&gt;(C$3*10^12-$A129),$A129,$A130)=C130,0,IF((C$3*10^12-$A130)*(C$3*10^12-$A129)*-1&lt;0,0,1)*IF(ABS(C$3*10^12-$A130)&gt;(C$3*10^12-$A129),$A129,$A130))</f>
        <v/>
      </c>
      <c r="D129">
        <f>IF(IF((D$3*10^12-$A130)*(D$3*10^12-$A129)*-1&lt;0,0,1)*IF(ABS(D$3*10^12-$A130)&gt;(D$3*10^12-$A129),$A129,$A130)=D130,0,IF((D$3*10^12-$A130)*(D$3*10^12-$A129)*-1&lt;0,0,1)*IF(ABS(D$3*10^12-$A130)&gt;(D$3*10^12-$A129),$A129,$A130))</f>
        <v/>
      </c>
      <c r="E129">
        <f>IF(IF((E$3*10^12-$A130)*(E$3*10^12-$A129)*-1&lt;0,0,1)*IF(ABS(E$3*10^12-$A130)&gt;(E$3*10^12-$A129),$A129,$A130)=E130,0,IF((E$3*10^12-$A130)*(E$3*10^12-$A129)*-1&lt;0,0,1)*IF(ABS(E$3*10^12-$A130)&gt;(E$3*10^12-$A129),$A129,$A130))</f>
        <v/>
      </c>
      <c r="F129">
        <f>IF(IF((F$3*10^12-$A130)*(F$3*10^12-$A129)*-1&lt;0,0,1)*IF(ABS(F$3*10^12-$A130)&gt;(F$3*10^12-$A129),$A129,$A130)=F130,0,IF((F$3*10^12-$A130)*(F$3*10^12-$A129)*-1&lt;0,0,1)*IF(ABS(F$3*10^12-$A130)&gt;(F$3*10^12-$A129),$A129,$A130))</f>
        <v/>
      </c>
      <c r="G129">
        <f>IF(IF((G$3*10^12-$A130)*(G$3*10^12-$A129)*-1&lt;0,0,1)*IF(ABS(G$3*10^12-$A130)&gt;(G$3*10^12-$A129),$A129,$A130)=G130,0,IF((G$3*10^12-$A130)*(G$3*10^12-$A129)*-1&lt;0,0,1)*IF(ABS(G$3*10^12-$A130)&gt;(G$3*10^12-$A129),$A129,$A130))</f>
        <v/>
      </c>
      <c r="H129">
        <f>IF(IF((H$3*10^12-$A130)*(H$3*10^12-$A129)*-1&lt;0,0,1)*IF(ABS(H$3*10^12-$A130)&gt;(H$3*10^12-$A129),$A129,$A130)=H130,0,IF((H$3*10^12-$A130)*(H$3*10^12-$A129)*-1&lt;0,0,1)*IF(ABS(H$3*10^12-$A130)&gt;(H$3*10^12-$A129),$A129,$A130))</f>
        <v/>
      </c>
      <c r="I129">
        <f>IF(IF((I$3*10^12-$A130)*(I$3*10^12-$A129)*-1&lt;0,0,1)*IF(ABS(I$3*10^12-$A130)&gt;(I$3*10^12-$A129),$A129,$A130)=I130,0,IF((I$3*10^12-$A130)*(I$3*10^12-$A129)*-1&lt;0,0,1)*IF(ABS(I$3*10^12-$A130)&gt;(I$3*10^12-$A129),$A129,$A130))</f>
        <v/>
      </c>
      <c r="J129">
        <f>IF(IF((J$3*10^12-$A130)*(J$3*10^12-$A129)*-1&lt;0,0,1)*IF(ABS(J$3*10^12-$A130)&gt;(J$3*10^12-$A129),$A129,$A130)=J130,0,IF((J$3*10^12-$A130)*(J$3*10^12-$A129)*-1&lt;0,0,1)*IF(ABS(J$3*10^12-$A130)&gt;(J$3*10^12-$A129),$A129,$A130))</f>
        <v/>
      </c>
      <c r="K129">
        <f>IF(IF((K$3*10^12-$A130)*(K$3*10^12-$A129)*-1&lt;0,0,1)*IF(ABS(K$3*10^12-$A130)&gt;(K$3*10^12-$A129),$A129,$A130)=K130,0,IF((K$3*10^12-$A130)*(K$3*10^12-$A129)*-1&lt;0,0,1)*IF(ABS(K$3*10^12-$A130)&gt;(K$3*10^12-$A129),$A129,$A130))</f>
        <v/>
      </c>
      <c r="L129">
        <f>IF(IF((L$3*10^12-$A130)*(L$3*10^12-$A129)*-1&lt;0,0,1)*IF(ABS(L$3*10^12-$A130)&gt;(L$3*10^12-$A129),$A129,$A130)=L130,0,IF((L$3*10^12-$A130)*(L$3*10^12-$A129)*-1&lt;0,0,1)*IF(ABS(L$3*10^12-$A130)&gt;(L$3*10^12-$A129),$A129,$A130))</f>
        <v/>
      </c>
      <c r="M129">
        <f>IF(IF((M$3*10^12-$A130)*(M$3*10^12-$A129)*-1&lt;0,0,1)*IF(ABS(M$3*10^12-$A130)&gt;(M$3*10^12-$A129),$A129,$A130)=M130,0,IF((M$3*10^12-$A130)*(M$3*10^12-$A129)*-1&lt;0,0,1)*IF(ABS(M$3*10^12-$A130)&gt;(M$3*10^12-$A129),$A129,$A130))</f>
        <v/>
      </c>
      <c r="N129">
        <f>IF(IF((N$3*10^12-$A130)*(N$3*10^12-$A129)*-1&lt;0,0,1)*IF(ABS(N$3*10^12-$A130)&gt;(N$3*10^12-$A129),$A129,$A130)=N130,0,IF((N$3*10^12-$A130)*(N$3*10^12-$A129)*-1&lt;0,0,1)*IF(ABS(N$3*10^12-$A130)&gt;(N$3*10^12-$A129),$A129,$A130))</f>
        <v/>
      </c>
    </row>
    <row r="130">
      <c r="A130">
        <f>A118*10</f>
        <v/>
      </c>
      <c r="B130">
        <f>IF(IF((B$3*10^12-$A131)*(B$3*10^12-$A130)*-1&lt;0,0,1)*IF(ABS(B$3*10^12-$A131)&gt;(B$3*10^12-$A130),$A130,$A131)=B131,0,IF((B$3*10^12-$A131)*(B$3*10^12-$A130)*-1&lt;0,0,1)*IF(ABS(B$3*10^12-$A131)&gt;(B$3*10^12-$A130),$A130,$A131))</f>
        <v/>
      </c>
      <c r="C130">
        <f>IF(IF((C$3*10^12-$A131)*(C$3*10^12-$A130)*-1&lt;0,0,1)*IF(ABS(C$3*10^12-$A131)&gt;(C$3*10^12-$A130),$A130,$A131)=C131,0,IF((C$3*10^12-$A131)*(C$3*10^12-$A130)*-1&lt;0,0,1)*IF(ABS(C$3*10^12-$A131)&gt;(C$3*10^12-$A130),$A130,$A131))</f>
        <v/>
      </c>
      <c r="D130">
        <f>IF(IF((D$3*10^12-$A131)*(D$3*10^12-$A130)*-1&lt;0,0,1)*IF(ABS(D$3*10^12-$A131)&gt;(D$3*10^12-$A130),$A130,$A131)=D131,0,IF((D$3*10^12-$A131)*(D$3*10^12-$A130)*-1&lt;0,0,1)*IF(ABS(D$3*10^12-$A131)&gt;(D$3*10^12-$A130),$A130,$A131))</f>
        <v/>
      </c>
      <c r="E130">
        <f>IF(IF((E$3*10^12-$A131)*(E$3*10^12-$A130)*-1&lt;0,0,1)*IF(ABS(E$3*10^12-$A131)&gt;(E$3*10^12-$A130),$A130,$A131)=E131,0,IF((E$3*10^12-$A131)*(E$3*10^12-$A130)*-1&lt;0,0,1)*IF(ABS(E$3*10^12-$A131)&gt;(E$3*10^12-$A130),$A130,$A131))</f>
        <v/>
      </c>
      <c r="F130">
        <f>IF(IF((F$3*10^12-$A131)*(F$3*10^12-$A130)*-1&lt;0,0,1)*IF(ABS(F$3*10^12-$A131)&gt;(F$3*10^12-$A130),$A130,$A131)=F131,0,IF((F$3*10^12-$A131)*(F$3*10^12-$A130)*-1&lt;0,0,1)*IF(ABS(F$3*10^12-$A131)&gt;(F$3*10^12-$A130),$A130,$A131))</f>
        <v/>
      </c>
      <c r="G130">
        <f>IF(IF((G$3*10^12-$A131)*(G$3*10^12-$A130)*-1&lt;0,0,1)*IF(ABS(G$3*10^12-$A131)&gt;(G$3*10^12-$A130),$A130,$A131)=G131,0,IF((G$3*10^12-$A131)*(G$3*10^12-$A130)*-1&lt;0,0,1)*IF(ABS(G$3*10^12-$A131)&gt;(G$3*10^12-$A130),$A130,$A131))</f>
        <v/>
      </c>
      <c r="H130">
        <f>IF(IF((H$3*10^12-$A131)*(H$3*10^12-$A130)*-1&lt;0,0,1)*IF(ABS(H$3*10^12-$A131)&gt;(H$3*10^12-$A130),$A130,$A131)=H131,0,IF((H$3*10^12-$A131)*(H$3*10^12-$A130)*-1&lt;0,0,1)*IF(ABS(H$3*10^12-$A131)&gt;(H$3*10^12-$A130),$A130,$A131))</f>
        <v/>
      </c>
      <c r="I130">
        <f>IF(IF((I$3*10^12-$A131)*(I$3*10^12-$A130)*-1&lt;0,0,1)*IF(ABS(I$3*10^12-$A131)&gt;(I$3*10^12-$A130),$A130,$A131)=I131,0,IF((I$3*10^12-$A131)*(I$3*10^12-$A130)*-1&lt;0,0,1)*IF(ABS(I$3*10^12-$A131)&gt;(I$3*10^12-$A130),$A130,$A131))</f>
        <v/>
      </c>
      <c r="J130">
        <f>IF(IF((J$3*10^12-$A131)*(J$3*10^12-$A130)*-1&lt;0,0,1)*IF(ABS(J$3*10^12-$A131)&gt;(J$3*10^12-$A130),$A130,$A131)=J131,0,IF((J$3*10^12-$A131)*(J$3*10^12-$A130)*-1&lt;0,0,1)*IF(ABS(J$3*10^12-$A131)&gt;(J$3*10^12-$A130),$A130,$A131))</f>
        <v/>
      </c>
      <c r="K130">
        <f>IF(IF((K$3*10^12-$A131)*(K$3*10^12-$A130)*-1&lt;0,0,1)*IF(ABS(K$3*10^12-$A131)&gt;(K$3*10^12-$A130),$A130,$A131)=K131,0,IF((K$3*10^12-$A131)*(K$3*10^12-$A130)*-1&lt;0,0,1)*IF(ABS(K$3*10^12-$A131)&gt;(K$3*10^12-$A130),$A130,$A131))</f>
        <v/>
      </c>
      <c r="L130">
        <f>IF(IF((L$3*10^12-$A131)*(L$3*10^12-$A130)*-1&lt;0,0,1)*IF(ABS(L$3*10^12-$A131)&gt;(L$3*10^12-$A130),$A130,$A131)=L131,0,IF((L$3*10^12-$A131)*(L$3*10^12-$A130)*-1&lt;0,0,1)*IF(ABS(L$3*10^12-$A131)&gt;(L$3*10^12-$A130),$A130,$A131))</f>
        <v/>
      </c>
      <c r="M130">
        <f>IF(IF((M$3*10^12-$A131)*(M$3*10^12-$A130)*-1&lt;0,0,1)*IF(ABS(M$3*10^12-$A131)&gt;(M$3*10^12-$A130),$A130,$A131)=M131,0,IF((M$3*10^12-$A131)*(M$3*10^12-$A130)*-1&lt;0,0,1)*IF(ABS(M$3*10^12-$A131)&gt;(M$3*10^12-$A130),$A130,$A131))</f>
        <v/>
      </c>
      <c r="N130">
        <f>IF(IF((N$3*10^12-$A131)*(N$3*10^12-$A130)*-1&lt;0,0,1)*IF(ABS(N$3*10^12-$A131)&gt;(N$3*10^12-$A130),$A130,$A131)=N131,0,IF((N$3*10^12-$A131)*(N$3*10^12-$A130)*-1&lt;0,0,1)*IF(ABS(N$3*10^12-$A131)&gt;(N$3*10^12-$A130),$A130,$A131))</f>
        <v/>
      </c>
    </row>
    <row r="131">
      <c r="A131">
        <f>A119*10</f>
        <v/>
      </c>
      <c r="B131">
        <f>IF(IF((B$3*10^12-$A132)*(B$3*10^12-$A131)*-1&lt;0,0,1)*IF(ABS(B$3*10^12-$A132)&gt;(B$3*10^12-$A131),$A131,$A132)=B132,0,IF((B$3*10^12-$A132)*(B$3*10^12-$A131)*-1&lt;0,0,1)*IF(ABS(B$3*10^12-$A132)&gt;(B$3*10^12-$A131),$A131,$A132))</f>
        <v/>
      </c>
      <c r="C131">
        <f>IF(IF((C$3*10^12-$A132)*(C$3*10^12-$A131)*-1&lt;0,0,1)*IF(ABS(C$3*10^12-$A132)&gt;(C$3*10^12-$A131),$A131,$A132)=C132,0,IF((C$3*10^12-$A132)*(C$3*10^12-$A131)*-1&lt;0,0,1)*IF(ABS(C$3*10^12-$A132)&gt;(C$3*10^12-$A131),$A131,$A132))</f>
        <v/>
      </c>
      <c r="D131">
        <f>IF(IF((D$3*10^12-$A132)*(D$3*10^12-$A131)*-1&lt;0,0,1)*IF(ABS(D$3*10^12-$A132)&gt;(D$3*10^12-$A131),$A131,$A132)=D132,0,IF((D$3*10^12-$A132)*(D$3*10^12-$A131)*-1&lt;0,0,1)*IF(ABS(D$3*10^12-$A132)&gt;(D$3*10^12-$A131),$A131,$A132))</f>
        <v/>
      </c>
      <c r="E131">
        <f>IF(IF((E$3*10^12-$A132)*(E$3*10^12-$A131)*-1&lt;0,0,1)*IF(ABS(E$3*10^12-$A132)&gt;(E$3*10^12-$A131),$A131,$A132)=E132,0,IF((E$3*10^12-$A132)*(E$3*10^12-$A131)*-1&lt;0,0,1)*IF(ABS(E$3*10^12-$A132)&gt;(E$3*10^12-$A131),$A131,$A132))</f>
        <v/>
      </c>
      <c r="F131">
        <f>IF(IF((F$3*10^12-$A132)*(F$3*10^12-$A131)*-1&lt;0,0,1)*IF(ABS(F$3*10^12-$A132)&gt;(F$3*10^12-$A131),$A131,$A132)=F132,0,IF((F$3*10^12-$A132)*(F$3*10^12-$A131)*-1&lt;0,0,1)*IF(ABS(F$3*10^12-$A132)&gt;(F$3*10^12-$A131),$A131,$A132))</f>
        <v/>
      </c>
      <c r="G131">
        <f>IF(IF((G$3*10^12-$A132)*(G$3*10^12-$A131)*-1&lt;0,0,1)*IF(ABS(G$3*10^12-$A132)&gt;(G$3*10^12-$A131),$A131,$A132)=G132,0,IF((G$3*10^12-$A132)*(G$3*10^12-$A131)*-1&lt;0,0,1)*IF(ABS(G$3*10^12-$A132)&gt;(G$3*10^12-$A131),$A131,$A132))</f>
        <v/>
      </c>
      <c r="H131">
        <f>IF(IF((H$3*10^12-$A132)*(H$3*10^12-$A131)*-1&lt;0,0,1)*IF(ABS(H$3*10^12-$A132)&gt;(H$3*10^12-$A131),$A131,$A132)=H132,0,IF((H$3*10^12-$A132)*(H$3*10^12-$A131)*-1&lt;0,0,1)*IF(ABS(H$3*10^12-$A132)&gt;(H$3*10^12-$A131),$A131,$A132))</f>
        <v/>
      </c>
      <c r="I131">
        <f>IF(IF((I$3*10^12-$A132)*(I$3*10^12-$A131)*-1&lt;0,0,1)*IF(ABS(I$3*10^12-$A132)&gt;(I$3*10^12-$A131),$A131,$A132)=I132,0,IF((I$3*10^12-$A132)*(I$3*10^12-$A131)*-1&lt;0,0,1)*IF(ABS(I$3*10^12-$A132)&gt;(I$3*10^12-$A131),$A131,$A132))</f>
        <v/>
      </c>
      <c r="J131">
        <f>IF(IF((J$3*10^12-$A132)*(J$3*10^12-$A131)*-1&lt;0,0,1)*IF(ABS(J$3*10^12-$A132)&gt;(J$3*10^12-$A131),$A131,$A132)=J132,0,IF((J$3*10^12-$A132)*(J$3*10^12-$A131)*-1&lt;0,0,1)*IF(ABS(J$3*10^12-$A132)&gt;(J$3*10^12-$A131),$A131,$A132))</f>
        <v/>
      </c>
      <c r="K131">
        <f>IF(IF((K$3*10^12-$A132)*(K$3*10^12-$A131)*-1&lt;0,0,1)*IF(ABS(K$3*10^12-$A132)&gt;(K$3*10^12-$A131),$A131,$A132)=K132,0,IF((K$3*10^12-$A132)*(K$3*10^12-$A131)*-1&lt;0,0,1)*IF(ABS(K$3*10^12-$A132)&gt;(K$3*10^12-$A131),$A131,$A132))</f>
        <v/>
      </c>
      <c r="L131">
        <f>IF(IF((L$3*10^12-$A132)*(L$3*10^12-$A131)*-1&lt;0,0,1)*IF(ABS(L$3*10^12-$A132)&gt;(L$3*10^12-$A131),$A131,$A132)=L132,0,IF((L$3*10^12-$A132)*(L$3*10^12-$A131)*-1&lt;0,0,1)*IF(ABS(L$3*10^12-$A132)&gt;(L$3*10^12-$A131),$A131,$A132))</f>
        <v/>
      </c>
      <c r="M131">
        <f>IF(IF((M$3*10^12-$A132)*(M$3*10^12-$A131)*-1&lt;0,0,1)*IF(ABS(M$3*10^12-$A132)&gt;(M$3*10^12-$A131),$A131,$A132)=M132,0,IF((M$3*10^12-$A132)*(M$3*10^12-$A131)*-1&lt;0,0,1)*IF(ABS(M$3*10^12-$A132)&gt;(M$3*10^12-$A131),$A131,$A132))</f>
        <v/>
      </c>
      <c r="N131">
        <f>IF(IF((N$3*10^12-$A132)*(N$3*10^12-$A131)*-1&lt;0,0,1)*IF(ABS(N$3*10^12-$A132)&gt;(N$3*10^12-$A131),$A131,$A132)=N132,0,IF((N$3*10^12-$A132)*(N$3*10^12-$A131)*-1&lt;0,0,1)*IF(ABS(N$3*10^12-$A132)&gt;(N$3*10^12-$A131),$A131,$A132))</f>
        <v/>
      </c>
    </row>
    <row r="132">
      <c r="A132">
        <f>A120*10</f>
        <v/>
      </c>
      <c r="B132">
        <f>IF(IF((B$3*10^12-$A133)*(B$3*10^12-$A132)*-1&lt;0,0,1)*IF(ABS(B$3*10^12-$A133)&gt;(B$3*10^12-$A132),$A132,$A133)=B133,0,IF((B$3*10^12-$A133)*(B$3*10^12-$A132)*-1&lt;0,0,1)*IF(ABS(B$3*10^12-$A133)&gt;(B$3*10^12-$A132),$A132,$A133))</f>
        <v/>
      </c>
      <c r="C132">
        <f>IF(IF((C$3*10^12-$A133)*(C$3*10^12-$A132)*-1&lt;0,0,1)*IF(ABS(C$3*10^12-$A133)&gt;(C$3*10^12-$A132),$A132,$A133)=C133,0,IF((C$3*10^12-$A133)*(C$3*10^12-$A132)*-1&lt;0,0,1)*IF(ABS(C$3*10^12-$A133)&gt;(C$3*10^12-$A132),$A132,$A133))</f>
        <v/>
      </c>
      <c r="D132">
        <f>IF(IF((D$3*10^12-$A133)*(D$3*10^12-$A132)*-1&lt;0,0,1)*IF(ABS(D$3*10^12-$A133)&gt;(D$3*10^12-$A132),$A132,$A133)=D133,0,IF((D$3*10^12-$A133)*(D$3*10^12-$A132)*-1&lt;0,0,1)*IF(ABS(D$3*10^12-$A133)&gt;(D$3*10^12-$A132),$A132,$A133))</f>
        <v/>
      </c>
      <c r="E132">
        <f>IF(IF((E$3*10^12-$A133)*(E$3*10^12-$A132)*-1&lt;0,0,1)*IF(ABS(E$3*10^12-$A133)&gt;(E$3*10^12-$A132),$A132,$A133)=E133,0,IF((E$3*10^12-$A133)*(E$3*10^12-$A132)*-1&lt;0,0,1)*IF(ABS(E$3*10^12-$A133)&gt;(E$3*10^12-$A132),$A132,$A133))</f>
        <v/>
      </c>
      <c r="F132">
        <f>IF(IF((F$3*10^12-$A133)*(F$3*10^12-$A132)*-1&lt;0,0,1)*IF(ABS(F$3*10^12-$A133)&gt;(F$3*10^12-$A132),$A132,$A133)=F133,0,IF((F$3*10^12-$A133)*(F$3*10^12-$A132)*-1&lt;0,0,1)*IF(ABS(F$3*10^12-$A133)&gt;(F$3*10^12-$A132),$A132,$A133))</f>
        <v/>
      </c>
      <c r="G132">
        <f>IF(IF((G$3*10^12-$A133)*(G$3*10^12-$A132)*-1&lt;0,0,1)*IF(ABS(G$3*10^12-$A133)&gt;(G$3*10^12-$A132),$A132,$A133)=G133,0,IF((G$3*10^12-$A133)*(G$3*10^12-$A132)*-1&lt;0,0,1)*IF(ABS(G$3*10^12-$A133)&gt;(G$3*10^12-$A132),$A132,$A133))</f>
        <v/>
      </c>
      <c r="H132">
        <f>IF(IF((H$3*10^12-$A133)*(H$3*10^12-$A132)*-1&lt;0,0,1)*IF(ABS(H$3*10^12-$A133)&gt;(H$3*10^12-$A132),$A132,$A133)=H133,0,IF((H$3*10^12-$A133)*(H$3*10^12-$A132)*-1&lt;0,0,1)*IF(ABS(H$3*10^12-$A133)&gt;(H$3*10^12-$A132),$A132,$A133))</f>
        <v/>
      </c>
      <c r="I132">
        <f>IF(IF((I$3*10^12-$A133)*(I$3*10^12-$A132)*-1&lt;0,0,1)*IF(ABS(I$3*10^12-$A133)&gt;(I$3*10^12-$A132),$A132,$A133)=I133,0,IF((I$3*10^12-$A133)*(I$3*10^12-$A132)*-1&lt;0,0,1)*IF(ABS(I$3*10^12-$A133)&gt;(I$3*10^12-$A132),$A132,$A133))</f>
        <v/>
      </c>
      <c r="J132">
        <f>IF(IF((J$3*10^12-$A133)*(J$3*10^12-$A132)*-1&lt;0,0,1)*IF(ABS(J$3*10^12-$A133)&gt;(J$3*10^12-$A132),$A132,$A133)=J133,0,IF((J$3*10^12-$A133)*(J$3*10^12-$A132)*-1&lt;0,0,1)*IF(ABS(J$3*10^12-$A133)&gt;(J$3*10^12-$A132),$A132,$A133))</f>
        <v/>
      </c>
      <c r="K132">
        <f>IF(IF((K$3*10^12-$A133)*(K$3*10^12-$A132)*-1&lt;0,0,1)*IF(ABS(K$3*10^12-$A133)&gt;(K$3*10^12-$A132),$A132,$A133)=K133,0,IF((K$3*10^12-$A133)*(K$3*10^12-$A132)*-1&lt;0,0,1)*IF(ABS(K$3*10^12-$A133)&gt;(K$3*10^12-$A132),$A132,$A133))</f>
        <v/>
      </c>
      <c r="L132">
        <f>IF(IF((L$3*10^12-$A133)*(L$3*10^12-$A132)*-1&lt;0,0,1)*IF(ABS(L$3*10^12-$A133)&gt;(L$3*10^12-$A132),$A132,$A133)=L133,0,IF((L$3*10^12-$A133)*(L$3*10^12-$A132)*-1&lt;0,0,1)*IF(ABS(L$3*10^12-$A133)&gt;(L$3*10^12-$A132),$A132,$A133))</f>
        <v/>
      </c>
      <c r="M132">
        <f>IF(IF((M$3*10^12-$A133)*(M$3*10^12-$A132)*-1&lt;0,0,1)*IF(ABS(M$3*10^12-$A133)&gt;(M$3*10^12-$A132),$A132,$A133)=M133,0,IF((M$3*10^12-$A133)*(M$3*10^12-$A132)*-1&lt;0,0,1)*IF(ABS(M$3*10^12-$A133)&gt;(M$3*10^12-$A132),$A132,$A133))</f>
        <v/>
      </c>
      <c r="N132">
        <f>IF(IF((N$3*10^12-$A133)*(N$3*10^12-$A132)*-1&lt;0,0,1)*IF(ABS(N$3*10^12-$A133)&gt;(N$3*10^12-$A132),$A132,$A133)=N133,0,IF((N$3*10^12-$A133)*(N$3*10^12-$A132)*-1&lt;0,0,1)*IF(ABS(N$3*10^12-$A133)&gt;(N$3*10^12-$A132),$A132,$A133))</f>
        <v/>
      </c>
    </row>
    <row r="133">
      <c r="A133">
        <f>A121*10</f>
        <v/>
      </c>
      <c r="B133">
        <f>IF(IF((B$3*10^12-$A134)*(B$3*10^12-$A133)*-1&lt;0,0,1)*IF(ABS(B$3*10^12-$A134)&gt;(B$3*10^12-$A133),$A133,$A134)=B134,0,IF((B$3*10^12-$A134)*(B$3*10^12-$A133)*-1&lt;0,0,1)*IF(ABS(B$3*10^12-$A134)&gt;(B$3*10^12-$A133),$A133,$A134))</f>
        <v/>
      </c>
      <c r="C133">
        <f>IF(IF((C$3*10^12-$A134)*(C$3*10^12-$A133)*-1&lt;0,0,1)*IF(ABS(C$3*10^12-$A134)&gt;(C$3*10^12-$A133),$A133,$A134)=C134,0,IF((C$3*10^12-$A134)*(C$3*10^12-$A133)*-1&lt;0,0,1)*IF(ABS(C$3*10^12-$A134)&gt;(C$3*10^12-$A133),$A133,$A134))</f>
        <v/>
      </c>
      <c r="D133">
        <f>IF(IF((D$3*10^12-$A134)*(D$3*10^12-$A133)*-1&lt;0,0,1)*IF(ABS(D$3*10^12-$A134)&gt;(D$3*10^12-$A133),$A133,$A134)=D134,0,IF((D$3*10^12-$A134)*(D$3*10^12-$A133)*-1&lt;0,0,1)*IF(ABS(D$3*10^12-$A134)&gt;(D$3*10^12-$A133),$A133,$A134))</f>
        <v/>
      </c>
      <c r="E133">
        <f>IF(IF((E$3*10^12-$A134)*(E$3*10^12-$A133)*-1&lt;0,0,1)*IF(ABS(E$3*10^12-$A134)&gt;(E$3*10^12-$A133),$A133,$A134)=E134,0,IF((E$3*10^12-$A134)*(E$3*10^12-$A133)*-1&lt;0,0,1)*IF(ABS(E$3*10^12-$A134)&gt;(E$3*10^12-$A133),$A133,$A134))</f>
        <v/>
      </c>
      <c r="F133">
        <f>IF(IF((F$3*10^12-$A134)*(F$3*10^12-$A133)*-1&lt;0,0,1)*IF(ABS(F$3*10^12-$A134)&gt;(F$3*10^12-$A133),$A133,$A134)=F134,0,IF((F$3*10^12-$A134)*(F$3*10^12-$A133)*-1&lt;0,0,1)*IF(ABS(F$3*10^12-$A134)&gt;(F$3*10^12-$A133),$A133,$A134))</f>
        <v/>
      </c>
      <c r="G133">
        <f>IF(IF((G$3*10^12-$A134)*(G$3*10^12-$A133)*-1&lt;0,0,1)*IF(ABS(G$3*10^12-$A134)&gt;(G$3*10^12-$A133),$A133,$A134)=G134,0,IF((G$3*10^12-$A134)*(G$3*10^12-$A133)*-1&lt;0,0,1)*IF(ABS(G$3*10^12-$A134)&gt;(G$3*10^12-$A133),$A133,$A134))</f>
        <v/>
      </c>
      <c r="H133">
        <f>IF(IF((H$3*10^12-$A134)*(H$3*10^12-$A133)*-1&lt;0,0,1)*IF(ABS(H$3*10^12-$A134)&gt;(H$3*10^12-$A133),$A133,$A134)=H134,0,IF((H$3*10^12-$A134)*(H$3*10^12-$A133)*-1&lt;0,0,1)*IF(ABS(H$3*10^12-$A134)&gt;(H$3*10^12-$A133),$A133,$A134))</f>
        <v/>
      </c>
      <c r="I133">
        <f>IF(IF((I$3*10^12-$A134)*(I$3*10^12-$A133)*-1&lt;0,0,1)*IF(ABS(I$3*10^12-$A134)&gt;(I$3*10^12-$A133),$A133,$A134)=I134,0,IF((I$3*10^12-$A134)*(I$3*10^12-$A133)*-1&lt;0,0,1)*IF(ABS(I$3*10^12-$A134)&gt;(I$3*10^12-$A133),$A133,$A134))</f>
        <v/>
      </c>
      <c r="J133">
        <f>IF(IF((J$3*10^12-$A134)*(J$3*10^12-$A133)*-1&lt;0,0,1)*IF(ABS(J$3*10^12-$A134)&gt;(J$3*10^12-$A133),$A133,$A134)=J134,0,IF((J$3*10^12-$A134)*(J$3*10^12-$A133)*-1&lt;0,0,1)*IF(ABS(J$3*10^12-$A134)&gt;(J$3*10^12-$A133),$A133,$A134))</f>
        <v/>
      </c>
      <c r="K133">
        <f>IF(IF((K$3*10^12-$A134)*(K$3*10^12-$A133)*-1&lt;0,0,1)*IF(ABS(K$3*10^12-$A134)&gt;(K$3*10^12-$A133),$A133,$A134)=K134,0,IF((K$3*10^12-$A134)*(K$3*10^12-$A133)*-1&lt;0,0,1)*IF(ABS(K$3*10^12-$A134)&gt;(K$3*10^12-$A133),$A133,$A134))</f>
        <v/>
      </c>
      <c r="L133">
        <f>IF(IF((L$3*10^12-$A134)*(L$3*10^12-$A133)*-1&lt;0,0,1)*IF(ABS(L$3*10^12-$A134)&gt;(L$3*10^12-$A133),$A133,$A134)=L134,0,IF((L$3*10^12-$A134)*(L$3*10^12-$A133)*-1&lt;0,0,1)*IF(ABS(L$3*10^12-$A134)&gt;(L$3*10^12-$A133),$A133,$A134))</f>
        <v/>
      </c>
      <c r="M133">
        <f>IF(IF((M$3*10^12-$A134)*(M$3*10^12-$A133)*-1&lt;0,0,1)*IF(ABS(M$3*10^12-$A134)&gt;(M$3*10^12-$A133),$A133,$A134)=M134,0,IF((M$3*10^12-$A134)*(M$3*10^12-$A133)*-1&lt;0,0,1)*IF(ABS(M$3*10^12-$A134)&gt;(M$3*10^12-$A133),$A133,$A134))</f>
        <v/>
      </c>
      <c r="N133">
        <f>IF(IF((N$3*10^12-$A134)*(N$3*10^12-$A133)*-1&lt;0,0,1)*IF(ABS(N$3*10^12-$A134)&gt;(N$3*10^12-$A133),$A133,$A134)=N134,0,IF((N$3*10^12-$A134)*(N$3*10^12-$A133)*-1&lt;0,0,1)*IF(ABS(N$3*10^12-$A134)&gt;(N$3*10^12-$A133),$A133,$A134))</f>
        <v/>
      </c>
    </row>
    <row r="134">
      <c r="A134">
        <f>A122*10</f>
        <v/>
      </c>
      <c r="B134">
        <f>IF(IF((B$3*10^12-$A135)*(B$3*10^12-$A134)*-1&lt;0,0,1)*IF(ABS(B$3*10^12-$A135)&gt;(B$3*10^12-$A134),$A134,$A135)=B135,0,IF((B$3*10^12-$A135)*(B$3*10^12-$A134)*-1&lt;0,0,1)*IF(ABS(B$3*10^12-$A135)&gt;(B$3*10^12-$A134),$A134,$A135))</f>
        <v/>
      </c>
      <c r="C134">
        <f>IF(IF((C$3*10^12-$A135)*(C$3*10^12-$A134)*-1&lt;0,0,1)*IF(ABS(C$3*10^12-$A135)&gt;(C$3*10^12-$A134),$A134,$A135)=C135,0,IF((C$3*10^12-$A135)*(C$3*10^12-$A134)*-1&lt;0,0,1)*IF(ABS(C$3*10^12-$A135)&gt;(C$3*10^12-$A134),$A134,$A135))</f>
        <v/>
      </c>
      <c r="D134">
        <f>IF(IF((D$3*10^12-$A135)*(D$3*10^12-$A134)*-1&lt;0,0,1)*IF(ABS(D$3*10^12-$A135)&gt;(D$3*10^12-$A134),$A134,$A135)=D135,0,IF((D$3*10^12-$A135)*(D$3*10^12-$A134)*-1&lt;0,0,1)*IF(ABS(D$3*10^12-$A135)&gt;(D$3*10^12-$A134),$A134,$A135))</f>
        <v/>
      </c>
      <c r="E134">
        <f>IF(IF((E$3*10^12-$A135)*(E$3*10^12-$A134)*-1&lt;0,0,1)*IF(ABS(E$3*10^12-$A135)&gt;(E$3*10^12-$A134),$A134,$A135)=E135,0,IF((E$3*10^12-$A135)*(E$3*10^12-$A134)*-1&lt;0,0,1)*IF(ABS(E$3*10^12-$A135)&gt;(E$3*10^12-$A134),$A134,$A135))</f>
        <v/>
      </c>
      <c r="F134">
        <f>IF(IF((F$3*10^12-$A135)*(F$3*10^12-$A134)*-1&lt;0,0,1)*IF(ABS(F$3*10^12-$A135)&gt;(F$3*10^12-$A134),$A134,$A135)=F135,0,IF((F$3*10^12-$A135)*(F$3*10^12-$A134)*-1&lt;0,0,1)*IF(ABS(F$3*10^12-$A135)&gt;(F$3*10^12-$A134),$A134,$A135))</f>
        <v/>
      </c>
      <c r="G134">
        <f>IF(IF((G$3*10^12-$A135)*(G$3*10^12-$A134)*-1&lt;0,0,1)*IF(ABS(G$3*10^12-$A135)&gt;(G$3*10^12-$A134),$A134,$A135)=G135,0,IF((G$3*10^12-$A135)*(G$3*10^12-$A134)*-1&lt;0,0,1)*IF(ABS(G$3*10^12-$A135)&gt;(G$3*10^12-$A134),$A134,$A135))</f>
        <v/>
      </c>
      <c r="H134">
        <f>IF(IF((H$3*10^12-$A135)*(H$3*10^12-$A134)*-1&lt;0,0,1)*IF(ABS(H$3*10^12-$A135)&gt;(H$3*10^12-$A134),$A134,$A135)=H135,0,IF((H$3*10^12-$A135)*(H$3*10^12-$A134)*-1&lt;0,0,1)*IF(ABS(H$3*10^12-$A135)&gt;(H$3*10^12-$A134),$A134,$A135))</f>
        <v/>
      </c>
      <c r="I134">
        <f>IF(IF((I$3*10^12-$A135)*(I$3*10^12-$A134)*-1&lt;0,0,1)*IF(ABS(I$3*10^12-$A135)&gt;(I$3*10^12-$A134),$A134,$A135)=I135,0,IF((I$3*10^12-$A135)*(I$3*10^12-$A134)*-1&lt;0,0,1)*IF(ABS(I$3*10^12-$A135)&gt;(I$3*10^12-$A134),$A134,$A135))</f>
        <v/>
      </c>
      <c r="J134">
        <f>IF(IF((J$3*10^12-$A135)*(J$3*10^12-$A134)*-1&lt;0,0,1)*IF(ABS(J$3*10^12-$A135)&gt;(J$3*10^12-$A134),$A134,$A135)=J135,0,IF((J$3*10^12-$A135)*(J$3*10^12-$A134)*-1&lt;0,0,1)*IF(ABS(J$3*10^12-$A135)&gt;(J$3*10^12-$A134),$A134,$A135))</f>
        <v/>
      </c>
      <c r="K134">
        <f>IF(IF((K$3*10^12-$A135)*(K$3*10^12-$A134)*-1&lt;0,0,1)*IF(ABS(K$3*10^12-$A135)&gt;(K$3*10^12-$A134),$A134,$A135)=K135,0,IF((K$3*10^12-$A135)*(K$3*10^12-$A134)*-1&lt;0,0,1)*IF(ABS(K$3*10^12-$A135)&gt;(K$3*10^12-$A134),$A134,$A135))</f>
        <v/>
      </c>
      <c r="L134">
        <f>IF(IF((L$3*10^12-$A135)*(L$3*10^12-$A134)*-1&lt;0,0,1)*IF(ABS(L$3*10^12-$A135)&gt;(L$3*10^12-$A134),$A134,$A135)=L135,0,IF((L$3*10^12-$A135)*(L$3*10^12-$A134)*-1&lt;0,0,1)*IF(ABS(L$3*10^12-$A135)&gt;(L$3*10^12-$A134),$A134,$A135))</f>
        <v/>
      </c>
      <c r="M134">
        <f>IF(IF((M$3*10^12-$A135)*(M$3*10^12-$A134)*-1&lt;0,0,1)*IF(ABS(M$3*10^12-$A135)&gt;(M$3*10^12-$A134),$A134,$A135)=M135,0,IF((M$3*10^12-$A135)*(M$3*10^12-$A134)*-1&lt;0,0,1)*IF(ABS(M$3*10^12-$A135)&gt;(M$3*10^12-$A134),$A134,$A135))</f>
        <v/>
      </c>
      <c r="N134">
        <f>IF(IF((N$3*10^12-$A135)*(N$3*10^12-$A134)*-1&lt;0,0,1)*IF(ABS(N$3*10^12-$A135)&gt;(N$3*10^12-$A134),$A134,$A135)=N135,0,IF((N$3*10^12-$A135)*(N$3*10^12-$A134)*-1&lt;0,0,1)*IF(ABS(N$3*10^12-$A135)&gt;(N$3*10^12-$A134),$A134,$A135))</f>
        <v/>
      </c>
    </row>
    <row r="135">
      <c r="A135">
        <f>A123*10</f>
        <v/>
      </c>
      <c r="B135">
        <f>IF(IF((B$3*10^12-$A136)*(B$3*10^12-$A135)*-1&lt;0,0,1)*IF(ABS(B$3*10^12-$A136)&gt;(B$3*10^12-$A135),$A135,$A136)=B136,0,IF((B$3*10^12-$A136)*(B$3*10^12-$A135)*-1&lt;0,0,1)*IF(ABS(B$3*10^12-$A136)&gt;(B$3*10^12-$A135),$A135,$A136))</f>
        <v/>
      </c>
      <c r="C135">
        <f>IF(IF((C$3*10^12-$A136)*(C$3*10^12-$A135)*-1&lt;0,0,1)*IF(ABS(C$3*10^12-$A136)&gt;(C$3*10^12-$A135),$A135,$A136)=C136,0,IF((C$3*10^12-$A136)*(C$3*10^12-$A135)*-1&lt;0,0,1)*IF(ABS(C$3*10^12-$A136)&gt;(C$3*10^12-$A135),$A135,$A136))</f>
        <v/>
      </c>
      <c r="D135">
        <f>IF(IF((D$3*10^12-$A136)*(D$3*10^12-$A135)*-1&lt;0,0,1)*IF(ABS(D$3*10^12-$A136)&gt;(D$3*10^12-$A135),$A135,$A136)=D136,0,IF((D$3*10^12-$A136)*(D$3*10^12-$A135)*-1&lt;0,0,1)*IF(ABS(D$3*10^12-$A136)&gt;(D$3*10^12-$A135),$A135,$A136))</f>
        <v/>
      </c>
      <c r="E135">
        <f>IF(IF((E$3*10^12-$A136)*(E$3*10^12-$A135)*-1&lt;0,0,1)*IF(ABS(E$3*10^12-$A136)&gt;(E$3*10^12-$A135),$A135,$A136)=E136,0,IF((E$3*10^12-$A136)*(E$3*10^12-$A135)*-1&lt;0,0,1)*IF(ABS(E$3*10^12-$A136)&gt;(E$3*10^12-$A135),$A135,$A136))</f>
        <v/>
      </c>
      <c r="F135">
        <f>IF(IF((F$3*10^12-$A136)*(F$3*10^12-$A135)*-1&lt;0,0,1)*IF(ABS(F$3*10^12-$A136)&gt;(F$3*10^12-$A135),$A135,$A136)=F136,0,IF((F$3*10^12-$A136)*(F$3*10^12-$A135)*-1&lt;0,0,1)*IF(ABS(F$3*10^12-$A136)&gt;(F$3*10^12-$A135),$A135,$A136))</f>
        <v/>
      </c>
      <c r="G135">
        <f>IF(IF((G$3*10^12-$A136)*(G$3*10^12-$A135)*-1&lt;0,0,1)*IF(ABS(G$3*10^12-$A136)&gt;(G$3*10^12-$A135),$A135,$A136)=G136,0,IF((G$3*10^12-$A136)*(G$3*10^12-$A135)*-1&lt;0,0,1)*IF(ABS(G$3*10^12-$A136)&gt;(G$3*10^12-$A135),$A135,$A136))</f>
        <v/>
      </c>
      <c r="H135">
        <f>IF(IF((H$3*10^12-$A136)*(H$3*10^12-$A135)*-1&lt;0,0,1)*IF(ABS(H$3*10^12-$A136)&gt;(H$3*10^12-$A135),$A135,$A136)=H136,0,IF((H$3*10^12-$A136)*(H$3*10^12-$A135)*-1&lt;0,0,1)*IF(ABS(H$3*10^12-$A136)&gt;(H$3*10^12-$A135),$A135,$A136))</f>
        <v/>
      </c>
      <c r="I135">
        <f>IF(IF((I$3*10^12-$A136)*(I$3*10^12-$A135)*-1&lt;0,0,1)*IF(ABS(I$3*10^12-$A136)&gt;(I$3*10^12-$A135),$A135,$A136)=I136,0,IF((I$3*10^12-$A136)*(I$3*10^12-$A135)*-1&lt;0,0,1)*IF(ABS(I$3*10^12-$A136)&gt;(I$3*10^12-$A135),$A135,$A136))</f>
        <v/>
      </c>
      <c r="J135">
        <f>IF(IF((J$3*10^12-$A136)*(J$3*10^12-$A135)*-1&lt;0,0,1)*IF(ABS(J$3*10^12-$A136)&gt;(J$3*10^12-$A135),$A135,$A136)=J136,0,IF((J$3*10^12-$A136)*(J$3*10^12-$A135)*-1&lt;0,0,1)*IF(ABS(J$3*10^12-$A136)&gt;(J$3*10^12-$A135),$A135,$A136))</f>
        <v/>
      </c>
      <c r="K135">
        <f>IF(IF((K$3*10^12-$A136)*(K$3*10^12-$A135)*-1&lt;0,0,1)*IF(ABS(K$3*10^12-$A136)&gt;(K$3*10^12-$A135),$A135,$A136)=K136,0,IF((K$3*10^12-$A136)*(K$3*10^12-$A135)*-1&lt;0,0,1)*IF(ABS(K$3*10^12-$A136)&gt;(K$3*10^12-$A135),$A135,$A136))</f>
        <v/>
      </c>
      <c r="L135">
        <f>IF(IF((L$3*10^12-$A136)*(L$3*10^12-$A135)*-1&lt;0,0,1)*IF(ABS(L$3*10^12-$A136)&gt;(L$3*10^12-$A135),$A135,$A136)=L136,0,IF((L$3*10^12-$A136)*(L$3*10^12-$A135)*-1&lt;0,0,1)*IF(ABS(L$3*10^12-$A136)&gt;(L$3*10^12-$A135),$A135,$A136))</f>
        <v/>
      </c>
      <c r="M135">
        <f>IF(IF((M$3*10^12-$A136)*(M$3*10^12-$A135)*-1&lt;0,0,1)*IF(ABS(M$3*10^12-$A136)&gt;(M$3*10^12-$A135),$A135,$A136)=M136,0,IF((M$3*10^12-$A136)*(M$3*10^12-$A135)*-1&lt;0,0,1)*IF(ABS(M$3*10^12-$A136)&gt;(M$3*10^12-$A135),$A135,$A136))</f>
        <v/>
      </c>
      <c r="N135">
        <f>IF(IF((N$3*10^12-$A136)*(N$3*10^12-$A135)*-1&lt;0,0,1)*IF(ABS(N$3*10^12-$A136)&gt;(N$3*10^12-$A135),$A135,$A136)=N136,0,IF((N$3*10^12-$A136)*(N$3*10^12-$A135)*-1&lt;0,0,1)*IF(ABS(N$3*10^12-$A136)&gt;(N$3*10^12-$A135),$A135,$A136))</f>
        <v/>
      </c>
    </row>
    <row r="136">
      <c r="A136">
        <f>A124*10</f>
        <v/>
      </c>
      <c r="B136">
        <f>IF(IF((B$3*10^12-$A137)*(B$3*10^12-$A136)*-1&lt;0,0,1)*IF(ABS(B$3*10^12-$A137)&gt;(B$3*10^12-$A136),$A136,$A137)=B137,0,IF((B$3*10^12-$A137)*(B$3*10^12-$A136)*-1&lt;0,0,1)*IF(ABS(B$3*10^12-$A137)&gt;(B$3*10^12-$A136),$A136,$A137))</f>
        <v/>
      </c>
      <c r="C136">
        <f>IF(IF((C$3*10^12-$A137)*(C$3*10^12-$A136)*-1&lt;0,0,1)*IF(ABS(C$3*10^12-$A137)&gt;(C$3*10^12-$A136),$A136,$A137)=C137,0,IF((C$3*10^12-$A137)*(C$3*10^12-$A136)*-1&lt;0,0,1)*IF(ABS(C$3*10^12-$A137)&gt;(C$3*10^12-$A136),$A136,$A137))</f>
        <v/>
      </c>
      <c r="D136">
        <f>IF(IF((D$3*10^12-$A137)*(D$3*10^12-$A136)*-1&lt;0,0,1)*IF(ABS(D$3*10^12-$A137)&gt;(D$3*10^12-$A136),$A136,$A137)=D137,0,IF((D$3*10^12-$A137)*(D$3*10^12-$A136)*-1&lt;0,0,1)*IF(ABS(D$3*10^12-$A137)&gt;(D$3*10^12-$A136),$A136,$A137))</f>
        <v/>
      </c>
      <c r="E136">
        <f>IF(IF((E$3*10^12-$A137)*(E$3*10^12-$A136)*-1&lt;0,0,1)*IF(ABS(E$3*10^12-$A137)&gt;(E$3*10^12-$A136),$A136,$A137)=E137,0,IF((E$3*10^12-$A137)*(E$3*10^12-$A136)*-1&lt;0,0,1)*IF(ABS(E$3*10^12-$A137)&gt;(E$3*10^12-$A136),$A136,$A137))</f>
        <v/>
      </c>
      <c r="F136">
        <f>IF(IF((F$3*10^12-$A137)*(F$3*10^12-$A136)*-1&lt;0,0,1)*IF(ABS(F$3*10^12-$A137)&gt;(F$3*10^12-$A136),$A136,$A137)=F137,0,IF((F$3*10^12-$A137)*(F$3*10^12-$A136)*-1&lt;0,0,1)*IF(ABS(F$3*10^12-$A137)&gt;(F$3*10^12-$A136),$A136,$A137))</f>
        <v/>
      </c>
      <c r="G136">
        <f>IF(IF((G$3*10^12-$A137)*(G$3*10^12-$A136)*-1&lt;0,0,1)*IF(ABS(G$3*10^12-$A137)&gt;(G$3*10^12-$A136),$A136,$A137)=G137,0,IF((G$3*10^12-$A137)*(G$3*10^12-$A136)*-1&lt;0,0,1)*IF(ABS(G$3*10^12-$A137)&gt;(G$3*10^12-$A136),$A136,$A137))</f>
        <v/>
      </c>
      <c r="H136">
        <f>IF(IF((H$3*10^12-$A137)*(H$3*10^12-$A136)*-1&lt;0,0,1)*IF(ABS(H$3*10^12-$A137)&gt;(H$3*10^12-$A136),$A136,$A137)=H137,0,IF((H$3*10^12-$A137)*(H$3*10^12-$A136)*-1&lt;0,0,1)*IF(ABS(H$3*10^12-$A137)&gt;(H$3*10^12-$A136),$A136,$A137))</f>
        <v/>
      </c>
      <c r="I136">
        <f>IF(IF((I$3*10^12-$A137)*(I$3*10^12-$A136)*-1&lt;0,0,1)*IF(ABS(I$3*10^12-$A137)&gt;(I$3*10^12-$A136),$A136,$A137)=I137,0,IF((I$3*10^12-$A137)*(I$3*10^12-$A136)*-1&lt;0,0,1)*IF(ABS(I$3*10^12-$A137)&gt;(I$3*10^12-$A136),$A136,$A137))</f>
        <v/>
      </c>
      <c r="J136">
        <f>IF(IF((J$3*10^12-$A137)*(J$3*10^12-$A136)*-1&lt;0,0,1)*IF(ABS(J$3*10^12-$A137)&gt;(J$3*10^12-$A136),$A136,$A137)=J137,0,IF((J$3*10^12-$A137)*(J$3*10^12-$A136)*-1&lt;0,0,1)*IF(ABS(J$3*10^12-$A137)&gt;(J$3*10^12-$A136),$A136,$A137))</f>
        <v/>
      </c>
      <c r="K136">
        <f>IF(IF((K$3*10^12-$A137)*(K$3*10^12-$A136)*-1&lt;0,0,1)*IF(ABS(K$3*10^12-$A137)&gt;(K$3*10^12-$A136),$A136,$A137)=K137,0,IF((K$3*10^12-$A137)*(K$3*10^12-$A136)*-1&lt;0,0,1)*IF(ABS(K$3*10^12-$A137)&gt;(K$3*10^12-$A136),$A136,$A137))</f>
        <v/>
      </c>
      <c r="L136">
        <f>IF(IF((L$3*10^12-$A137)*(L$3*10^12-$A136)*-1&lt;0,0,1)*IF(ABS(L$3*10^12-$A137)&gt;(L$3*10^12-$A136),$A136,$A137)=L137,0,IF((L$3*10^12-$A137)*(L$3*10^12-$A136)*-1&lt;0,0,1)*IF(ABS(L$3*10^12-$A137)&gt;(L$3*10^12-$A136),$A136,$A137))</f>
        <v/>
      </c>
      <c r="M136">
        <f>IF(IF((M$3*10^12-$A137)*(M$3*10^12-$A136)*-1&lt;0,0,1)*IF(ABS(M$3*10^12-$A137)&gt;(M$3*10^12-$A136),$A136,$A137)=M137,0,IF((M$3*10^12-$A137)*(M$3*10^12-$A136)*-1&lt;0,0,1)*IF(ABS(M$3*10^12-$A137)&gt;(M$3*10^12-$A136),$A136,$A137))</f>
        <v/>
      </c>
      <c r="N136">
        <f>IF(IF((N$3*10^12-$A137)*(N$3*10^12-$A136)*-1&lt;0,0,1)*IF(ABS(N$3*10^12-$A137)&gt;(N$3*10^12-$A136),$A136,$A137)=N137,0,IF((N$3*10^12-$A137)*(N$3*10^12-$A136)*-1&lt;0,0,1)*IF(ABS(N$3*10^12-$A137)&gt;(N$3*10^12-$A136),$A136,$A137))</f>
        <v/>
      </c>
    </row>
    <row r="137">
      <c r="A137">
        <f>A125*10</f>
        <v/>
      </c>
      <c r="B137">
        <f>IF(IF((B$3*10^12-$A138)*(B$3*10^12-$A137)*-1&lt;0,0,1)*IF(ABS(B$3*10^12-$A138)&gt;(B$3*10^12-$A137),$A137,$A138)=B138,0,IF((B$3*10^12-$A138)*(B$3*10^12-$A137)*-1&lt;0,0,1)*IF(ABS(B$3*10^12-$A138)&gt;(B$3*10^12-$A137),$A137,$A138))</f>
        <v/>
      </c>
      <c r="C137">
        <f>IF(IF((C$3*10^12-$A138)*(C$3*10^12-$A137)*-1&lt;0,0,1)*IF(ABS(C$3*10^12-$A138)&gt;(C$3*10^12-$A137),$A137,$A138)=C138,0,IF((C$3*10^12-$A138)*(C$3*10^12-$A137)*-1&lt;0,0,1)*IF(ABS(C$3*10^12-$A138)&gt;(C$3*10^12-$A137),$A137,$A138))</f>
        <v/>
      </c>
      <c r="D137">
        <f>IF(IF((D$3*10^12-$A138)*(D$3*10^12-$A137)*-1&lt;0,0,1)*IF(ABS(D$3*10^12-$A138)&gt;(D$3*10^12-$A137),$A137,$A138)=D138,0,IF((D$3*10^12-$A138)*(D$3*10^12-$A137)*-1&lt;0,0,1)*IF(ABS(D$3*10^12-$A138)&gt;(D$3*10^12-$A137),$A137,$A138))</f>
        <v/>
      </c>
      <c r="E137">
        <f>IF(IF((E$3*10^12-$A138)*(E$3*10^12-$A137)*-1&lt;0,0,1)*IF(ABS(E$3*10^12-$A138)&gt;(E$3*10^12-$A137),$A137,$A138)=E138,0,IF((E$3*10^12-$A138)*(E$3*10^12-$A137)*-1&lt;0,0,1)*IF(ABS(E$3*10^12-$A138)&gt;(E$3*10^12-$A137),$A137,$A138))</f>
        <v/>
      </c>
      <c r="F137">
        <f>IF(IF((F$3*10^12-$A138)*(F$3*10^12-$A137)*-1&lt;0,0,1)*IF(ABS(F$3*10^12-$A138)&gt;(F$3*10^12-$A137),$A137,$A138)=F138,0,IF((F$3*10^12-$A138)*(F$3*10^12-$A137)*-1&lt;0,0,1)*IF(ABS(F$3*10^12-$A138)&gt;(F$3*10^12-$A137),$A137,$A138))</f>
        <v/>
      </c>
      <c r="G137">
        <f>IF(IF((G$3*10^12-$A138)*(G$3*10^12-$A137)*-1&lt;0,0,1)*IF(ABS(G$3*10^12-$A138)&gt;(G$3*10^12-$A137),$A137,$A138)=G138,0,IF((G$3*10^12-$A138)*(G$3*10^12-$A137)*-1&lt;0,0,1)*IF(ABS(G$3*10^12-$A138)&gt;(G$3*10^12-$A137),$A137,$A138))</f>
        <v/>
      </c>
      <c r="H137">
        <f>IF(IF((H$3*10^12-$A138)*(H$3*10^12-$A137)*-1&lt;0,0,1)*IF(ABS(H$3*10^12-$A138)&gt;(H$3*10^12-$A137),$A137,$A138)=H138,0,IF((H$3*10^12-$A138)*(H$3*10^12-$A137)*-1&lt;0,0,1)*IF(ABS(H$3*10^12-$A138)&gt;(H$3*10^12-$A137),$A137,$A138))</f>
        <v/>
      </c>
      <c r="I137">
        <f>IF(IF((I$3*10^12-$A138)*(I$3*10^12-$A137)*-1&lt;0,0,1)*IF(ABS(I$3*10^12-$A138)&gt;(I$3*10^12-$A137),$A137,$A138)=I138,0,IF((I$3*10^12-$A138)*(I$3*10^12-$A137)*-1&lt;0,0,1)*IF(ABS(I$3*10^12-$A138)&gt;(I$3*10^12-$A137),$A137,$A138))</f>
        <v/>
      </c>
      <c r="J137">
        <f>IF(IF((J$3*10^12-$A138)*(J$3*10^12-$A137)*-1&lt;0,0,1)*IF(ABS(J$3*10^12-$A138)&gt;(J$3*10^12-$A137),$A137,$A138)=J138,0,IF((J$3*10^12-$A138)*(J$3*10^12-$A137)*-1&lt;0,0,1)*IF(ABS(J$3*10^12-$A138)&gt;(J$3*10^12-$A137),$A137,$A138))</f>
        <v/>
      </c>
      <c r="K137">
        <f>IF(IF((K$3*10^12-$A138)*(K$3*10^12-$A137)*-1&lt;0,0,1)*IF(ABS(K$3*10^12-$A138)&gt;(K$3*10^12-$A137),$A137,$A138)=K138,0,IF((K$3*10^12-$A138)*(K$3*10^12-$A137)*-1&lt;0,0,1)*IF(ABS(K$3*10^12-$A138)&gt;(K$3*10^12-$A137),$A137,$A138))</f>
        <v/>
      </c>
      <c r="L137">
        <f>IF(IF((L$3*10^12-$A138)*(L$3*10^12-$A137)*-1&lt;0,0,1)*IF(ABS(L$3*10^12-$A138)&gt;(L$3*10^12-$A137),$A137,$A138)=L138,0,IF((L$3*10^12-$A138)*(L$3*10^12-$A137)*-1&lt;0,0,1)*IF(ABS(L$3*10^12-$A138)&gt;(L$3*10^12-$A137),$A137,$A138))</f>
        <v/>
      </c>
      <c r="M137">
        <f>IF(IF((M$3*10^12-$A138)*(M$3*10^12-$A137)*-1&lt;0,0,1)*IF(ABS(M$3*10^12-$A138)&gt;(M$3*10^12-$A137),$A137,$A138)=M138,0,IF((M$3*10^12-$A138)*(M$3*10^12-$A137)*-1&lt;0,0,1)*IF(ABS(M$3*10^12-$A138)&gt;(M$3*10^12-$A137),$A137,$A138))</f>
        <v/>
      </c>
      <c r="N137">
        <f>IF(IF((N$3*10^12-$A138)*(N$3*10^12-$A137)*-1&lt;0,0,1)*IF(ABS(N$3*10^12-$A138)&gt;(N$3*10^12-$A137),$A137,$A138)=N138,0,IF((N$3*10^12-$A138)*(N$3*10^12-$A137)*-1&lt;0,0,1)*IF(ABS(N$3*10^12-$A138)&gt;(N$3*10^12-$A137),$A137,$A138))</f>
        <v/>
      </c>
    </row>
    <row r="138">
      <c r="A138">
        <f>A126*10</f>
        <v/>
      </c>
      <c r="B138">
        <f>IF(IF((B$3*10^12-$A139)*(B$3*10^12-$A138)*-1&lt;0,0,1)*IF(ABS(B$3*10^12-$A139)&gt;(B$3*10^12-$A138),$A138,$A139)=B139,0,IF((B$3*10^12-$A139)*(B$3*10^12-$A138)*-1&lt;0,0,1)*IF(ABS(B$3*10^12-$A139)&gt;(B$3*10^12-$A138),$A138,$A139))</f>
        <v/>
      </c>
      <c r="C138">
        <f>IF(IF((C$3*10^12-$A139)*(C$3*10^12-$A138)*-1&lt;0,0,1)*IF(ABS(C$3*10^12-$A139)&gt;(C$3*10^12-$A138),$A138,$A139)=C139,0,IF((C$3*10^12-$A139)*(C$3*10^12-$A138)*-1&lt;0,0,1)*IF(ABS(C$3*10^12-$A139)&gt;(C$3*10^12-$A138),$A138,$A139))</f>
        <v/>
      </c>
      <c r="D138">
        <f>IF(IF((D$3*10^12-$A139)*(D$3*10^12-$A138)*-1&lt;0,0,1)*IF(ABS(D$3*10^12-$A139)&gt;(D$3*10^12-$A138),$A138,$A139)=D139,0,IF((D$3*10^12-$A139)*(D$3*10^12-$A138)*-1&lt;0,0,1)*IF(ABS(D$3*10^12-$A139)&gt;(D$3*10^12-$A138),$A138,$A139))</f>
        <v/>
      </c>
      <c r="E138">
        <f>IF(IF((E$3*10^12-$A139)*(E$3*10^12-$A138)*-1&lt;0,0,1)*IF(ABS(E$3*10^12-$A139)&gt;(E$3*10^12-$A138),$A138,$A139)=E139,0,IF((E$3*10^12-$A139)*(E$3*10^12-$A138)*-1&lt;0,0,1)*IF(ABS(E$3*10^12-$A139)&gt;(E$3*10^12-$A138),$A138,$A139))</f>
        <v/>
      </c>
      <c r="F138">
        <f>IF(IF((F$3*10^12-$A139)*(F$3*10^12-$A138)*-1&lt;0,0,1)*IF(ABS(F$3*10^12-$A139)&gt;(F$3*10^12-$A138),$A138,$A139)=F139,0,IF((F$3*10^12-$A139)*(F$3*10^12-$A138)*-1&lt;0,0,1)*IF(ABS(F$3*10^12-$A139)&gt;(F$3*10^12-$A138),$A138,$A139))</f>
        <v/>
      </c>
      <c r="G138">
        <f>IF(IF((G$3*10^12-$A139)*(G$3*10^12-$A138)*-1&lt;0,0,1)*IF(ABS(G$3*10^12-$A139)&gt;(G$3*10^12-$A138),$A138,$A139)=G139,0,IF((G$3*10^12-$A139)*(G$3*10^12-$A138)*-1&lt;0,0,1)*IF(ABS(G$3*10^12-$A139)&gt;(G$3*10^12-$A138),$A138,$A139))</f>
        <v/>
      </c>
      <c r="H138">
        <f>IF(IF((H$3*10^12-$A139)*(H$3*10^12-$A138)*-1&lt;0,0,1)*IF(ABS(H$3*10^12-$A139)&gt;(H$3*10^12-$A138),$A138,$A139)=H139,0,IF((H$3*10^12-$A139)*(H$3*10^12-$A138)*-1&lt;0,0,1)*IF(ABS(H$3*10^12-$A139)&gt;(H$3*10^12-$A138),$A138,$A139))</f>
        <v/>
      </c>
      <c r="I138">
        <f>IF(IF((I$3*10^12-$A139)*(I$3*10^12-$A138)*-1&lt;0,0,1)*IF(ABS(I$3*10^12-$A139)&gt;(I$3*10^12-$A138),$A138,$A139)=I139,0,IF((I$3*10^12-$A139)*(I$3*10^12-$A138)*-1&lt;0,0,1)*IF(ABS(I$3*10^12-$A139)&gt;(I$3*10^12-$A138),$A138,$A139))</f>
        <v/>
      </c>
      <c r="J138">
        <f>IF(IF((J$3*10^12-$A139)*(J$3*10^12-$A138)*-1&lt;0,0,1)*IF(ABS(J$3*10^12-$A139)&gt;(J$3*10^12-$A138),$A138,$A139)=J139,0,IF((J$3*10^12-$A139)*(J$3*10^12-$A138)*-1&lt;0,0,1)*IF(ABS(J$3*10^12-$A139)&gt;(J$3*10^12-$A138),$A138,$A139))</f>
        <v/>
      </c>
      <c r="K138">
        <f>IF(IF((K$3*10^12-$A139)*(K$3*10^12-$A138)*-1&lt;0,0,1)*IF(ABS(K$3*10^12-$A139)&gt;(K$3*10^12-$A138),$A138,$A139)=K139,0,IF((K$3*10^12-$A139)*(K$3*10^12-$A138)*-1&lt;0,0,1)*IF(ABS(K$3*10^12-$A139)&gt;(K$3*10^12-$A138),$A138,$A139))</f>
        <v/>
      </c>
      <c r="L138">
        <f>IF(IF((L$3*10^12-$A139)*(L$3*10^12-$A138)*-1&lt;0,0,1)*IF(ABS(L$3*10^12-$A139)&gt;(L$3*10^12-$A138),$A138,$A139)=L139,0,IF((L$3*10^12-$A139)*(L$3*10^12-$A138)*-1&lt;0,0,1)*IF(ABS(L$3*10^12-$A139)&gt;(L$3*10^12-$A138),$A138,$A139))</f>
        <v/>
      </c>
      <c r="M138">
        <f>IF(IF((M$3*10^12-$A139)*(M$3*10^12-$A138)*-1&lt;0,0,1)*IF(ABS(M$3*10^12-$A139)&gt;(M$3*10^12-$A138),$A138,$A139)=M139,0,IF((M$3*10^12-$A139)*(M$3*10^12-$A138)*-1&lt;0,0,1)*IF(ABS(M$3*10^12-$A139)&gt;(M$3*10^12-$A138),$A138,$A139))</f>
        <v/>
      </c>
      <c r="N138">
        <f>IF(IF((N$3*10^12-$A139)*(N$3*10^12-$A138)*-1&lt;0,0,1)*IF(ABS(N$3*10^12-$A139)&gt;(N$3*10^12-$A138),$A138,$A139)=N139,0,IF((N$3*10^12-$A139)*(N$3*10^12-$A138)*-1&lt;0,0,1)*IF(ABS(N$3*10^12-$A139)&gt;(N$3*10^12-$A138),$A138,$A139))</f>
        <v/>
      </c>
    </row>
    <row r="139">
      <c r="A139">
        <f>A127*10</f>
        <v/>
      </c>
      <c r="B139">
        <f>IF(IF((B$3*10^12-$A140)*(B$3*10^12-$A139)*-1&lt;0,0,1)*IF(ABS(B$3*10^12-$A140)&gt;(B$3*10^12-$A139),$A139,$A140)=B140,0,IF((B$3*10^12-$A140)*(B$3*10^12-$A139)*-1&lt;0,0,1)*IF(ABS(B$3*10^12-$A140)&gt;(B$3*10^12-$A139),$A139,$A140))</f>
        <v/>
      </c>
      <c r="C139">
        <f>IF(IF((C$3*10^12-$A140)*(C$3*10^12-$A139)*-1&lt;0,0,1)*IF(ABS(C$3*10^12-$A140)&gt;(C$3*10^12-$A139),$A139,$A140)=C140,0,IF((C$3*10^12-$A140)*(C$3*10^12-$A139)*-1&lt;0,0,1)*IF(ABS(C$3*10^12-$A140)&gt;(C$3*10^12-$A139),$A139,$A140))</f>
        <v/>
      </c>
      <c r="D139">
        <f>IF(IF((D$3*10^12-$A140)*(D$3*10^12-$A139)*-1&lt;0,0,1)*IF(ABS(D$3*10^12-$A140)&gt;(D$3*10^12-$A139),$A139,$A140)=D140,0,IF((D$3*10^12-$A140)*(D$3*10^12-$A139)*-1&lt;0,0,1)*IF(ABS(D$3*10^12-$A140)&gt;(D$3*10^12-$A139),$A139,$A140))</f>
        <v/>
      </c>
      <c r="E139">
        <f>IF(IF((E$3*10^12-$A140)*(E$3*10^12-$A139)*-1&lt;0,0,1)*IF(ABS(E$3*10^12-$A140)&gt;(E$3*10^12-$A139),$A139,$A140)=E140,0,IF((E$3*10^12-$A140)*(E$3*10^12-$A139)*-1&lt;0,0,1)*IF(ABS(E$3*10^12-$A140)&gt;(E$3*10^12-$A139),$A139,$A140))</f>
        <v/>
      </c>
      <c r="F139">
        <f>IF(IF((F$3*10^12-$A140)*(F$3*10^12-$A139)*-1&lt;0,0,1)*IF(ABS(F$3*10^12-$A140)&gt;(F$3*10^12-$A139),$A139,$A140)=F140,0,IF((F$3*10^12-$A140)*(F$3*10^12-$A139)*-1&lt;0,0,1)*IF(ABS(F$3*10^12-$A140)&gt;(F$3*10^12-$A139),$A139,$A140))</f>
        <v/>
      </c>
      <c r="G139">
        <f>IF(IF((G$3*10^12-$A140)*(G$3*10^12-$A139)*-1&lt;0,0,1)*IF(ABS(G$3*10^12-$A140)&gt;(G$3*10^12-$A139),$A139,$A140)=G140,0,IF((G$3*10^12-$A140)*(G$3*10^12-$A139)*-1&lt;0,0,1)*IF(ABS(G$3*10^12-$A140)&gt;(G$3*10^12-$A139),$A139,$A140))</f>
        <v/>
      </c>
      <c r="H139">
        <f>IF(IF((H$3*10^12-$A140)*(H$3*10^12-$A139)*-1&lt;0,0,1)*IF(ABS(H$3*10^12-$A140)&gt;(H$3*10^12-$A139),$A139,$A140)=H140,0,IF((H$3*10^12-$A140)*(H$3*10^12-$A139)*-1&lt;0,0,1)*IF(ABS(H$3*10^12-$A140)&gt;(H$3*10^12-$A139),$A139,$A140))</f>
        <v/>
      </c>
      <c r="I139">
        <f>IF(IF((I$3*10^12-$A140)*(I$3*10^12-$A139)*-1&lt;0,0,1)*IF(ABS(I$3*10^12-$A140)&gt;(I$3*10^12-$A139),$A139,$A140)=I140,0,IF((I$3*10^12-$A140)*(I$3*10^12-$A139)*-1&lt;0,0,1)*IF(ABS(I$3*10^12-$A140)&gt;(I$3*10^12-$A139),$A139,$A140))</f>
        <v/>
      </c>
      <c r="J139">
        <f>IF(IF((J$3*10^12-$A140)*(J$3*10^12-$A139)*-1&lt;0,0,1)*IF(ABS(J$3*10^12-$A140)&gt;(J$3*10^12-$A139),$A139,$A140)=J140,0,IF((J$3*10^12-$A140)*(J$3*10^12-$A139)*-1&lt;0,0,1)*IF(ABS(J$3*10^12-$A140)&gt;(J$3*10^12-$A139),$A139,$A140))</f>
        <v/>
      </c>
      <c r="K139">
        <f>IF(IF((K$3*10^12-$A140)*(K$3*10^12-$A139)*-1&lt;0,0,1)*IF(ABS(K$3*10^12-$A140)&gt;(K$3*10^12-$A139),$A139,$A140)=K140,0,IF((K$3*10^12-$A140)*(K$3*10^12-$A139)*-1&lt;0,0,1)*IF(ABS(K$3*10^12-$A140)&gt;(K$3*10^12-$A139),$A139,$A140))</f>
        <v/>
      </c>
      <c r="L139">
        <f>IF(IF((L$3*10^12-$A140)*(L$3*10^12-$A139)*-1&lt;0,0,1)*IF(ABS(L$3*10^12-$A140)&gt;(L$3*10^12-$A139),$A139,$A140)=L140,0,IF((L$3*10^12-$A140)*(L$3*10^12-$A139)*-1&lt;0,0,1)*IF(ABS(L$3*10^12-$A140)&gt;(L$3*10^12-$A139),$A139,$A140))</f>
        <v/>
      </c>
      <c r="M139">
        <f>IF(IF((M$3*10^12-$A140)*(M$3*10^12-$A139)*-1&lt;0,0,1)*IF(ABS(M$3*10^12-$A140)&gt;(M$3*10^12-$A139),$A139,$A140)=M140,0,IF((M$3*10^12-$A140)*(M$3*10^12-$A139)*-1&lt;0,0,1)*IF(ABS(M$3*10^12-$A140)&gt;(M$3*10^12-$A139),$A139,$A140))</f>
        <v/>
      </c>
      <c r="N139">
        <f>IF(IF((N$3*10^12-$A140)*(N$3*10^12-$A139)*-1&lt;0,0,1)*IF(ABS(N$3*10^12-$A140)&gt;(N$3*10^12-$A139),$A139,$A140)=N140,0,IF((N$3*10^12-$A140)*(N$3*10^12-$A139)*-1&lt;0,0,1)*IF(ABS(N$3*10^12-$A140)&gt;(N$3*10^12-$A139),$A139,$A140))</f>
        <v/>
      </c>
    </row>
    <row r="140">
      <c r="A140">
        <f>A128*10</f>
        <v/>
      </c>
      <c r="B140">
        <f>IF(IF((B$3*10^12-$A141)*(B$3*10^12-$A140)*-1&lt;0,0,1)*IF(ABS(B$3*10^12-$A141)&gt;(B$3*10^12-$A140),$A140,$A141)=B141,0,IF((B$3*10^12-$A141)*(B$3*10^12-$A140)*-1&lt;0,0,1)*IF(ABS(B$3*10^12-$A141)&gt;(B$3*10^12-$A140),$A140,$A141))</f>
        <v/>
      </c>
      <c r="C140">
        <f>IF(IF((C$3*10^12-$A141)*(C$3*10^12-$A140)*-1&lt;0,0,1)*IF(ABS(C$3*10^12-$A141)&gt;(C$3*10^12-$A140),$A140,$A141)=C141,0,IF((C$3*10^12-$A141)*(C$3*10^12-$A140)*-1&lt;0,0,1)*IF(ABS(C$3*10^12-$A141)&gt;(C$3*10^12-$A140),$A140,$A141))</f>
        <v/>
      </c>
      <c r="D140">
        <f>IF(IF((D$3*10^12-$A141)*(D$3*10^12-$A140)*-1&lt;0,0,1)*IF(ABS(D$3*10^12-$A141)&gt;(D$3*10^12-$A140),$A140,$A141)=D141,0,IF((D$3*10^12-$A141)*(D$3*10^12-$A140)*-1&lt;0,0,1)*IF(ABS(D$3*10^12-$A141)&gt;(D$3*10^12-$A140),$A140,$A141))</f>
        <v/>
      </c>
      <c r="E140">
        <f>IF(IF((E$3*10^12-$A141)*(E$3*10^12-$A140)*-1&lt;0,0,1)*IF(ABS(E$3*10^12-$A141)&gt;(E$3*10^12-$A140),$A140,$A141)=E141,0,IF((E$3*10^12-$A141)*(E$3*10^12-$A140)*-1&lt;0,0,1)*IF(ABS(E$3*10^12-$A141)&gt;(E$3*10^12-$A140),$A140,$A141))</f>
        <v/>
      </c>
      <c r="F140">
        <f>IF(IF((F$3*10^12-$A141)*(F$3*10^12-$A140)*-1&lt;0,0,1)*IF(ABS(F$3*10^12-$A141)&gt;(F$3*10^12-$A140),$A140,$A141)=F141,0,IF((F$3*10^12-$A141)*(F$3*10^12-$A140)*-1&lt;0,0,1)*IF(ABS(F$3*10^12-$A141)&gt;(F$3*10^12-$A140),$A140,$A141))</f>
        <v/>
      </c>
      <c r="G140">
        <f>IF(IF((G$3*10^12-$A141)*(G$3*10^12-$A140)*-1&lt;0,0,1)*IF(ABS(G$3*10^12-$A141)&gt;(G$3*10^12-$A140),$A140,$A141)=G141,0,IF((G$3*10^12-$A141)*(G$3*10^12-$A140)*-1&lt;0,0,1)*IF(ABS(G$3*10^12-$A141)&gt;(G$3*10^12-$A140),$A140,$A141))</f>
        <v/>
      </c>
      <c r="H140">
        <f>IF(IF((H$3*10^12-$A141)*(H$3*10^12-$A140)*-1&lt;0,0,1)*IF(ABS(H$3*10^12-$A141)&gt;(H$3*10^12-$A140),$A140,$A141)=H141,0,IF((H$3*10^12-$A141)*(H$3*10^12-$A140)*-1&lt;0,0,1)*IF(ABS(H$3*10^12-$A141)&gt;(H$3*10^12-$A140),$A140,$A141))</f>
        <v/>
      </c>
      <c r="I140">
        <f>IF(IF((I$3*10^12-$A141)*(I$3*10^12-$A140)*-1&lt;0,0,1)*IF(ABS(I$3*10^12-$A141)&gt;(I$3*10^12-$A140),$A140,$A141)=I141,0,IF((I$3*10^12-$A141)*(I$3*10^12-$A140)*-1&lt;0,0,1)*IF(ABS(I$3*10^12-$A141)&gt;(I$3*10^12-$A140),$A140,$A141))</f>
        <v/>
      </c>
      <c r="J140">
        <f>IF(IF((J$3*10^12-$A141)*(J$3*10^12-$A140)*-1&lt;0,0,1)*IF(ABS(J$3*10^12-$A141)&gt;(J$3*10^12-$A140),$A140,$A141)=J141,0,IF((J$3*10^12-$A141)*(J$3*10^12-$A140)*-1&lt;0,0,1)*IF(ABS(J$3*10^12-$A141)&gt;(J$3*10^12-$A140),$A140,$A141))</f>
        <v/>
      </c>
      <c r="K140">
        <f>IF(IF((K$3*10^12-$A141)*(K$3*10^12-$A140)*-1&lt;0,0,1)*IF(ABS(K$3*10^12-$A141)&gt;(K$3*10^12-$A140),$A140,$A141)=K141,0,IF((K$3*10^12-$A141)*(K$3*10^12-$A140)*-1&lt;0,0,1)*IF(ABS(K$3*10^12-$A141)&gt;(K$3*10^12-$A140),$A140,$A141))</f>
        <v/>
      </c>
      <c r="L140">
        <f>IF(IF((L$3*10^12-$A141)*(L$3*10^12-$A140)*-1&lt;0,0,1)*IF(ABS(L$3*10^12-$A141)&gt;(L$3*10^12-$A140),$A140,$A141)=L141,0,IF((L$3*10^12-$A141)*(L$3*10^12-$A140)*-1&lt;0,0,1)*IF(ABS(L$3*10^12-$A141)&gt;(L$3*10^12-$A140),$A140,$A141))</f>
        <v/>
      </c>
      <c r="M140">
        <f>IF(IF((M$3*10^12-$A141)*(M$3*10^12-$A140)*-1&lt;0,0,1)*IF(ABS(M$3*10^12-$A141)&gt;(M$3*10^12-$A140),$A140,$A141)=M141,0,IF((M$3*10^12-$A141)*(M$3*10^12-$A140)*-1&lt;0,0,1)*IF(ABS(M$3*10^12-$A141)&gt;(M$3*10^12-$A140),$A140,$A141))</f>
        <v/>
      </c>
      <c r="N140">
        <f>IF(IF((N$3*10^12-$A141)*(N$3*10^12-$A140)*-1&lt;0,0,1)*IF(ABS(N$3*10^12-$A141)&gt;(N$3*10^12-$A140),$A140,$A141)=N141,0,IF((N$3*10^12-$A141)*(N$3*10^12-$A140)*-1&lt;0,0,1)*IF(ABS(N$3*10^12-$A141)&gt;(N$3*10^12-$A140),$A140,$A141))</f>
        <v/>
      </c>
    </row>
    <row r="141">
      <c r="A141">
        <f>A129*10</f>
        <v/>
      </c>
      <c r="B141">
        <f>IF(IF((B$3*10^12-$A142)*(B$3*10^12-$A141)*-1&lt;0,0,1)*IF(ABS(B$3*10^12-$A142)&gt;(B$3*10^12-$A141),$A141,$A142)=B142,0,IF((B$3*10^12-$A142)*(B$3*10^12-$A141)*-1&lt;0,0,1)*IF(ABS(B$3*10^12-$A142)&gt;(B$3*10^12-$A141),$A141,$A142))</f>
        <v/>
      </c>
      <c r="C141">
        <f>IF(IF((C$3*10^12-$A142)*(C$3*10^12-$A141)*-1&lt;0,0,1)*IF(ABS(C$3*10^12-$A142)&gt;(C$3*10^12-$A141),$A141,$A142)=C142,0,IF((C$3*10^12-$A142)*(C$3*10^12-$A141)*-1&lt;0,0,1)*IF(ABS(C$3*10^12-$A142)&gt;(C$3*10^12-$A141),$A141,$A142))</f>
        <v/>
      </c>
      <c r="D141">
        <f>IF(IF((D$3*10^12-$A142)*(D$3*10^12-$A141)*-1&lt;0,0,1)*IF(ABS(D$3*10^12-$A142)&gt;(D$3*10^12-$A141),$A141,$A142)=D142,0,IF((D$3*10^12-$A142)*(D$3*10^12-$A141)*-1&lt;0,0,1)*IF(ABS(D$3*10^12-$A142)&gt;(D$3*10^12-$A141),$A141,$A142))</f>
        <v/>
      </c>
      <c r="E141">
        <f>IF(IF((E$3*10^12-$A142)*(E$3*10^12-$A141)*-1&lt;0,0,1)*IF(ABS(E$3*10^12-$A142)&gt;(E$3*10^12-$A141),$A141,$A142)=E142,0,IF((E$3*10^12-$A142)*(E$3*10^12-$A141)*-1&lt;0,0,1)*IF(ABS(E$3*10^12-$A142)&gt;(E$3*10^12-$A141),$A141,$A142))</f>
        <v/>
      </c>
      <c r="F141">
        <f>IF(IF((F$3*10^12-$A142)*(F$3*10^12-$A141)*-1&lt;0,0,1)*IF(ABS(F$3*10^12-$A142)&gt;(F$3*10^12-$A141),$A141,$A142)=F142,0,IF((F$3*10^12-$A142)*(F$3*10^12-$A141)*-1&lt;0,0,1)*IF(ABS(F$3*10^12-$A142)&gt;(F$3*10^12-$A141),$A141,$A142))</f>
        <v/>
      </c>
      <c r="G141">
        <f>IF(IF((G$3*10^12-$A142)*(G$3*10^12-$A141)*-1&lt;0,0,1)*IF(ABS(G$3*10^12-$A142)&gt;(G$3*10^12-$A141),$A141,$A142)=G142,0,IF((G$3*10^12-$A142)*(G$3*10^12-$A141)*-1&lt;0,0,1)*IF(ABS(G$3*10^12-$A142)&gt;(G$3*10^12-$A141),$A141,$A142))</f>
        <v/>
      </c>
      <c r="H141">
        <f>IF(IF((H$3*10^12-$A142)*(H$3*10^12-$A141)*-1&lt;0,0,1)*IF(ABS(H$3*10^12-$A142)&gt;(H$3*10^12-$A141),$A141,$A142)=H142,0,IF((H$3*10^12-$A142)*(H$3*10^12-$A141)*-1&lt;0,0,1)*IF(ABS(H$3*10^12-$A142)&gt;(H$3*10^12-$A141),$A141,$A142))</f>
        <v/>
      </c>
      <c r="I141">
        <f>IF(IF((I$3*10^12-$A142)*(I$3*10^12-$A141)*-1&lt;0,0,1)*IF(ABS(I$3*10^12-$A142)&gt;(I$3*10^12-$A141),$A141,$A142)=I142,0,IF((I$3*10^12-$A142)*(I$3*10^12-$A141)*-1&lt;0,0,1)*IF(ABS(I$3*10^12-$A142)&gt;(I$3*10^12-$A141),$A141,$A142))</f>
        <v/>
      </c>
      <c r="J141">
        <f>IF(IF((J$3*10^12-$A142)*(J$3*10^12-$A141)*-1&lt;0,0,1)*IF(ABS(J$3*10^12-$A142)&gt;(J$3*10^12-$A141),$A141,$A142)=J142,0,IF((J$3*10^12-$A142)*(J$3*10^12-$A141)*-1&lt;0,0,1)*IF(ABS(J$3*10^12-$A142)&gt;(J$3*10^12-$A141),$A141,$A142))</f>
        <v/>
      </c>
      <c r="K141">
        <f>IF(IF((K$3*10^12-$A142)*(K$3*10^12-$A141)*-1&lt;0,0,1)*IF(ABS(K$3*10^12-$A142)&gt;(K$3*10^12-$A141),$A141,$A142)=K142,0,IF((K$3*10^12-$A142)*(K$3*10^12-$A141)*-1&lt;0,0,1)*IF(ABS(K$3*10^12-$A142)&gt;(K$3*10^12-$A141),$A141,$A142))</f>
        <v/>
      </c>
      <c r="L141">
        <f>IF(IF((L$3*10^12-$A142)*(L$3*10^12-$A141)*-1&lt;0,0,1)*IF(ABS(L$3*10^12-$A142)&gt;(L$3*10^12-$A141),$A141,$A142)=L142,0,IF((L$3*10^12-$A142)*(L$3*10^12-$A141)*-1&lt;0,0,1)*IF(ABS(L$3*10^12-$A142)&gt;(L$3*10^12-$A141),$A141,$A142))</f>
        <v/>
      </c>
      <c r="M141">
        <f>IF(IF((M$3*10^12-$A142)*(M$3*10^12-$A141)*-1&lt;0,0,1)*IF(ABS(M$3*10^12-$A142)&gt;(M$3*10^12-$A141),$A141,$A142)=M142,0,IF((M$3*10^12-$A142)*(M$3*10^12-$A141)*-1&lt;0,0,1)*IF(ABS(M$3*10^12-$A142)&gt;(M$3*10^12-$A141),$A141,$A142))</f>
        <v/>
      </c>
      <c r="N141">
        <f>IF(IF((N$3*10^12-$A142)*(N$3*10^12-$A141)*-1&lt;0,0,1)*IF(ABS(N$3*10^12-$A142)&gt;(N$3*10^12-$A141),$A141,$A142)=N142,0,IF((N$3*10^12-$A142)*(N$3*10^12-$A141)*-1&lt;0,0,1)*IF(ABS(N$3*10^12-$A142)&gt;(N$3*10^12-$A141),$A141,$A142))</f>
        <v/>
      </c>
    </row>
    <row r="142">
      <c r="A142">
        <f>A130*10</f>
        <v/>
      </c>
      <c r="B142">
        <f>IF(IF((B$3*10^12-$A143)*(B$3*10^12-$A142)*-1&lt;0,0,1)*IF(ABS(B$3*10^12-$A143)&gt;(B$3*10^12-$A142),$A142,$A143)=B143,0,IF((B$3*10^12-$A143)*(B$3*10^12-$A142)*-1&lt;0,0,1)*IF(ABS(B$3*10^12-$A143)&gt;(B$3*10^12-$A142),$A142,$A143))</f>
        <v/>
      </c>
      <c r="C142">
        <f>IF(IF((C$3*10^12-$A143)*(C$3*10^12-$A142)*-1&lt;0,0,1)*IF(ABS(C$3*10^12-$A143)&gt;(C$3*10^12-$A142),$A142,$A143)=C143,0,IF((C$3*10^12-$A143)*(C$3*10^12-$A142)*-1&lt;0,0,1)*IF(ABS(C$3*10^12-$A143)&gt;(C$3*10^12-$A142),$A142,$A143))</f>
        <v/>
      </c>
      <c r="D142">
        <f>IF(IF((D$3*10^12-$A143)*(D$3*10^12-$A142)*-1&lt;0,0,1)*IF(ABS(D$3*10^12-$A143)&gt;(D$3*10^12-$A142),$A142,$A143)=D143,0,IF((D$3*10^12-$A143)*(D$3*10^12-$A142)*-1&lt;0,0,1)*IF(ABS(D$3*10^12-$A143)&gt;(D$3*10^12-$A142),$A142,$A143))</f>
        <v/>
      </c>
      <c r="E142">
        <f>IF(IF((E$3*10^12-$A143)*(E$3*10^12-$A142)*-1&lt;0,0,1)*IF(ABS(E$3*10^12-$A143)&gt;(E$3*10^12-$A142),$A142,$A143)=E143,0,IF((E$3*10^12-$A143)*(E$3*10^12-$A142)*-1&lt;0,0,1)*IF(ABS(E$3*10^12-$A143)&gt;(E$3*10^12-$A142),$A142,$A143))</f>
        <v/>
      </c>
      <c r="F142">
        <f>IF(IF((F$3*10^12-$A143)*(F$3*10^12-$A142)*-1&lt;0,0,1)*IF(ABS(F$3*10^12-$A143)&gt;(F$3*10^12-$A142),$A142,$A143)=F143,0,IF((F$3*10^12-$A143)*(F$3*10^12-$A142)*-1&lt;0,0,1)*IF(ABS(F$3*10^12-$A143)&gt;(F$3*10^12-$A142),$A142,$A143))</f>
        <v/>
      </c>
      <c r="G142">
        <f>IF(IF((G$3*10^12-$A143)*(G$3*10^12-$A142)*-1&lt;0,0,1)*IF(ABS(G$3*10^12-$A143)&gt;(G$3*10^12-$A142),$A142,$A143)=G143,0,IF((G$3*10^12-$A143)*(G$3*10^12-$A142)*-1&lt;0,0,1)*IF(ABS(G$3*10^12-$A143)&gt;(G$3*10^12-$A142),$A142,$A143))</f>
        <v/>
      </c>
      <c r="H142">
        <f>IF(IF((H$3*10^12-$A143)*(H$3*10^12-$A142)*-1&lt;0,0,1)*IF(ABS(H$3*10^12-$A143)&gt;(H$3*10^12-$A142),$A142,$A143)=H143,0,IF((H$3*10^12-$A143)*(H$3*10^12-$A142)*-1&lt;0,0,1)*IF(ABS(H$3*10^12-$A143)&gt;(H$3*10^12-$A142),$A142,$A143))</f>
        <v/>
      </c>
      <c r="I142">
        <f>IF(IF((I$3*10^12-$A143)*(I$3*10^12-$A142)*-1&lt;0,0,1)*IF(ABS(I$3*10^12-$A143)&gt;(I$3*10^12-$A142),$A142,$A143)=I143,0,IF((I$3*10^12-$A143)*(I$3*10^12-$A142)*-1&lt;0,0,1)*IF(ABS(I$3*10^12-$A143)&gt;(I$3*10^12-$A142),$A142,$A143))</f>
        <v/>
      </c>
      <c r="J142">
        <f>IF(IF((J$3*10^12-$A143)*(J$3*10^12-$A142)*-1&lt;0,0,1)*IF(ABS(J$3*10^12-$A143)&gt;(J$3*10^12-$A142),$A142,$A143)=J143,0,IF((J$3*10^12-$A143)*(J$3*10^12-$A142)*-1&lt;0,0,1)*IF(ABS(J$3*10^12-$A143)&gt;(J$3*10^12-$A142),$A142,$A143))</f>
        <v/>
      </c>
      <c r="K142">
        <f>IF(IF((K$3*10^12-$A143)*(K$3*10^12-$A142)*-1&lt;0,0,1)*IF(ABS(K$3*10^12-$A143)&gt;(K$3*10^12-$A142),$A142,$A143)=K143,0,IF((K$3*10^12-$A143)*(K$3*10^12-$A142)*-1&lt;0,0,1)*IF(ABS(K$3*10^12-$A143)&gt;(K$3*10^12-$A142),$A142,$A143))</f>
        <v/>
      </c>
      <c r="L142">
        <f>IF(IF((L$3*10^12-$A143)*(L$3*10^12-$A142)*-1&lt;0,0,1)*IF(ABS(L$3*10^12-$A143)&gt;(L$3*10^12-$A142),$A142,$A143)=L143,0,IF((L$3*10^12-$A143)*(L$3*10^12-$A142)*-1&lt;0,0,1)*IF(ABS(L$3*10^12-$A143)&gt;(L$3*10^12-$A142),$A142,$A143))</f>
        <v/>
      </c>
      <c r="M142">
        <f>IF(IF((M$3*10^12-$A143)*(M$3*10^12-$A142)*-1&lt;0,0,1)*IF(ABS(M$3*10^12-$A143)&gt;(M$3*10^12-$A142),$A142,$A143)=M143,0,IF((M$3*10^12-$A143)*(M$3*10^12-$A142)*-1&lt;0,0,1)*IF(ABS(M$3*10^12-$A143)&gt;(M$3*10^12-$A142),$A142,$A143))</f>
        <v/>
      </c>
      <c r="N142">
        <f>IF(IF((N$3*10^12-$A143)*(N$3*10^12-$A142)*-1&lt;0,0,1)*IF(ABS(N$3*10^12-$A143)&gt;(N$3*10^12-$A142),$A142,$A143)=N143,0,IF((N$3*10^12-$A143)*(N$3*10^12-$A142)*-1&lt;0,0,1)*IF(ABS(N$3*10^12-$A143)&gt;(N$3*10^12-$A142),$A142,$A143))</f>
        <v/>
      </c>
    </row>
    <row r="143">
      <c r="A143">
        <f>A131*10</f>
        <v/>
      </c>
      <c r="B143">
        <f>IF(IF((B$3*10^12-$A144)*(B$3*10^12-$A143)*-1&lt;0,0,1)*IF(ABS(B$3*10^12-$A144)&gt;(B$3*10^12-$A143),$A143,$A144)=B144,0,IF((B$3*10^12-$A144)*(B$3*10^12-$A143)*-1&lt;0,0,1)*IF(ABS(B$3*10^12-$A144)&gt;(B$3*10^12-$A143),$A143,$A144))</f>
        <v/>
      </c>
      <c r="C143">
        <f>IF(IF((C$3*10^12-$A144)*(C$3*10^12-$A143)*-1&lt;0,0,1)*IF(ABS(C$3*10^12-$A144)&gt;(C$3*10^12-$A143),$A143,$A144)=C144,0,IF((C$3*10^12-$A144)*(C$3*10^12-$A143)*-1&lt;0,0,1)*IF(ABS(C$3*10^12-$A144)&gt;(C$3*10^12-$A143),$A143,$A144))</f>
        <v/>
      </c>
      <c r="D143">
        <f>IF(IF((D$3*10^12-$A144)*(D$3*10^12-$A143)*-1&lt;0,0,1)*IF(ABS(D$3*10^12-$A144)&gt;(D$3*10^12-$A143),$A143,$A144)=D144,0,IF((D$3*10^12-$A144)*(D$3*10^12-$A143)*-1&lt;0,0,1)*IF(ABS(D$3*10^12-$A144)&gt;(D$3*10^12-$A143),$A143,$A144))</f>
        <v/>
      </c>
      <c r="E143">
        <f>IF(IF((E$3*10^12-$A144)*(E$3*10^12-$A143)*-1&lt;0,0,1)*IF(ABS(E$3*10^12-$A144)&gt;(E$3*10^12-$A143),$A143,$A144)=E144,0,IF((E$3*10^12-$A144)*(E$3*10^12-$A143)*-1&lt;0,0,1)*IF(ABS(E$3*10^12-$A144)&gt;(E$3*10^12-$A143),$A143,$A144))</f>
        <v/>
      </c>
      <c r="F143">
        <f>IF(IF((F$3*10^12-$A144)*(F$3*10^12-$A143)*-1&lt;0,0,1)*IF(ABS(F$3*10^12-$A144)&gt;(F$3*10^12-$A143),$A143,$A144)=F144,0,IF((F$3*10^12-$A144)*(F$3*10^12-$A143)*-1&lt;0,0,1)*IF(ABS(F$3*10^12-$A144)&gt;(F$3*10^12-$A143),$A143,$A144))</f>
        <v/>
      </c>
      <c r="G143">
        <f>IF(IF((G$3*10^12-$A144)*(G$3*10^12-$A143)*-1&lt;0,0,1)*IF(ABS(G$3*10^12-$A144)&gt;(G$3*10^12-$A143),$A143,$A144)=G144,0,IF((G$3*10^12-$A144)*(G$3*10^12-$A143)*-1&lt;0,0,1)*IF(ABS(G$3*10^12-$A144)&gt;(G$3*10^12-$A143),$A143,$A144))</f>
        <v/>
      </c>
      <c r="H143">
        <f>IF(IF((H$3*10^12-$A144)*(H$3*10^12-$A143)*-1&lt;0,0,1)*IF(ABS(H$3*10^12-$A144)&gt;(H$3*10^12-$A143),$A143,$A144)=H144,0,IF((H$3*10^12-$A144)*(H$3*10^12-$A143)*-1&lt;0,0,1)*IF(ABS(H$3*10^12-$A144)&gt;(H$3*10^12-$A143),$A143,$A144))</f>
        <v/>
      </c>
      <c r="I143">
        <f>IF(IF((I$3*10^12-$A144)*(I$3*10^12-$A143)*-1&lt;0,0,1)*IF(ABS(I$3*10^12-$A144)&gt;(I$3*10^12-$A143),$A143,$A144)=I144,0,IF((I$3*10^12-$A144)*(I$3*10^12-$A143)*-1&lt;0,0,1)*IF(ABS(I$3*10^12-$A144)&gt;(I$3*10^12-$A143),$A143,$A144))</f>
        <v/>
      </c>
      <c r="J143">
        <f>IF(IF((J$3*10^12-$A144)*(J$3*10^12-$A143)*-1&lt;0,0,1)*IF(ABS(J$3*10^12-$A144)&gt;(J$3*10^12-$A143),$A143,$A144)=J144,0,IF((J$3*10^12-$A144)*(J$3*10^12-$A143)*-1&lt;0,0,1)*IF(ABS(J$3*10^12-$A144)&gt;(J$3*10^12-$A143),$A143,$A144))</f>
        <v/>
      </c>
      <c r="K143">
        <f>IF(IF((K$3*10^12-$A144)*(K$3*10^12-$A143)*-1&lt;0,0,1)*IF(ABS(K$3*10^12-$A144)&gt;(K$3*10^12-$A143),$A143,$A144)=K144,0,IF((K$3*10^12-$A144)*(K$3*10^12-$A143)*-1&lt;0,0,1)*IF(ABS(K$3*10^12-$A144)&gt;(K$3*10^12-$A143),$A143,$A144))</f>
        <v/>
      </c>
      <c r="L143">
        <f>IF(IF((L$3*10^12-$A144)*(L$3*10^12-$A143)*-1&lt;0,0,1)*IF(ABS(L$3*10^12-$A144)&gt;(L$3*10^12-$A143),$A143,$A144)=L144,0,IF((L$3*10^12-$A144)*(L$3*10^12-$A143)*-1&lt;0,0,1)*IF(ABS(L$3*10^12-$A144)&gt;(L$3*10^12-$A143),$A143,$A144))</f>
        <v/>
      </c>
      <c r="M143">
        <f>IF(IF((M$3*10^12-$A144)*(M$3*10^12-$A143)*-1&lt;0,0,1)*IF(ABS(M$3*10^12-$A144)&gt;(M$3*10^12-$A143),$A143,$A144)=M144,0,IF((M$3*10^12-$A144)*(M$3*10^12-$A143)*-1&lt;0,0,1)*IF(ABS(M$3*10^12-$A144)&gt;(M$3*10^12-$A143),$A143,$A144))</f>
        <v/>
      </c>
      <c r="N143">
        <f>IF(IF((N$3*10^12-$A144)*(N$3*10^12-$A143)*-1&lt;0,0,1)*IF(ABS(N$3*10^12-$A144)&gt;(N$3*10^12-$A143),$A143,$A144)=N144,0,IF((N$3*10^12-$A144)*(N$3*10^12-$A143)*-1&lt;0,0,1)*IF(ABS(N$3*10^12-$A144)&gt;(N$3*10^12-$A143),$A143,$A144))</f>
        <v/>
      </c>
    </row>
    <row r="144">
      <c r="A144">
        <f>A132*10</f>
        <v/>
      </c>
      <c r="B144">
        <f>IF(IF((B$3*10^12-$A145)*(B$3*10^12-$A144)*-1&lt;0,0,1)*IF(ABS(B$3*10^12-$A145)&gt;(B$3*10^12-$A144),$A144,$A145)=B145,0,IF((B$3*10^12-$A145)*(B$3*10^12-$A144)*-1&lt;0,0,1)*IF(ABS(B$3*10^12-$A145)&gt;(B$3*10^12-$A144),$A144,$A145))</f>
        <v/>
      </c>
      <c r="C144">
        <f>IF(IF((C$3*10^12-$A145)*(C$3*10^12-$A144)*-1&lt;0,0,1)*IF(ABS(C$3*10^12-$A145)&gt;(C$3*10^12-$A144),$A144,$A145)=C145,0,IF((C$3*10^12-$A145)*(C$3*10^12-$A144)*-1&lt;0,0,1)*IF(ABS(C$3*10^12-$A145)&gt;(C$3*10^12-$A144),$A144,$A145))</f>
        <v/>
      </c>
      <c r="D144">
        <f>IF(IF((D$3*10^12-$A145)*(D$3*10^12-$A144)*-1&lt;0,0,1)*IF(ABS(D$3*10^12-$A145)&gt;(D$3*10^12-$A144),$A144,$A145)=D145,0,IF((D$3*10^12-$A145)*(D$3*10^12-$A144)*-1&lt;0,0,1)*IF(ABS(D$3*10^12-$A145)&gt;(D$3*10^12-$A144),$A144,$A145))</f>
        <v/>
      </c>
      <c r="E144">
        <f>IF(IF((E$3*10^12-$A145)*(E$3*10^12-$A144)*-1&lt;0,0,1)*IF(ABS(E$3*10^12-$A145)&gt;(E$3*10^12-$A144),$A144,$A145)=E145,0,IF((E$3*10^12-$A145)*(E$3*10^12-$A144)*-1&lt;0,0,1)*IF(ABS(E$3*10^12-$A145)&gt;(E$3*10^12-$A144),$A144,$A145))</f>
        <v/>
      </c>
      <c r="F144">
        <f>IF(IF((F$3*10^12-$A145)*(F$3*10^12-$A144)*-1&lt;0,0,1)*IF(ABS(F$3*10^12-$A145)&gt;(F$3*10^12-$A144),$A144,$A145)=F145,0,IF((F$3*10^12-$A145)*(F$3*10^12-$A144)*-1&lt;0,0,1)*IF(ABS(F$3*10^12-$A145)&gt;(F$3*10^12-$A144),$A144,$A145))</f>
        <v/>
      </c>
      <c r="G144">
        <f>IF(IF((G$3*10^12-$A145)*(G$3*10^12-$A144)*-1&lt;0,0,1)*IF(ABS(G$3*10^12-$A145)&gt;(G$3*10^12-$A144),$A144,$A145)=G145,0,IF((G$3*10^12-$A145)*(G$3*10^12-$A144)*-1&lt;0,0,1)*IF(ABS(G$3*10^12-$A145)&gt;(G$3*10^12-$A144),$A144,$A145))</f>
        <v/>
      </c>
      <c r="H144">
        <f>IF(IF((H$3*10^12-$A145)*(H$3*10^12-$A144)*-1&lt;0,0,1)*IF(ABS(H$3*10^12-$A145)&gt;(H$3*10^12-$A144),$A144,$A145)=H145,0,IF((H$3*10^12-$A145)*(H$3*10^12-$A144)*-1&lt;0,0,1)*IF(ABS(H$3*10^12-$A145)&gt;(H$3*10^12-$A144),$A144,$A145))</f>
        <v/>
      </c>
      <c r="I144">
        <f>IF(IF((I$3*10^12-$A145)*(I$3*10^12-$A144)*-1&lt;0,0,1)*IF(ABS(I$3*10^12-$A145)&gt;(I$3*10^12-$A144),$A144,$A145)=I145,0,IF((I$3*10^12-$A145)*(I$3*10^12-$A144)*-1&lt;0,0,1)*IF(ABS(I$3*10^12-$A145)&gt;(I$3*10^12-$A144),$A144,$A145))</f>
        <v/>
      </c>
      <c r="J144">
        <f>IF(IF((J$3*10^12-$A145)*(J$3*10^12-$A144)*-1&lt;0,0,1)*IF(ABS(J$3*10^12-$A145)&gt;(J$3*10^12-$A144),$A144,$A145)=J145,0,IF((J$3*10^12-$A145)*(J$3*10^12-$A144)*-1&lt;0,0,1)*IF(ABS(J$3*10^12-$A145)&gt;(J$3*10^12-$A144),$A144,$A145))</f>
        <v/>
      </c>
      <c r="K144">
        <f>IF(IF((K$3*10^12-$A145)*(K$3*10^12-$A144)*-1&lt;0,0,1)*IF(ABS(K$3*10^12-$A145)&gt;(K$3*10^12-$A144),$A144,$A145)=K145,0,IF((K$3*10^12-$A145)*(K$3*10^12-$A144)*-1&lt;0,0,1)*IF(ABS(K$3*10^12-$A145)&gt;(K$3*10^12-$A144),$A144,$A145))</f>
        <v/>
      </c>
      <c r="L144">
        <f>IF(IF((L$3*10^12-$A145)*(L$3*10^12-$A144)*-1&lt;0,0,1)*IF(ABS(L$3*10^12-$A145)&gt;(L$3*10^12-$A144),$A144,$A145)=L145,0,IF((L$3*10^12-$A145)*(L$3*10^12-$A144)*-1&lt;0,0,1)*IF(ABS(L$3*10^12-$A145)&gt;(L$3*10^12-$A144),$A144,$A145))</f>
        <v/>
      </c>
      <c r="M144">
        <f>IF(IF((M$3*10^12-$A145)*(M$3*10^12-$A144)*-1&lt;0,0,1)*IF(ABS(M$3*10^12-$A145)&gt;(M$3*10^12-$A144),$A144,$A145)=M145,0,IF((M$3*10^12-$A145)*(M$3*10^12-$A144)*-1&lt;0,0,1)*IF(ABS(M$3*10^12-$A145)&gt;(M$3*10^12-$A144),$A144,$A145))</f>
        <v/>
      </c>
      <c r="N144">
        <f>IF(IF((N$3*10^12-$A145)*(N$3*10^12-$A144)*-1&lt;0,0,1)*IF(ABS(N$3*10^12-$A145)&gt;(N$3*10^12-$A144),$A144,$A145)=N145,0,IF((N$3*10^12-$A145)*(N$3*10^12-$A144)*-1&lt;0,0,1)*IF(ABS(N$3*10^12-$A145)&gt;(N$3*10^12-$A144),$A144,$A145))</f>
        <v/>
      </c>
    </row>
    <row r="145">
      <c r="A145">
        <f>A133*10</f>
        <v/>
      </c>
      <c r="B145">
        <f>IF(IF((B$3*10^12-$A146)*(B$3*10^12-$A145)*-1&lt;0,0,1)*IF(ABS(B$3*10^12-$A146)&gt;(B$3*10^12-$A145),$A145,$A146)=B146,0,IF((B$3*10^12-$A146)*(B$3*10^12-$A145)*-1&lt;0,0,1)*IF(ABS(B$3*10^12-$A146)&gt;(B$3*10^12-$A145),$A145,$A146))</f>
        <v/>
      </c>
      <c r="C145">
        <f>IF(IF((C$3*10^12-$A146)*(C$3*10^12-$A145)*-1&lt;0,0,1)*IF(ABS(C$3*10^12-$A146)&gt;(C$3*10^12-$A145),$A145,$A146)=C146,0,IF((C$3*10^12-$A146)*(C$3*10^12-$A145)*-1&lt;0,0,1)*IF(ABS(C$3*10^12-$A146)&gt;(C$3*10^12-$A145),$A145,$A146))</f>
        <v/>
      </c>
      <c r="D145">
        <f>IF(IF((D$3*10^12-$A146)*(D$3*10^12-$A145)*-1&lt;0,0,1)*IF(ABS(D$3*10^12-$A146)&gt;(D$3*10^12-$A145),$A145,$A146)=D146,0,IF((D$3*10^12-$A146)*(D$3*10^12-$A145)*-1&lt;0,0,1)*IF(ABS(D$3*10^12-$A146)&gt;(D$3*10^12-$A145),$A145,$A146))</f>
        <v/>
      </c>
      <c r="E145">
        <f>IF(IF((E$3*10^12-$A146)*(E$3*10^12-$A145)*-1&lt;0,0,1)*IF(ABS(E$3*10^12-$A146)&gt;(E$3*10^12-$A145),$A145,$A146)=E146,0,IF((E$3*10^12-$A146)*(E$3*10^12-$A145)*-1&lt;0,0,1)*IF(ABS(E$3*10^12-$A146)&gt;(E$3*10^12-$A145),$A145,$A146))</f>
        <v/>
      </c>
      <c r="F145">
        <f>IF(IF((F$3*10^12-$A146)*(F$3*10^12-$A145)*-1&lt;0,0,1)*IF(ABS(F$3*10^12-$A146)&gt;(F$3*10^12-$A145),$A145,$A146)=F146,0,IF((F$3*10^12-$A146)*(F$3*10^12-$A145)*-1&lt;0,0,1)*IF(ABS(F$3*10^12-$A146)&gt;(F$3*10^12-$A145),$A145,$A146))</f>
        <v/>
      </c>
      <c r="G145">
        <f>IF(IF((G$3*10^12-$A146)*(G$3*10^12-$A145)*-1&lt;0,0,1)*IF(ABS(G$3*10^12-$A146)&gt;(G$3*10^12-$A145),$A145,$A146)=G146,0,IF((G$3*10^12-$A146)*(G$3*10^12-$A145)*-1&lt;0,0,1)*IF(ABS(G$3*10^12-$A146)&gt;(G$3*10^12-$A145),$A145,$A146))</f>
        <v/>
      </c>
      <c r="H145">
        <f>IF(IF((H$3*10^12-$A146)*(H$3*10^12-$A145)*-1&lt;0,0,1)*IF(ABS(H$3*10^12-$A146)&gt;(H$3*10^12-$A145),$A145,$A146)=H146,0,IF((H$3*10^12-$A146)*(H$3*10^12-$A145)*-1&lt;0,0,1)*IF(ABS(H$3*10^12-$A146)&gt;(H$3*10^12-$A145),$A145,$A146))</f>
        <v/>
      </c>
      <c r="I145">
        <f>IF(IF((I$3*10^12-$A146)*(I$3*10^12-$A145)*-1&lt;0,0,1)*IF(ABS(I$3*10^12-$A146)&gt;(I$3*10^12-$A145),$A145,$A146)=I146,0,IF((I$3*10^12-$A146)*(I$3*10^12-$A145)*-1&lt;0,0,1)*IF(ABS(I$3*10^12-$A146)&gt;(I$3*10^12-$A145),$A145,$A146))</f>
        <v/>
      </c>
      <c r="J145">
        <f>IF(IF((J$3*10^12-$A146)*(J$3*10^12-$A145)*-1&lt;0,0,1)*IF(ABS(J$3*10^12-$A146)&gt;(J$3*10^12-$A145),$A145,$A146)=J146,0,IF((J$3*10^12-$A146)*(J$3*10^12-$A145)*-1&lt;0,0,1)*IF(ABS(J$3*10^12-$A146)&gt;(J$3*10^12-$A145),$A145,$A146))</f>
        <v/>
      </c>
      <c r="K145">
        <f>IF(IF((K$3*10^12-$A146)*(K$3*10^12-$A145)*-1&lt;0,0,1)*IF(ABS(K$3*10^12-$A146)&gt;(K$3*10^12-$A145),$A145,$A146)=K146,0,IF((K$3*10^12-$A146)*(K$3*10^12-$A145)*-1&lt;0,0,1)*IF(ABS(K$3*10^12-$A146)&gt;(K$3*10^12-$A145),$A145,$A146))</f>
        <v/>
      </c>
      <c r="L145">
        <f>IF(IF((L$3*10^12-$A146)*(L$3*10^12-$A145)*-1&lt;0,0,1)*IF(ABS(L$3*10^12-$A146)&gt;(L$3*10^12-$A145),$A145,$A146)=L146,0,IF((L$3*10^12-$A146)*(L$3*10^12-$A145)*-1&lt;0,0,1)*IF(ABS(L$3*10^12-$A146)&gt;(L$3*10^12-$A145),$A145,$A146))</f>
        <v/>
      </c>
      <c r="M145">
        <f>IF(IF((M$3*10^12-$A146)*(M$3*10^12-$A145)*-1&lt;0,0,1)*IF(ABS(M$3*10^12-$A146)&gt;(M$3*10^12-$A145),$A145,$A146)=M146,0,IF((M$3*10^12-$A146)*(M$3*10^12-$A145)*-1&lt;0,0,1)*IF(ABS(M$3*10^12-$A146)&gt;(M$3*10^12-$A145),$A145,$A146))</f>
        <v/>
      </c>
      <c r="N145">
        <f>IF(IF((N$3*10^12-$A146)*(N$3*10^12-$A145)*-1&lt;0,0,1)*IF(ABS(N$3*10^12-$A146)&gt;(N$3*10^12-$A145),$A145,$A146)=N146,0,IF((N$3*10^12-$A146)*(N$3*10^12-$A145)*-1&lt;0,0,1)*IF(ABS(N$3*10^12-$A146)&gt;(N$3*10^12-$A145),$A145,$A146))</f>
        <v/>
      </c>
    </row>
    <row r="146">
      <c r="A146">
        <f>A134*10</f>
        <v/>
      </c>
      <c r="B146">
        <f>IF(IF((B$3*10^12-$A147)*(B$3*10^12-$A146)*-1&lt;0,0,1)*IF(ABS(B$3*10^12-$A147)&gt;(B$3*10^12-$A146),$A146,$A147)=B147,0,IF((B$3*10^12-$A147)*(B$3*10^12-$A146)*-1&lt;0,0,1)*IF(ABS(B$3*10^12-$A147)&gt;(B$3*10^12-$A146),$A146,$A147))</f>
        <v/>
      </c>
      <c r="C146">
        <f>IF(IF((C$3*10^12-$A147)*(C$3*10^12-$A146)*-1&lt;0,0,1)*IF(ABS(C$3*10^12-$A147)&gt;(C$3*10^12-$A146),$A146,$A147)=C147,0,IF((C$3*10^12-$A147)*(C$3*10^12-$A146)*-1&lt;0,0,1)*IF(ABS(C$3*10^12-$A147)&gt;(C$3*10^12-$A146),$A146,$A147))</f>
        <v/>
      </c>
      <c r="D146">
        <f>IF(IF((D$3*10^12-$A147)*(D$3*10^12-$A146)*-1&lt;0,0,1)*IF(ABS(D$3*10^12-$A147)&gt;(D$3*10^12-$A146),$A146,$A147)=D147,0,IF((D$3*10^12-$A147)*(D$3*10^12-$A146)*-1&lt;0,0,1)*IF(ABS(D$3*10^12-$A147)&gt;(D$3*10^12-$A146),$A146,$A147))</f>
        <v/>
      </c>
      <c r="E146">
        <f>IF(IF((E$3*10^12-$A147)*(E$3*10^12-$A146)*-1&lt;0,0,1)*IF(ABS(E$3*10^12-$A147)&gt;(E$3*10^12-$A146),$A146,$A147)=E147,0,IF((E$3*10^12-$A147)*(E$3*10^12-$A146)*-1&lt;0,0,1)*IF(ABS(E$3*10^12-$A147)&gt;(E$3*10^12-$A146),$A146,$A147))</f>
        <v/>
      </c>
      <c r="F146">
        <f>IF(IF((F$3*10^12-$A147)*(F$3*10^12-$A146)*-1&lt;0,0,1)*IF(ABS(F$3*10^12-$A147)&gt;(F$3*10^12-$A146),$A146,$A147)=F147,0,IF((F$3*10^12-$A147)*(F$3*10^12-$A146)*-1&lt;0,0,1)*IF(ABS(F$3*10^12-$A147)&gt;(F$3*10^12-$A146),$A146,$A147))</f>
        <v/>
      </c>
      <c r="G146">
        <f>IF(IF((G$3*10^12-$A147)*(G$3*10^12-$A146)*-1&lt;0,0,1)*IF(ABS(G$3*10^12-$A147)&gt;(G$3*10^12-$A146),$A146,$A147)=G147,0,IF((G$3*10^12-$A147)*(G$3*10^12-$A146)*-1&lt;0,0,1)*IF(ABS(G$3*10^12-$A147)&gt;(G$3*10^12-$A146),$A146,$A147))</f>
        <v/>
      </c>
      <c r="H146">
        <f>IF(IF((H$3*10^12-$A147)*(H$3*10^12-$A146)*-1&lt;0,0,1)*IF(ABS(H$3*10^12-$A147)&gt;(H$3*10^12-$A146),$A146,$A147)=H147,0,IF((H$3*10^12-$A147)*(H$3*10^12-$A146)*-1&lt;0,0,1)*IF(ABS(H$3*10^12-$A147)&gt;(H$3*10^12-$A146),$A146,$A147))</f>
        <v/>
      </c>
      <c r="I146">
        <f>IF(IF((I$3*10^12-$A147)*(I$3*10^12-$A146)*-1&lt;0,0,1)*IF(ABS(I$3*10^12-$A147)&gt;(I$3*10^12-$A146),$A146,$A147)=I147,0,IF((I$3*10^12-$A147)*(I$3*10^12-$A146)*-1&lt;0,0,1)*IF(ABS(I$3*10^12-$A147)&gt;(I$3*10^12-$A146),$A146,$A147))</f>
        <v/>
      </c>
      <c r="J146">
        <f>IF(IF((J$3*10^12-$A147)*(J$3*10^12-$A146)*-1&lt;0,0,1)*IF(ABS(J$3*10^12-$A147)&gt;(J$3*10^12-$A146),$A146,$A147)=J147,0,IF((J$3*10^12-$A147)*(J$3*10^12-$A146)*-1&lt;0,0,1)*IF(ABS(J$3*10^12-$A147)&gt;(J$3*10^12-$A146),$A146,$A147))</f>
        <v/>
      </c>
      <c r="K146">
        <f>IF(IF((K$3*10^12-$A147)*(K$3*10^12-$A146)*-1&lt;0,0,1)*IF(ABS(K$3*10^12-$A147)&gt;(K$3*10^12-$A146),$A146,$A147)=K147,0,IF((K$3*10^12-$A147)*(K$3*10^12-$A146)*-1&lt;0,0,1)*IF(ABS(K$3*10^12-$A147)&gt;(K$3*10^12-$A146),$A146,$A147))</f>
        <v/>
      </c>
      <c r="L146">
        <f>IF(IF((L$3*10^12-$A147)*(L$3*10^12-$A146)*-1&lt;0,0,1)*IF(ABS(L$3*10^12-$A147)&gt;(L$3*10^12-$A146),$A146,$A147)=L147,0,IF((L$3*10^12-$A147)*(L$3*10^12-$A146)*-1&lt;0,0,1)*IF(ABS(L$3*10^12-$A147)&gt;(L$3*10^12-$A146),$A146,$A147))</f>
        <v/>
      </c>
      <c r="M146">
        <f>IF(IF((M$3*10^12-$A147)*(M$3*10^12-$A146)*-1&lt;0,0,1)*IF(ABS(M$3*10^12-$A147)&gt;(M$3*10^12-$A146),$A146,$A147)=M147,0,IF((M$3*10^12-$A147)*(M$3*10^12-$A146)*-1&lt;0,0,1)*IF(ABS(M$3*10^12-$A147)&gt;(M$3*10^12-$A146),$A146,$A147))</f>
        <v/>
      </c>
      <c r="N146">
        <f>IF(IF((N$3*10^12-$A147)*(N$3*10^12-$A146)*-1&lt;0,0,1)*IF(ABS(N$3*10^12-$A147)&gt;(N$3*10^12-$A146),$A146,$A147)=N147,0,IF((N$3*10^12-$A147)*(N$3*10^12-$A146)*-1&lt;0,0,1)*IF(ABS(N$3*10^12-$A147)&gt;(N$3*10^12-$A146),$A146,$A147))</f>
        <v/>
      </c>
    </row>
    <row r="147">
      <c r="A147">
        <f>A135*10</f>
        <v/>
      </c>
      <c r="B147">
        <f>IF(IF((B$3*10^12-$A148)*(B$3*10^12-$A147)*-1&lt;0,0,1)*IF(ABS(B$3*10^12-$A148)&gt;(B$3*10^12-$A147),$A147,$A148)=B148,0,IF((B$3*10^12-$A148)*(B$3*10^12-$A147)*-1&lt;0,0,1)*IF(ABS(B$3*10^12-$A148)&gt;(B$3*10^12-$A147),$A147,$A148))</f>
        <v/>
      </c>
      <c r="C147">
        <f>IF(IF((C$3*10^12-$A148)*(C$3*10^12-$A147)*-1&lt;0,0,1)*IF(ABS(C$3*10^12-$A148)&gt;(C$3*10^12-$A147),$A147,$A148)=C148,0,IF((C$3*10^12-$A148)*(C$3*10^12-$A147)*-1&lt;0,0,1)*IF(ABS(C$3*10^12-$A148)&gt;(C$3*10^12-$A147),$A147,$A148))</f>
        <v/>
      </c>
      <c r="D147">
        <f>IF(IF((D$3*10^12-$A148)*(D$3*10^12-$A147)*-1&lt;0,0,1)*IF(ABS(D$3*10^12-$A148)&gt;(D$3*10^12-$A147),$A147,$A148)=D148,0,IF((D$3*10^12-$A148)*(D$3*10^12-$A147)*-1&lt;0,0,1)*IF(ABS(D$3*10^12-$A148)&gt;(D$3*10^12-$A147),$A147,$A148))</f>
        <v/>
      </c>
      <c r="E147">
        <f>IF(IF((E$3*10^12-$A148)*(E$3*10^12-$A147)*-1&lt;0,0,1)*IF(ABS(E$3*10^12-$A148)&gt;(E$3*10^12-$A147),$A147,$A148)=E148,0,IF((E$3*10^12-$A148)*(E$3*10^12-$A147)*-1&lt;0,0,1)*IF(ABS(E$3*10^12-$A148)&gt;(E$3*10^12-$A147),$A147,$A148))</f>
        <v/>
      </c>
      <c r="F147">
        <f>IF(IF((F$3*10^12-$A148)*(F$3*10^12-$A147)*-1&lt;0,0,1)*IF(ABS(F$3*10^12-$A148)&gt;(F$3*10^12-$A147),$A147,$A148)=F148,0,IF((F$3*10^12-$A148)*(F$3*10^12-$A147)*-1&lt;0,0,1)*IF(ABS(F$3*10^12-$A148)&gt;(F$3*10^12-$A147),$A147,$A148))</f>
        <v/>
      </c>
      <c r="G147">
        <f>IF(IF((G$3*10^12-$A148)*(G$3*10^12-$A147)*-1&lt;0,0,1)*IF(ABS(G$3*10^12-$A148)&gt;(G$3*10^12-$A147),$A147,$A148)=G148,0,IF((G$3*10^12-$A148)*(G$3*10^12-$A147)*-1&lt;0,0,1)*IF(ABS(G$3*10^12-$A148)&gt;(G$3*10^12-$A147),$A147,$A148))</f>
        <v/>
      </c>
      <c r="H147">
        <f>IF(IF((H$3*10^12-$A148)*(H$3*10^12-$A147)*-1&lt;0,0,1)*IF(ABS(H$3*10^12-$A148)&gt;(H$3*10^12-$A147),$A147,$A148)=H148,0,IF((H$3*10^12-$A148)*(H$3*10^12-$A147)*-1&lt;0,0,1)*IF(ABS(H$3*10^12-$A148)&gt;(H$3*10^12-$A147),$A147,$A148))</f>
        <v/>
      </c>
      <c r="I147">
        <f>IF(IF((I$3*10^12-$A148)*(I$3*10^12-$A147)*-1&lt;0,0,1)*IF(ABS(I$3*10^12-$A148)&gt;(I$3*10^12-$A147),$A147,$A148)=I148,0,IF((I$3*10^12-$A148)*(I$3*10^12-$A147)*-1&lt;0,0,1)*IF(ABS(I$3*10^12-$A148)&gt;(I$3*10^12-$A147),$A147,$A148))</f>
        <v/>
      </c>
      <c r="J147">
        <f>IF(IF((J$3*10^12-$A148)*(J$3*10^12-$A147)*-1&lt;0,0,1)*IF(ABS(J$3*10^12-$A148)&gt;(J$3*10^12-$A147),$A147,$A148)=J148,0,IF((J$3*10^12-$A148)*(J$3*10^12-$A147)*-1&lt;0,0,1)*IF(ABS(J$3*10^12-$A148)&gt;(J$3*10^12-$A147),$A147,$A148))</f>
        <v/>
      </c>
      <c r="K147">
        <f>IF(IF((K$3*10^12-$A148)*(K$3*10^12-$A147)*-1&lt;0,0,1)*IF(ABS(K$3*10^12-$A148)&gt;(K$3*10^12-$A147),$A147,$A148)=K148,0,IF((K$3*10^12-$A148)*(K$3*10^12-$A147)*-1&lt;0,0,1)*IF(ABS(K$3*10^12-$A148)&gt;(K$3*10^12-$A147),$A147,$A148))</f>
        <v/>
      </c>
      <c r="L147">
        <f>IF(IF((L$3*10^12-$A148)*(L$3*10^12-$A147)*-1&lt;0,0,1)*IF(ABS(L$3*10^12-$A148)&gt;(L$3*10^12-$A147),$A147,$A148)=L148,0,IF((L$3*10^12-$A148)*(L$3*10^12-$A147)*-1&lt;0,0,1)*IF(ABS(L$3*10^12-$A148)&gt;(L$3*10^12-$A147),$A147,$A148))</f>
        <v/>
      </c>
      <c r="M147">
        <f>IF(IF((M$3*10^12-$A148)*(M$3*10^12-$A147)*-1&lt;0,0,1)*IF(ABS(M$3*10^12-$A148)&gt;(M$3*10^12-$A147),$A147,$A148)=M148,0,IF((M$3*10^12-$A148)*(M$3*10^12-$A147)*-1&lt;0,0,1)*IF(ABS(M$3*10^12-$A148)&gt;(M$3*10^12-$A147),$A147,$A148))</f>
        <v/>
      </c>
      <c r="N147">
        <f>IF(IF((N$3*10^12-$A148)*(N$3*10^12-$A147)*-1&lt;0,0,1)*IF(ABS(N$3*10^12-$A148)&gt;(N$3*10^12-$A147),$A147,$A148)=N148,0,IF((N$3*10^12-$A148)*(N$3*10^12-$A147)*-1&lt;0,0,1)*IF(ABS(N$3*10^12-$A148)&gt;(N$3*10^12-$A147),$A147,$A148))</f>
        <v/>
      </c>
    </row>
    <row r="148">
      <c r="A148">
        <f>A136*10</f>
        <v/>
      </c>
      <c r="B148">
        <f>IF(IF((B$3*10^12-$A149)*(B$3*10^12-$A148)*-1&lt;0,0,1)*IF(ABS(B$3*10^12-$A149)&gt;(B$3*10^12-$A148),$A148,$A149)=B149,0,IF((B$3*10^12-$A149)*(B$3*10^12-$A148)*-1&lt;0,0,1)*IF(ABS(B$3*10^12-$A149)&gt;(B$3*10^12-$A148),$A148,$A149))</f>
        <v/>
      </c>
      <c r="C148">
        <f>IF(IF((C$3*10^12-$A149)*(C$3*10^12-$A148)*-1&lt;0,0,1)*IF(ABS(C$3*10^12-$A149)&gt;(C$3*10^12-$A148),$A148,$A149)=C149,0,IF((C$3*10^12-$A149)*(C$3*10^12-$A148)*-1&lt;0,0,1)*IF(ABS(C$3*10^12-$A149)&gt;(C$3*10^12-$A148),$A148,$A149))</f>
        <v/>
      </c>
      <c r="D148">
        <f>IF(IF((D$3*10^12-$A149)*(D$3*10^12-$A148)*-1&lt;0,0,1)*IF(ABS(D$3*10^12-$A149)&gt;(D$3*10^12-$A148),$A148,$A149)=D149,0,IF((D$3*10^12-$A149)*(D$3*10^12-$A148)*-1&lt;0,0,1)*IF(ABS(D$3*10^12-$A149)&gt;(D$3*10^12-$A148),$A148,$A149))</f>
        <v/>
      </c>
      <c r="E148">
        <f>IF(IF((E$3*10^12-$A149)*(E$3*10^12-$A148)*-1&lt;0,0,1)*IF(ABS(E$3*10^12-$A149)&gt;(E$3*10^12-$A148),$A148,$A149)=E149,0,IF((E$3*10^12-$A149)*(E$3*10^12-$A148)*-1&lt;0,0,1)*IF(ABS(E$3*10^12-$A149)&gt;(E$3*10^12-$A148),$A148,$A149))</f>
        <v/>
      </c>
      <c r="F148">
        <f>IF(IF((F$3*10^12-$A149)*(F$3*10^12-$A148)*-1&lt;0,0,1)*IF(ABS(F$3*10^12-$A149)&gt;(F$3*10^12-$A148),$A148,$A149)=F149,0,IF((F$3*10^12-$A149)*(F$3*10^12-$A148)*-1&lt;0,0,1)*IF(ABS(F$3*10^12-$A149)&gt;(F$3*10^12-$A148),$A148,$A149))</f>
        <v/>
      </c>
      <c r="G148">
        <f>IF(IF((G$3*10^12-$A149)*(G$3*10^12-$A148)*-1&lt;0,0,1)*IF(ABS(G$3*10^12-$A149)&gt;(G$3*10^12-$A148),$A148,$A149)=G149,0,IF((G$3*10^12-$A149)*(G$3*10^12-$A148)*-1&lt;0,0,1)*IF(ABS(G$3*10^12-$A149)&gt;(G$3*10^12-$A148),$A148,$A149))</f>
        <v/>
      </c>
      <c r="H148">
        <f>IF(IF((H$3*10^12-$A149)*(H$3*10^12-$A148)*-1&lt;0,0,1)*IF(ABS(H$3*10^12-$A149)&gt;(H$3*10^12-$A148),$A148,$A149)=H149,0,IF((H$3*10^12-$A149)*(H$3*10^12-$A148)*-1&lt;0,0,1)*IF(ABS(H$3*10^12-$A149)&gt;(H$3*10^12-$A148),$A148,$A149))</f>
        <v/>
      </c>
      <c r="I148">
        <f>IF(IF((I$3*10^12-$A149)*(I$3*10^12-$A148)*-1&lt;0,0,1)*IF(ABS(I$3*10^12-$A149)&gt;(I$3*10^12-$A148),$A148,$A149)=I149,0,IF((I$3*10^12-$A149)*(I$3*10^12-$A148)*-1&lt;0,0,1)*IF(ABS(I$3*10^12-$A149)&gt;(I$3*10^12-$A148),$A148,$A149))</f>
        <v/>
      </c>
      <c r="J148">
        <f>IF(IF((J$3*10^12-$A149)*(J$3*10^12-$A148)*-1&lt;0,0,1)*IF(ABS(J$3*10^12-$A149)&gt;(J$3*10^12-$A148),$A148,$A149)=J149,0,IF((J$3*10^12-$A149)*(J$3*10^12-$A148)*-1&lt;0,0,1)*IF(ABS(J$3*10^12-$A149)&gt;(J$3*10^12-$A148),$A148,$A149))</f>
        <v/>
      </c>
      <c r="K148">
        <f>IF(IF((K$3*10^12-$A149)*(K$3*10^12-$A148)*-1&lt;0,0,1)*IF(ABS(K$3*10^12-$A149)&gt;(K$3*10^12-$A148),$A148,$A149)=K149,0,IF((K$3*10^12-$A149)*(K$3*10^12-$A148)*-1&lt;0,0,1)*IF(ABS(K$3*10^12-$A149)&gt;(K$3*10^12-$A148),$A148,$A149))</f>
        <v/>
      </c>
      <c r="L148">
        <f>IF(IF((L$3*10^12-$A149)*(L$3*10^12-$A148)*-1&lt;0,0,1)*IF(ABS(L$3*10^12-$A149)&gt;(L$3*10^12-$A148),$A148,$A149)=L149,0,IF((L$3*10^12-$A149)*(L$3*10^12-$A148)*-1&lt;0,0,1)*IF(ABS(L$3*10^12-$A149)&gt;(L$3*10^12-$A148),$A148,$A149))</f>
        <v/>
      </c>
      <c r="M148">
        <f>IF(IF((M$3*10^12-$A149)*(M$3*10^12-$A148)*-1&lt;0,0,1)*IF(ABS(M$3*10^12-$A149)&gt;(M$3*10^12-$A148),$A148,$A149)=M149,0,IF((M$3*10^12-$A149)*(M$3*10^12-$A148)*-1&lt;0,0,1)*IF(ABS(M$3*10^12-$A149)&gt;(M$3*10^12-$A148),$A148,$A149))</f>
        <v/>
      </c>
      <c r="N148">
        <f>IF(IF((N$3*10^12-$A149)*(N$3*10^12-$A148)*-1&lt;0,0,1)*IF(ABS(N$3*10^12-$A149)&gt;(N$3*10^12-$A148),$A148,$A149)=N149,0,IF((N$3*10^12-$A149)*(N$3*10^12-$A148)*-1&lt;0,0,1)*IF(ABS(N$3*10^12-$A149)&gt;(N$3*10^12-$A148),$A148,$A149))</f>
        <v/>
      </c>
    </row>
    <row r="149">
      <c r="A149">
        <f>A137*10</f>
        <v/>
      </c>
      <c r="B149">
        <f>IF(IF((B$3*10^12-$A150)*(B$3*10^12-$A149)*-1&lt;0,0,1)*IF(ABS(B$3*10^12-$A150)&gt;(B$3*10^12-$A149),$A149,$A150)=B150,0,IF((B$3*10^12-$A150)*(B$3*10^12-$A149)*-1&lt;0,0,1)*IF(ABS(B$3*10^12-$A150)&gt;(B$3*10^12-$A149),$A149,$A150))</f>
        <v/>
      </c>
      <c r="C149">
        <f>IF(IF((C$3*10^12-$A150)*(C$3*10^12-$A149)*-1&lt;0,0,1)*IF(ABS(C$3*10^12-$A150)&gt;(C$3*10^12-$A149),$A149,$A150)=C150,0,IF((C$3*10^12-$A150)*(C$3*10^12-$A149)*-1&lt;0,0,1)*IF(ABS(C$3*10^12-$A150)&gt;(C$3*10^12-$A149),$A149,$A150))</f>
        <v/>
      </c>
      <c r="D149">
        <f>IF(IF((D$3*10^12-$A150)*(D$3*10^12-$A149)*-1&lt;0,0,1)*IF(ABS(D$3*10^12-$A150)&gt;(D$3*10^12-$A149),$A149,$A150)=D150,0,IF((D$3*10^12-$A150)*(D$3*10^12-$A149)*-1&lt;0,0,1)*IF(ABS(D$3*10^12-$A150)&gt;(D$3*10^12-$A149),$A149,$A150))</f>
        <v/>
      </c>
      <c r="E149">
        <f>IF(IF((E$3*10^12-$A150)*(E$3*10^12-$A149)*-1&lt;0,0,1)*IF(ABS(E$3*10^12-$A150)&gt;(E$3*10^12-$A149),$A149,$A150)=E150,0,IF((E$3*10^12-$A150)*(E$3*10^12-$A149)*-1&lt;0,0,1)*IF(ABS(E$3*10^12-$A150)&gt;(E$3*10^12-$A149),$A149,$A150))</f>
        <v/>
      </c>
      <c r="F149">
        <f>IF(IF((F$3*10^12-$A150)*(F$3*10^12-$A149)*-1&lt;0,0,1)*IF(ABS(F$3*10^12-$A150)&gt;(F$3*10^12-$A149),$A149,$A150)=F150,0,IF((F$3*10^12-$A150)*(F$3*10^12-$A149)*-1&lt;0,0,1)*IF(ABS(F$3*10^12-$A150)&gt;(F$3*10^12-$A149),$A149,$A150))</f>
        <v/>
      </c>
      <c r="G149">
        <f>IF(IF((G$3*10^12-$A150)*(G$3*10^12-$A149)*-1&lt;0,0,1)*IF(ABS(G$3*10^12-$A150)&gt;(G$3*10^12-$A149),$A149,$A150)=G150,0,IF((G$3*10^12-$A150)*(G$3*10^12-$A149)*-1&lt;0,0,1)*IF(ABS(G$3*10^12-$A150)&gt;(G$3*10^12-$A149),$A149,$A150))</f>
        <v/>
      </c>
      <c r="H149">
        <f>IF(IF((H$3*10^12-$A150)*(H$3*10^12-$A149)*-1&lt;0,0,1)*IF(ABS(H$3*10^12-$A150)&gt;(H$3*10^12-$A149),$A149,$A150)=H150,0,IF((H$3*10^12-$A150)*(H$3*10^12-$A149)*-1&lt;0,0,1)*IF(ABS(H$3*10^12-$A150)&gt;(H$3*10^12-$A149),$A149,$A150))</f>
        <v/>
      </c>
      <c r="I149">
        <f>IF(IF((I$3*10^12-$A150)*(I$3*10^12-$A149)*-1&lt;0,0,1)*IF(ABS(I$3*10^12-$A150)&gt;(I$3*10^12-$A149),$A149,$A150)=I150,0,IF((I$3*10^12-$A150)*(I$3*10^12-$A149)*-1&lt;0,0,1)*IF(ABS(I$3*10^12-$A150)&gt;(I$3*10^12-$A149),$A149,$A150))</f>
        <v/>
      </c>
      <c r="J149">
        <f>IF(IF((J$3*10^12-$A150)*(J$3*10^12-$A149)*-1&lt;0,0,1)*IF(ABS(J$3*10^12-$A150)&gt;(J$3*10^12-$A149),$A149,$A150)=J150,0,IF((J$3*10^12-$A150)*(J$3*10^12-$A149)*-1&lt;0,0,1)*IF(ABS(J$3*10^12-$A150)&gt;(J$3*10^12-$A149),$A149,$A150))</f>
        <v/>
      </c>
      <c r="K149">
        <f>IF(IF((K$3*10^12-$A150)*(K$3*10^12-$A149)*-1&lt;0,0,1)*IF(ABS(K$3*10^12-$A150)&gt;(K$3*10^12-$A149),$A149,$A150)=K150,0,IF((K$3*10^12-$A150)*(K$3*10^12-$A149)*-1&lt;0,0,1)*IF(ABS(K$3*10^12-$A150)&gt;(K$3*10^12-$A149),$A149,$A150))</f>
        <v/>
      </c>
      <c r="L149">
        <f>IF(IF((L$3*10^12-$A150)*(L$3*10^12-$A149)*-1&lt;0,0,1)*IF(ABS(L$3*10^12-$A150)&gt;(L$3*10^12-$A149),$A149,$A150)=L150,0,IF((L$3*10^12-$A150)*(L$3*10^12-$A149)*-1&lt;0,0,1)*IF(ABS(L$3*10^12-$A150)&gt;(L$3*10^12-$A149),$A149,$A150))</f>
        <v/>
      </c>
      <c r="M149">
        <f>IF(IF((M$3*10^12-$A150)*(M$3*10^12-$A149)*-1&lt;0,0,1)*IF(ABS(M$3*10^12-$A150)&gt;(M$3*10^12-$A149),$A149,$A150)=M150,0,IF((M$3*10^12-$A150)*(M$3*10^12-$A149)*-1&lt;0,0,1)*IF(ABS(M$3*10^12-$A150)&gt;(M$3*10^12-$A149),$A149,$A150))</f>
        <v/>
      </c>
      <c r="N149">
        <f>IF(IF((N$3*10^12-$A150)*(N$3*10^12-$A149)*-1&lt;0,0,1)*IF(ABS(N$3*10^12-$A150)&gt;(N$3*10^12-$A149),$A149,$A150)=N150,0,IF((N$3*10^12-$A150)*(N$3*10^12-$A149)*-1&lt;0,0,1)*IF(ABS(N$3*10^12-$A150)&gt;(N$3*10^12-$A149),$A149,$A150))</f>
        <v/>
      </c>
    </row>
    <row r="150">
      <c r="A150">
        <f>A138*10</f>
        <v/>
      </c>
      <c r="B150">
        <f>IF(IF((B$3*10^12-$A151)*(B$3*10^12-$A150)*-1&lt;0,0,1)*IF(ABS(B$3*10^12-$A151)&gt;(B$3*10^12-$A150),$A150,$A151)=B151,0,IF((B$3*10^12-$A151)*(B$3*10^12-$A150)*-1&lt;0,0,1)*IF(ABS(B$3*10^12-$A151)&gt;(B$3*10^12-$A150),$A150,$A151))</f>
        <v/>
      </c>
      <c r="C150">
        <f>IF(IF((C$3*10^12-$A151)*(C$3*10^12-$A150)*-1&lt;0,0,1)*IF(ABS(C$3*10^12-$A151)&gt;(C$3*10^12-$A150),$A150,$A151)=C151,0,IF((C$3*10^12-$A151)*(C$3*10^12-$A150)*-1&lt;0,0,1)*IF(ABS(C$3*10^12-$A151)&gt;(C$3*10^12-$A150),$A150,$A151))</f>
        <v/>
      </c>
      <c r="D150">
        <f>IF(IF((D$3*10^12-$A151)*(D$3*10^12-$A150)*-1&lt;0,0,1)*IF(ABS(D$3*10^12-$A151)&gt;(D$3*10^12-$A150),$A150,$A151)=D151,0,IF((D$3*10^12-$A151)*(D$3*10^12-$A150)*-1&lt;0,0,1)*IF(ABS(D$3*10^12-$A151)&gt;(D$3*10^12-$A150),$A150,$A151))</f>
        <v/>
      </c>
      <c r="E150">
        <f>IF(IF((E$3*10^12-$A151)*(E$3*10^12-$A150)*-1&lt;0,0,1)*IF(ABS(E$3*10^12-$A151)&gt;(E$3*10^12-$A150),$A150,$A151)=E151,0,IF((E$3*10^12-$A151)*(E$3*10^12-$A150)*-1&lt;0,0,1)*IF(ABS(E$3*10^12-$A151)&gt;(E$3*10^12-$A150),$A150,$A151))</f>
        <v/>
      </c>
      <c r="F150">
        <f>IF(IF((F$3*10^12-$A151)*(F$3*10^12-$A150)*-1&lt;0,0,1)*IF(ABS(F$3*10^12-$A151)&gt;(F$3*10^12-$A150),$A150,$A151)=F151,0,IF((F$3*10^12-$A151)*(F$3*10^12-$A150)*-1&lt;0,0,1)*IF(ABS(F$3*10^12-$A151)&gt;(F$3*10^12-$A150),$A150,$A151))</f>
        <v/>
      </c>
      <c r="G150">
        <f>IF(IF((G$3*10^12-$A151)*(G$3*10^12-$A150)*-1&lt;0,0,1)*IF(ABS(G$3*10^12-$A151)&gt;(G$3*10^12-$A150),$A150,$A151)=G151,0,IF((G$3*10^12-$A151)*(G$3*10^12-$A150)*-1&lt;0,0,1)*IF(ABS(G$3*10^12-$A151)&gt;(G$3*10^12-$A150),$A150,$A151))</f>
        <v/>
      </c>
      <c r="H150">
        <f>IF(IF((H$3*10^12-$A151)*(H$3*10^12-$A150)*-1&lt;0,0,1)*IF(ABS(H$3*10^12-$A151)&gt;(H$3*10^12-$A150),$A150,$A151)=H151,0,IF((H$3*10^12-$A151)*(H$3*10^12-$A150)*-1&lt;0,0,1)*IF(ABS(H$3*10^12-$A151)&gt;(H$3*10^12-$A150),$A150,$A151))</f>
        <v/>
      </c>
      <c r="I150">
        <f>IF(IF((I$3*10^12-$A151)*(I$3*10^12-$A150)*-1&lt;0,0,1)*IF(ABS(I$3*10^12-$A151)&gt;(I$3*10^12-$A150),$A150,$A151)=I151,0,IF((I$3*10^12-$A151)*(I$3*10^12-$A150)*-1&lt;0,0,1)*IF(ABS(I$3*10^12-$A151)&gt;(I$3*10^12-$A150),$A150,$A151))</f>
        <v/>
      </c>
      <c r="J150">
        <f>IF(IF((J$3*10^12-$A151)*(J$3*10^12-$A150)*-1&lt;0,0,1)*IF(ABS(J$3*10^12-$A151)&gt;(J$3*10^12-$A150),$A150,$A151)=J151,0,IF((J$3*10^12-$A151)*(J$3*10^12-$A150)*-1&lt;0,0,1)*IF(ABS(J$3*10^12-$A151)&gt;(J$3*10^12-$A150),$A150,$A151))</f>
        <v/>
      </c>
      <c r="K150">
        <f>IF(IF((K$3*10^12-$A151)*(K$3*10^12-$A150)*-1&lt;0,0,1)*IF(ABS(K$3*10^12-$A151)&gt;(K$3*10^12-$A150),$A150,$A151)=K151,0,IF((K$3*10^12-$A151)*(K$3*10^12-$A150)*-1&lt;0,0,1)*IF(ABS(K$3*10^12-$A151)&gt;(K$3*10^12-$A150),$A150,$A151))</f>
        <v/>
      </c>
      <c r="L150">
        <f>IF(IF((L$3*10^12-$A151)*(L$3*10^12-$A150)*-1&lt;0,0,1)*IF(ABS(L$3*10^12-$A151)&gt;(L$3*10^12-$A150),$A150,$A151)=L151,0,IF((L$3*10^12-$A151)*(L$3*10^12-$A150)*-1&lt;0,0,1)*IF(ABS(L$3*10^12-$A151)&gt;(L$3*10^12-$A150),$A150,$A151))</f>
        <v/>
      </c>
      <c r="M150">
        <f>IF(IF((M$3*10^12-$A151)*(M$3*10^12-$A150)*-1&lt;0,0,1)*IF(ABS(M$3*10^12-$A151)&gt;(M$3*10^12-$A150),$A150,$A151)=M151,0,IF((M$3*10^12-$A151)*(M$3*10^12-$A150)*-1&lt;0,0,1)*IF(ABS(M$3*10^12-$A151)&gt;(M$3*10^12-$A150),$A150,$A151))</f>
        <v/>
      </c>
      <c r="N150">
        <f>IF(IF((N$3*10^12-$A151)*(N$3*10^12-$A150)*-1&lt;0,0,1)*IF(ABS(N$3*10^12-$A151)&gt;(N$3*10^12-$A150),$A150,$A151)=N151,0,IF((N$3*10^12-$A151)*(N$3*10^12-$A150)*-1&lt;0,0,1)*IF(ABS(N$3*10^12-$A151)&gt;(N$3*10^12-$A150),$A150,$A151))</f>
        <v/>
      </c>
    </row>
    <row r="151">
      <c r="A151">
        <f>A139*10</f>
        <v/>
      </c>
      <c r="B151">
        <f>IF(IF((B$3*10^12-$A152)*(B$3*10^12-$A151)*-1&lt;0,0,1)*IF(ABS(B$3*10^12-$A152)&gt;(B$3*10^12-$A151),$A151,$A152)=B152,0,IF((B$3*10^12-$A152)*(B$3*10^12-$A151)*-1&lt;0,0,1)*IF(ABS(B$3*10^12-$A152)&gt;(B$3*10^12-$A151),$A151,$A152))</f>
        <v/>
      </c>
      <c r="C151">
        <f>IF(IF((C$3*10^12-$A152)*(C$3*10^12-$A151)*-1&lt;0,0,1)*IF(ABS(C$3*10^12-$A152)&gt;(C$3*10^12-$A151),$A151,$A152)=C152,0,IF((C$3*10^12-$A152)*(C$3*10^12-$A151)*-1&lt;0,0,1)*IF(ABS(C$3*10^12-$A152)&gt;(C$3*10^12-$A151),$A151,$A152))</f>
        <v/>
      </c>
      <c r="D151">
        <f>IF(IF((D$3*10^12-$A152)*(D$3*10^12-$A151)*-1&lt;0,0,1)*IF(ABS(D$3*10^12-$A152)&gt;(D$3*10^12-$A151),$A151,$A152)=D152,0,IF((D$3*10^12-$A152)*(D$3*10^12-$A151)*-1&lt;0,0,1)*IF(ABS(D$3*10^12-$A152)&gt;(D$3*10^12-$A151),$A151,$A152))</f>
        <v/>
      </c>
      <c r="E151">
        <f>IF(IF((E$3*10^12-$A152)*(E$3*10^12-$A151)*-1&lt;0,0,1)*IF(ABS(E$3*10^12-$A152)&gt;(E$3*10^12-$A151),$A151,$A152)=E152,0,IF((E$3*10^12-$A152)*(E$3*10^12-$A151)*-1&lt;0,0,1)*IF(ABS(E$3*10^12-$A152)&gt;(E$3*10^12-$A151),$A151,$A152))</f>
        <v/>
      </c>
      <c r="F151">
        <f>IF(IF((F$3*10^12-$A152)*(F$3*10^12-$A151)*-1&lt;0,0,1)*IF(ABS(F$3*10^12-$A152)&gt;(F$3*10^12-$A151),$A151,$A152)=F152,0,IF((F$3*10^12-$A152)*(F$3*10^12-$A151)*-1&lt;0,0,1)*IF(ABS(F$3*10^12-$A152)&gt;(F$3*10^12-$A151),$A151,$A152))</f>
        <v/>
      </c>
      <c r="G151">
        <f>IF(IF((G$3*10^12-$A152)*(G$3*10^12-$A151)*-1&lt;0,0,1)*IF(ABS(G$3*10^12-$A152)&gt;(G$3*10^12-$A151),$A151,$A152)=G152,0,IF((G$3*10^12-$A152)*(G$3*10^12-$A151)*-1&lt;0,0,1)*IF(ABS(G$3*10^12-$A152)&gt;(G$3*10^12-$A151),$A151,$A152))</f>
        <v/>
      </c>
      <c r="H151">
        <f>IF(IF((H$3*10^12-$A152)*(H$3*10^12-$A151)*-1&lt;0,0,1)*IF(ABS(H$3*10^12-$A152)&gt;(H$3*10^12-$A151),$A151,$A152)=H152,0,IF((H$3*10^12-$A152)*(H$3*10^12-$A151)*-1&lt;0,0,1)*IF(ABS(H$3*10^12-$A152)&gt;(H$3*10^12-$A151),$A151,$A152))</f>
        <v/>
      </c>
      <c r="I151">
        <f>IF(IF((I$3*10^12-$A152)*(I$3*10^12-$A151)*-1&lt;0,0,1)*IF(ABS(I$3*10^12-$A152)&gt;(I$3*10^12-$A151),$A151,$A152)=I152,0,IF((I$3*10^12-$A152)*(I$3*10^12-$A151)*-1&lt;0,0,1)*IF(ABS(I$3*10^12-$A152)&gt;(I$3*10^12-$A151),$A151,$A152))</f>
        <v/>
      </c>
      <c r="J151">
        <f>IF(IF((J$3*10^12-$A152)*(J$3*10^12-$A151)*-1&lt;0,0,1)*IF(ABS(J$3*10^12-$A152)&gt;(J$3*10^12-$A151),$A151,$A152)=J152,0,IF((J$3*10^12-$A152)*(J$3*10^12-$A151)*-1&lt;0,0,1)*IF(ABS(J$3*10^12-$A152)&gt;(J$3*10^12-$A151),$A151,$A152))</f>
        <v/>
      </c>
      <c r="K151">
        <f>IF(IF((K$3*10^12-$A152)*(K$3*10^12-$A151)*-1&lt;0,0,1)*IF(ABS(K$3*10^12-$A152)&gt;(K$3*10^12-$A151),$A151,$A152)=K152,0,IF((K$3*10^12-$A152)*(K$3*10^12-$A151)*-1&lt;0,0,1)*IF(ABS(K$3*10^12-$A152)&gt;(K$3*10^12-$A151),$A151,$A152))</f>
        <v/>
      </c>
      <c r="L151">
        <f>IF(IF((L$3*10^12-$A152)*(L$3*10^12-$A151)*-1&lt;0,0,1)*IF(ABS(L$3*10^12-$A152)&gt;(L$3*10^12-$A151),$A151,$A152)=L152,0,IF((L$3*10^12-$A152)*(L$3*10^12-$A151)*-1&lt;0,0,1)*IF(ABS(L$3*10^12-$A152)&gt;(L$3*10^12-$A151),$A151,$A152))</f>
        <v/>
      </c>
      <c r="M151">
        <f>IF(IF((M$3*10^12-$A152)*(M$3*10^12-$A151)*-1&lt;0,0,1)*IF(ABS(M$3*10^12-$A152)&gt;(M$3*10^12-$A151),$A151,$A152)=M152,0,IF((M$3*10^12-$A152)*(M$3*10^12-$A151)*-1&lt;0,0,1)*IF(ABS(M$3*10^12-$A152)&gt;(M$3*10^12-$A151),$A151,$A152))</f>
        <v/>
      </c>
      <c r="N151">
        <f>IF(IF((N$3*10^12-$A152)*(N$3*10^12-$A151)*-1&lt;0,0,1)*IF(ABS(N$3*10^12-$A152)&gt;(N$3*10^12-$A151),$A151,$A152)=N152,0,IF((N$3*10^12-$A152)*(N$3*10^12-$A151)*-1&lt;0,0,1)*IF(ABS(N$3*10^12-$A152)&gt;(N$3*10^12-$A151),$A151,$A152))</f>
        <v/>
      </c>
    </row>
    <row r="152">
      <c r="A152">
        <f>A140*10</f>
        <v/>
      </c>
      <c r="B152">
        <f>IF(IF((B$3*10^12-$A153)*(B$3*10^12-$A152)*-1&lt;0,0,1)*IF(ABS(B$3*10^12-$A153)&gt;(B$3*10^12-$A152),$A152,$A153)=B153,0,IF((B$3*10^12-$A153)*(B$3*10^12-$A152)*-1&lt;0,0,1)*IF(ABS(B$3*10^12-$A153)&gt;(B$3*10^12-$A152),$A152,$A153))</f>
        <v/>
      </c>
      <c r="C152">
        <f>IF(IF((C$3*10^12-$A153)*(C$3*10^12-$A152)*-1&lt;0,0,1)*IF(ABS(C$3*10^12-$A153)&gt;(C$3*10^12-$A152),$A152,$A153)=C153,0,IF((C$3*10^12-$A153)*(C$3*10^12-$A152)*-1&lt;0,0,1)*IF(ABS(C$3*10^12-$A153)&gt;(C$3*10^12-$A152),$A152,$A153))</f>
        <v/>
      </c>
      <c r="D152">
        <f>IF(IF((D$3*10^12-$A153)*(D$3*10^12-$A152)*-1&lt;0,0,1)*IF(ABS(D$3*10^12-$A153)&gt;(D$3*10^12-$A152),$A152,$A153)=D153,0,IF((D$3*10^12-$A153)*(D$3*10^12-$A152)*-1&lt;0,0,1)*IF(ABS(D$3*10^12-$A153)&gt;(D$3*10^12-$A152),$A152,$A153))</f>
        <v/>
      </c>
      <c r="E152">
        <f>IF(IF((E$3*10^12-$A153)*(E$3*10^12-$A152)*-1&lt;0,0,1)*IF(ABS(E$3*10^12-$A153)&gt;(E$3*10^12-$A152),$A152,$A153)=E153,0,IF((E$3*10^12-$A153)*(E$3*10^12-$A152)*-1&lt;0,0,1)*IF(ABS(E$3*10^12-$A153)&gt;(E$3*10^12-$A152),$A152,$A153))</f>
        <v/>
      </c>
      <c r="F152">
        <f>IF(IF((F$3*10^12-$A153)*(F$3*10^12-$A152)*-1&lt;0,0,1)*IF(ABS(F$3*10^12-$A153)&gt;(F$3*10^12-$A152),$A152,$A153)=F153,0,IF((F$3*10^12-$A153)*(F$3*10^12-$A152)*-1&lt;0,0,1)*IF(ABS(F$3*10^12-$A153)&gt;(F$3*10^12-$A152),$A152,$A153))</f>
        <v/>
      </c>
      <c r="G152">
        <f>IF(IF((G$3*10^12-$A153)*(G$3*10^12-$A152)*-1&lt;0,0,1)*IF(ABS(G$3*10^12-$A153)&gt;(G$3*10^12-$A152),$A152,$A153)=G153,0,IF((G$3*10^12-$A153)*(G$3*10^12-$A152)*-1&lt;0,0,1)*IF(ABS(G$3*10^12-$A153)&gt;(G$3*10^12-$A152),$A152,$A153))</f>
        <v/>
      </c>
      <c r="H152">
        <f>IF(IF((H$3*10^12-$A153)*(H$3*10^12-$A152)*-1&lt;0,0,1)*IF(ABS(H$3*10^12-$A153)&gt;(H$3*10^12-$A152),$A152,$A153)=H153,0,IF((H$3*10^12-$A153)*(H$3*10^12-$A152)*-1&lt;0,0,1)*IF(ABS(H$3*10^12-$A153)&gt;(H$3*10^12-$A152),$A152,$A153))</f>
        <v/>
      </c>
      <c r="I152">
        <f>IF(IF((I$3*10^12-$A153)*(I$3*10^12-$A152)*-1&lt;0,0,1)*IF(ABS(I$3*10^12-$A153)&gt;(I$3*10^12-$A152),$A152,$A153)=I153,0,IF((I$3*10^12-$A153)*(I$3*10^12-$A152)*-1&lt;0,0,1)*IF(ABS(I$3*10^12-$A153)&gt;(I$3*10^12-$A152),$A152,$A153))</f>
        <v/>
      </c>
      <c r="J152">
        <f>IF(IF((J$3*10^12-$A153)*(J$3*10^12-$A152)*-1&lt;0,0,1)*IF(ABS(J$3*10^12-$A153)&gt;(J$3*10^12-$A152),$A152,$A153)=J153,0,IF((J$3*10^12-$A153)*(J$3*10^12-$A152)*-1&lt;0,0,1)*IF(ABS(J$3*10^12-$A153)&gt;(J$3*10^12-$A152),$A152,$A153))</f>
        <v/>
      </c>
      <c r="K152">
        <f>IF(IF((K$3*10^12-$A153)*(K$3*10^12-$A152)*-1&lt;0,0,1)*IF(ABS(K$3*10^12-$A153)&gt;(K$3*10^12-$A152),$A152,$A153)=K153,0,IF((K$3*10^12-$A153)*(K$3*10^12-$A152)*-1&lt;0,0,1)*IF(ABS(K$3*10^12-$A153)&gt;(K$3*10^12-$A152),$A152,$A153))</f>
        <v/>
      </c>
      <c r="L152">
        <f>IF(IF((L$3*10^12-$A153)*(L$3*10^12-$A152)*-1&lt;0,0,1)*IF(ABS(L$3*10^12-$A153)&gt;(L$3*10^12-$A152),$A152,$A153)=L153,0,IF((L$3*10^12-$A153)*(L$3*10^12-$A152)*-1&lt;0,0,1)*IF(ABS(L$3*10^12-$A153)&gt;(L$3*10^12-$A152),$A152,$A153))</f>
        <v/>
      </c>
      <c r="M152">
        <f>IF(IF((M$3*10^12-$A153)*(M$3*10^12-$A152)*-1&lt;0,0,1)*IF(ABS(M$3*10^12-$A153)&gt;(M$3*10^12-$A152),$A152,$A153)=M153,0,IF((M$3*10^12-$A153)*(M$3*10^12-$A152)*-1&lt;0,0,1)*IF(ABS(M$3*10^12-$A153)&gt;(M$3*10^12-$A152),$A152,$A153))</f>
        <v/>
      </c>
      <c r="N152">
        <f>IF(IF((N$3*10^12-$A153)*(N$3*10^12-$A152)*-1&lt;0,0,1)*IF(ABS(N$3*10^12-$A153)&gt;(N$3*10^12-$A152),$A152,$A153)=N153,0,IF((N$3*10^12-$A153)*(N$3*10^12-$A152)*-1&lt;0,0,1)*IF(ABS(N$3*10^12-$A153)&gt;(N$3*10^12-$A152),$A152,$A153))</f>
        <v/>
      </c>
    </row>
    <row r="153">
      <c r="A153">
        <f>A141*10</f>
        <v/>
      </c>
      <c r="B153">
        <f>IF(IF((B$3*10^12-$A154)*(B$3*10^12-$A153)*-1&lt;0,0,1)*IF(ABS(B$3*10^12-$A154)&gt;(B$3*10^12-$A153),$A153,$A154)=B154,0,IF((B$3*10^12-$A154)*(B$3*10^12-$A153)*-1&lt;0,0,1)*IF(ABS(B$3*10^12-$A154)&gt;(B$3*10^12-$A153),$A153,$A154))</f>
        <v/>
      </c>
      <c r="C153">
        <f>IF(IF((C$3*10^12-$A154)*(C$3*10^12-$A153)*-1&lt;0,0,1)*IF(ABS(C$3*10^12-$A154)&gt;(C$3*10^12-$A153),$A153,$A154)=C154,0,IF((C$3*10^12-$A154)*(C$3*10^12-$A153)*-1&lt;0,0,1)*IF(ABS(C$3*10^12-$A154)&gt;(C$3*10^12-$A153),$A153,$A154))</f>
        <v/>
      </c>
      <c r="D153">
        <f>IF(IF((D$3*10^12-$A154)*(D$3*10^12-$A153)*-1&lt;0,0,1)*IF(ABS(D$3*10^12-$A154)&gt;(D$3*10^12-$A153),$A153,$A154)=D154,0,IF((D$3*10^12-$A154)*(D$3*10^12-$A153)*-1&lt;0,0,1)*IF(ABS(D$3*10^12-$A154)&gt;(D$3*10^12-$A153),$A153,$A154))</f>
        <v/>
      </c>
      <c r="E153">
        <f>IF(IF((E$3*10^12-$A154)*(E$3*10^12-$A153)*-1&lt;0,0,1)*IF(ABS(E$3*10^12-$A154)&gt;(E$3*10^12-$A153),$A153,$A154)=E154,0,IF((E$3*10^12-$A154)*(E$3*10^12-$A153)*-1&lt;0,0,1)*IF(ABS(E$3*10^12-$A154)&gt;(E$3*10^12-$A153),$A153,$A154))</f>
        <v/>
      </c>
      <c r="F153">
        <f>IF(IF((F$3*10^12-$A154)*(F$3*10^12-$A153)*-1&lt;0,0,1)*IF(ABS(F$3*10^12-$A154)&gt;(F$3*10^12-$A153),$A153,$A154)=F154,0,IF((F$3*10^12-$A154)*(F$3*10^12-$A153)*-1&lt;0,0,1)*IF(ABS(F$3*10^12-$A154)&gt;(F$3*10^12-$A153),$A153,$A154))</f>
        <v/>
      </c>
      <c r="G153">
        <f>IF(IF((G$3*10^12-$A154)*(G$3*10^12-$A153)*-1&lt;0,0,1)*IF(ABS(G$3*10^12-$A154)&gt;(G$3*10^12-$A153),$A153,$A154)=G154,0,IF((G$3*10^12-$A154)*(G$3*10^12-$A153)*-1&lt;0,0,1)*IF(ABS(G$3*10^12-$A154)&gt;(G$3*10^12-$A153),$A153,$A154))</f>
        <v/>
      </c>
      <c r="H153">
        <f>IF(IF((H$3*10^12-$A154)*(H$3*10^12-$A153)*-1&lt;0,0,1)*IF(ABS(H$3*10^12-$A154)&gt;(H$3*10^12-$A153),$A153,$A154)=H154,0,IF((H$3*10^12-$A154)*(H$3*10^12-$A153)*-1&lt;0,0,1)*IF(ABS(H$3*10^12-$A154)&gt;(H$3*10^12-$A153),$A153,$A154))</f>
        <v/>
      </c>
      <c r="I153">
        <f>IF(IF((I$3*10^12-$A154)*(I$3*10^12-$A153)*-1&lt;0,0,1)*IF(ABS(I$3*10^12-$A154)&gt;(I$3*10^12-$A153),$A153,$A154)=I154,0,IF((I$3*10^12-$A154)*(I$3*10^12-$A153)*-1&lt;0,0,1)*IF(ABS(I$3*10^12-$A154)&gt;(I$3*10^12-$A153),$A153,$A154))</f>
        <v/>
      </c>
      <c r="J153">
        <f>IF(IF((J$3*10^12-$A154)*(J$3*10^12-$A153)*-1&lt;0,0,1)*IF(ABS(J$3*10^12-$A154)&gt;(J$3*10^12-$A153),$A153,$A154)=J154,0,IF((J$3*10^12-$A154)*(J$3*10^12-$A153)*-1&lt;0,0,1)*IF(ABS(J$3*10^12-$A154)&gt;(J$3*10^12-$A153),$A153,$A154))</f>
        <v/>
      </c>
      <c r="K153">
        <f>IF(IF((K$3*10^12-$A154)*(K$3*10^12-$A153)*-1&lt;0,0,1)*IF(ABS(K$3*10^12-$A154)&gt;(K$3*10^12-$A153),$A153,$A154)=K154,0,IF((K$3*10^12-$A154)*(K$3*10^12-$A153)*-1&lt;0,0,1)*IF(ABS(K$3*10^12-$A154)&gt;(K$3*10^12-$A153),$A153,$A154))</f>
        <v/>
      </c>
      <c r="L153">
        <f>IF(IF((L$3*10^12-$A154)*(L$3*10^12-$A153)*-1&lt;0,0,1)*IF(ABS(L$3*10^12-$A154)&gt;(L$3*10^12-$A153),$A153,$A154)=L154,0,IF((L$3*10^12-$A154)*(L$3*10^12-$A153)*-1&lt;0,0,1)*IF(ABS(L$3*10^12-$A154)&gt;(L$3*10^12-$A153),$A153,$A154))</f>
        <v/>
      </c>
      <c r="M153">
        <f>IF(IF((M$3*10^12-$A154)*(M$3*10^12-$A153)*-1&lt;0,0,1)*IF(ABS(M$3*10^12-$A154)&gt;(M$3*10^12-$A153),$A153,$A154)=M154,0,IF((M$3*10^12-$A154)*(M$3*10^12-$A153)*-1&lt;0,0,1)*IF(ABS(M$3*10^12-$A154)&gt;(M$3*10^12-$A153),$A153,$A154))</f>
        <v/>
      </c>
      <c r="N153">
        <f>IF(IF((N$3*10^12-$A154)*(N$3*10^12-$A153)*-1&lt;0,0,1)*IF(ABS(N$3*10^12-$A154)&gt;(N$3*10^12-$A153),$A153,$A154)=N154,0,IF((N$3*10^12-$A154)*(N$3*10^12-$A153)*-1&lt;0,0,1)*IF(ABS(N$3*10^12-$A154)&gt;(N$3*10^12-$A153),$A153,$A154))</f>
        <v/>
      </c>
    </row>
    <row r="154">
      <c r="A154">
        <f>A142*10</f>
        <v/>
      </c>
      <c r="B154">
        <f>IF(IF((B$3*10^12-$A155)*(B$3*10^12-$A154)*-1&lt;0,0,1)*IF(ABS(B$3*10^12-$A155)&gt;(B$3*10^12-$A154),$A154,$A155)=B155,0,IF((B$3*10^12-$A155)*(B$3*10^12-$A154)*-1&lt;0,0,1)*IF(ABS(B$3*10^12-$A155)&gt;(B$3*10^12-$A154),$A154,$A155))</f>
        <v/>
      </c>
      <c r="C154">
        <f>IF(IF((C$3*10^12-$A155)*(C$3*10^12-$A154)*-1&lt;0,0,1)*IF(ABS(C$3*10^12-$A155)&gt;(C$3*10^12-$A154),$A154,$A155)=C155,0,IF((C$3*10^12-$A155)*(C$3*10^12-$A154)*-1&lt;0,0,1)*IF(ABS(C$3*10^12-$A155)&gt;(C$3*10^12-$A154),$A154,$A155))</f>
        <v/>
      </c>
      <c r="D154">
        <f>IF(IF((D$3*10^12-$A155)*(D$3*10^12-$A154)*-1&lt;0,0,1)*IF(ABS(D$3*10^12-$A155)&gt;(D$3*10^12-$A154),$A154,$A155)=D155,0,IF((D$3*10^12-$A155)*(D$3*10^12-$A154)*-1&lt;0,0,1)*IF(ABS(D$3*10^12-$A155)&gt;(D$3*10^12-$A154),$A154,$A155))</f>
        <v/>
      </c>
      <c r="E154">
        <f>IF(IF((E$3*10^12-$A155)*(E$3*10^12-$A154)*-1&lt;0,0,1)*IF(ABS(E$3*10^12-$A155)&gt;(E$3*10^12-$A154),$A154,$A155)=E155,0,IF((E$3*10^12-$A155)*(E$3*10^12-$A154)*-1&lt;0,0,1)*IF(ABS(E$3*10^12-$A155)&gt;(E$3*10^12-$A154),$A154,$A155))</f>
        <v/>
      </c>
      <c r="F154">
        <f>IF(IF((F$3*10^12-$A155)*(F$3*10^12-$A154)*-1&lt;0,0,1)*IF(ABS(F$3*10^12-$A155)&gt;(F$3*10^12-$A154),$A154,$A155)=F155,0,IF((F$3*10^12-$A155)*(F$3*10^12-$A154)*-1&lt;0,0,1)*IF(ABS(F$3*10^12-$A155)&gt;(F$3*10^12-$A154),$A154,$A155))</f>
        <v/>
      </c>
      <c r="G154">
        <f>IF(IF((G$3*10^12-$A155)*(G$3*10^12-$A154)*-1&lt;0,0,1)*IF(ABS(G$3*10^12-$A155)&gt;(G$3*10^12-$A154),$A154,$A155)=G155,0,IF((G$3*10^12-$A155)*(G$3*10^12-$A154)*-1&lt;0,0,1)*IF(ABS(G$3*10^12-$A155)&gt;(G$3*10^12-$A154),$A154,$A155))</f>
        <v/>
      </c>
      <c r="H154">
        <f>IF(IF((H$3*10^12-$A155)*(H$3*10^12-$A154)*-1&lt;0,0,1)*IF(ABS(H$3*10^12-$A155)&gt;(H$3*10^12-$A154),$A154,$A155)=H155,0,IF((H$3*10^12-$A155)*(H$3*10^12-$A154)*-1&lt;0,0,1)*IF(ABS(H$3*10^12-$A155)&gt;(H$3*10^12-$A154),$A154,$A155))</f>
        <v/>
      </c>
      <c r="I154">
        <f>IF(IF((I$3*10^12-$A155)*(I$3*10^12-$A154)*-1&lt;0,0,1)*IF(ABS(I$3*10^12-$A155)&gt;(I$3*10^12-$A154),$A154,$A155)=I155,0,IF((I$3*10^12-$A155)*(I$3*10^12-$A154)*-1&lt;0,0,1)*IF(ABS(I$3*10^12-$A155)&gt;(I$3*10^12-$A154),$A154,$A155))</f>
        <v/>
      </c>
      <c r="J154">
        <f>IF(IF((J$3*10^12-$A155)*(J$3*10^12-$A154)*-1&lt;0,0,1)*IF(ABS(J$3*10^12-$A155)&gt;(J$3*10^12-$A154),$A154,$A155)=J155,0,IF((J$3*10^12-$A155)*(J$3*10^12-$A154)*-1&lt;0,0,1)*IF(ABS(J$3*10^12-$A155)&gt;(J$3*10^12-$A154),$A154,$A155))</f>
        <v/>
      </c>
      <c r="K154">
        <f>IF(IF((K$3*10^12-$A155)*(K$3*10^12-$A154)*-1&lt;0,0,1)*IF(ABS(K$3*10^12-$A155)&gt;(K$3*10^12-$A154),$A154,$A155)=K155,0,IF((K$3*10^12-$A155)*(K$3*10^12-$A154)*-1&lt;0,0,1)*IF(ABS(K$3*10^12-$A155)&gt;(K$3*10^12-$A154),$A154,$A155))</f>
        <v/>
      </c>
      <c r="L154">
        <f>IF(IF((L$3*10^12-$A155)*(L$3*10^12-$A154)*-1&lt;0,0,1)*IF(ABS(L$3*10^12-$A155)&gt;(L$3*10^12-$A154),$A154,$A155)=L155,0,IF((L$3*10^12-$A155)*(L$3*10^12-$A154)*-1&lt;0,0,1)*IF(ABS(L$3*10^12-$A155)&gt;(L$3*10^12-$A154),$A154,$A155))</f>
        <v/>
      </c>
      <c r="M154">
        <f>IF(IF((M$3*10^12-$A155)*(M$3*10^12-$A154)*-1&lt;0,0,1)*IF(ABS(M$3*10^12-$A155)&gt;(M$3*10^12-$A154),$A154,$A155)=M155,0,IF((M$3*10^12-$A155)*(M$3*10^12-$A154)*-1&lt;0,0,1)*IF(ABS(M$3*10^12-$A155)&gt;(M$3*10^12-$A154),$A154,$A155))</f>
        <v/>
      </c>
      <c r="N154">
        <f>IF(IF((N$3*10^12-$A155)*(N$3*10^12-$A154)*-1&lt;0,0,1)*IF(ABS(N$3*10^12-$A155)&gt;(N$3*10^12-$A154),$A154,$A155)=N155,0,IF((N$3*10^12-$A155)*(N$3*10^12-$A154)*-1&lt;0,0,1)*IF(ABS(N$3*10^12-$A155)&gt;(N$3*10^12-$A154),$A154,$A155))</f>
        <v/>
      </c>
    </row>
    <row r="155">
      <c r="A155">
        <f>A143*10</f>
        <v/>
      </c>
      <c r="B155">
        <f>IF(IF((B$3*10^12-$A156)*(B$3*10^12-$A155)*-1&lt;0,0,1)*IF(ABS(B$3*10^12-$A156)&gt;(B$3*10^12-$A155),$A155,$A156)=B156,0,IF((B$3*10^12-$A156)*(B$3*10^12-$A155)*-1&lt;0,0,1)*IF(ABS(B$3*10^12-$A156)&gt;(B$3*10^12-$A155),$A155,$A156))</f>
        <v/>
      </c>
      <c r="C155">
        <f>IF(IF((C$3*10^12-$A156)*(C$3*10^12-$A155)*-1&lt;0,0,1)*IF(ABS(C$3*10^12-$A156)&gt;(C$3*10^12-$A155),$A155,$A156)=C156,0,IF((C$3*10^12-$A156)*(C$3*10^12-$A155)*-1&lt;0,0,1)*IF(ABS(C$3*10^12-$A156)&gt;(C$3*10^12-$A155),$A155,$A156))</f>
        <v/>
      </c>
      <c r="D155">
        <f>IF(IF((D$3*10^12-$A156)*(D$3*10^12-$A155)*-1&lt;0,0,1)*IF(ABS(D$3*10^12-$A156)&gt;(D$3*10^12-$A155),$A155,$A156)=D156,0,IF((D$3*10^12-$A156)*(D$3*10^12-$A155)*-1&lt;0,0,1)*IF(ABS(D$3*10^12-$A156)&gt;(D$3*10^12-$A155),$A155,$A156))</f>
        <v/>
      </c>
      <c r="E155">
        <f>IF(IF((E$3*10^12-$A156)*(E$3*10^12-$A155)*-1&lt;0,0,1)*IF(ABS(E$3*10^12-$A156)&gt;(E$3*10^12-$A155),$A155,$A156)=E156,0,IF((E$3*10^12-$A156)*(E$3*10^12-$A155)*-1&lt;0,0,1)*IF(ABS(E$3*10^12-$A156)&gt;(E$3*10^12-$A155),$A155,$A156))</f>
        <v/>
      </c>
      <c r="F155">
        <f>IF(IF((F$3*10^12-$A156)*(F$3*10^12-$A155)*-1&lt;0,0,1)*IF(ABS(F$3*10^12-$A156)&gt;(F$3*10^12-$A155),$A155,$A156)=F156,0,IF((F$3*10^12-$A156)*(F$3*10^12-$A155)*-1&lt;0,0,1)*IF(ABS(F$3*10^12-$A156)&gt;(F$3*10^12-$A155),$A155,$A156))</f>
        <v/>
      </c>
      <c r="G155">
        <f>IF(IF((G$3*10^12-$A156)*(G$3*10^12-$A155)*-1&lt;0,0,1)*IF(ABS(G$3*10^12-$A156)&gt;(G$3*10^12-$A155),$A155,$A156)=G156,0,IF((G$3*10^12-$A156)*(G$3*10^12-$A155)*-1&lt;0,0,1)*IF(ABS(G$3*10^12-$A156)&gt;(G$3*10^12-$A155),$A155,$A156))</f>
        <v/>
      </c>
      <c r="H155">
        <f>IF(IF((H$3*10^12-$A156)*(H$3*10^12-$A155)*-1&lt;0,0,1)*IF(ABS(H$3*10^12-$A156)&gt;(H$3*10^12-$A155),$A155,$A156)=H156,0,IF((H$3*10^12-$A156)*(H$3*10^12-$A155)*-1&lt;0,0,1)*IF(ABS(H$3*10^12-$A156)&gt;(H$3*10^12-$A155),$A155,$A156))</f>
        <v/>
      </c>
      <c r="I155">
        <f>IF(IF((I$3*10^12-$A156)*(I$3*10^12-$A155)*-1&lt;0,0,1)*IF(ABS(I$3*10^12-$A156)&gt;(I$3*10^12-$A155),$A155,$A156)=I156,0,IF((I$3*10^12-$A156)*(I$3*10^12-$A155)*-1&lt;0,0,1)*IF(ABS(I$3*10^12-$A156)&gt;(I$3*10^12-$A155),$A155,$A156))</f>
        <v/>
      </c>
      <c r="J155">
        <f>IF(IF((J$3*10^12-$A156)*(J$3*10^12-$A155)*-1&lt;0,0,1)*IF(ABS(J$3*10^12-$A156)&gt;(J$3*10^12-$A155),$A155,$A156)=J156,0,IF((J$3*10^12-$A156)*(J$3*10^12-$A155)*-1&lt;0,0,1)*IF(ABS(J$3*10^12-$A156)&gt;(J$3*10^12-$A155),$A155,$A156))</f>
        <v/>
      </c>
      <c r="K155">
        <f>IF(IF((K$3*10^12-$A156)*(K$3*10^12-$A155)*-1&lt;0,0,1)*IF(ABS(K$3*10^12-$A156)&gt;(K$3*10^12-$A155),$A155,$A156)=K156,0,IF((K$3*10^12-$A156)*(K$3*10^12-$A155)*-1&lt;0,0,1)*IF(ABS(K$3*10^12-$A156)&gt;(K$3*10^12-$A155),$A155,$A156))</f>
        <v/>
      </c>
      <c r="L155">
        <f>IF(IF((L$3*10^12-$A156)*(L$3*10^12-$A155)*-1&lt;0,0,1)*IF(ABS(L$3*10^12-$A156)&gt;(L$3*10^12-$A155),$A155,$A156)=L156,0,IF((L$3*10^12-$A156)*(L$3*10^12-$A155)*-1&lt;0,0,1)*IF(ABS(L$3*10^12-$A156)&gt;(L$3*10^12-$A155),$A155,$A156))</f>
        <v/>
      </c>
      <c r="M155">
        <f>IF(IF((M$3*10^12-$A156)*(M$3*10^12-$A155)*-1&lt;0,0,1)*IF(ABS(M$3*10^12-$A156)&gt;(M$3*10^12-$A155),$A155,$A156)=M156,0,IF((M$3*10^12-$A156)*(M$3*10^12-$A155)*-1&lt;0,0,1)*IF(ABS(M$3*10^12-$A156)&gt;(M$3*10^12-$A155),$A155,$A156))</f>
        <v/>
      </c>
      <c r="N155">
        <f>IF(IF((N$3*10^12-$A156)*(N$3*10^12-$A155)*-1&lt;0,0,1)*IF(ABS(N$3*10^12-$A156)&gt;(N$3*10^12-$A155),$A155,$A156)=N156,0,IF((N$3*10^12-$A156)*(N$3*10^12-$A155)*-1&lt;0,0,1)*IF(ABS(N$3*10^12-$A156)&gt;(N$3*10^12-$A155),$A155,$A156))</f>
        <v/>
      </c>
    </row>
    <row r="156">
      <c r="A156">
        <f>A144*10</f>
        <v/>
      </c>
      <c r="B156">
        <f>IF(IF((B$3*10^12-$A157)*(B$3*10^12-$A156)*-1&lt;0,0,1)*IF(ABS(B$3*10^12-$A157)&gt;(B$3*10^12-$A156),$A156,$A157)=B157,0,IF((B$3*10^12-$A157)*(B$3*10^12-$A156)*-1&lt;0,0,1)*IF(ABS(B$3*10^12-$A157)&gt;(B$3*10^12-$A156),$A156,$A157))</f>
        <v/>
      </c>
      <c r="C156">
        <f>IF(IF((C$3*10^12-$A157)*(C$3*10^12-$A156)*-1&lt;0,0,1)*IF(ABS(C$3*10^12-$A157)&gt;(C$3*10^12-$A156),$A156,$A157)=C157,0,IF((C$3*10^12-$A157)*(C$3*10^12-$A156)*-1&lt;0,0,1)*IF(ABS(C$3*10^12-$A157)&gt;(C$3*10^12-$A156),$A156,$A157))</f>
        <v/>
      </c>
      <c r="D156">
        <f>IF(IF((D$3*10^12-$A157)*(D$3*10^12-$A156)*-1&lt;0,0,1)*IF(ABS(D$3*10^12-$A157)&gt;(D$3*10^12-$A156),$A156,$A157)=D157,0,IF((D$3*10^12-$A157)*(D$3*10^12-$A156)*-1&lt;0,0,1)*IF(ABS(D$3*10^12-$A157)&gt;(D$3*10^12-$A156),$A156,$A157))</f>
        <v/>
      </c>
      <c r="E156">
        <f>IF(IF((E$3*10^12-$A157)*(E$3*10^12-$A156)*-1&lt;0,0,1)*IF(ABS(E$3*10^12-$A157)&gt;(E$3*10^12-$A156),$A156,$A157)=E157,0,IF((E$3*10^12-$A157)*(E$3*10^12-$A156)*-1&lt;0,0,1)*IF(ABS(E$3*10^12-$A157)&gt;(E$3*10^12-$A156),$A156,$A157))</f>
        <v/>
      </c>
      <c r="F156">
        <f>IF(IF((F$3*10^12-$A157)*(F$3*10^12-$A156)*-1&lt;0,0,1)*IF(ABS(F$3*10^12-$A157)&gt;(F$3*10^12-$A156),$A156,$A157)=F157,0,IF((F$3*10^12-$A157)*(F$3*10^12-$A156)*-1&lt;0,0,1)*IF(ABS(F$3*10^12-$A157)&gt;(F$3*10^12-$A156),$A156,$A157))</f>
        <v/>
      </c>
      <c r="G156">
        <f>IF(IF((G$3*10^12-$A157)*(G$3*10^12-$A156)*-1&lt;0,0,1)*IF(ABS(G$3*10^12-$A157)&gt;(G$3*10^12-$A156),$A156,$A157)=G157,0,IF((G$3*10^12-$A157)*(G$3*10^12-$A156)*-1&lt;0,0,1)*IF(ABS(G$3*10^12-$A157)&gt;(G$3*10^12-$A156),$A156,$A157))</f>
        <v/>
      </c>
      <c r="H156">
        <f>IF(IF((H$3*10^12-$A157)*(H$3*10^12-$A156)*-1&lt;0,0,1)*IF(ABS(H$3*10^12-$A157)&gt;(H$3*10^12-$A156),$A156,$A157)=H157,0,IF((H$3*10^12-$A157)*(H$3*10^12-$A156)*-1&lt;0,0,1)*IF(ABS(H$3*10^12-$A157)&gt;(H$3*10^12-$A156),$A156,$A157))</f>
        <v/>
      </c>
      <c r="I156">
        <f>IF(IF((I$3*10^12-$A157)*(I$3*10^12-$A156)*-1&lt;0,0,1)*IF(ABS(I$3*10^12-$A157)&gt;(I$3*10^12-$A156),$A156,$A157)=I157,0,IF((I$3*10^12-$A157)*(I$3*10^12-$A156)*-1&lt;0,0,1)*IF(ABS(I$3*10^12-$A157)&gt;(I$3*10^12-$A156),$A156,$A157))</f>
        <v/>
      </c>
      <c r="J156">
        <f>IF(IF((J$3*10^12-$A157)*(J$3*10^12-$A156)*-1&lt;0,0,1)*IF(ABS(J$3*10^12-$A157)&gt;(J$3*10^12-$A156),$A156,$A157)=J157,0,IF((J$3*10^12-$A157)*(J$3*10^12-$A156)*-1&lt;0,0,1)*IF(ABS(J$3*10^12-$A157)&gt;(J$3*10^12-$A156),$A156,$A157))</f>
        <v/>
      </c>
      <c r="K156">
        <f>IF(IF((K$3*10^12-$A157)*(K$3*10^12-$A156)*-1&lt;0,0,1)*IF(ABS(K$3*10^12-$A157)&gt;(K$3*10^12-$A156),$A156,$A157)=K157,0,IF((K$3*10^12-$A157)*(K$3*10^12-$A156)*-1&lt;0,0,1)*IF(ABS(K$3*10^12-$A157)&gt;(K$3*10^12-$A156),$A156,$A157))</f>
        <v/>
      </c>
      <c r="L156">
        <f>IF(IF((L$3*10^12-$A157)*(L$3*10^12-$A156)*-1&lt;0,0,1)*IF(ABS(L$3*10^12-$A157)&gt;(L$3*10^12-$A156),$A156,$A157)=L157,0,IF((L$3*10^12-$A157)*(L$3*10^12-$A156)*-1&lt;0,0,1)*IF(ABS(L$3*10^12-$A157)&gt;(L$3*10^12-$A156),$A156,$A157))</f>
        <v/>
      </c>
      <c r="M156">
        <f>IF(IF((M$3*10^12-$A157)*(M$3*10^12-$A156)*-1&lt;0,0,1)*IF(ABS(M$3*10^12-$A157)&gt;(M$3*10^12-$A156),$A156,$A157)=M157,0,IF((M$3*10^12-$A157)*(M$3*10^12-$A156)*-1&lt;0,0,1)*IF(ABS(M$3*10^12-$A157)&gt;(M$3*10^12-$A156),$A156,$A157))</f>
        <v/>
      </c>
      <c r="N156">
        <f>IF(IF((N$3*10^12-$A157)*(N$3*10^12-$A156)*-1&lt;0,0,1)*IF(ABS(N$3*10^12-$A157)&gt;(N$3*10^12-$A156),$A156,$A157)=N157,0,IF((N$3*10^12-$A157)*(N$3*10^12-$A156)*-1&lt;0,0,1)*IF(ABS(N$3*10^12-$A157)&gt;(N$3*10^12-$A156),$A156,$A157))</f>
        <v/>
      </c>
    </row>
    <row r="157">
      <c r="A157">
        <f>A145*10</f>
        <v/>
      </c>
      <c r="B157">
        <f>IF(IF((B$3*10^12-$A158)*(B$3*10^12-$A157)*-1&lt;0,0,1)*IF(ABS(B$3*10^12-$A158)&gt;(B$3*10^12-$A157),$A157,$A158)=B158,0,IF((B$3*10^12-$A158)*(B$3*10^12-$A157)*-1&lt;0,0,1)*IF(ABS(B$3*10^12-$A158)&gt;(B$3*10^12-$A157),$A157,$A158))</f>
        <v/>
      </c>
      <c r="C157">
        <f>IF(IF((C$3*10^12-$A158)*(C$3*10^12-$A157)*-1&lt;0,0,1)*IF(ABS(C$3*10^12-$A158)&gt;(C$3*10^12-$A157),$A157,$A158)=C158,0,IF((C$3*10^12-$A158)*(C$3*10^12-$A157)*-1&lt;0,0,1)*IF(ABS(C$3*10^12-$A158)&gt;(C$3*10^12-$A157),$A157,$A158))</f>
        <v/>
      </c>
      <c r="D157">
        <f>IF(IF((D$3*10^12-$A158)*(D$3*10^12-$A157)*-1&lt;0,0,1)*IF(ABS(D$3*10^12-$A158)&gt;(D$3*10^12-$A157),$A157,$A158)=D158,0,IF((D$3*10^12-$A158)*(D$3*10^12-$A157)*-1&lt;0,0,1)*IF(ABS(D$3*10^12-$A158)&gt;(D$3*10^12-$A157),$A157,$A158))</f>
        <v/>
      </c>
      <c r="E157">
        <f>IF(IF((E$3*10^12-$A158)*(E$3*10^12-$A157)*-1&lt;0,0,1)*IF(ABS(E$3*10^12-$A158)&gt;(E$3*10^12-$A157),$A157,$A158)=E158,0,IF((E$3*10^12-$A158)*(E$3*10^12-$A157)*-1&lt;0,0,1)*IF(ABS(E$3*10^12-$A158)&gt;(E$3*10^12-$A157),$A157,$A158))</f>
        <v/>
      </c>
      <c r="F157">
        <f>IF(IF((F$3*10^12-$A158)*(F$3*10^12-$A157)*-1&lt;0,0,1)*IF(ABS(F$3*10^12-$A158)&gt;(F$3*10^12-$A157),$A157,$A158)=F158,0,IF((F$3*10^12-$A158)*(F$3*10^12-$A157)*-1&lt;0,0,1)*IF(ABS(F$3*10^12-$A158)&gt;(F$3*10^12-$A157),$A157,$A158))</f>
        <v/>
      </c>
      <c r="G157">
        <f>IF(IF((G$3*10^12-$A158)*(G$3*10^12-$A157)*-1&lt;0,0,1)*IF(ABS(G$3*10^12-$A158)&gt;(G$3*10^12-$A157),$A157,$A158)=G158,0,IF((G$3*10^12-$A158)*(G$3*10^12-$A157)*-1&lt;0,0,1)*IF(ABS(G$3*10^12-$A158)&gt;(G$3*10^12-$A157),$A157,$A158))</f>
        <v/>
      </c>
      <c r="H157">
        <f>IF(IF((H$3*10^12-$A158)*(H$3*10^12-$A157)*-1&lt;0,0,1)*IF(ABS(H$3*10^12-$A158)&gt;(H$3*10^12-$A157),$A157,$A158)=H158,0,IF((H$3*10^12-$A158)*(H$3*10^12-$A157)*-1&lt;0,0,1)*IF(ABS(H$3*10^12-$A158)&gt;(H$3*10^12-$A157),$A157,$A158))</f>
        <v/>
      </c>
      <c r="I157">
        <f>IF(IF((I$3*10^12-$A158)*(I$3*10^12-$A157)*-1&lt;0,0,1)*IF(ABS(I$3*10^12-$A158)&gt;(I$3*10^12-$A157),$A157,$A158)=I158,0,IF((I$3*10^12-$A158)*(I$3*10^12-$A157)*-1&lt;0,0,1)*IF(ABS(I$3*10^12-$A158)&gt;(I$3*10^12-$A157),$A157,$A158))</f>
        <v/>
      </c>
      <c r="J157">
        <f>IF(IF((J$3*10^12-$A158)*(J$3*10^12-$A157)*-1&lt;0,0,1)*IF(ABS(J$3*10^12-$A158)&gt;(J$3*10^12-$A157),$A157,$A158)=J158,0,IF((J$3*10^12-$A158)*(J$3*10^12-$A157)*-1&lt;0,0,1)*IF(ABS(J$3*10^12-$A158)&gt;(J$3*10^12-$A157),$A157,$A158))</f>
        <v/>
      </c>
      <c r="K157">
        <f>IF(IF((K$3*10^12-$A158)*(K$3*10^12-$A157)*-1&lt;0,0,1)*IF(ABS(K$3*10^12-$A158)&gt;(K$3*10^12-$A157),$A157,$A158)=K158,0,IF((K$3*10^12-$A158)*(K$3*10^12-$A157)*-1&lt;0,0,1)*IF(ABS(K$3*10^12-$A158)&gt;(K$3*10^12-$A157),$A157,$A158))</f>
        <v/>
      </c>
      <c r="L157">
        <f>IF(IF((L$3*10^12-$A158)*(L$3*10^12-$A157)*-1&lt;0,0,1)*IF(ABS(L$3*10^12-$A158)&gt;(L$3*10^12-$A157),$A157,$A158)=L158,0,IF((L$3*10^12-$A158)*(L$3*10^12-$A157)*-1&lt;0,0,1)*IF(ABS(L$3*10^12-$A158)&gt;(L$3*10^12-$A157),$A157,$A158))</f>
        <v/>
      </c>
      <c r="M157">
        <f>IF(IF((M$3*10^12-$A158)*(M$3*10^12-$A157)*-1&lt;0,0,1)*IF(ABS(M$3*10^12-$A158)&gt;(M$3*10^12-$A157),$A157,$A158)=M158,0,IF((M$3*10^12-$A158)*(M$3*10^12-$A157)*-1&lt;0,0,1)*IF(ABS(M$3*10^12-$A158)&gt;(M$3*10^12-$A157),$A157,$A158))</f>
        <v/>
      </c>
      <c r="N157">
        <f>IF(IF((N$3*10^12-$A158)*(N$3*10^12-$A157)*-1&lt;0,0,1)*IF(ABS(N$3*10^12-$A158)&gt;(N$3*10^12-$A157),$A157,$A158)=N158,0,IF((N$3*10^12-$A158)*(N$3*10^12-$A157)*-1&lt;0,0,1)*IF(ABS(N$3*10^12-$A158)&gt;(N$3*10^12-$A157),$A157,$A158))</f>
        <v/>
      </c>
    </row>
    <row r="158">
      <c r="A158">
        <f>A146*10</f>
        <v/>
      </c>
      <c r="B158">
        <f>IF(IF((B$3*10^12-$A159)*(B$3*10^12-$A158)*-1&lt;0,0,1)*IF(ABS(B$3*10^12-$A159)&gt;(B$3*10^12-$A158),$A158,$A159)=B159,0,IF((B$3*10^12-$A159)*(B$3*10^12-$A158)*-1&lt;0,0,1)*IF(ABS(B$3*10^12-$A159)&gt;(B$3*10^12-$A158),$A158,$A159))</f>
        <v/>
      </c>
      <c r="C158">
        <f>IF(IF((C$3*10^12-$A159)*(C$3*10^12-$A158)*-1&lt;0,0,1)*IF(ABS(C$3*10^12-$A159)&gt;(C$3*10^12-$A158),$A158,$A159)=C159,0,IF((C$3*10^12-$A159)*(C$3*10^12-$A158)*-1&lt;0,0,1)*IF(ABS(C$3*10^12-$A159)&gt;(C$3*10^12-$A158),$A158,$A159))</f>
        <v/>
      </c>
      <c r="D158">
        <f>IF(IF((D$3*10^12-$A159)*(D$3*10^12-$A158)*-1&lt;0,0,1)*IF(ABS(D$3*10^12-$A159)&gt;(D$3*10^12-$A158),$A158,$A159)=D159,0,IF((D$3*10^12-$A159)*(D$3*10^12-$A158)*-1&lt;0,0,1)*IF(ABS(D$3*10^12-$A159)&gt;(D$3*10^12-$A158),$A158,$A159))</f>
        <v/>
      </c>
      <c r="E158">
        <f>IF(IF((E$3*10^12-$A159)*(E$3*10^12-$A158)*-1&lt;0,0,1)*IF(ABS(E$3*10^12-$A159)&gt;(E$3*10^12-$A158),$A158,$A159)=E159,0,IF((E$3*10^12-$A159)*(E$3*10^12-$A158)*-1&lt;0,0,1)*IF(ABS(E$3*10^12-$A159)&gt;(E$3*10^12-$A158),$A158,$A159))</f>
        <v/>
      </c>
      <c r="F158">
        <f>IF(IF((F$3*10^12-$A159)*(F$3*10^12-$A158)*-1&lt;0,0,1)*IF(ABS(F$3*10^12-$A159)&gt;(F$3*10^12-$A158),$A158,$A159)=F159,0,IF((F$3*10^12-$A159)*(F$3*10^12-$A158)*-1&lt;0,0,1)*IF(ABS(F$3*10^12-$A159)&gt;(F$3*10^12-$A158),$A158,$A159))</f>
        <v/>
      </c>
      <c r="G158">
        <f>IF(IF((G$3*10^12-$A159)*(G$3*10^12-$A158)*-1&lt;0,0,1)*IF(ABS(G$3*10^12-$A159)&gt;(G$3*10^12-$A158),$A158,$A159)=G159,0,IF((G$3*10^12-$A159)*(G$3*10^12-$A158)*-1&lt;0,0,1)*IF(ABS(G$3*10^12-$A159)&gt;(G$3*10^12-$A158),$A158,$A159))</f>
        <v/>
      </c>
      <c r="H158">
        <f>IF(IF((H$3*10^12-$A159)*(H$3*10^12-$A158)*-1&lt;0,0,1)*IF(ABS(H$3*10^12-$A159)&gt;(H$3*10^12-$A158),$A158,$A159)=H159,0,IF((H$3*10^12-$A159)*(H$3*10^12-$A158)*-1&lt;0,0,1)*IF(ABS(H$3*10^12-$A159)&gt;(H$3*10^12-$A158),$A158,$A159))</f>
        <v/>
      </c>
      <c r="I158">
        <f>IF(IF((I$3*10^12-$A159)*(I$3*10^12-$A158)*-1&lt;0,0,1)*IF(ABS(I$3*10^12-$A159)&gt;(I$3*10^12-$A158),$A158,$A159)=I159,0,IF((I$3*10^12-$A159)*(I$3*10^12-$A158)*-1&lt;0,0,1)*IF(ABS(I$3*10^12-$A159)&gt;(I$3*10^12-$A158),$A158,$A159))</f>
        <v/>
      </c>
      <c r="J158">
        <f>IF(IF((J$3*10^12-$A159)*(J$3*10^12-$A158)*-1&lt;0,0,1)*IF(ABS(J$3*10^12-$A159)&gt;(J$3*10^12-$A158),$A158,$A159)=J159,0,IF((J$3*10^12-$A159)*(J$3*10^12-$A158)*-1&lt;0,0,1)*IF(ABS(J$3*10^12-$A159)&gt;(J$3*10^12-$A158),$A158,$A159))</f>
        <v/>
      </c>
      <c r="K158">
        <f>IF(IF((K$3*10^12-$A159)*(K$3*10^12-$A158)*-1&lt;0,0,1)*IF(ABS(K$3*10^12-$A159)&gt;(K$3*10^12-$A158),$A158,$A159)=K159,0,IF((K$3*10^12-$A159)*(K$3*10^12-$A158)*-1&lt;0,0,1)*IF(ABS(K$3*10^12-$A159)&gt;(K$3*10^12-$A158),$A158,$A159))</f>
        <v/>
      </c>
      <c r="L158">
        <f>IF(IF((L$3*10^12-$A159)*(L$3*10^12-$A158)*-1&lt;0,0,1)*IF(ABS(L$3*10^12-$A159)&gt;(L$3*10^12-$A158),$A158,$A159)=L159,0,IF((L$3*10^12-$A159)*(L$3*10^12-$A158)*-1&lt;0,0,1)*IF(ABS(L$3*10^12-$A159)&gt;(L$3*10^12-$A158),$A158,$A159))</f>
        <v/>
      </c>
      <c r="M158">
        <f>IF(IF((M$3*10^12-$A159)*(M$3*10^12-$A158)*-1&lt;0,0,1)*IF(ABS(M$3*10^12-$A159)&gt;(M$3*10^12-$A158),$A158,$A159)=M159,0,IF((M$3*10^12-$A159)*(M$3*10^12-$A158)*-1&lt;0,0,1)*IF(ABS(M$3*10^12-$A159)&gt;(M$3*10^12-$A158),$A158,$A159))</f>
        <v/>
      </c>
      <c r="N158">
        <f>IF(IF((N$3*10^12-$A159)*(N$3*10^12-$A158)*-1&lt;0,0,1)*IF(ABS(N$3*10^12-$A159)&gt;(N$3*10^12-$A158),$A158,$A159)=N159,0,IF((N$3*10^12-$A159)*(N$3*10^12-$A158)*-1&lt;0,0,1)*IF(ABS(N$3*10^12-$A159)&gt;(N$3*10^12-$A158),$A158,$A159))</f>
        <v/>
      </c>
    </row>
    <row r="159">
      <c r="A159" s="43">
        <f>A147*10</f>
        <v/>
      </c>
      <c r="B159">
        <f>IF(IF((B$3*10^12-$A160)*(B$3*10^12-$A159)*-1&lt;0,0,1)*IF(ABS(B$3*10^12-$A160)&gt;(B$3*10^12-$A159),$A159,$A160)=B160,0,IF((B$3*10^12-$A160)*(B$3*10^12-$A159)*-1&lt;0,0,1)*IF(ABS(B$3*10^12-$A160)&gt;(B$3*10^12-$A159),$A159,$A160))</f>
        <v/>
      </c>
      <c r="C159">
        <f>IF(IF((C$3*10^12-$A160)*(C$3*10^12-$A159)*-1&lt;0,0,1)*IF(ABS(C$3*10^12-$A160)&gt;(C$3*10^12-$A159),$A159,$A160)=C160,0,IF((C$3*10^12-$A160)*(C$3*10^12-$A159)*-1&lt;0,0,1)*IF(ABS(C$3*10^12-$A160)&gt;(C$3*10^12-$A159),$A159,$A160))</f>
        <v/>
      </c>
      <c r="D159">
        <f>IF(IF((D$3*10^12-$A160)*(D$3*10^12-$A159)*-1&lt;0,0,1)*IF(ABS(D$3*10^12-$A160)&gt;(D$3*10^12-$A159),$A159,$A160)=D160,0,IF((D$3*10^12-$A160)*(D$3*10^12-$A159)*-1&lt;0,0,1)*IF(ABS(D$3*10^12-$A160)&gt;(D$3*10^12-$A159),$A159,$A160))</f>
        <v/>
      </c>
      <c r="E159">
        <f>IF(IF((E$3*10^12-$A160)*(E$3*10^12-$A159)*-1&lt;0,0,1)*IF(ABS(E$3*10^12-$A160)&gt;(E$3*10^12-$A159),$A159,$A160)=E160,0,IF((E$3*10^12-$A160)*(E$3*10^12-$A159)*-1&lt;0,0,1)*IF(ABS(E$3*10^12-$A160)&gt;(E$3*10^12-$A159),$A159,$A160))</f>
        <v/>
      </c>
      <c r="F159">
        <f>IF(IF((F$3*10^12-$A160)*(F$3*10^12-$A159)*-1&lt;0,0,1)*IF(ABS(F$3*10^12-$A160)&gt;(F$3*10^12-$A159),$A159,$A160)=F160,0,IF((F$3*10^12-$A160)*(F$3*10^12-$A159)*-1&lt;0,0,1)*IF(ABS(F$3*10^12-$A160)&gt;(F$3*10^12-$A159),$A159,$A160))</f>
        <v/>
      </c>
      <c r="G159">
        <f>IF(IF((G$3*10^12-$A160)*(G$3*10^12-$A159)*-1&lt;0,0,1)*IF(ABS(G$3*10^12-$A160)&gt;(G$3*10^12-$A159),$A159,$A160)=G160,0,IF((G$3*10^12-$A160)*(G$3*10^12-$A159)*-1&lt;0,0,1)*IF(ABS(G$3*10^12-$A160)&gt;(G$3*10^12-$A159),$A159,$A160))</f>
        <v/>
      </c>
      <c r="H159">
        <f>IF(IF((H$3*10^12-$A160)*(H$3*10^12-$A159)*-1&lt;0,0,1)*IF(ABS(H$3*10^12-$A160)&gt;(H$3*10^12-$A159),$A159,$A160)=H160,0,IF((H$3*10^12-$A160)*(H$3*10^12-$A159)*-1&lt;0,0,1)*IF(ABS(H$3*10^12-$A160)&gt;(H$3*10^12-$A159),$A159,$A160))</f>
        <v/>
      </c>
      <c r="I159">
        <f>IF(IF((I$3*10^12-$A160)*(I$3*10^12-$A159)*-1&lt;0,0,1)*IF(ABS(I$3*10^12-$A160)&gt;(I$3*10^12-$A159),$A159,$A160)=I160,0,IF((I$3*10^12-$A160)*(I$3*10^12-$A159)*-1&lt;0,0,1)*IF(ABS(I$3*10^12-$A160)&gt;(I$3*10^12-$A159),$A159,$A160))</f>
        <v/>
      </c>
      <c r="J159">
        <f>IF(IF((J$3*10^12-$A160)*(J$3*10^12-$A159)*-1&lt;0,0,1)*IF(ABS(J$3*10^12-$A160)&gt;(J$3*10^12-$A159),$A159,$A160)=J160,0,IF((J$3*10^12-$A160)*(J$3*10^12-$A159)*-1&lt;0,0,1)*IF(ABS(J$3*10^12-$A160)&gt;(J$3*10^12-$A159),$A159,$A160))</f>
        <v/>
      </c>
      <c r="K159">
        <f>IF(IF((K$3*10^12-$A160)*(K$3*10^12-$A159)*-1&lt;0,0,1)*IF(ABS(K$3*10^12-$A160)&gt;(K$3*10^12-$A159),$A159,$A160)=K160,0,IF((K$3*10^12-$A160)*(K$3*10^12-$A159)*-1&lt;0,0,1)*IF(ABS(K$3*10^12-$A160)&gt;(K$3*10^12-$A159),$A159,$A160))</f>
        <v/>
      </c>
      <c r="L159">
        <f>IF(IF((L$3*10^12-$A160)*(L$3*10^12-$A159)*-1&lt;0,0,1)*IF(ABS(L$3*10^12-$A160)&gt;(L$3*10^12-$A159),$A159,$A160)=L160,0,IF((L$3*10^12-$A160)*(L$3*10^12-$A159)*-1&lt;0,0,1)*IF(ABS(L$3*10^12-$A160)&gt;(L$3*10^12-$A159),$A159,$A160))</f>
        <v/>
      </c>
      <c r="M159">
        <f>IF(IF((M$3*10^12-$A160)*(M$3*10^12-$A159)*-1&lt;0,0,1)*IF(ABS(M$3*10^12-$A160)&gt;(M$3*10^12-$A159),$A159,$A160)=M160,0,IF((M$3*10^12-$A160)*(M$3*10^12-$A159)*-1&lt;0,0,1)*IF(ABS(M$3*10^12-$A160)&gt;(M$3*10^12-$A159),$A159,$A160))</f>
        <v/>
      </c>
      <c r="N159">
        <f>IF(IF((N$3*10^12-$A160)*(N$3*10^12-$A159)*-1&lt;0,0,1)*IF(ABS(N$3*10^12-$A160)&gt;(N$3*10^12-$A159),$A159,$A160)=N160,0,IF((N$3*10^12-$A160)*(N$3*10^12-$A159)*-1&lt;0,0,1)*IF(ABS(N$3*10^12-$A160)&gt;(N$3*10^12-$A159),$A159,$A160))</f>
        <v/>
      </c>
    </row>
  </sheetData>
  <pageMargins left="0.75" right="0.75" top="1" bottom="1" header="0.5" footer="0.5"/>
  <pageSetup orientation="portrait"/>
</worksheet>
</file>

<file path=xl/worksheets/sheet14.xml><?xml version="1.0" encoding="utf-8"?>
<worksheet xmlns="http://schemas.openxmlformats.org/spreadsheetml/2006/main">
  <sheetPr codeName="Sheet9">
    <outlinePr summaryBelow="1" summaryRight="1"/>
    <pageSetUpPr/>
  </sheetPr>
  <dimension ref="A1:E7"/>
  <sheetViews>
    <sheetView workbookViewId="0">
      <selection activeCell="B6" sqref="B6"/>
    </sheetView>
  </sheetViews>
  <sheetFormatPr baseColWidth="8" defaultRowHeight="12.75"/>
  <cols>
    <col width="18.5703125" customWidth="1" min="1" max="1"/>
    <col width="9.28515625" customWidth="1" min="2" max="2"/>
    <col width="11.140625" customWidth="1" min="4" max="4"/>
  </cols>
  <sheetData>
    <row r="1">
      <c r="C1" t="inlineStr">
        <is>
          <t>UNITS</t>
        </is>
      </c>
      <c r="D1" t="inlineStr">
        <is>
          <t>STD UNITS</t>
        </is>
      </c>
    </row>
    <row r="2">
      <c r="A2" t="inlineStr">
        <is>
          <t>Frequency of Ringing</t>
        </is>
      </c>
      <c r="B2" s="47" t="n">
        <v>85</v>
      </c>
      <c r="C2" t="inlineStr">
        <is>
          <t>MHz</t>
        </is>
      </c>
      <c r="D2">
        <f>B2*1000000</f>
        <v/>
      </c>
      <c r="E2" t="inlineStr">
        <is>
          <t>Hz</t>
        </is>
      </c>
    </row>
    <row r="3">
      <c r="A3" t="inlineStr">
        <is>
          <t>SW capacitance</t>
        </is>
      </c>
      <c r="B3" s="47" t="n">
        <v>3000</v>
      </c>
      <c r="C3" t="inlineStr">
        <is>
          <t>pF</t>
        </is>
      </c>
      <c r="D3">
        <f>B3*0.000000000001</f>
        <v/>
      </c>
      <c r="E3" t="inlineStr">
        <is>
          <t>F</t>
        </is>
      </c>
    </row>
    <row r="4">
      <c r="A4" t="inlineStr">
        <is>
          <t>Lpar</t>
        </is>
      </c>
      <c r="B4" s="975">
        <f>1000000000*1/((D2*2*3.14159)^2*D3)</f>
        <v/>
      </c>
      <c r="C4" t="inlineStr">
        <is>
          <t>nH</t>
        </is>
      </c>
      <c r="D4">
        <f>B4/1000000000</f>
        <v/>
      </c>
      <c r="E4" t="inlineStr">
        <is>
          <t>H</t>
        </is>
      </c>
    </row>
    <row r="5">
      <c r="A5" t="inlineStr">
        <is>
          <t>Csnub</t>
        </is>
      </c>
      <c r="B5">
        <f>4*B3</f>
        <v/>
      </c>
      <c r="C5" t="inlineStr">
        <is>
          <t>pF</t>
        </is>
      </c>
      <c r="D5">
        <f>B5*0.000000000001</f>
        <v/>
      </c>
      <c r="E5" t="inlineStr">
        <is>
          <t>F</t>
        </is>
      </c>
    </row>
    <row r="6">
      <c r="A6" t="inlineStr">
        <is>
          <t>Rsnub</t>
        </is>
      </c>
      <c r="B6" s="4">
        <f>SQRT(D4/D3)</f>
        <v/>
      </c>
      <c r="C6" s="4" t="inlineStr">
        <is>
          <t>Ω</t>
        </is>
      </c>
      <c r="D6" s="4">
        <f>B6</f>
        <v/>
      </c>
      <c r="E6" t="inlineStr">
        <is>
          <t>Ω</t>
        </is>
      </c>
    </row>
    <row r="7">
      <c r="B7" s="4" t="n"/>
      <c r="C7" s="4" t="n"/>
      <c r="D7" s="4" t="n"/>
    </row>
  </sheetData>
  <pageMargins left="0.75" right="0.75" top="1" bottom="1" header="0.5" footer="0.5"/>
  <pageSetup orientation="portrait"/>
</worksheet>
</file>

<file path=xl/worksheets/sheet15.xml><?xml version="1.0" encoding="utf-8"?>
<worksheet xmlns="http://schemas.openxmlformats.org/spreadsheetml/2006/main">
  <sheetPr codeName="Sheet10">
    <outlinePr summaryBelow="1" summaryRight="1"/>
    <pageSetUpPr/>
  </sheetPr>
  <dimension ref="A4:E17"/>
  <sheetViews>
    <sheetView workbookViewId="0">
      <selection activeCell="U50" sqref="U50"/>
    </sheetView>
  </sheetViews>
  <sheetFormatPr baseColWidth="8" defaultRowHeight="12.75"/>
  <sheetData>
    <row r="4">
      <c r="A4" t="inlineStr">
        <is>
          <t>Fsw</t>
        </is>
      </c>
      <c r="B4">
        <f>Fsw</f>
        <v/>
      </c>
    </row>
    <row r="6">
      <c r="A6" t="inlineStr">
        <is>
          <t>C1</t>
        </is>
      </c>
      <c r="B6" s="41" t="n">
        <v>20</v>
      </c>
      <c r="C6" t="inlineStr">
        <is>
          <t>uF</t>
        </is>
      </c>
      <c r="D6">
        <f>B6/1000000</f>
        <v/>
      </c>
      <c r="E6" t="inlineStr">
        <is>
          <t>F</t>
        </is>
      </c>
    </row>
    <row r="7">
      <c r="A7" t="inlineStr">
        <is>
          <t>R1</t>
        </is>
      </c>
      <c r="B7" s="41" t="n">
        <v>0.5</v>
      </c>
      <c r="C7" t="inlineStr">
        <is>
          <t>mOhms</t>
        </is>
      </c>
      <c r="D7">
        <f>B7/1000</f>
        <v/>
      </c>
      <c r="E7" t="inlineStr">
        <is>
          <t>Ohms</t>
        </is>
      </c>
    </row>
    <row r="9">
      <c r="A9" t="inlineStr">
        <is>
          <t>C2</t>
        </is>
      </c>
      <c r="B9" s="41" t="n">
        <v>68</v>
      </c>
      <c r="C9" t="inlineStr">
        <is>
          <t>uF</t>
        </is>
      </c>
      <c r="D9">
        <f>B9/1000000</f>
        <v/>
      </c>
      <c r="E9" t="inlineStr">
        <is>
          <t>F</t>
        </is>
      </c>
    </row>
    <row r="10">
      <c r="A10" t="inlineStr">
        <is>
          <t>R2</t>
        </is>
      </c>
      <c r="B10" s="41" t="n">
        <v>20</v>
      </c>
      <c r="C10" t="inlineStr">
        <is>
          <t>mOhms</t>
        </is>
      </c>
      <c r="D10">
        <f>B10/1000</f>
        <v/>
      </c>
      <c r="E10" t="inlineStr">
        <is>
          <t>Ohms</t>
        </is>
      </c>
    </row>
    <row r="13">
      <c r="A13" t="inlineStr">
        <is>
          <t xml:space="preserve">I1 </t>
        </is>
      </c>
      <c r="B13">
        <f>(D6/(D6+D9))*SQRT((D10*D9*B4)^2+1)/SQRT((((D7+D10)*D6*D9/(D9+D6))*B4)^2+1)</f>
        <v/>
      </c>
      <c r="C13" t="inlineStr">
        <is>
          <t>%</t>
        </is>
      </c>
    </row>
    <row r="14">
      <c r="A14" t="inlineStr">
        <is>
          <t xml:space="preserve">I2 </t>
        </is>
      </c>
      <c r="B14">
        <f>1-B13</f>
        <v/>
      </c>
      <c r="C14" t="inlineStr">
        <is>
          <t>%</t>
        </is>
      </c>
    </row>
    <row r="16">
      <c r="A16" t="inlineStr">
        <is>
          <t xml:space="preserve">I1 </t>
        </is>
      </c>
      <c r="B16">
        <f>B13*(Iripple1/(2*SQRT(3)))</f>
        <v/>
      </c>
      <c r="C16" t="inlineStr">
        <is>
          <t>A</t>
        </is>
      </c>
    </row>
    <row r="17">
      <c r="A17" t="inlineStr">
        <is>
          <t xml:space="preserve">I2 </t>
        </is>
      </c>
      <c r="B17">
        <f>B14*(Iripple1/(2*SQRT(3)))</f>
        <v/>
      </c>
      <c r="C17"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Timothy Hegarty;Murray, Orlando</dc:creator>
  <dc:title xmlns:dc="http://purl.org/dc/elements/1.1/">LM5148-Q1 Quickstart Tool</dc:title>
  <dcterms:created xmlns:dcterms="http://purl.org/dc/terms/" xmlns:xsi="http://www.w3.org/2001/XMLSchema-instance" xsi:type="dcterms:W3CDTF">1996-10-14T23:33:28Z</dcterms:created>
  <dcterms:modified xmlns:dcterms="http://purl.org/dc/terms/" xmlns:xsi="http://www.w3.org/2001/XMLSchema-instance" xsi:type="dcterms:W3CDTF">2026-01-27T05:49:00Z</dcterms:modified>
  <cp:lastModifiedBy>Amit Medina</cp:lastModifiedBy>
  <cp:keywords>LM5148-Q1, LM25148-Q1, LM5148, LM25148, PWM controller, current mode, PCB layout</cp:keywords>
  <cp:lastPrinted>2019-05-04T17:54:08Z</cp:lastPrinted>
</cp:coreProperties>
</file>