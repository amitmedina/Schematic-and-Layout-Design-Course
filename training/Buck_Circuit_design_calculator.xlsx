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k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Buck Converter Design Calculator (LM5148)</t>
        </is>
      </c>
    </row>
    <row r="3">
      <c r="A3" s="2" t="inlineStr">
        <is>
          <t>Step 1: Operating Specifications</t>
        </is>
      </c>
      <c r="B3" s="3" t="n"/>
      <c r="C3" s="3" t="n"/>
    </row>
    <row r="4">
      <c r="A4" s="4" t="inlineStr">
        <is>
          <t>Input Voltage - Min, VIN(min)</t>
        </is>
      </c>
      <c r="B4" s="5" t="n">
        <v>40</v>
      </c>
      <c r="C4" s="4" t="inlineStr">
        <is>
          <t>V</t>
        </is>
      </c>
    </row>
    <row r="5">
      <c r="A5" s="4" t="inlineStr">
        <is>
          <t>Input Voltage - Nom, VIN(nom)</t>
        </is>
      </c>
      <c r="B5" s="5" t="n">
        <v>50</v>
      </c>
      <c r="C5" s="4" t="inlineStr">
        <is>
          <t>V</t>
        </is>
      </c>
    </row>
    <row r="6">
      <c r="A6" s="4" t="inlineStr">
        <is>
          <t>Input Voltage - Max, VIN(max)</t>
        </is>
      </c>
      <c r="B6" s="5" t="n">
        <v>60</v>
      </c>
      <c r="C6" s="4" t="inlineStr">
        <is>
          <t>V</t>
        </is>
      </c>
    </row>
    <row r="7">
      <c r="A7" s="4" t="inlineStr">
        <is>
          <t>Output Voltage, VOUT</t>
        </is>
      </c>
      <c r="B7" s="5" t="n">
        <v>12</v>
      </c>
      <c r="C7" s="4" t="inlineStr">
        <is>
          <t>V</t>
        </is>
      </c>
    </row>
    <row r="8">
      <c r="A8" s="4" t="inlineStr">
        <is>
          <t>Output Power, POUT</t>
        </is>
      </c>
      <c r="B8" s="5" t="n">
        <v>60</v>
      </c>
      <c r="C8" s="4" t="inlineStr">
        <is>
          <t>W</t>
        </is>
      </c>
    </row>
    <row r="9">
      <c r="A9" s="4" t="inlineStr">
        <is>
          <t>Switching Frequency, FSW</t>
        </is>
      </c>
      <c r="B9" s="5" t="n">
        <v>340</v>
      </c>
      <c r="C9" s="4" t="inlineStr">
        <is>
          <t>kHz</t>
        </is>
      </c>
    </row>
    <row r="10">
      <c r="A10" s="4" t="inlineStr">
        <is>
          <t>Inductor Ripple, ΔIL (percent of IOUT)</t>
        </is>
      </c>
      <c r="B10" s="5" t="n">
        <v>0.4</v>
      </c>
      <c r="C10" s="4" t="inlineStr">
        <is>
          <t>ratio</t>
        </is>
      </c>
    </row>
    <row r="11">
      <c r="A11" s="4" t="inlineStr">
        <is>
          <t>Output Ripple Target, ΔVOUT</t>
        </is>
      </c>
      <c r="B11" s="5" t="n">
        <v>0.05</v>
      </c>
      <c r="C11" s="4" t="inlineStr">
        <is>
          <t>V</t>
        </is>
      </c>
    </row>
    <row r="12">
      <c r="A12" s="4" t="inlineStr">
        <is>
          <t>Input Ripple Target, ΔVIN</t>
        </is>
      </c>
      <c r="B12" s="5" t="n">
        <v>0.5</v>
      </c>
      <c r="C12" s="4" t="inlineStr">
        <is>
          <t>V</t>
        </is>
      </c>
    </row>
    <row r="13">
      <c r="A13" s="4" t="inlineStr">
        <is>
          <t>COUT ESR</t>
        </is>
      </c>
      <c r="B13" s="5" t="n">
        <v>0.01</v>
      </c>
      <c r="C13" s="4" t="inlineStr">
        <is>
          <t>Ω</t>
        </is>
      </c>
    </row>
    <row r="14">
      <c r="A14" s="4" t="inlineStr">
        <is>
          <t>CIN ESR</t>
        </is>
      </c>
      <c r="B14" s="5" t="n">
        <v>0.01</v>
      </c>
      <c r="C14" s="4" t="inlineStr">
        <is>
          <t>Ω</t>
        </is>
      </c>
    </row>
    <row r="15">
      <c r="A15" s="4" t="inlineStr">
        <is>
          <t>RFB2 (lower)</t>
        </is>
      </c>
      <c r="B15" s="5" t="n">
        <v>12000</v>
      </c>
      <c r="C15" s="4" t="inlineStr">
        <is>
          <t>Ω</t>
        </is>
      </c>
    </row>
    <row r="16">
      <c r="A16" s="2" t="inlineStr">
        <is>
          <t>Calculated Outputs</t>
        </is>
      </c>
      <c r="B16" s="3" t="n"/>
      <c r="C16" s="3" t="n"/>
    </row>
    <row r="17">
      <c r="A17" s="4" t="inlineStr">
        <is>
          <t>Output Current, IOUT</t>
        </is>
      </c>
      <c r="B17" s="6">
        <f>B8/B7</f>
        <v/>
      </c>
      <c r="C17" s="4" t="inlineStr">
        <is>
          <t>A</t>
        </is>
      </c>
    </row>
    <row r="18">
      <c r="A18" s="4" t="inlineStr">
        <is>
          <t>Duty Cycle, D (at VIN nom)</t>
        </is>
      </c>
      <c r="B18" s="6">
        <f>B7/B5</f>
        <v/>
      </c>
      <c r="C18" s="4" t="inlineStr">
        <is>
          <t>ratio</t>
        </is>
      </c>
    </row>
    <row r="19">
      <c r="A19" s="4" t="inlineStr">
        <is>
          <t>Inductor Ripple, ΔIL</t>
        </is>
      </c>
      <c r="B19" s="6">
        <f>B16*B10</f>
        <v/>
      </c>
      <c r="C19" s="4" t="inlineStr">
        <is>
          <t>A</t>
        </is>
      </c>
    </row>
    <row r="20">
      <c r="A20" s="4" t="inlineStr">
        <is>
          <t>Inductance, L</t>
        </is>
      </c>
      <c r="B20" s="6">
        <f>B7/(B9*1000*B18)*(1-(B7/B5))</f>
        <v/>
      </c>
      <c r="C20" s="4" t="inlineStr">
        <is>
          <t>H</t>
        </is>
      </c>
    </row>
    <row r="21">
      <c r="A21" s="4" t="inlineStr">
        <is>
          <t>Peak Inductor Current, IL(peak)</t>
        </is>
      </c>
      <c r="B21" s="6">
        <f>B16+B18/2</f>
        <v/>
      </c>
      <c r="C21" s="4" t="inlineStr">
        <is>
          <t>A</t>
        </is>
      </c>
    </row>
    <row r="22">
      <c r="A22" s="4" t="inlineStr">
        <is>
          <t>RT Resistor (Eq.4, kΩ)</t>
        </is>
      </c>
      <c r="B22" s="6">
        <f>1000000/(53*B9+45)</f>
        <v/>
      </c>
      <c r="C22" s="4" t="inlineStr">
        <is>
          <t>kΩ</t>
        </is>
      </c>
    </row>
    <row r="23">
      <c r="A23" s="4" t="inlineStr">
        <is>
          <t>RFB1 (upper)</t>
        </is>
      </c>
      <c r="B23" s="6">
        <f>B15*(B7/0.8-1)</f>
        <v/>
      </c>
      <c r="C23" s="4" t="inlineStr">
        <is>
          <t>Ω</t>
        </is>
      </c>
    </row>
    <row r="24">
      <c r="A24" s="4" t="inlineStr">
        <is>
          <t>COUT min (ripple)</t>
        </is>
      </c>
      <c r="B24" s="6">
        <f>B18/(8*B9*1000*(B11-B13*B18))</f>
        <v/>
      </c>
      <c r="C24" s="4" t="inlineStr">
        <is>
          <t>F</t>
        </is>
      </c>
    </row>
    <row r="25">
      <c r="A25" s="4" t="inlineStr">
        <is>
          <t>CIN min (ripple)</t>
        </is>
      </c>
      <c r="B25" s="6">
        <f>(B16*B17*(1-B17))/(B9*1000*(B12-B14*B16*B17*(1-B17)))</f>
        <v/>
      </c>
      <c r="C25" s="4" t="inlineStr">
        <is>
          <t>F</t>
        </is>
      </c>
    </row>
    <row r="26">
      <c r="A26" s="3" t="n"/>
      <c r="B26" s="3" t="n"/>
      <c r="C26" s="3" t="n"/>
    </row>
    <row r="27">
      <c r="A27" s="7" t="inlineStr">
        <is>
          <t>Notes:</t>
        </is>
      </c>
      <c r="B27" s="3" t="n"/>
      <c r="C27" s="3" t="n"/>
    </row>
    <row r="28">
      <c r="A28" s="3" t="inlineStr">
        <is>
          <t>Equations derived from LM5148 datasheet (Eq. 4, 6, 13–19).</t>
        </is>
      </c>
      <c r="B28" s="3" t="n"/>
      <c r="C28" s="3" t="n"/>
    </row>
    <row r="29">
      <c r="A29" t="inlineStr">
        <is>
          <t>Set ΔIL to 0.3–0.5 of IOUT at VIN(nom).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2026-01-21T10:08:12Z</dcterms:created>
  <dcterms:modified xsi:type="dcterms:W3CDTF">2026-01-21T10:08:12Z</dcterms:modified>
</cp:coreProperties>
</file>