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xr:revisionPtr revIDLastSave="0" documentId="8_{FE06BB16-6A87-4C85-A217-BA0404EC947E}" xr6:coauthVersionLast="47" xr6:coauthVersionMax="47" xr10:uidLastSave="{00000000-0000-0000-0000-000000000000}"/>
  <bookViews>
    <workbookView xWindow="-108" yWindow="-108" windowWidth="23256" windowHeight="12456" xr2:uid="{F2393370-2784-4935-8FDB-5F919A1FD14E}"/>
  </bookViews>
  <sheets>
    <sheet name="Design Regulator" sheetId="1" r:id="rId1"/>
  </sheets>
  <externalReferences>
    <externalReference r:id="rId2"/>
  </externalReferences>
  <definedNames>
    <definedName name="_Don2">'[1]Variable Management'!$B$49</definedName>
    <definedName name="Acs">'[1]Variable Management'!$B$223</definedName>
    <definedName name="Adc">'[1]Stability Calculations'!$U$3</definedName>
    <definedName name="AEA">'[1]Variable Management'!$B$221</definedName>
    <definedName name="Afb">'[1]Variable Management'!$B$222</definedName>
    <definedName name="Afbr">'[1]Stability Calculations'!$Q$6</definedName>
    <definedName name="Am">'[1]Variable Management'!$B$225</definedName>
    <definedName name="Attn_req">'[1]Variable Management'!$B$284</definedName>
    <definedName name="BODE_PLOT_Ch2">'[1]Bode Plot Management'!$B$8</definedName>
    <definedName name="BODE_PLOT_TYPE">'[1]Variable Management'!$AA$10</definedName>
    <definedName name="Buck_CS_threshold">'[1]Variable Management'!$B$85</definedName>
    <definedName name="Cbw">'[1]Variable Management'!$B$219</definedName>
    <definedName name="Cc1ea">'[1]Variable Management'!$B$242</definedName>
    <definedName name="Cc1ea_u">'[1]Variable Management'!$B$248</definedName>
    <definedName name="Cc2ea">'[1]Variable Management'!$B$243</definedName>
    <definedName name="Cc2ea_u">'[1]Variable Management'!$B$249</definedName>
    <definedName name="Cc3ea">'[1]Variable Management'!$D$242</definedName>
    <definedName name="Cc3ea_u">'[1]Variable Management'!$D$248</definedName>
    <definedName name="Cc4ea">'[1]Variable Management'!$D$243</definedName>
    <definedName name="Cc4ea_u">'[1]Variable Management'!$D$249</definedName>
    <definedName name="Ccomp_AEF">'[1]Variable Management'!$D$297</definedName>
    <definedName name="CdampCom">'[1]Input Filter Calculations'!$AE$5</definedName>
    <definedName name="CdampPssv">'[1]Input Filter Calculations'!$M$5</definedName>
    <definedName name="CdampSel">'[1]Variable Management'!$D$295</definedName>
    <definedName name="Cdither">'[1]Variable Management'!$B$193</definedName>
    <definedName name="Cdither_init">'[1]Variable Management'!$B$192</definedName>
    <definedName name="Cfb">'[1]Variable Management'!$B$261</definedName>
    <definedName name="Cff">'[1]Variable Management'!$B$260</definedName>
    <definedName name="CfilterPssv">'[1]Input Filter Calculations'!$M$4</definedName>
    <definedName name="Ch2_VOUT">'[1]Variable Management'!$O$16</definedName>
    <definedName name="Cin">'[1]Variable Management'!$B$150</definedName>
    <definedName name="CinEsrMax">'[1]Variable Management'!$B$154</definedName>
    <definedName name="Cinj_AEF">'[1]Variable Management'!$B$293</definedName>
    <definedName name="CinjCom">'[1]Input Filter Calculations'!$AE$4</definedName>
    <definedName name="CinjSel">'[1]Variable Management'!$D$293</definedName>
    <definedName name="Cinmin">'[1]Variable Management'!$B$147</definedName>
    <definedName name="COMP_TYPE">'[1]Variable Management'!$AA$21</definedName>
    <definedName name="Core_Loss_Ch1">'[1]Variable Management'!$B$73</definedName>
    <definedName name="Coss_Q1">'[1]Variable Management'!$B$336</definedName>
    <definedName name="Coss_Q2">'[1]Variable Management'!$D$336</definedName>
    <definedName name="Cout">'[1]Variable Management'!$B$122</definedName>
    <definedName name="Cout_ESR">'[1]Variable Management'!$B$126</definedName>
    <definedName name="Cout_min">'[1]Variable Management'!$B$120</definedName>
    <definedName name="CoutEsrMax">'[1]Variable Management'!$B$123</definedName>
    <definedName name="Cres">'[1]Variable Management'!$B$174</definedName>
    <definedName name="Cres_u">'[1]Variable Management'!$B$175</definedName>
    <definedName name="CSAmp_gain">'[1]Variable Management'!$B$198</definedName>
    <definedName name="Csen_AEF">'[1]Variable Management'!$D$299</definedName>
    <definedName name="Css">'[1]Variable Management'!$B$169</definedName>
    <definedName name="D1_Vinmax">'[1]Variable Management'!$B$39</definedName>
    <definedName name="D1_Vinmax_2">'[1]Variable Management'!$B$54</definedName>
    <definedName name="D1_Vinmin">'[1]Variable Management'!$B$37</definedName>
    <definedName name="D1_Vinmin_2">'[1]Variable Management'!$B$52</definedName>
    <definedName name="D1_Vinnom">'[1]Variable Management'!$B$38</definedName>
    <definedName name="D1_Vinnom_2">'[1]Variable Management'!$B$53</definedName>
    <definedName name="D2_Vinmax">'[1]Variable Management'!$D$39</definedName>
    <definedName name="D2_Vinmin">'[1]Variable Management'!$D$37</definedName>
    <definedName name="D2_Vinnom">'[1]Variable Management'!$D$38</definedName>
    <definedName name="Deadtime">'[1]Variable Management'!$B$325</definedName>
    <definedName name="DEMB">'[1]Variable Management'!$X$10</definedName>
    <definedName name="DITHER">'[1]Variable Management'!$O$10</definedName>
    <definedName name="Doff2">'[1]Variable Management'!$B$50</definedName>
    <definedName name="Efficiency">'[1]Variable Management'!$B$18</definedName>
    <definedName name="Ext_VCC">'[1]Variable Management'!$X$15</definedName>
    <definedName name="Fcross">'[1]Variable Management'!$B$240</definedName>
    <definedName name="Fcross_Ch2">'[1]Variable Management'!$D$240</definedName>
    <definedName name="Fdither">'[1]Variable Management'!$B$191</definedName>
    <definedName name="Fesr">'[1]Variable Management'!$B$237</definedName>
    <definedName name="Fload_u">'[1]Variable Management'!$B$232</definedName>
    <definedName name="Fp_dominant">'[1]Variable Management'!$B$233</definedName>
    <definedName name="Fp1_u">'[1]Variable Management'!$B$235</definedName>
    <definedName name="Fp2_u">'[1]Variable Management'!$B$236</definedName>
    <definedName name="Fsw">'[1]Variable Management'!$B$26</definedName>
    <definedName name="Fx_infilter">'[1]Variable Management'!$B$285</definedName>
    <definedName name="Fz1_u">'[1]Variable Management'!$B$252</definedName>
    <definedName name="GBW">'[1]Variable Management'!$B$218</definedName>
    <definedName name="Gfs_Q1">'[1]Variable Management'!$B$338</definedName>
    <definedName name="Gfs_Q2">'[1]Variable Management'!$D$338</definedName>
    <definedName name="gm">'[1]Variable Management'!$B$200</definedName>
    <definedName name="Gop_AEF">'[1]Variable Management'!$B$289</definedName>
    <definedName name="Ilimit_DC">'[1]Variable Management'!$B$77</definedName>
    <definedName name="INFILTER_TYPE">'[1]Variable Management'!$X$28</definedName>
    <definedName name="Iout">'[1]Variable Management'!$B$12</definedName>
    <definedName name="Iout_OCP_Vinmax">'[1]Variable Management'!$B$99</definedName>
    <definedName name="Iout_OCP_Vinmin">'[1]Variable Management'!$B$97</definedName>
    <definedName name="Iout_OCP_Vinnom">'[1]Variable Management'!$B$98</definedName>
    <definedName name="Iq">'[1]Variable Management'!$B$327</definedName>
    <definedName name="Ireverse">'[1]Variable Management'!$B$352</definedName>
    <definedName name="Iripple_Vinmax">'[1]Variable Management'!$B$58</definedName>
    <definedName name="Iripple_Vinmin">'[1]Variable Management'!$B$56</definedName>
    <definedName name="Iripple_Vinnom">'[1]Variable Management'!$B$57</definedName>
    <definedName name="k">'[1]Variable Management'!$B$214</definedName>
    <definedName name="L_infilter">'[1]Variable Management'!$B$287</definedName>
    <definedName name="L_infilterStd">'[1]Input Filter Calculations'!$D$3</definedName>
    <definedName name="LAEFCom">'[1]Input Filter Calculations'!$AE$3</definedName>
    <definedName name="Lf">'[1]Variable Management'!$B$46</definedName>
    <definedName name="LinfilterPssv">'[1]Input Filter Calculations'!$M$3</definedName>
    <definedName name="loopPM">'[1]Stability Calculations'!$AI$9</definedName>
    <definedName name="Lopt">'[1]Variable Management'!$B$44</definedName>
    <definedName name="Ltc">'[1]Variable Management'!$B$312</definedName>
    <definedName name="mc">'[1]Variable Management'!$B$213</definedName>
    <definedName name="mc_buck">'[1]Variable Management'!$B$210</definedName>
    <definedName name="MODE">'[1]Variable Management'!$U$13</definedName>
    <definedName name="nAEF">'[1]Variable Management'!$B$290</definedName>
    <definedName name="Number_of_Phases">'[1]Variable Management'!$U$15</definedName>
    <definedName name="OSC">'[1]Variable Management'!$X$21</definedName>
    <definedName name="Pi">'[1]Variable Management'!$B$197</definedName>
    <definedName name="PICTURE">INDIRECT('[1]Efficiency Plot Management'!$A$2)</definedName>
    <definedName name="PICTURE2" localSheetId="0">INDIRECT('[1]Schematic Management'!$A$2)</definedName>
    <definedName name="PICTURE3">INDIRECT('[1]Bode Plot Management'!$A$2)</definedName>
    <definedName name="Pin">'[1]Variable Management'!$B$19</definedName>
    <definedName name="PLOT_TYPE">'[1]Variable Management'!$L$10</definedName>
    <definedName name="pole1">'[1]Stability Calculations'!$K$4</definedName>
    <definedName name="Pole2">'[1]Stability Calculations'!$C$5</definedName>
    <definedName name="pole3">'[1]Stability Calculations'!$N$3</definedName>
    <definedName name="pole4">'[1]Stability Calculations'!$C$7</definedName>
    <definedName name="Pout">'[1]Variable Management'!$B$16</definedName>
    <definedName name="_xlnm.Print_Area" localSheetId="0">'Design Regulator'!$A$1:$P$106</definedName>
    <definedName name="pterm1">'[1]Stability Calculations'!$N$4</definedName>
    <definedName name="pterm2">'[1]Stability Calculations'!$N$5</definedName>
    <definedName name="pterm3">'[1]Stability Calculations'!$Q$4</definedName>
    <definedName name="pterm4">'[1]Stability Calculations'!$Q$5</definedName>
    <definedName name="Q">'[1]Variable Management'!$B$215</definedName>
    <definedName name="Qg_Q1">'[1]Variable Management'!$B$332</definedName>
    <definedName name="Qg_Q2">'[1]Variable Management'!$D$332</definedName>
    <definedName name="Qgd_Q1">'[1]Variable Management'!$B$333</definedName>
    <definedName name="Qgs_Q1">'[1]Variable Management'!$B$334</definedName>
    <definedName name="Qoss_Q2">'[1]Variable Management'!$D$335</definedName>
    <definedName name="Qrr_Q2">'[1]Variable Management'!$D$343</definedName>
    <definedName name="QrrSky_Q2">'[1]Variable Management'!$B$351</definedName>
    <definedName name="radconv">'[1]Stability Calculations'!$U$6</definedName>
    <definedName name="Rcea1">'[1]Variable Management'!$B$241</definedName>
    <definedName name="Rcea1_u">'[1]Variable Management'!$B$247</definedName>
    <definedName name="Rcea2">'[1]Variable Management'!$D$241</definedName>
    <definedName name="Rcea2_u">'[1]Variable Management'!#REF!</definedName>
    <definedName name="RCinEsr">'[1]Variable Management'!$B$156</definedName>
    <definedName name="Rcomp_AEF">'[1]Variable Management'!$B$298</definedName>
    <definedName name="RCoutEsr">'[1]Variable Management'!$B$126</definedName>
    <definedName name="Rdamp_PassiveStd">'[1]Standard Value Calculator'!$S$27</definedName>
    <definedName name="RdampCom">'[1]Input Filter Calculations'!$AE$6</definedName>
    <definedName name="RdampPssv">'[1]Input Filter Calculations'!$M$6</definedName>
    <definedName name="RdampSel">'[1]Variable Management'!$D$296</definedName>
    <definedName name="Rdcr">'[1]Variable Management'!$B$47</definedName>
    <definedName name="Rdcr2">'[1]Variable Management'!$D$47</definedName>
    <definedName name="Rdson1">'[1]Variable Management'!$B$330</definedName>
    <definedName name="Rdson2">'[1]Variable Management'!$D$330</definedName>
    <definedName name="RdsonBotTc">'[1]Variable Management'!$D$331</definedName>
    <definedName name="RdsonDRB">'[1]Variable Management'!$B$322</definedName>
    <definedName name="RdsonDRB2">'[1]Variable Management'!$B$323</definedName>
    <definedName name="RdsonDRT">'[1]Variable Management'!$B$319</definedName>
    <definedName name="RdsonDRT2">'[1]Variable Management'!$B$320</definedName>
    <definedName name="RdsonTopTc">'[1]Variable Management'!$B$331</definedName>
    <definedName name="Rfadj">'[1]Variable Management'!$B$31</definedName>
    <definedName name="Rfb1_">'[1]Variable Management'!$B$255</definedName>
    <definedName name="Rfb2_">'[1]Variable Management'!$B$256</definedName>
    <definedName name="Rfb2_u">'[1]Variable Management'!$B$257</definedName>
    <definedName name="Rfb4_u">'[1]Variable Management'!$D$257</definedName>
    <definedName name="Rff">'[1]Variable Management'!$B$259</definedName>
    <definedName name="Rgate1">'[1]Variable Management'!$B$337</definedName>
    <definedName name="Rgate2">'[1]Variable Management'!$D$337</definedName>
    <definedName name="Ri">'[1]Variable Management'!$B$199</definedName>
    <definedName name="Ro">'[1]Variable Management'!$B$230</definedName>
    <definedName name="RoEA">'[1]Variable Management'!$B$220</definedName>
    <definedName name="Rout">'[1]Variable Management'!$B$14</definedName>
    <definedName name="Rs">'[1]Variable Management'!$B$93</definedName>
    <definedName name="Rs_ideal">'[1]Variable Management'!$B$92</definedName>
    <definedName name="SCH_MODE">'[1]Variable Management'!$U$12</definedName>
    <definedName name="SCH_SETTING">'[1]Variable Management'!$L$33</definedName>
    <definedName name="Se_ext">'[1]Variable Management'!$B$202</definedName>
    <definedName name="Sf">'[1]Variable Management'!$B$204</definedName>
    <definedName name="Sn">'[1]Variable Management'!$B$203</definedName>
    <definedName name="Ta">'[1]Variable Management'!$B$310</definedName>
    <definedName name="Tf_buck">'[1]Variable Management'!$B$359</definedName>
    <definedName name="ThetaCa">'[1]Variable Management'!$B$313</definedName>
    <definedName name="ThetaJA_Q1">'[1]Variable Management'!$B$345</definedName>
    <definedName name="ThetaJA_Q2">'[1]Variable Management'!$D$345</definedName>
    <definedName name="ThetaJaCtrl">'[1]Variable Management'!$B$355</definedName>
    <definedName name="Tr_buck">'[1]Variable Management'!$B$358</definedName>
    <definedName name="Tres">'[1]Variable Management'!$B$173</definedName>
    <definedName name="Trr_Q2">'[1]Variable Management'!$D$344</definedName>
    <definedName name="Tss">'[1]Variable Management'!$B$167</definedName>
    <definedName name="UVLO_TYPE">'[1]Variable Management'!$AA$27</definedName>
    <definedName name="VARIANT">'[1]Variable Management'!$Q$29</definedName>
    <definedName name="VCC">'[1]Variable Management'!$B$317</definedName>
    <definedName name="VfdSky_Q2">'[1]Variable Management'!$B$350</definedName>
    <definedName name="Vin">'[1]Variable Management'!$B$8</definedName>
    <definedName name="VIN_max">'[1]Variable Management'!$B$9</definedName>
    <definedName name="VIN_MAX_RATING">'[1]Variable Management'!$P$30</definedName>
    <definedName name="VIN_min">'[1]Variable Management'!$B$7</definedName>
    <definedName name="VIN_nom">'[1]Variable Management'!$B$8</definedName>
    <definedName name="VinRipple_dBuV">'[1]Variable Management'!$B$282</definedName>
    <definedName name="Vinripple1">'[1]Variable Management'!$B$140</definedName>
    <definedName name="Vinripple2">'[1]Variable Management'!$B$162</definedName>
    <definedName name="Vo1_ripple">'[1]Variable Management'!$B$116</definedName>
    <definedName name="Vo2_ripple">'[1]Variable Management'!$D$116</definedName>
    <definedName name="Vout">'[1]Variable Management'!$B$11</definedName>
    <definedName name="VOUT_MAX_RATING">'[1]Variable Management'!$P$31</definedName>
    <definedName name="VOUT_setting">'[1]Variable Management'!$L$17</definedName>
    <definedName name="Vout2">'[1]Variable Management'!$B$13</definedName>
    <definedName name="Vref">'[1]Variable Management'!$B$30</definedName>
    <definedName name="Vsd_Q1">'[1]Variable Management'!$B$342</definedName>
    <definedName name="Vsd_Q2">'[1]Variable Management'!$D$342</definedName>
    <definedName name="Vsp_Q1">'[1]Variable Management'!$B$340</definedName>
    <definedName name="Vth_Q1">'[1]Variable Management'!$B$339</definedName>
    <definedName name="Vth_Q2">'[1]Variable Management'!$D$339</definedName>
    <definedName name="wfbtHz">'[1]Variable Management'!$B$264</definedName>
    <definedName name="wffHz">'[1]Variable Management'!$B$263</definedName>
    <definedName name="wfftHz">'[1]Variable Management'!$B$267</definedName>
    <definedName name="z_RHP">'[1]Stability Calculations'!$K$5</definedName>
    <definedName name="Zero1">'[1]Stability Calculations'!$K$3</definedName>
    <definedName name="Zero2">'[1]Stability Calculations'!$C$4</definedName>
    <definedName name="zterm1">'[1]Stability Calculations'!$Q$3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 i="1" l="1"/>
  <c r="E103" i="1"/>
  <c r="E102" i="1"/>
  <c r="F73" i="1"/>
  <c r="D73" i="1"/>
  <c r="C73" i="1"/>
  <c r="B73" i="1"/>
  <c r="F72" i="1"/>
  <c r="C72" i="1"/>
  <c r="D72" i="1" s="1"/>
  <c r="B72" i="1"/>
  <c r="F71" i="1"/>
  <c r="C71" i="1"/>
  <c r="D71" i="1" s="1"/>
  <c r="B71" i="1"/>
  <c r="D70" i="1"/>
  <c r="E67" i="1"/>
  <c r="D67" i="1"/>
  <c r="F66" i="1"/>
  <c r="E66" i="1"/>
  <c r="D66" i="1"/>
  <c r="D65" i="1"/>
  <c r="E64" i="1"/>
  <c r="F63" i="1"/>
  <c r="E62" i="1"/>
  <c r="E61" i="1"/>
  <c r="D58" i="1"/>
  <c r="E57" i="1"/>
  <c r="E56" i="1"/>
  <c r="E55" i="1"/>
  <c r="E48" i="1"/>
  <c r="E47" i="1"/>
  <c r="E45" i="1"/>
  <c r="E43" i="1"/>
  <c r="E39" i="1"/>
  <c r="K38" i="1"/>
  <c r="E38" i="1"/>
  <c r="P37" i="1"/>
  <c r="K37" i="1"/>
  <c r="E36" i="1"/>
  <c r="K35" i="1"/>
  <c r="E34" i="1"/>
  <c r="E29" i="1"/>
  <c r="E26" i="1"/>
  <c r="E23" i="1"/>
  <c r="E22" i="1"/>
  <c r="E21" i="1"/>
  <c r="E20" i="1"/>
  <c r="E19" i="1"/>
  <c r="E17" i="1"/>
  <c r="E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Timothy Hegarty</author>
    <author>Hegarty, Timothy</author>
    <author>BDATSC</author>
  </authors>
  <commentList>
    <comment ref="A3" authorId="0" shapeId="0" xr:uid="{2D059391-5435-4DE6-B49C-591CE356F33E}">
      <text>
        <r>
          <rPr>
            <b/>
            <sz val="12"/>
            <color indexed="10"/>
            <rFont val="Tahoma"/>
            <family val="2"/>
          </rPr>
          <t>Welcome to the LM(2)5148/-Q1 Quickstart Design Tool</t>
        </r>
        <r>
          <rPr>
            <sz val="9"/>
            <color indexed="81"/>
            <rFont val="Tahoma"/>
            <family val="2"/>
          </rPr>
          <t xml:space="preserve">
This stand-alone tool facilitates and assists the power supply engineer with design of a DC/DC buck regulator based on the </t>
        </r>
        <r>
          <rPr>
            <b/>
            <sz val="9"/>
            <color indexed="81"/>
            <rFont val="Tahoma"/>
            <family val="2"/>
          </rPr>
          <t>LM5148/-Q1 and LM25148/-Q1 synchronous buck controller family</t>
        </r>
        <r>
          <rPr>
            <sz val="9"/>
            <color indexed="81"/>
            <rFont val="Tahoma"/>
            <family val="2"/>
          </rPr>
          <t xml:space="preserve">.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t>
        </r>
        <r>
          <rPr>
            <b/>
            <sz val="9"/>
            <color indexed="81"/>
            <rFont val="Tahoma"/>
            <family val="2"/>
          </rPr>
          <t>IMPORTANT:</t>
        </r>
        <r>
          <rPr>
            <sz val="9"/>
            <color indexed="81"/>
            <rFont val="Tahoma"/>
            <family val="2"/>
          </rPr>
          <t xml:space="preserve"> You must enable macros if Microsoft EXCEL asks as the file is being opened.
U.S. English notationsense resistance,  is used throughout.
</t>
        </r>
        <r>
          <rPr>
            <u/>
            <sz val="9"/>
            <color indexed="12"/>
            <rFont val="Tahoma"/>
            <family val="2"/>
          </rPr>
          <t>http://www.ti.com/power</t>
        </r>
        <r>
          <rPr>
            <sz val="9"/>
            <color indexed="81"/>
            <rFont val="Tahoma"/>
            <family val="2"/>
          </rPr>
          <t xml:space="preserve">
</t>
        </r>
        <r>
          <rPr>
            <b/>
            <sz val="9"/>
            <color indexed="81"/>
            <rFont val="Tahoma"/>
            <family val="2"/>
          </rPr>
          <t xml:space="preserve">
Rev A4, Timothy Hegarty, Texas Instruments, Inc.</t>
        </r>
      </text>
    </comment>
    <comment ref="N3" authorId="0" shapeId="0" xr:uid="{92FE16B2-4DC6-48A5-8E7E-72550F547759}">
      <text>
        <r>
          <rPr>
            <b/>
            <u/>
            <sz val="11"/>
            <color indexed="10"/>
            <rFont val="Tahoma"/>
            <family val="2"/>
          </rPr>
          <t>Texas Instruments</t>
        </r>
        <r>
          <rPr>
            <sz val="11"/>
            <color indexed="10"/>
            <rFont val="Tahoma"/>
            <family val="2"/>
          </rPr>
          <t>:</t>
        </r>
        <r>
          <rPr>
            <sz val="9"/>
            <color indexed="81"/>
            <rFont val="Tahoma"/>
            <family val="2"/>
          </rPr>
          <t xml:space="preserve">
</t>
        </r>
        <r>
          <rPr>
            <b/>
            <sz val="9"/>
            <color indexed="81"/>
            <rFont val="Tahoma"/>
            <family val="2"/>
          </rPr>
          <t>Limited Use Policy</t>
        </r>
        <r>
          <rPr>
            <sz val="9"/>
            <color indexed="81"/>
            <rFont val="Tahoma"/>
            <family val="2"/>
          </rPr>
          <t xml:space="preserve">
You must treat this software and documentation like any other copyrighted material.
</t>
        </r>
        <r>
          <rPr>
            <b/>
            <sz val="9"/>
            <color indexed="81"/>
            <rFont val="Tahoma"/>
            <family val="2"/>
          </rPr>
          <t>You may not:</t>
        </r>
        <r>
          <rPr>
            <sz val="9"/>
            <color indexed="81"/>
            <rFont val="Tahoma"/>
            <family val="2"/>
          </rPr>
          <t xml:space="preserve">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LM(2)5148/-Q1 product datasheet and EVM user's guide for more details.
</t>
        </r>
        <r>
          <rPr>
            <b/>
            <sz val="9"/>
            <color indexed="81"/>
            <rFont val="Tahoma"/>
            <family val="2"/>
          </rPr>
          <t>Rev A4, Timothy Hegarty, Texas Instruments, Inc.</t>
        </r>
      </text>
    </comment>
    <comment ref="F6" authorId="0" shapeId="0" xr:uid="{2397E0C1-15B4-4101-90DB-852B07879711}">
      <text>
        <r>
          <rPr>
            <b/>
            <u/>
            <sz val="9"/>
            <color indexed="81"/>
            <rFont val="Tahoma"/>
            <family val="2"/>
          </rPr>
          <t>Minimum Input Voltage</t>
        </r>
        <r>
          <rPr>
            <b/>
            <sz val="9"/>
            <color indexed="81"/>
            <rFont val="Tahoma"/>
            <family val="2"/>
          </rPr>
          <t>:</t>
        </r>
        <r>
          <rPr>
            <sz val="9"/>
            <color indexed="81"/>
            <rFont val="Tahoma"/>
            <family val="2"/>
          </rPr>
          <t xml:space="preserve">
Enter the minimum operating input voltage.
The LM(2)5148/-Q1 input voltage operating range is 3.5V to 80V (42V).
</t>
        </r>
        <r>
          <rPr>
            <b/>
            <sz val="9"/>
            <color indexed="81"/>
            <rFont val="Tahoma"/>
            <family val="2"/>
          </rPr>
          <t>The text in the cell is flagged red if:</t>
        </r>
        <r>
          <rPr>
            <sz val="9"/>
            <color indexed="81"/>
            <rFont val="Tahoma"/>
            <family val="2"/>
          </rPr>
          <t xml:space="preserve">
-The input voltage is above </t>
        </r>
        <r>
          <rPr>
            <b/>
            <sz val="9"/>
            <color indexed="10"/>
            <rFont val="Tahoma"/>
            <family val="2"/>
          </rPr>
          <t>80V (42V)</t>
        </r>
        <r>
          <rPr>
            <sz val="9"/>
            <color indexed="81"/>
            <rFont val="Tahoma"/>
            <family val="2"/>
          </rPr>
          <t xml:space="preserve">
-The input voltage is below </t>
        </r>
        <r>
          <rPr>
            <b/>
            <sz val="9"/>
            <color indexed="10"/>
            <rFont val="Tahoma"/>
            <family val="2"/>
          </rPr>
          <t>3.5V</t>
        </r>
      </text>
    </comment>
    <comment ref="F7" authorId="0" shapeId="0" xr:uid="{F9EABF55-9F74-4B4F-BBD3-7BFFEFAB9112}">
      <text>
        <r>
          <rPr>
            <b/>
            <u/>
            <sz val="9"/>
            <color indexed="81"/>
            <rFont val="Tahoma"/>
            <family val="2"/>
          </rPr>
          <t>Nominal Input Voltage</t>
        </r>
        <r>
          <rPr>
            <b/>
            <sz val="9"/>
            <color indexed="81"/>
            <rFont val="Tahoma"/>
            <family val="2"/>
          </rPr>
          <t>:</t>
        </r>
        <r>
          <rPr>
            <sz val="9"/>
            <color indexed="81"/>
            <rFont val="Tahoma"/>
            <family val="2"/>
          </rPr>
          <t xml:space="preserve">
Enter the nominal operating input voltage.
The LM(2)5148-Q1 input voltage operating range is 3.5V to 80V (42V).
</t>
        </r>
        <r>
          <rPr>
            <b/>
            <sz val="9"/>
            <color indexed="81"/>
            <rFont val="Tahoma"/>
            <family val="2"/>
          </rPr>
          <t>The text in the cell is flagged red if:</t>
        </r>
        <r>
          <rPr>
            <sz val="9"/>
            <color indexed="81"/>
            <rFont val="Tahoma"/>
            <family val="2"/>
          </rPr>
          <t xml:space="preserve">
-The input voltage is above </t>
        </r>
        <r>
          <rPr>
            <b/>
            <sz val="9"/>
            <color indexed="10"/>
            <rFont val="Tahoma"/>
            <family val="2"/>
          </rPr>
          <t>V</t>
        </r>
        <r>
          <rPr>
            <b/>
            <vertAlign val="subscript"/>
            <sz val="9"/>
            <color indexed="10"/>
            <rFont val="Tahoma"/>
            <family val="2"/>
          </rPr>
          <t>IN(max)</t>
        </r>
        <r>
          <rPr>
            <sz val="9"/>
            <color indexed="81"/>
            <rFont val="Tahoma"/>
            <family val="2"/>
          </rPr>
          <t xml:space="preserve">
-The input voltage is below </t>
        </r>
        <r>
          <rPr>
            <b/>
            <sz val="9"/>
            <color indexed="10"/>
            <rFont val="Tahoma"/>
            <family val="2"/>
          </rPr>
          <t>V</t>
        </r>
        <r>
          <rPr>
            <b/>
            <vertAlign val="subscript"/>
            <sz val="9"/>
            <color indexed="10"/>
            <rFont val="Tahoma"/>
            <family val="2"/>
          </rPr>
          <t>IN(min)</t>
        </r>
      </text>
    </comment>
    <comment ref="F8" authorId="0" shapeId="0" xr:uid="{78D5C627-8FE0-468D-A82D-A9338D8CA991}">
      <text>
        <r>
          <rPr>
            <b/>
            <u/>
            <sz val="9"/>
            <color indexed="81"/>
            <rFont val="Tahoma"/>
            <family val="2"/>
          </rPr>
          <t>Maximum Input Voltage</t>
        </r>
        <r>
          <rPr>
            <b/>
            <sz val="9"/>
            <color indexed="81"/>
            <rFont val="Tahoma"/>
            <family val="2"/>
          </rPr>
          <t>:</t>
        </r>
        <r>
          <rPr>
            <sz val="9"/>
            <color indexed="81"/>
            <rFont val="Tahoma"/>
            <family val="2"/>
          </rPr>
          <t xml:space="preserve">
Enter the maximum operating input voltage.
The LM(2)5148-Q1 input voltage operating range is 3.5V to 80V (42V).
</t>
        </r>
        <r>
          <rPr>
            <b/>
            <sz val="9"/>
            <color indexed="81"/>
            <rFont val="Tahoma"/>
            <family val="2"/>
          </rPr>
          <t>The text in the cell is flagged red if:</t>
        </r>
        <r>
          <rPr>
            <sz val="9"/>
            <color indexed="81"/>
            <rFont val="Tahoma"/>
            <family val="2"/>
          </rPr>
          <t xml:space="preserve">
-The input voltage is above </t>
        </r>
        <r>
          <rPr>
            <b/>
            <sz val="9"/>
            <color indexed="10"/>
            <rFont val="Tahoma"/>
            <family val="2"/>
          </rPr>
          <t>80V (42V)</t>
        </r>
        <r>
          <rPr>
            <sz val="9"/>
            <color indexed="81"/>
            <rFont val="Tahoma"/>
            <family val="2"/>
          </rPr>
          <t xml:space="preserve">
-The input voltage is below </t>
        </r>
        <r>
          <rPr>
            <b/>
            <sz val="9"/>
            <color indexed="10"/>
            <rFont val="Tahoma"/>
            <family val="2"/>
          </rPr>
          <t>3.5V</t>
        </r>
      </text>
    </comment>
    <comment ref="F9" authorId="0" shapeId="0" xr:uid="{052F6433-FDF5-400A-AE47-7E5AC6B7C338}">
      <text>
        <r>
          <rPr>
            <b/>
            <u/>
            <sz val="9"/>
            <color indexed="81"/>
            <rFont val="Tahoma"/>
            <family val="2"/>
          </rPr>
          <t>Output Voltage</t>
        </r>
        <r>
          <rPr>
            <b/>
            <sz val="9"/>
            <color indexed="81"/>
            <rFont val="Tahoma"/>
            <family val="2"/>
          </rPr>
          <t xml:space="preserve">:
</t>
        </r>
        <r>
          <rPr>
            <sz val="9"/>
            <color indexed="81"/>
            <rFont val="Tahoma"/>
            <family val="2"/>
          </rPr>
          <t>Enter the desired output voltage.</t>
        </r>
        <r>
          <rPr>
            <b/>
            <sz val="9"/>
            <color indexed="81"/>
            <rFont val="Tahoma"/>
            <family val="2"/>
          </rPr>
          <t xml:space="preserve">
The text in the cell is flagged red if:
</t>
        </r>
        <r>
          <rPr>
            <b/>
            <sz val="9"/>
            <color indexed="10"/>
            <rFont val="Tahoma"/>
            <family val="2"/>
          </rPr>
          <t>-The output voltage is above 55V 
-The output voltage is below 0.8V</t>
        </r>
      </text>
    </comment>
    <comment ref="F11" authorId="0" shapeId="0" xr:uid="{017D45AD-9931-417A-A866-336F8505DF11}">
      <text>
        <r>
          <rPr>
            <b/>
            <u/>
            <sz val="9"/>
            <color indexed="81"/>
            <rFont val="Tahoma"/>
            <family val="2"/>
          </rPr>
          <t>Switching Frequency</t>
        </r>
        <r>
          <rPr>
            <b/>
            <sz val="9"/>
            <color indexed="81"/>
            <rFont val="Tahoma"/>
            <family val="2"/>
          </rPr>
          <t xml:space="preserve"> (set by R</t>
        </r>
        <r>
          <rPr>
            <b/>
            <vertAlign val="subscript"/>
            <sz val="9"/>
            <color indexed="81"/>
            <rFont val="Tahoma"/>
            <family val="2"/>
          </rPr>
          <t>T</t>
        </r>
        <r>
          <rPr>
            <b/>
            <sz val="9"/>
            <color indexed="81"/>
            <rFont val="Tahoma"/>
            <family val="2"/>
          </rPr>
          <t>):</t>
        </r>
        <r>
          <rPr>
            <sz val="9"/>
            <color indexed="81"/>
            <rFont val="Tahoma"/>
            <family val="2"/>
          </rPr>
          <t xml:space="preserve">
This cell defines the switching frequency set by the R</t>
        </r>
        <r>
          <rPr>
            <vertAlign val="subscript"/>
            <sz val="9"/>
            <color indexed="81"/>
            <rFont val="Tahoma"/>
            <family val="2"/>
          </rPr>
          <t>T</t>
        </r>
        <r>
          <rPr>
            <sz val="9"/>
            <color indexed="81"/>
            <rFont val="Tahoma"/>
            <family val="2"/>
          </rPr>
          <t xml:space="preserve"> resistor, or by connecting an appropriate SYNC IN signal to the PFM/SYNC pin.
The frequency set by RT can be [100kHz - 2.2MHz] but can be synced ±20% of this freee-running frequency.
</t>
        </r>
        <r>
          <rPr>
            <b/>
            <sz val="9"/>
            <color indexed="81"/>
            <rFont val="Tahoma"/>
            <family val="2"/>
          </rPr>
          <t xml:space="preserve">The text in the cell is flagged red if:
</t>
        </r>
        <r>
          <rPr>
            <b/>
            <sz val="9"/>
            <color indexed="10"/>
            <rFont val="Tahoma"/>
            <family val="2"/>
          </rPr>
          <t xml:space="preserve">
- The frequency is below 100 kHz
- The frequency is above 2.2 MHz</t>
        </r>
        <r>
          <rPr>
            <sz val="11"/>
            <color indexed="81"/>
            <rFont val="Tahoma"/>
            <family val="2"/>
          </rPr>
          <t xml:space="preserve">
</t>
        </r>
      </text>
    </comment>
    <comment ref="F16" authorId="0" shapeId="0" xr:uid="{6388EF9C-4130-4474-925F-694D3F715818}">
      <text>
        <r>
          <rPr>
            <b/>
            <u/>
            <sz val="9"/>
            <color indexed="81"/>
            <rFont val="Tahoma"/>
            <family val="2"/>
          </rPr>
          <t>OCP Setpoint</t>
        </r>
        <r>
          <rPr>
            <b/>
            <sz val="9"/>
            <color indexed="81"/>
            <rFont val="Tahoma"/>
            <family val="2"/>
          </rPr>
          <t xml:space="preserve">:
</t>
        </r>
        <r>
          <rPr>
            <sz val="9"/>
            <color indexed="81"/>
            <rFont val="Tahoma"/>
            <family val="2"/>
          </rPr>
          <t>Enter the required overcurrent protection (OCP) setpoint for output current. A typical level is 140% of full load current.</t>
        </r>
      </text>
    </comment>
    <comment ref="F17" authorId="0" shapeId="0" xr:uid="{84F340DC-AB1A-477B-AA10-4F953887CB97}">
      <text>
        <r>
          <rPr>
            <b/>
            <u/>
            <sz val="9"/>
            <color indexed="81"/>
            <rFont val="Tahoma"/>
            <family val="2"/>
          </rPr>
          <t>Sense Resistance</t>
        </r>
        <r>
          <rPr>
            <b/>
            <sz val="9"/>
            <color indexed="81"/>
            <rFont val="Tahoma"/>
            <family val="2"/>
          </rPr>
          <t>:</t>
        </r>
        <r>
          <rPr>
            <sz val="9"/>
            <color indexed="81"/>
            <rFont val="Tahoma"/>
            <family val="2"/>
          </rPr>
          <t xml:space="preserve">
Use this resistor to sense current and set the cycle-by-cycle overcurrent protection. As such, the calculation takes the required current limit setpoint and the inductor ripple current amplitude to calculate </t>
        </r>
        <r>
          <rPr>
            <b/>
            <sz val="9"/>
            <color indexed="81"/>
            <rFont val="Tahoma"/>
            <family val="2"/>
          </rPr>
          <t>R</t>
        </r>
        <r>
          <rPr>
            <b/>
            <vertAlign val="subscript"/>
            <sz val="9"/>
            <color indexed="81"/>
            <rFont val="Tahoma"/>
            <family val="2"/>
          </rPr>
          <t>S</t>
        </r>
        <r>
          <rPr>
            <sz val="9"/>
            <color indexed="81"/>
            <rFont val="Tahoma"/>
            <family val="2"/>
          </rPr>
          <t>.</t>
        </r>
      </text>
    </comment>
    <comment ref="F19" authorId="0" shapeId="0" xr:uid="{EF5FEB02-CE90-496D-B2C3-B141695A8F0C}">
      <text>
        <r>
          <rPr>
            <b/>
            <u/>
            <sz val="9"/>
            <color indexed="81"/>
            <rFont val="Tahoma"/>
            <family val="2"/>
          </rPr>
          <t>Minimum Inductor Saturation Current</t>
        </r>
        <r>
          <rPr>
            <b/>
            <sz val="9"/>
            <color indexed="81"/>
            <rFont val="Tahoma"/>
            <family val="2"/>
          </rPr>
          <t>:</t>
        </r>
        <r>
          <rPr>
            <sz val="9"/>
            <color indexed="81"/>
            <rFont val="Tahoma"/>
            <family val="2"/>
          </rPr>
          <t xml:space="preserve">
Maximum peak current in the inductor. The result corresponds to onset of current limit and is intended as a guide to inductor selection as it relates to saturation current level.</t>
        </r>
      </text>
    </comment>
    <comment ref="F20" authorId="0" shapeId="0" xr:uid="{E750E058-1825-4DB3-A9C2-8423BF9C4D79}">
      <text>
        <r>
          <rPr>
            <b/>
            <u/>
            <sz val="9"/>
            <color indexed="81"/>
            <rFont val="Tahoma"/>
            <family val="2"/>
          </rPr>
          <t>Max Shunt Dissipation</t>
        </r>
        <r>
          <rPr>
            <b/>
            <sz val="9"/>
            <color indexed="81"/>
            <rFont val="Tahoma"/>
            <family val="2"/>
          </rPr>
          <t>:</t>
        </r>
        <r>
          <rPr>
            <sz val="9"/>
            <color indexed="81"/>
            <rFont val="Tahoma"/>
            <family val="2"/>
          </rPr>
          <t xml:space="preserve">
Maximum power loss in the shunt resistor occurs at V</t>
        </r>
        <r>
          <rPr>
            <vertAlign val="subscript"/>
            <sz val="9"/>
            <color indexed="81"/>
            <rFont val="Tahoma"/>
            <family val="2"/>
          </rPr>
          <t>IN(min)</t>
        </r>
        <r>
          <rPr>
            <sz val="9"/>
            <color indexed="81"/>
            <rFont val="Tahoma"/>
            <family val="2"/>
          </rPr>
          <t xml:space="preserve">. The result is provided at the load current corresponding to the onset of OCP.
</t>
        </r>
      </text>
    </comment>
    <comment ref="F21" authorId="0" shapeId="0" xr:uid="{F9803F12-FF9A-4F56-B8B8-60D64EE569D3}">
      <text>
        <r>
          <rPr>
            <b/>
            <u/>
            <sz val="9"/>
            <color indexed="81"/>
            <rFont val="Tahoma"/>
            <family val="2"/>
          </rPr>
          <t>Output Current at OCP Inception</t>
        </r>
        <r>
          <rPr>
            <b/>
            <sz val="9"/>
            <color indexed="81"/>
            <rFont val="Tahoma"/>
            <family val="2"/>
          </rPr>
          <t>:</t>
        </r>
        <r>
          <rPr>
            <sz val="9"/>
            <color indexed="81"/>
            <rFont val="Tahoma"/>
            <family val="2"/>
          </rPr>
          <t xml:space="preserve">
The result here corresponds to the output current near the onset of overcurrent protection while operating at </t>
        </r>
        <r>
          <rPr>
            <b/>
            <sz val="9"/>
            <color indexed="81"/>
            <rFont val="Tahoma"/>
            <family val="2"/>
          </rPr>
          <t>minimum input voltage</t>
        </r>
        <r>
          <rPr>
            <sz val="9"/>
            <color indexed="81"/>
            <rFont val="Tahoma"/>
            <family val="2"/>
          </rPr>
          <t>.</t>
        </r>
      </text>
    </comment>
    <comment ref="F22" authorId="0" shapeId="0" xr:uid="{72AF2139-A37E-4EC5-A129-D481F9032D9A}">
      <text>
        <r>
          <rPr>
            <b/>
            <u/>
            <sz val="9"/>
            <color indexed="81"/>
            <rFont val="Tahoma"/>
            <family val="2"/>
          </rPr>
          <t>Output Current at OCP Inception</t>
        </r>
        <r>
          <rPr>
            <b/>
            <sz val="9"/>
            <color indexed="81"/>
            <rFont val="Tahoma"/>
            <family val="2"/>
          </rPr>
          <t>:</t>
        </r>
        <r>
          <rPr>
            <sz val="9"/>
            <color indexed="81"/>
            <rFont val="Tahoma"/>
            <family val="2"/>
          </rPr>
          <t xml:space="preserve">
The result here corresponds to the output current near the onset of overcurrent protection while operating at </t>
        </r>
        <r>
          <rPr>
            <b/>
            <sz val="9"/>
            <color indexed="81"/>
            <rFont val="Tahoma"/>
            <family val="2"/>
          </rPr>
          <t>nominal input voltage</t>
        </r>
        <r>
          <rPr>
            <sz val="9"/>
            <color indexed="81"/>
            <rFont val="Tahoma"/>
            <family val="2"/>
          </rPr>
          <t>.</t>
        </r>
      </text>
    </comment>
    <comment ref="F23" authorId="0" shapeId="0" xr:uid="{CD4100A6-EDE3-451A-9289-F67797F9F9AD}">
      <text>
        <r>
          <rPr>
            <b/>
            <u/>
            <sz val="9"/>
            <color indexed="81"/>
            <rFont val="Tahoma"/>
            <family val="2"/>
          </rPr>
          <t>Output Current at OCP Inception</t>
        </r>
        <r>
          <rPr>
            <b/>
            <sz val="9"/>
            <color indexed="81"/>
            <rFont val="Tahoma"/>
            <family val="2"/>
          </rPr>
          <t>:</t>
        </r>
        <r>
          <rPr>
            <sz val="9"/>
            <color indexed="81"/>
            <rFont val="Tahoma"/>
            <family val="2"/>
          </rPr>
          <t xml:space="preserve">
The result here corresponds to the output current near the onset of overcurrent protection while operating at </t>
        </r>
        <r>
          <rPr>
            <b/>
            <sz val="9"/>
            <color indexed="81"/>
            <rFont val="Tahoma"/>
            <family val="2"/>
          </rPr>
          <t>maximum input voltage</t>
        </r>
        <r>
          <rPr>
            <sz val="9"/>
            <color indexed="81"/>
            <rFont val="Tahoma"/>
            <family val="2"/>
          </rPr>
          <t>.</t>
        </r>
      </text>
    </comment>
    <comment ref="F26" authorId="1" shapeId="0" xr:uid="{4573ECAB-DB3D-4CA0-8CC1-32A7B682E97F}">
      <text>
        <r>
          <rPr>
            <b/>
            <sz val="9"/>
            <color indexed="81"/>
            <rFont val="Tahoma"/>
            <family val="2"/>
          </rPr>
          <t>Recommended inductance:</t>
        </r>
        <r>
          <rPr>
            <sz val="9"/>
            <color indexed="81"/>
            <rFont val="Tahoma"/>
            <family val="2"/>
          </rPr>
          <t xml:space="preserve">
This is the nominal inductance that sets the faliing inductor current di/dt equal to the slope compensation ramp contribution.</t>
        </r>
      </text>
    </comment>
    <comment ref="F27" authorId="0" shapeId="0" xr:uid="{C381B875-EA4E-48D1-A478-5DDEC1B7DEFB}">
      <text>
        <r>
          <rPr>
            <b/>
            <u/>
            <sz val="9"/>
            <color indexed="81"/>
            <rFont val="Tahoma"/>
            <family val="2"/>
          </rPr>
          <t>Buck Inductance</t>
        </r>
        <r>
          <rPr>
            <b/>
            <sz val="9"/>
            <color indexed="81"/>
            <rFont val="Tahoma"/>
            <family val="2"/>
          </rPr>
          <t xml:space="preserve">:
</t>
        </r>
        <r>
          <rPr>
            <sz val="9"/>
            <color indexed="81"/>
            <rFont val="Tahoma"/>
            <family val="2"/>
          </rPr>
          <t>Enter the buck inductance here.
Setting the inductance equal to the recommended value gives ideal (one times inductor current downlope) slope compensation. As 0.5 times inductor current downslope is the absolute minimum slope comp requirement, do not choose an inductance greater than twice the recommended.</t>
        </r>
      </text>
    </comment>
    <comment ref="F28" authorId="0" shapeId="0" xr:uid="{E62F36A3-A541-44DA-AE05-ACD95FDDBFB3}">
      <text>
        <r>
          <rPr>
            <b/>
            <u/>
            <sz val="9"/>
            <color indexed="81"/>
            <rFont val="Tahoma"/>
            <family val="2"/>
          </rPr>
          <t>Inductor DCR</t>
        </r>
        <r>
          <rPr>
            <b/>
            <sz val="9"/>
            <color indexed="81"/>
            <rFont val="Tahoma"/>
            <family val="2"/>
          </rPr>
          <t xml:space="preserve">:
</t>
        </r>
        <r>
          <rPr>
            <sz val="9"/>
            <color indexed="81"/>
            <rFont val="Tahoma"/>
            <family val="2"/>
          </rPr>
          <t>Enter the inductor DC resistance here. This is typically specified in the inductor datasheet at 25°C copper temperature.</t>
        </r>
      </text>
    </comment>
    <comment ref="F33" authorId="0" shapeId="0" xr:uid="{631B56B4-2FC5-421C-970F-A6BF7BA3EBAB}">
      <text>
        <r>
          <rPr>
            <b/>
            <u/>
            <sz val="9"/>
            <color indexed="81"/>
            <rFont val="Tahoma"/>
            <family val="2"/>
          </rPr>
          <t>Output Voltage Ripple</t>
        </r>
        <r>
          <rPr>
            <b/>
            <sz val="9"/>
            <color indexed="81"/>
            <rFont val="Tahoma"/>
            <family val="2"/>
          </rPr>
          <t xml:space="preserve">:
</t>
        </r>
        <r>
          <rPr>
            <sz val="9"/>
            <color indexed="81"/>
            <rFont val="Tahoma"/>
            <family val="2"/>
          </rPr>
          <t xml:space="preserve">Enter the desired maximum peak-to-peak output voltage ripple here. This will set the ideal output capacitance value.
</t>
        </r>
        <r>
          <rPr>
            <b/>
            <sz val="9"/>
            <color indexed="81"/>
            <rFont val="Tahoma"/>
            <family val="2"/>
          </rPr>
          <t xml:space="preserve">
The text in the cell is flagged red if:
</t>
        </r>
        <r>
          <rPr>
            <b/>
            <sz val="9"/>
            <color indexed="10"/>
            <rFont val="Tahoma"/>
            <family val="2"/>
          </rPr>
          <t>-The output voltage ripple is zero.</t>
        </r>
      </text>
    </comment>
    <comment ref="F35" authorId="0" shapeId="0" xr:uid="{AB636449-08CD-4E16-B766-D5E79A3BA431}">
      <text>
        <r>
          <rPr>
            <b/>
            <u/>
            <sz val="9"/>
            <color indexed="81"/>
            <rFont val="Tahoma"/>
            <family val="2"/>
          </rPr>
          <t>Output Capacitance</t>
        </r>
        <r>
          <rPr>
            <b/>
            <sz val="9"/>
            <color indexed="81"/>
            <rFont val="Tahoma"/>
            <family val="2"/>
          </rPr>
          <t>:</t>
        </r>
        <r>
          <rPr>
            <sz val="9"/>
            <color indexed="81"/>
            <rFont val="Tahoma"/>
            <family val="2"/>
          </rPr>
          <t xml:space="preserve">
Enter the output capacitance here based on the minimum calculated result. Make sure that the nominal capacitance is appropriately derated for applied voltage, particularly with </t>
        </r>
        <r>
          <rPr>
            <sz val="9"/>
            <color indexed="39"/>
            <rFont val="Tahoma"/>
            <family val="2"/>
          </rPr>
          <t>ceramics</t>
        </r>
        <r>
          <rPr>
            <sz val="9"/>
            <color indexed="81"/>
            <rFont val="Tahoma"/>
            <family val="2"/>
          </rPr>
          <t xml:space="preserve">.
</t>
        </r>
        <r>
          <rPr>
            <b/>
            <sz val="9"/>
            <color indexed="81"/>
            <rFont val="Tahoma"/>
            <family val="2"/>
          </rPr>
          <t>The text in the cell is flagged red if:</t>
        </r>
        <r>
          <rPr>
            <sz val="9"/>
            <color indexed="81"/>
            <rFont val="Tahoma"/>
            <family val="2"/>
          </rPr>
          <t xml:space="preserve">
</t>
        </r>
        <r>
          <rPr>
            <b/>
            <sz val="9"/>
            <color indexed="10"/>
            <rFont val="Tahoma"/>
            <family val="2"/>
          </rPr>
          <t>-The chosen output capacitor is smaller than the minimum ideal capacitance.</t>
        </r>
      </text>
    </comment>
    <comment ref="F37" authorId="0" shapeId="0" xr:uid="{C5433F01-E7A7-4406-B15B-269D7FF8E431}">
      <text>
        <r>
          <rPr>
            <b/>
            <u/>
            <sz val="9"/>
            <color indexed="81"/>
            <rFont val="Tahoma"/>
            <family val="2"/>
          </rPr>
          <t>Output Capacitor ESR</t>
        </r>
        <r>
          <rPr>
            <b/>
            <sz val="9"/>
            <color indexed="81"/>
            <rFont val="Tahoma"/>
            <family val="2"/>
          </rPr>
          <t xml:space="preserve">:
</t>
        </r>
        <r>
          <rPr>
            <sz val="9"/>
            <color indexed="81"/>
            <rFont val="Tahoma"/>
            <family val="2"/>
          </rPr>
          <t>Enter the output capacitor ESR here based on the maximum allowed output capacitor ESR to meet the voltage ripple specification.</t>
        </r>
        <r>
          <rPr>
            <b/>
            <sz val="9"/>
            <color indexed="81"/>
            <rFont val="Tahoma"/>
            <family val="2"/>
          </rPr>
          <t xml:space="preserve">
The text in the cell is flagged </t>
        </r>
        <r>
          <rPr>
            <b/>
            <sz val="9"/>
            <color indexed="10"/>
            <rFont val="Tahoma"/>
            <family val="2"/>
          </rPr>
          <t>red</t>
        </r>
        <r>
          <rPr>
            <b/>
            <sz val="9"/>
            <color indexed="81"/>
            <rFont val="Tahoma"/>
            <family val="2"/>
          </rPr>
          <t xml:space="preserve"> if:
</t>
        </r>
        <r>
          <rPr>
            <b/>
            <sz val="9"/>
            <color indexed="10"/>
            <rFont val="Tahoma"/>
            <family val="2"/>
          </rPr>
          <t>-ESR is zero, or
-ESR exceeds maximum allowable ESR to meet the voltage ripple specification.</t>
        </r>
      </text>
    </comment>
    <comment ref="F42" authorId="0" shapeId="0" xr:uid="{0C55B94F-24D0-4187-B894-38F840F11D54}">
      <text>
        <r>
          <rPr>
            <b/>
            <u/>
            <sz val="9"/>
            <color indexed="81"/>
            <rFont val="Tahoma"/>
            <family val="2"/>
          </rPr>
          <t>Input Voltage Ripple</t>
        </r>
        <r>
          <rPr>
            <b/>
            <sz val="9"/>
            <color indexed="81"/>
            <rFont val="Tahoma"/>
            <family val="2"/>
          </rPr>
          <t xml:space="preserve">:
</t>
        </r>
        <r>
          <rPr>
            <sz val="9"/>
            <color indexed="81"/>
            <rFont val="Tahoma"/>
            <family val="2"/>
          </rPr>
          <t>Enter the desired maximum peak-to-peak input voltage ripple here. This will set the ideal input capacitance requirement.</t>
        </r>
        <r>
          <rPr>
            <b/>
            <sz val="9"/>
            <color indexed="81"/>
            <rFont val="Tahoma"/>
            <family val="2"/>
          </rPr>
          <t xml:space="preserve">
The text in thiecell is </t>
        </r>
        <r>
          <rPr>
            <b/>
            <sz val="9"/>
            <color indexed="10"/>
            <rFont val="Tahoma"/>
            <family val="2"/>
          </rPr>
          <t>red</t>
        </r>
        <r>
          <rPr>
            <b/>
            <sz val="9"/>
            <color indexed="81"/>
            <rFont val="Tahoma"/>
            <family val="2"/>
          </rPr>
          <t xml:space="preserve"> if:
</t>
        </r>
        <r>
          <rPr>
            <b/>
            <sz val="9"/>
            <color indexed="10"/>
            <rFont val="Tahoma"/>
            <family val="2"/>
          </rPr>
          <t>-The input voltage ripple is zero.</t>
        </r>
      </text>
    </comment>
    <comment ref="F44" authorId="0" shapeId="0" xr:uid="{3C99DCED-01DD-48DB-AF89-2ACA952B89EB}">
      <text>
        <r>
          <rPr>
            <b/>
            <u/>
            <sz val="9"/>
            <color indexed="81"/>
            <rFont val="Tahoma"/>
            <family val="2"/>
          </rPr>
          <t>Input Capacitance</t>
        </r>
        <r>
          <rPr>
            <b/>
            <sz val="9"/>
            <color indexed="81"/>
            <rFont val="Tahoma"/>
            <family val="2"/>
          </rPr>
          <t xml:space="preserve">:
</t>
        </r>
        <r>
          <rPr>
            <sz val="9"/>
            <color indexed="81"/>
            <rFont val="Tahoma"/>
            <family val="2"/>
          </rPr>
          <t xml:space="preserve">Enter the input capacitance here based on the minimum calculated result. Make sure that the nominal capacitance is appropriately derated for applied voltage.
</t>
        </r>
        <r>
          <rPr>
            <b/>
            <sz val="9"/>
            <color indexed="81"/>
            <rFont val="Tahoma"/>
            <family val="2"/>
          </rPr>
          <t xml:space="preserve">The text in the cell is flagged </t>
        </r>
        <r>
          <rPr>
            <b/>
            <sz val="9"/>
            <color indexed="10"/>
            <rFont val="Tahoma"/>
            <family val="2"/>
          </rPr>
          <t>red</t>
        </r>
        <r>
          <rPr>
            <b/>
            <sz val="9"/>
            <color indexed="81"/>
            <rFont val="Tahoma"/>
            <family val="2"/>
          </rPr>
          <t xml:space="preserve"> if:
</t>
        </r>
        <r>
          <rPr>
            <b/>
            <sz val="9"/>
            <color indexed="10"/>
            <rFont val="Tahoma"/>
            <family val="2"/>
          </rPr>
          <t>-The chosen input capacitor is smaller than the minimum ideal capacitance.</t>
        </r>
      </text>
    </comment>
    <comment ref="F46" authorId="0" shapeId="0" xr:uid="{D8175A3C-90F0-4CE1-8252-227CA1EF139B}">
      <text>
        <r>
          <rPr>
            <b/>
            <u/>
            <sz val="9"/>
            <color indexed="81"/>
            <rFont val="Tahoma"/>
            <family val="2"/>
          </rPr>
          <t>Input Capacitor ESR</t>
        </r>
        <r>
          <rPr>
            <b/>
            <sz val="9"/>
            <color indexed="81"/>
            <rFont val="Tahoma"/>
            <family val="2"/>
          </rPr>
          <t xml:space="preserve">:
</t>
        </r>
        <r>
          <rPr>
            <sz val="9"/>
            <color indexed="81"/>
            <rFont val="Tahoma"/>
            <family val="2"/>
          </rPr>
          <t>Enter the input capacitor ESR here based on the maximum allowed input capacitor ESR to meet the ripple voltage specification.</t>
        </r>
        <r>
          <rPr>
            <b/>
            <sz val="9"/>
            <color indexed="81"/>
            <rFont val="Tahoma"/>
            <family val="2"/>
          </rPr>
          <t xml:space="preserve">
The text in the cell is flagged </t>
        </r>
        <r>
          <rPr>
            <b/>
            <sz val="9"/>
            <color indexed="10"/>
            <rFont val="Tahoma"/>
            <family val="2"/>
          </rPr>
          <t>red</t>
        </r>
        <r>
          <rPr>
            <b/>
            <sz val="9"/>
            <color indexed="81"/>
            <rFont val="Tahoma"/>
            <family val="2"/>
          </rPr>
          <t xml:space="preserve"> if:
</t>
        </r>
        <r>
          <rPr>
            <b/>
            <sz val="9"/>
            <color indexed="10"/>
            <rFont val="Tahoma"/>
            <family val="2"/>
          </rPr>
          <t>-ESR is zero, or
-ESR exceeds maximum allowable ESR to meet the voltage ripple specification.</t>
        </r>
        <r>
          <rPr>
            <sz val="11"/>
            <color indexed="81"/>
            <rFont val="Tahoma"/>
            <family val="2"/>
          </rPr>
          <t xml:space="preserve">
</t>
        </r>
      </text>
    </comment>
    <comment ref="F63" authorId="0" shapeId="0" xr:uid="{E90B648C-9DFE-46AB-ADD8-B1331D29DDFB}">
      <text>
        <r>
          <rPr>
            <b/>
            <u/>
            <sz val="9"/>
            <color indexed="81"/>
            <rFont val="Tahoma"/>
            <family val="2"/>
          </rPr>
          <t>Crossover Frequency</t>
        </r>
        <r>
          <rPr>
            <b/>
            <sz val="9"/>
            <color indexed="81"/>
            <rFont val="Tahoma"/>
            <family val="2"/>
          </rPr>
          <t>:</t>
        </r>
        <r>
          <rPr>
            <sz val="9"/>
            <color indexed="81"/>
            <rFont val="Tahoma"/>
            <family val="2"/>
          </rPr>
          <t xml:space="preserve">
Enter the desired crossover frequency (usually between 10% and 15% of switching frequency, up to a max of ~100kHz). This feedback compensation components are determined based on this target performance metric.</t>
        </r>
      </text>
    </comment>
    <comment ref="F65" authorId="0" shapeId="0" xr:uid="{5F94E3E2-9542-430E-9D48-3E819F031734}">
      <text>
        <r>
          <rPr>
            <b/>
            <sz val="9"/>
            <color indexed="81"/>
            <rFont val="Tahoma"/>
            <family val="2"/>
          </rPr>
          <t>Upper Feedback Resistor, R</t>
        </r>
        <r>
          <rPr>
            <b/>
            <vertAlign val="subscript"/>
            <sz val="9"/>
            <color indexed="81"/>
            <rFont val="Tahoma"/>
            <family val="2"/>
          </rPr>
          <t>FB1</t>
        </r>
        <r>
          <rPr>
            <b/>
            <sz val="9"/>
            <color indexed="81"/>
            <rFont val="Tahoma"/>
            <family val="2"/>
          </rPr>
          <t>:</t>
        </r>
        <r>
          <rPr>
            <sz val="9"/>
            <color indexed="81"/>
            <rFont val="Tahoma"/>
            <family val="2"/>
          </rPr>
          <t xml:space="preserve">
This is the upper feedback resistor that sets the output voltage. A recommended starting value of </t>
        </r>
        <r>
          <rPr>
            <b/>
            <sz val="9"/>
            <color indexed="81"/>
            <rFont val="Tahoma"/>
            <family val="2"/>
          </rPr>
          <t>R</t>
        </r>
        <r>
          <rPr>
            <b/>
            <vertAlign val="subscript"/>
            <sz val="9"/>
            <color indexed="81"/>
            <rFont val="Tahoma"/>
            <family val="2"/>
          </rPr>
          <t>FB1</t>
        </r>
        <r>
          <rPr>
            <sz val="9"/>
            <color indexed="81"/>
            <rFont val="Tahoma"/>
            <family val="2"/>
          </rPr>
          <t xml:space="preserve"> is 100kΩ.</t>
        </r>
      </text>
    </comment>
    <comment ref="E70" authorId="0" shapeId="0" xr:uid="{06DCBE10-F5CE-45B6-BC8C-ACEA233D8375}">
      <text>
        <r>
          <rPr>
            <b/>
            <u/>
            <sz val="9"/>
            <color indexed="81"/>
            <rFont val="Tahoma"/>
            <family val="2"/>
          </rPr>
          <t>Selected Compensation Components</t>
        </r>
        <r>
          <rPr>
            <b/>
            <sz val="9"/>
            <color indexed="81"/>
            <rFont val="Tahoma"/>
            <family val="2"/>
          </rPr>
          <t>:</t>
        </r>
        <r>
          <rPr>
            <sz val="9"/>
            <color indexed="81"/>
            <rFont val="Tahoma"/>
            <family val="2"/>
          </rPr>
          <t xml:space="preserve">
</t>
        </r>
        <r>
          <rPr>
            <b/>
            <sz val="9"/>
            <color indexed="14"/>
            <rFont val="Tahoma"/>
            <family val="2"/>
          </rPr>
          <t>Note:</t>
        </r>
        <r>
          <rPr>
            <sz val="9"/>
            <color indexed="81"/>
            <rFont val="Tahoma"/>
            <family val="2"/>
          </rPr>
          <t xml:space="preserve">
</t>
        </r>
        <r>
          <rPr>
            <b/>
            <sz val="9"/>
            <color indexed="81"/>
            <rFont val="Tahoma"/>
            <family val="2"/>
          </rPr>
          <t>Compensation components are calculated based on the desired crossover frequency from Step 7.</t>
        </r>
        <r>
          <rPr>
            <sz val="9"/>
            <color indexed="81"/>
            <rFont val="Tahoma"/>
            <family val="2"/>
          </rPr>
          <t xml:space="preserve">
</t>
        </r>
        <r>
          <rPr>
            <b/>
            <sz val="9"/>
            <color indexed="14"/>
            <rFont val="Tahoma"/>
            <family val="2"/>
          </rPr>
          <t>Important:</t>
        </r>
        <r>
          <rPr>
            <sz val="9"/>
            <color indexed="81"/>
            <rFont val="Tahoma"/>
            <family val="2"/>
          </rPr>
          <t xml:space="preserve">
</t>
        </r>
        <r>
          <rPr>
            <b/>
            <sz val="9"/>
            <color indexed="39"/>
            <rFont val="Tahoma"/>
            <family val="2"/>
          </rPr>
          <t>1. Fix the compensation values by clicking the FIX VALUES button.</t>
        </r>
        <r>
          <rPr>
            <b/>
            <sz val="9"/>
            <color indexed="10"/>
            <rFont val="Tahoma"/>
            <family val="2"/>
          </rPr>
          <t xml:space="preserve">
</t>
        </r>
        <r>
          <rPr>
            <b/>
            <sz val="9"/>
            <color indexed="39"/>
            <rFont val="Tahoma"/>
            <family val="2"/>
          </rPr>
          <t>2. Click on RESET VALUES such that thee compensation values update with change of components or crossover frequency.</t>
        </r>
      </text>
    </comment>
    <comment ref="E82" authorId="2" shapeId="0" xr:uid="{6B691C25-E68E-4C30-88C7-9D4744B821A6}">
      <text>
        <r>
          <rPr>
            <b/>
            <sz val="10"/>
            <color indexed="81"/>
            <rFont val="Tahoma"/>
            <family val="2"/>
          </rPr>
          <t>On-State Resistance (R</t>
        </r>
        <r>
          <rPr>
            <b/>
            <vertAlign val="subscript"/>
            <sz val="10"/>
            <color indexed="81"/>
            <rFont val="Tahoma"/>
            <family val="2"/>
          </rPr>
          <t>DS(on)</t>
        </r>
        <r>
          <rPr>
            <b/>
            <sz val="10"/>
            <color indexed="81"/>
            <rFont val="Tahoma"/>
            <family val="2"/>
          </rPr>
          <t xml:space="preserve">):
</t>
        </r>
        <r>
          <rPr>
            <sz val="10"/>
            <color indexed="81"/>
            <rFont val="Tahoma"/>
            <family val="2"/>
          </rPr>
          <t xml:space="preserve">Enter the </t>
        </r>
        <r>
          <rPr>
            <b/>
            <sz val="10"/>
            <color indexed="81"/>
            <rFont val="Tahoma"/>
            <family val="2"/>
          </rPr>
          <t>R</t>
        </r>
        <r>
          <rPr>
            <b/>
            <vertAlign val="subscript"/>
            <sz val="10"/>
            <color indexed="81"/>
            <rFont val="Tahoma"/>
            <family val="2"/>
          </rPr>
          <t>DS(on)</t>
        </r>
        <r>
          <rPr>
            <sz val="10"/>
            <color indexed="81"/>
            <rFont val="Tahoma"/>
            <family val="2"/>
          </rPr>
          <t xml:space="preserve"> of the high-side MOSFET here (at the appropriate gate drive level, typically 5V). High current designs (&gt;5A) can incur large conduction losses and, as such, demand MOSFETs with low </t>
        </r>
        <r>
          <rPr>
            <b/>
            <sz val="10"/>
            <color indexed="81"/>
            <rFont val="Tahoma"/>
            <family val="2"/>
          </rPr>
          <t>R</t>
        </r>
        <r>
          <rPr>
            <b/>
            <vertAlign val="subscript"/>
            <sz val="10"/>
            <color indexed="81"/>
            <rFont val="Tahoma"/>
            <family val="2"/>
          </rPr>
          <t>DS(on)</t>
        </r>
        <r>
          <rPr>
            <sz val="10"/>
            <color indexed="81"/>
            <rFont val="Tahoma"/>
            <family val="2"/>
          </rPr>
          <t xml:space="preserve"> usually at the expense of larger Q</t>
        </r>
        <r>
          <rPr>
            <vertAlign val="subscript"/>
            <sz val="10"/>
            <color indexed="81"/>
            <rFont val="Tahoma"/>
            <family val="2"/>
          </rPr>
          <t>G</t>
        </r>
        <r>
          <rPr>
            <sz val="10"/>
            <color indexed="81"/>
            <rFont val="Tahoma"/>
            <family val="2"/>
          </rPr>
          <t xml:space="preserve">.
MOSFET </t>
        </r>
        <r>
          <rPr>
            <b/>
            <sz val="10"/>
            <color indexed="81"/>
            <rFont val="Tahoma"/>
            <family val="2"/>
          </rPr>
          <t>R</t>
        </r>
        <r>
          <rPr>
            <b/>
            <vertAlign val="subscript"/>
            <sz val="10"/>
            <color indexed="81"/>
            <rFont val="Tahoma"/>
            <family val="2"/>
          </rPr>
          <t>DS(ON)</t>
        </r>
        <r>
          <rPr>
            <sz val="10"/>
            <color indexed="81"/>
            <rFont val="Tahoma"/>
            <family val="2"/>
          </rPr>
          <t xml:space="preserve"> has a positive temperature coefficient (resistance increases with increasing temperature). This temperature coefficient is accounted for in the efficiency and power dissipation calculations.</t>
        </r>
      </text>
    </comment>
    <comment ref="F82" authorId="2" shapeId="0" xr:uid="{7A82192A-2C1E-48EF-9D63-31A61D816AB0}">
      <text>
        <r>
          <rPr>
            <b/>
            <sz val="10"/>
            <color indexed="81"/>
            <rFont val="Tahoma"/>
            <family val="2"/>
          </rPr>
          <t>Output Charge (C</t>
        </r>
        <r>
          <rPr>
            <b/>
            <vertAlign val="subscript"/>
            <sz val="10"/>
            <color indexed="81"/>
            <rFont val="Tahoma"/>
            <family val="2"/>
          </rPr>
          <t>OSS</t>
        </r>
        <r>
          <rPr>
            <b/>
            <sz val="10"/>
            <color indexed="81"/>
            <rFont val="Tahoma"/>
            <family val="2"/>
          </rPr>
          <t xml:space="preserve">):
</t>
        </r>
        <r>
          <rPr>
            <sz val="10"/>
            <color indexed="81"/>
            <rFont val="Tahoma"/>
            <family val="2"/>
          </rPr>
          <t xml:space="preserve">Enter the high-side MOSFET output capacitance at nominal VIN here. </t>
        </r>
      </text>
    </comment>
    <comment ref="E83" authorId="2" shapeId="0" xr:uid="{4E2281CD-46EF-4514-8BB3-A03887A56A41}">
      <text>
        <r>
          <rPr>
            <b/>
            <sz val="10"/>
            <color indexed="81"/>
            <rFont val="Tahoma"/>
            <family val="2"/>
          </rPr>
          <t>Total Gate Charge (Q</t>
        </r>
        <r>
          <rPr>
            <b/>
            <vertAlign val="subscript"/>
            <sz val="10"/>
            <color indexed="81"/>
            <rFont val="Tahoma"/>
            <family val="2"/>
          </rPr>
          <t>g</t>
        </r>
        <r>
          <rPr>
            <b/>
            <sz val="10"/>
            <color indexed="81"/>
            <rFont val="Tahoma"/>
            <family val="2"/>
          </rPr>
          <t>):</t>
        </r>
        <r>
          <rPr>
            <sz val="10"/>
            <color indexed="81"/>
            <rFont val="Tahoma"/>
            <family val="2"/>
          </rPr>
          <t xml:space="preserve">
Enter the total gate charge of the high-side MOSFET here (at the appropriate gate drive voltage level, typically 5V).</t>
        </r>
      </text>
    </comment>
    <comment ref="F83" authorId="2" shapeId="0" xr:uid="{9AEE6DA2-4B0F-4919-AA43-3CEFB271914B}">
      <text>
        <r>
          <rPr>
            <b/>
            <sz val="10"/>
            <color indexed="81"/>
            <rFont val="Tahoma"/>
            <family val="2"/>
          </rPr>
          <t>Gate Resistance (R</t>
        </r>
        <r>
          <rPr>
            <b/>
            <vertAlign val="subscript"/>
            <sz val="10"/>
            <color indexed="81"/>
            <rFont val="Tahoma"/>
            <family val="2"/>
          </rPr>
          <t>G</t>
        </r>
        <r>
          <rPr>
            <b/>
            <sz val="10"/>
            <color indexed="81"/>
            <rFont val="Tahoma"/>
            <family val="2"/>
          </rPr>
          <t>):</t>
        </r>
        <r>
          <rPr>
            <sz val="10"/>
            <color indexed="81"/>
            <rFont val="Tahoma"/>
            <family val="2"/>
          </rPr>
          <t xml:space="preserve">
Enter the high-side MOSFET gate resistance here. </t>
        </r>
      </text>
    </comment>
    <comment ref="E84" authorId="2" shapeId="0" xr:uid="{9FAA61D3-3FF0-46E4-975A-9251C493A990}">
      <text>
        <r>
          <rPr>
            <b/>
            <sz val="10"/>
            <color indexed="81"/>
            <rFont val="Tahoma"/>
            <family val="2"/>
          </rPr>
          <t>Gate-Drain Charge (Q</t>
        </r>
        <r>
          <rPr>
            <b/>
            <vertAlign val="subscript"/>
            <sz val="10"/>
            <color indexed="81"/>
            <rFont val="Tahoma"/>
            <family val="2"/>
          </rPr>
          <t>GD</t>
        </r>
        <r>
          <rPr>
            <b/>
            <sz val="10"/>
            <color indexed="81"/>
            <rFont val="Tahoma"/>
            <family val="2"/>
          </rPr>
          <t xml:space="preserve">):
</t>
        </r>
        <r>
          <rPr>
            <sz val="10"/>
            <color indexed="81"/>
            <rFont val="Tahoma"/>
            <family val="2"/>
          </rPr>
          <t>Enter the Q</t>
        </r>
        <r>
          <rPr>
            <vertAlign val="subscript"/>
            <sz val="10"/>
            <color indexed="81"/>
            <rFont val="Tahoma"/>
            <family val="2"/>
          </rPr>
          <t>GD</t>
        </r>
        <r>
          <rPr>
            <sz val="10"/>
            <color indexed="81"/>
            <rFont val="Tahoma"/>
            <family val="2"/>
          </rPr>
          <t xml:space="preserve"> of the high-side MOSFET here.
MOSFET Q</t>
        </r>
        <r>
          <rPr>
            <vertAlign val="subscript"/>
            <sz val="10"/>
            <color indexed="81"/>
            <rFont val="Tahoma"/>
            <family val="2"/>
          </rPr>
          <t>GD</t>
        </r>
        <r>
          <rPr>
            <sz val="10"/>
            <color indexed="81"/>
            <rFont val="Tahoma"/>
            <family val="2"/>
          </rPr>
          <t xml:space="preserve"> affects the turn-on and-off transition times. Slow transition times result in a decrease in efficiency, especially at higher input voltages.</t>
        </r>
      </text>
    </comment>
    <comment ref="F84" authorId="2" shapeId="0" xr:uid="{76099543-89B9-471E-AA52-F9487568BDD0}">
      <text>
        <r>
          <rPr>
            <b/>
            <sz val="10"/>
            <color indexed="81"/>
            <rFont val="Tahoma"/>
            <family val="2"/>
          </rPr>
          <t>Forward Transconductance (g</t>
        </r>
        <r>
          <rPr>
            <b/>
            <vertAlign val="subscript"/>
            <sz val="10"/>
            <color indexed="81"/>
            <rFont val="Tahoma"/>
            <family val="2"/>
          </rPr>
          <t>FS</t>
        </r>
        <r>
          <rPr>
            <b/>
            <sz val="10"/>
            <color indexed="81"/>
            <rFont val="Tahoma"/>
            <family val="2"/>
          </rPr>
          <t xml:space="preserve">):
</t>
        </r>
        <r>
          <rPr>
            <sz val="10"/>
            <color indexed="81"/>
            <rFont val="Tahoma"/>
            <family val="2"/>
          </rPr>
          <t>Enter the forward transconductance rating of the high-side MOSFET here.</t>
        </r>
      </text>
    </comment>
    <comment ref="E85" authorId="2" shapeId="0" xr:uid="{B8A0E606-B05A-4DAA-919A-4D4A75E9AFE1}">
      <text>
        <r>
          <rPr>
            <b/>
            <sz val="10"/>
            <color indexed="81"/>
            <rFont val="Tahoma"/>
            <family val="2"/>
          </rPr>
          <t>Gate-Source Charge (Q</t>
        </r>
        <r>
          <rPr>
            <b/>
            <vertAlign val="subscript"/>
            <sz val="10"/>
            <color indexed="81"/>
            <rFont val="Tahoma"/>
            <family val="2"/>
          </rPr>
          <t>GS</t>
        </r>
        <r>
          <rPr>
            <b/>
            <sz val="10"/>
            <color indexed="81"/>
            <rFont val="Tahoma"/>
            <family val="2"/>
          </rPr>
          <t xml:space="preserve">):
</t>
        </r>
        <r>
          <rPr>
            <sz val="10"/>
            <color indexed="81"/>
            <rFont val="Tahoma"/>
            <family val="2"/>
          </rPr>
          <t xml:space="preserve">Enter the high-side MOSFET gate-source charge here. </t>
        </r>
      </text>
    </comment>
    <comment ref="F85" authorId="2" shapeId="0" xr:uid="{2C77B0ED-D278-4100-9124-52D11C251BF4}">
      <text>
        <r>
          <rPr>
            <b/>
            <sz val="10"/>
            <color indexed="81"/>
            <rFont val="Tahoma"/>
            <family val="2"/>
          </rPr>
          <t>Gate to Source Threshold Voltage (V</t>
        </r>
        <r>
          <rPr>
            <b/>
            <vertAlign val="subscript"/>
            <sz val="10"/>
            <color indexed="81"/>
            <rFont val="Tahoma"/>
            <family val="2"/>
          </rPr>
          <t>GS(TH)</t>
        </r>
        <r>
          <rPr>
            <b/>
            <sz val="10"/>
            <color indexed="81"/>
            <rFont val="Tahoma"/>
            <family val="2"/>
          </rPr>
          <t xml:space="preserve">):
</t>
        </r>
        <r>
          <rPr>
            <sz val="10"/>
            <color indexed="81"/>
            <rFont val="Tahoma"/>
            <family val="2"/>
          </rPr>
          <t>Enter the MOSFET gate-source threshold voltage at rated current here. This can be taken as the plateau voltage in the V</t>
        </r>
        <r>
          <rPr>
            <vertAlign val="subscript"/>
            <sz val="10"/>
            <color indexed="81"/>
            <rFont val="Tahoma"/>
            <family val="2"/>
          </rPr>
          <t>GS</t>
        </r>
        <r>
          <rPr>
            <sz val="10"/>
            <color indexed="81"/>
            <rFont val="Tahoma"/>
            <family val="2"/>
          </rPr>
          <t>-Q</t>
        </r>
        <r>
          <rPr>
            <vertAlign val="subscript"/>
            <sz val="10"/>
            <color indexed="81"/>
            <rFont val="Tahoma"/>
            <family val="2"/>
          </rPr>
          <t>G</t>
        </r>
        <r>
          <rPr>
            <sz val="10"/>
            <color indexed="81"/>
            <rFont val="Tahoma"/>
            <family val="2"/>
          </rPr>
          <t xml:space="preserve"> curve in the MOSFET datasheet.
</t>
        </r>
      </text>
    </comment>
    <comment ref="F86" authorId="2" shapeId="0" xr:uid="{D8D8AF14-1618-49CA-BCFA-679A06DCABBA}">
      <text>
        <r>
          <rPr>
            <b/>
            <sz val="10"/>
            <color indexed="81"/>
            <rFont val="Tahoma"/>
            <family val="2"/>
          </rPr>
          <t>Body Diode Forward Voltage (V</t>
        </r>
        <r>
          <rPr>
            <b/>
            <vertAlign val="subscript"/>
            <sz val="10"/>
            <color indexed="81"/>
            <rFont val="Tahoma"/>
            <family val="2"/>
          </rPr>
          <t>bd1</t>
        </r>
        <r>
          <rPr>
            <b/>
            <sz val="10"/>
            <color indexed="81"/>
            <rFont val="Tahoma"/>
            <family val="2"/>
          </rPr>
          <t xml:space="preserve">):
</t>
        </r>
        <r>
          <rPr>
            <sz val="10"/>
            <color indexed="81"/>
            <rFont val="Tahoma"/>
            <family val="2"/>
          </rPr>
          <t>A MOSFET has an inherent reverse body diode, and the voltage drop usually is specified at a rated current. The high-side MOSFET body diode contributes power loss during negative current events.</t>
        </r>
      </text>
    </comment>
    <comment ref="E87" authorId="2" shapeId="0" xr:uid="{C7930DFC-B772-4FB0-8510-6B0BF6670332}">
      <text>
        <r>
          <rPr>
            <b/>
            <sz val="10"/>
            <color indexed="81"/>
            <rFont val="Tahoma"/>
            <family val="2"/>
          </rPr>
          <t>Output Charge (C</t>
        </r>
        <r>
          <rPr>
            <b/>
            <vertAlign val="subscript"/>
            <sz val="10"/>
            <color indexed="81"/>
            <rFont val="Tahoma"/>
            <family val="2"/>
          </rPr>
          <t>OSS</t>
        </r>
        <r>
          <rPr>
            <b/>
            <sz val="10"/>
            <color indexed="81"/>
            <rFont val="Tahoma"/>
            <family val="2"/>
          </rPr>
          <t xml:space="preserve">):
</t>
        </r>
        <r>
          <rPr>
            <sz val="10"/>
            <color indexed="81"/>
            <rFont val="Tahoma"/>
            <family val="2"/>
          </rPr>
          <t xml:space="preserve">Enter the high-side MOSFET output capacitance at nominal VIN here. </t>
        </r>
      </text>
    </comment>
    <comment ref="F87" authorId="2" shapeId="0" xr:uid="{5C67D26F-AE50-4289-B635-373C44BB79CC}">
      <text>
        <r>
          <rPr>
            <b/>
            <sz val="10"/>
            <color indexed="81"/>
            <rFont val="Tahoma"/>
            <family val="2"/>
          </rPr>
          <t>Drain-Source Capacitance (C</t>
        </r>
        <r>
          <rPr>
            <b/>
            <vertAlign val="subscript"/>
            <sz val="10"/>
            <color indexed="81"/>
            <rFont val="Tahoma"/>
            <family val="2"/>
          </rPr>
          <t>OSS</t>
        </r>
        <r>
          <rPr>
            <b/>
            <sz val="10"/>
            <color indexed="81"/>
            <rFont val="Tahoma"/>
            <family val="2"/>
          </rPr>
          <t xml:space="preserve">):
</t>
        </r>
        <r>
          <rPr>
            <sz val="10"/>
            <color indexed="81"/>
            <rFont val="Tahoma"/>
            <family val="2"/>
          </rPr>
          <t xml:space="preserve">Enter the low-side MOSFET output capacitance at nominal VIN here. </t>
        </r>
      </text>
    </comment>
    <comment ref="E88" authorId="2" shapeId="0" xr:uid="{6D754B96-F889-4201-97B2-F3311988E496}">
      <text>
        <r>
          <rPr>
            <b/>
            <sz val="10"/>
            <color indexed="81"/>
            <rFont val="Tahoma"/>
            <family val="2"/>
          </rPr>
          <t>Gate Resistance (R</t>
        </r>
        <r>
          <rPr>
            <b/>
            <vertAlign val="subscript"/>
            <sz val="10"/>
            <color indexed="81"/>
            <rFont val="Tahoma"/>
            <family val="2"/>
          </rPr>
          <t>G</t>
        </r>
        <r>
          <rPr>
            <b/>
            <sz val="10"/>
            <color indexed="81"/>
            <rFont val="Tahoma"/>
            <family val="2"/>
          </rPr>
          <t>):</t>
        </r>
        <r>
          <rPr>
            <sz val="10"/>
            <color indexed="81"/>
            <rFont val="Tahoma"/>
            <family val="2"/>
          </rPr>
          <t xml:space="preserve">
Enter the high-side MOSFET gate resistance here. </t>
        </r>
      </text>
    </comment>
    <comment ref="F88" authorId="2" shapeId="0" xr:uid="{0821D59A-C781-460B-823C-4C2D849AED93}">
      <text>
        <r>
          <rPr>
            <b/>
            <sz val="10"/>
            <color indexed="81"/>
            <rFont val="Tahoma"/>
            <family val="2"/>
          </rPr>
          <t>Gate Resistance (R</t>
        </r>
        <r>
          <rPr>
            <b/>
            <vertAlign val="subscript"/>
            <sz val="10"/>
            <color indexed="81"/>
            <rFont val="Tahoma"/>
            <family val="2"/>
          </rPr>
          <t>G</t>
        </r>
        <r>
          <rPr>
            <b/>
            <sz val="10"/>
            <color indexed="81"/>
            <rFont val="Tahoma"/>
            <family val="2"/>
          </rPr>
          <t>):</t>
        </r>
        <r>
          <rPr>
            <sz val="10"/>
            <color indexed="81"/>
            <rFont val="Tahoma"/>
            <family val="2"/>
          </rPr>
          <t xml:space="preserve">
Enter the low-side MOSFET gate resistance here. </t>
        </r>
      </text>
    </comment>
    <comment ref="E89" authorId="2" shapeId="0" xr:uid="{4D2A73DF-75F4-4763-9CE3-E58ABEFACEFF}">
      <text>
        <r>
          <rPr>
            <b/>
            <sz val="10"/>
            <color indexed="81"/>
            <rFont val="Tahoma"/>
            <family val="2"/>
          </rPr>
          <t>Forward Transconductance (g</t>
        </r>
        <r>
          <rPr>
            <b/>
            <vertAlign val="subscript"/>
            <sz val="10"/>
            <color indexed="81"/>
            <rFont val="Tahoma"/>
            <family val="2"/>
          </rPr>
          <t>FS</t>
        </r>
        <r>
          <rPr>
            <b/>
            <sz val="10"/>
            <color indexed="81"/>
            <rFont val="Tahoma"/>
            <family val="2"/>
          </rPr>
          <t xml:space="preserve">):
</t>
        </r>
        <r>
          <rPr>
            <sz val="10"/>
            <color indexed="81"/>
            <rFont val="Tahoma"/>
            <family val="2"/>
          </rPr>
          <t>Enter the forward transconductance rating of the high-side MOSFET here.</t>
        </r>
      </text>
    </comment>
    <comment ref="F89" authorId="2" shapeId="0" xr:uid="{12B6B659-592C-4FCE-9AA3-B656B1657351}">
      <text>
        <r>
          <rPr>
            <b/>
            <sz val="10"/>
            <color indexed="81"/>
            <rFont val="Tahoma"/>
            <family val="2"/>
          </rPr>
          <t>Forward Transconductance (g</t>
        </r>
        <r>
          <rPr>
            <b/>
            <vertAlign val="subscript"/>
            <sz val="10"/>
            <color indexed="81"/>
            <rFont val="Tahoma"/>
            <family val="2"/>
          </rPr>
          <t>FS</t>
        </r>
        <r>
          <rPr>
            <b/>
            <sz val="10"/>
            <color indexed="81"/>
            <rFont val="Tahoma"/>
            <family val="2"/>
          </rPr>
          <t xml:space="preserve">):
</t>
        </r>
        <r>
          <rPr>
            <sz val="10"/>
            <color indexed="81"/>
            <rFont val="Tahoma"/>
            <family val="2"/>
          </rPr>
          <t>Enter the forward transconductance rating of the low-side MOSFET here.</t>
        </r>
      </text>
    </comment>
    <comment ref="E90" authorId="2" shapeId="0" xr:uid="{221043F3-EB3F-4343-9B97-F90727B4B69D}">
      <text>
        <r>
          <rPr>
            <b/>
            <sz val="10"/>
            <color indexed="81"/>
            <rFont val="Tahoma"/>
            <family val="2"/>
          </rPr>
          <t>Gate to Source Threshold Voltage (V</t>
        </r>
        <r>
          <rPr>
            <b/>
            <vertAlign val="subscript"/>
            <sz val="10"/>
            <color indexed="81"/>
            <rFont val="Tahoma"/>
            <family val="2"/>
          </rPr>
          <t>GS(TH)</t>
        </r>
        <r>
          <rPr>
            <b/>
            <sz val="10"/>
            <color indexed="81"/>
            <rFont val="Tahoma"/>
            <family val="2"/>
          </rPr>
          <t xml:space="preserve">):
</t>
        </r>
        <r>
          <rPr>
            <sz val="10"/>
            <color indexed="81"/>
            <rFont val="Tahoma"/>
            <family val="2"/>
          </rPr>
          <t>Enter the MOSFET gate-source threshold voltage at rated current here. This can be taken as the plateau voltage in the V</t>
        </r>
        <r>
          <rPr>
            <vertAlign val="subscript"/>
            <sz val="10"/>
            <color indexed="81"/>
            <rFont val="Tahoma"/>
            <family val="2"/>
          </rPr>
          <t>GS</t>
        </r>
        <r>
          <rPr>
            <sz val="10"/>
            <color indexed="81"/>
            <rFont val="Tahoma"/>
            <family val="2"/>
          </rPr>
          <t>-Q</t>
        </r>
        <r>
          <rPr>
            <vertAlign val="subscript"/>
            <sz val="10"/>
            <color indexed="81"/>
            <rFont val="Tahoma"/>
            <family val="2"/>
          </rPr>
          <t>G</t>
        </r>
        <r>
          <rPr>
            <sz val="10"/>
            <color indexed="81"/>
            <rFont val="Tahoma"/>
            <family val="2"/>
          </rPr>
          <t xml:space="preserve"> curve in the MOSFET datasheet.
</t>
        </r>
      </text>
    </comment>
    <comment ref="F90" authorId="2" shapeId="0" xr:uid="{141BDEC5-2243-4103-9A03-4E8492405CF9}">
      <text>
        <r>
          <rPr>
            <b/>
            <sz val="10"/>
            <color indexed="81"/>
            <rFont val="Tahoma"/>
            <family val="2"/>
          </rPr>
          <t>Gate to Source Threshold Voltage (V</t>
        </r>
        <r>
          <rPr>
            <b/>
            <vertAlign val="subscript"/>
            <sz val="10"/>
            <color indexed="81"/>
            <rFont val="Tahoma"/>
            <family val="2"/>
          </rPr>
          <t>GS(TH)</t>
        </r>
        <r>
          <rPr>
            <b/>
            <sz val="10"/>
            <color indexed="81"/>
            <rFont val="Tahoma"/>
            <family val="2"/>
          </rPr>
          <t xml:space="preserve">):
</t>
        </r>
        <r>
          <rPr>
            <sz val="10"/>
            <color indexed="81"/>
            <rFont val="Tahoma"/>
            <family val="2"/>
          </rPr>
          <t>Enter the MOSFET gate-source threshold voltage at rated current here. This can be taken as the plateau voltage in the V</t>
        </r>
        <r>
          <rPr>
            <vertAlign val="subscript"/>
            <sz val="10"/>
            <color indexed="81"/>
            <rFont val="Tahoma"/>
            <family val="2"/>
          </rPr>
          <t>GS</t>
        </r>
        <r>
          <rPr>
            <sz val="10"/>
            <color indexed="81"/>
            <rFont val="Tahoma"/>
            <family val="2"/>
          </rPr>
          <t>-Q</t>
        </r>
        <r>
          <rPr>
            <vertAlign val="subscript"/>
            <sz val="10"/>
            <color indexed="81"/>
            <rFont val="Tahoma"/>
            <family val="2"/>
          </rPr>
          <t>G</t>
        </r>
        <r>
          <rPr>
            <sz val="10"/>
            <color indexed="81"/>
            <rFont val="Tahoma"/>
            <family val="2"/>
          </rPr>
          <t xml:space="preserve"> curve in the MOSFET datasheet.
</t>
        </r>
      </text>
    </comment>
    <comment ref="E91" authorId="2" shapeId="0" xr:uid="{7D918AA7-7BEC-415C-B609-4E96CCCD8266}">
      <text>
        <r>
          <rPr>
            <b/>
            <sz val="10"/>
            <color indexed="81"/>
            <rFont val="Tahoma"/>
            <family val="2"/>
          </rPr>
          <t>Body Diode Forward Voltage (V</t>
        </r>
        <r>
          <rPr>
            <b/>
            <vertAlign val="subscript"/>
            <sz val="10"/>
            <color indexed="81"/>
            <rFont val="Tahoma"/>
            <family val="2"/>
          </rPr>
          <t>bd1</t>
        </r>
        <r>
          <rPr>
            <b/>
            <sz val="10"/>
            <color indexed="81"/>
            <rFont val="Tahoma"/>
            <family val="2"/>
          </rPr>
          <t xml:space="preserve">):
</t>
        </r>
        <r>
          <rPr>
            <sz val="10"/>
            <color indexed="81"/>
            <rFont val="Tahoma"/>
            <family val="2"/>
          </rPr>
          <t>A MOSFET has an inherent reverse body diode, and the voltage drop usually is specified at a rated current. The high-side MOSFET body diode contributes power loss during negative current events.</t>
        </r>
      </text>
    </comment>
    <comment ref="F91" authorId="2" shapeId="0" xr:uid="{0A35DAE8-F642-4ED7-AE27-4BCC99F28152}">
      <text>
        <r>
          <rPr>
            <b/>
            <sz val="10"/>
            <color indexed="81"/>
            <rFont val="Tahoma"/>
            <family val="2"/>
          </rPr>
          <t>Body Diode Forward Voltage (V</t>
        </r>
        <r>
          <rPr>
            <b/>
            <vertAlign val="subscript"/>
            <sz val="10"/>
            <color indexed="81"/>
            <rFont val="Tahoma"/>
            <family val="2"/>
          </rPr>
          <t>bd1</t>
        </r>
        <r>
          <rPr>
            <b/>
            <sz val="10"/>
            <color indexed="81"/>
            <rFont val="Tahoma"/>
            <family val="2"/>
          </rPr>
          <t xml:space="preserve">):
</t>
        </r>
        <r>
          <rPr>
            <sz val="10"/>
            <color indexed="81"/>
            <rFont val="Tahoma"/>
            <family val="2"/>
          </rPr>
          <t>A MOSFET has an inherent reverse body diode, and the voltage drop usually is specified at a rated current. The low-side MOSFET body diode contributes power loss related to both conduction and reverse recovery losses.</t>
        </r>
      </text>
    </comment>
    <comment ref="F92" authorId="2" shapeId="0" xr:uid="{AD10312B-AB2A-4669-BF6E-A55B66B5A3EB}">
      <text>
        <r>
          <rPr>
            <b/>
            <sz val="10"/>
            <color indexed="81"/>
            <rFont val="Tahoma"/>
            <family val="2"/>
          </rPr>
          <t>Body Diode Recovery Charge (Q</t>
        </r>
        <r>
          <rPr>
            <b/>
            <vertAlign val="subscript"/>
            <sz val="10"/>
            <color indexed="81"/>
            <rFont val="Tahoma"/>
            <family val="2"/>
          </rPr>
          <t>RR</t>
        </r>
        <r>
          <rPr>
            <b/>
            <sz val="10"/>
            <color indexed="81"/>
            <rFont val="Tahoma"/>
            <family val="2"/>
          </rPr>
          <t xml:space="preserve">):
</t>
        </r>
        <r>
          <rPr>
            <sz val="10"/>
            <color indexed="81"/>
            <rFont val="Tahoma"/>
            <family val="2"/>
          </rPr>
          <t xml:space="preserve">Enter the reverse recovery charge of the low-side MOSFET body diode here. </t>
        </r>
      </text>
    </comment>
    <comment ref="E93" authorId="2" shapeId="0" xr:uid="{05527C2D-E5EC-4362-BE8D-6FB761AACE25}">
      <text>
        <r>
          <rPr>
            <b/>
            <sz val="10"/>
            <color indexed="81"/>
            <rFont val="Tahoma"/>
            <family val="2"/>
          </rPr>
          <t>θ</t>
        </r>
        <r>
          <rPr>
            <b/>
            <vertAlign val="subscript"/>
            <sz val="10"/>
            <color indexed="81"/>
            <rFont val="Tahoma"/>
            <family val="2"/>
          </rPr>
          <t>JA</t>
        </r>
        <r>
          <rPr>
            <b/>
            <sz val="10"/>
            <color indexed="81"/>
            <rFont val="Tahoma"/>
            <family val="2"/>
          </rPr>
          <t xml:space="preserve">:
</t>
        </r>
        <r>
          <rPr>
            <sz val="10"/>
            <color indexed="81"/>
            <rFont val="Tahoma"/>
            <family val="2"/>
          </rPr>
          <t>θ</t>
        </r>
        <r>
          <rPr>
            <vertAlign val="subscript"/>
            <sz val="10"/>
            <color indexed="81"/>
            <rFont val="Tahoma"/>
            <family val="2"/>
          </rPr>
          <t>JA</t>
        </r>
        <r>
          <rPr>
            <sz val="10"/>
            <color indexed="81"/>
            <rFont val="Tahoma"/>
            <family val="2"/>
          </rPr>
          <t xml:space="preserve"> is the junction-to-ambient thermal resistance of the MOSFET. Higher θ</t>
        </r>
        <r>
          <rPr>
            <vertAlign val="subscript"/>
            <sz val="10"/>
            <color indexed="81"/>
            <rFont val="Tahoma"/>
            <family val="2"/>
          </rPr>
          <t>JA</t>
        </r>
        <r>
          <rPr>
            <sz val="10"/>
            <color indexed="81"/>
            <rFont val="Tahoma"/>
            <family val="2"/>
          </rPr>
          <t xml:space="preserve"> will lead to higher power loss and reduced efficiency. High current designs demand low θ</t>
        </r>
        <r>
          <rPr>
            <vertAlign val="subscript"/>
            <sz val="10"/>
            <color indexed="81"/>
            <rFont val="Tahoma"/>
            <family val="2"/>
          </rPr>
          <t>JA</t>
        </r>
        <r>
          <rPr>
            <sz val="10"/>
            <color indexed="81"/>
            <rFont val="Tahoma"/>
            <family val="2"/>
          </rPr>
          <t xml:space="preserve"> rating to help maintain low MOSFET operating junction temperature. What's imperative here is consciencious PCB design and layout to maximize heat removal from the MOSFET.</t>
        </r>
      </text>
    </comment>
    <comment ref="F93" authorId="2" shapeId="0" xr:uid="{E57E87D4-E3C2-41F7-A743-AA1ED97F3D75}">
      <text>
        <r>
          <rPr>
            <b/>
            <sz val="10"/>
            <color indexed="81"/>
            <rFont val="Tahoma"/>
            <family val="2"/>
          </rPr>
          <t>θ</t>
        </r>
        <r>
          <rPr>
            <b/>
            <vertAlign val="subscript"/>
            <sz val="10"/>
            <color indexed="81"/>
            <rFont val="Tahoma"/>
            <family val="2"/>
          </rPr>
          <t>JA</t>
        </r>
        <r>
          <rPr>
            <b/>
            <sz val="10"/>
            <color indexed="81"/>
            <rFont val="Tahoma"/>
            <family val="2"/>
          </rPr>
          <t xml:space="preserve">:
</t>
        </r>
        <r>
          <rPr>
            <sz val="10"/>
            <color indexed="81"/>
            <rFont val="Tahoma"/>
            <family val="2"/>
          </rPr>
          <t>θ</t>
        </r>
        <r>
          <rPr>
            <vertAlign val="subscript"/>
            <sz val="10"/>
            <color indexed="81"/>
            <rFont val="Tahoma"/>
            <family val="2"/>
          </rPr>
          <t>JA</t>
        </r>
        <r>
          <rPr>
            <sz val="10"/>
            <color indexed="81"/>
            <rFont val="Tahoma"/>
            <family val="2"/>
          </rPr>
          <t xml:space="preserve"> is the junction-to-ambient thermal resistance of the MOSFET. Higher θ</t>
        </r>
        <r>
          <rPr>
            <vertAlign val="subscript"/>
            <sz val="10"/>
            <color indexed="81"/>
            <rFont val="Tahoma"/>
            <family val="2"/>
          </rPr>
          <t>JA</t>
        </r>
        <r>
          <rPr>
            <sz val="10"/>
            <color indexed="81"/>
            <rFont val="Tahoma"/>
            <family val="2"/>
          </rPr>
          <t xml:space="preserve"> will lead to higher power loss and reduced efficiency. High current designs demand low θ</t>
        </r>
        <r>
          <rPr>
            <vertAlign val="subscript"/>
            <sz val="10"/>
            <color indexed="81"/>
            <rFont val="Tahoma"/>
            <family val="2"/>
          </rPr>
          <t>JA</t>
        </r>
        <r>
          <rPr>
            <sz val="10"/>
            <color indexed="81"/>
            <rFont val="Tahoma"/>
            <family val="2"/>
          </rPr>
          <t xml:space="preserve"> rating to help maintain low MOSFET operating junction temperature. What's imperative here is consciencious PCB design and layout to maximize heat removal from the MOSFET.</t>
        </r>
      </text>
    </comment>
    <comment ref="G96" authorId="1" shapeId="0" xr:uid="{3B14DCE4-227D-4476-A55F-506C3FF7330D}">
      <text>
        <r>
          <rPr>
            <b/>
            <sz val="9"/>
            <color indexed="81"/>
            <rFont val="Tahoma"/>
            <family val="2"/>
          </rPr>
          <t xml:space="preserve">Schottky Diode Forward Voltage:
</t>
        </r>
        <r>
          <rPr>
            <sz val="9"/>
            <color indexed="81"/>
            <rFont val="Tahoma"/>
            <family val="2"/>
          </rPr>
          <t xml:space="preserve">If an antiparallel Schottky diode is used across the low-side FET, enter the forward voltage at the rated current here. If a Schottky diode is not used, enter "0" into this cell.
</t>
        </r>
      </text>
    </comment>
    <comment ref="G97" authorId="1" shapeId="0" xr:uid="{78BD5F22-7F9E-4E29-AC5B-60B6B403B307}">
      <text>
        <r>
          <rPr>
            <b/>
            <sz val="9"/>
            <color indexed="81"/>
            <rFont val="Tahoma"/>
            <family val="2"/>
          </rPr>
          <t>Schottky Diode Reverse Recovery Charge:</t>
        </r>
        <r>
          <rPr>
            <sz val="9"/>
            <color indexed="81"/>
            <rFont val="Tahoma"/>
            <family val="2"/>
          </rPr>
          <t xml:space="preserve">
Enter the diode reverse recovery charge here.
If a Schottky diode is not used, enter "0" into this cell.</t>
        </r>
      </text>
    </comment>
    <comment ref="F102" authorId="1" shapeId="0" xr:uid="{56C8F21D-41F5-42FF-B317-71F56D907D8E}">
      <text>
        <r>
          <rPr>
            <b/>
            <sz val="9"/>
            <color indexed="81"/>
            <rFont val="Tahoma"/>
            <family val="2"/>
          </rPr>
          <t>IC Power Loss:</t>
        </r>
        <r>
          <rPr>
            <sz val="9"/>
            <color indexed="81"/>
            <rFont val="Tahoma"/>
            <family val="2"/>
          </rPr>
          <t xml:space="preserve">
IC power loss estimate based on nominal input voltage and MOSFET gate drive requirements.</t>
        </r>
      </text>
    </comment>
    <comment ref="F103" authorId="1" shapeId="0" xr:uid="{511B66F5-C403-4A1A-BB71-197567EB2E3F}">
      <text>
        <r>
          <rPr>
            <b/>
            <sz val="9"/>
            <color indexed="81"/>
            <rFont val="Tahoma"/>
            <family val="2"/>
          </rPr>
          <t>IC Junction Temperature:</t>
        </r>
        <r>
          <rPr>
            <sz val="9"/>
            <color indexed="81"/>
            <rFont val="Tahoma"/>
            <family val="2"/>
          </rPr>
          <t xml:space="preserve">
IC junction temperature based on specified ambient temperature and power loss estimate.</t>
        </r>
      </text>
    </comment>
  </commentList>
</comments>
</file>

<file path=xl/sharedStrings.xml><?xml version="1.0" encoding="utf-8"?>
<sst xmlns="http://schemas.openxmlformats.org/spreadsheetml/2006/main" count="161" uniqueCount="116">
  <si>
    <t xml:space="preserve">                      LM(2)5148/-Q1 Synchronous Buck Controller Design Tool</t>
  </si>
  <si>
    <t>http://www.ti.com/product/lm5175</t>
  </si>
  <si>
    <t>About</t>
  </si>
  <si>
    <t>xx</t>
  </si>
  <si>
    <t>= Input Box</t>
  </si>
  <si>
    <t>TERMS OF USE</t>
  </si>
  <si>
    <t xml:space="preserve">                </t>
  </si>
  <si>
    <t>Step 1: Operating Specifications</t>
  </si>
  <si>
    <r>
      <t>Input Voltage – Min, V</t>
    </r>
    <r>
      <rPr>
        <b/>
        <vertAlign val="subscript"/>
        <sz val="10"/>
        <color theme="1"/>
        <rFont val="Arial"/>
        <family val="2"/>
      </rPr>
      <t>IN(min)</t>
    </r>
    <r>
      <rPr>
        <b/>
        <sz val="10"/>
        <color theme="1"/>
        <rFont val="Arial"/>
        <family val="2"/>
      </rPr>
      <t xml:space="preserve"> </t>
    </r>
  </si>
  <si>
    <t>V</t>
  </si>
  <si>
    <r>
      <t>Input Voltage – Nom, V</t>
    </r>
    <r>
      <rPr>
        <b/>
        <vertAlign val="subscript"/>
        <sz val="10"/>
        <color theme="1"/>
        <rFont val="Arial"/>
        <family val="2"/>
      </rPr>
      <t>IN(nom)</t>
    </r>
  </si>
  <si>
    <r>
      <t>Input Voltage – Max, V</t>
    </r>
    <r>
      <rPr>
        <b/>
        <vertAlign val="subscript"/>
        <sz val="10"/>
        <color theme="1"/>
        <rFont val="Arial"/>
        <family val="2"/>
      </rPr>
      <t>IN(max)</t>
    </r>
  </si>
  <si>
    <r>
      <t>Output Voltage, V</t>
    </r>
    <r>
      <rPr>
        <b/>
        <vertAlign val="subscript"/>
        <sz val="10"/>
        <color theme="1"/>
        <rFont val="Arial"/>
        <family val="2"/>
      </rPr>
      <t>OUT</t>
    </r>
    <r>
      <rPr>
        <b/>
        <sz val="10"/>
        <color theme="1"/>
        <rFont val="Arial"/>
        <family val="2"/>
      </rPr>
      <t xml:space="preserve"> </t>
    </r>
  </si>
  <si>
    <r>
      <t>Full Load Output Current, I</t>
    </r>
    <r>
      <rPr>
        <b/>
        <vertAlign val="subscript"/>
        <sz val="10"/>
        <color theme="1"/>
        <rFont val="Arial"/>
        <family val="2"/>
      </rPr>
      <t xml:space="preserve">OUT </t>
    </r>
  </si>
  <si>
    <t>A</t>
  </si>
  <si>
    <r>
      <t>Switching Frequency, F</t>
    </r>
    <r>
      <rPr>
        <b/>
        <vertAlign val="subscript"/>
        <sz val="10"/>
        <color theme="1"/>
        <rFont val="Arial"/>
        <family val="2"/>
      </rPr>
      <t>SW</t>
    </r>
  </si>
  <si>
    <t>kHz</t>
  </si>
  <si>
    <r>
      <t>Frequency Set Resistor, R</t>
    </r>
    <r>
      <rPr>
        <vertAlign val="subscript"/>
        <sz val="10"/>
        <rFont val="Arial"/>
        <family val="2"/>
      </rPr>
      <t>T</t>
    </r>
    <r>
      <rPr>
        <sz val="10"/>
        <rFont val="Arial"/>
        <family val="2"/>
      </rPr>
      <t xml:space="preserve"> </t>
    </r>
  </si>
  <si>
    <t>kΩ</t>
  </si>
  <si>
    <r>
      <t>Ambient Temperature, T</t>
    </r>
    <r>
      <rPr>
        <b/>
        <vertAlign val="subscript"/>
        <sz val="10"/>
        <rFont val="Arial"/>
        <family val="2"/>
      </rPr>
      <t>A</t>
    </r>
  </si>
  <si>
    <t>°C</t>
  </si>
  <si>
    <t>Step 2: Current Sense Resistor</t>
  </si>
  <si>
    <r>
      <t>Required I</t>
    </r>
    <r>
      <rPr>
        <b/>
        <vertAlign val="subscript"/>
        <sz val="10"/>
        <color theme="1"/>
        <rFont val="Arial"/>
        <family val="2"/>
      </rPr>
      <t>OCP</t>
    </r>
    <r>
      <rPr>
        <b/>
        <sz val="10"/>
        <color theme="1"/>
        <rFont val="Arial"/>
        <family val="2"/>
      </rPr>
      <t xml:space="preserve"> Setpoint at V</t>
    </r>
    <r>
      <rPr>
        <b/>
        <vertAlign val="subscript"/>
        <sz val="10"/>
        <color theme="1"/>
        <rFont val="Arial"/>
        <family val="2"/>
      </rPr>
      <t>IN(nom)</t>
    </r>
  </si>
  <si>
    <t>Recommended Shunt Resistance</t>
  </si>
  <si>
    <t>mΩ</t>
  </si>
  <si>
    <r>
      <t>Shunt Resistance, R</t>
    </r>
    <r>
      <rPr>
        <b/>
        <vertAlign val="subscript"/>
        <sz val="10"/>
        <color theme="1"/>
        <rFont val="Arial"/>
        <family val="2"/>
      </rPr>
      <t>S</t>
    </r>
  </si>
  <si>
    <r>
      <t>Min Inductor Sat Current, I</t>
    </r>
    <r>
      <rPr>
        <vertAlign val="subscript"/>
        <sz val="10"/>
        <color theme="1"/>
        <rFont val="Arial"/>
        <family val="2"/>
      </rPr>
      <t>LO(SAT)</t>
    </r>
  </si>
  <si>
    <t>Max Power Loss in Shunt</t>
  </si>
  <si>
    <t>W</t>
  </si>
  <si>
    <r>
      <t>V</t>
    </r>
    <r>
      <rPr>
        <vertAlign val="subscript"/>
        <sz val="10"/>
        <color theme="1"/>
        <rFont val="Arial"/>
        <family val="2"/>
      </rPr>
      <t>IN(min)</t>
    </r>
  </si>
  <si>
    <r>
      <t>I</t>
    </r>
    <r>
      <rPr>
        <vertAlign val="subscript"/>
        <sz val="10"/>
        <rFont val="Arial"/>
        <family val="2"/>
      </rPr>
      <t>OUT(typ)</t>
    </r>
    <r>
      <rPr>
        <sz val="10"/>
        <rFont val="Arial"/>
        <family val="2"/>
      </rPr>
      <t xml:space="preserve"> at OCP Inception:</t>
    </r>
  </si>
  <si>
    <r>
      <t>V</t>
    </r>
    <r>
      <rPr>
        <vertAlign val="subscript"/>
        <sz val="10"/>
        <color theme="1"/>
        <rFont val="Arial"/>
        <family val="2"/>
      </rPr>
      <t>IN(nom)</t>
    </r>
  </si>
  <si>
    <r>
      <t>V</t>
    </r>
    <r>
      <rPr>
        <vertAlign val="subscript"/>
        <sz val="10"/>
        <color theme="1"/>
        <rFont val="Arial"/>
        <family val="2"/>
      </rPr>
      <t>IN(max)</t>
    </r>
  </si>
  <si>
    <t>Step 3: Buck Inductance</t>
  </si>
  <si>
    <t>Inductance for Ideal Slope Comp</t>
  </si>
  <si>
    <t>µH</t>
  </si>
  <si>
    <r>
      <t>Inductance, L</t>
    </r>
    <r>
      <rPr>
        <b/>
        <vertAlign val="subscript"/>
        <sz val="10"/>
        <color theme="1"/>
        <rFont val="Arial"/>
        <family val="2"/>
      </rPr>
      <t>O</t>
    </r>
    <r>
      <rPr>
        <b/>
        <sz val="10"/>
        <color theme="1"/>
        <rFont val="Arial"/>
        <family val="2"/>
      </rPr>
      <t xml:space="preserve"> </t>
    </r>
  </si>
  <si>
    <t xml:space="preserve">Inductor DCR </t>
  </si>
  <si>
    <r>
      <rPr>
        <sz val="10"/>
        <rFont val="Symbol"/>
        <family val="1"/>
        <charset val="2"/>
      </rPr>
      <t>D</t>
    </r>
    <r>
      <rPr>
        <sz val="10"/>
        <rFont val="Arial"/>
        <family val="2"/>
      </rPr>
      <t>I</t>
    </r>
    <r>
      <rPr>
        <vertAlign val="subscript"/>
        <sz val="10"/>
        <rFont val="Arial"/>
        <family val="2"/>
      </rPr>
      <t>L</t>
    </r>
    <r>
      <rPr>
        <sz val="10"/>
        <rFont val="Arial"/>
        <family val="2"/>
      </rPr>
      <t xml:space="preserve"> as a %</t>
    </r>
    <r>
      <rPr>
        <sz val="10"/>
        <rFont val="Arial"/>
        <family val="2"/>
      </rPr>
      <t xml:space="preserve"> at V</t>
    </r>
    <r>
      <rPr>
        <vertAlign val="subscript"/>
        <sz val="10"/>
        <rFont val="Arial"/>
        <family val="2"/>
      </rPr>
      <t>IN(nom)</t>
    </r>
  </si>
  <si>
    <t>%</t>
  </si>
  <si>
    <r>
      <t>Estimate Core Loss at V</t>
    </r>
    <r>
      <rPr>
        <b/>
        <vertAlign val="subscript"/>
        <sz val="10"/>
        <rFont val="Arial"/>
        <family val="2"/>
      </rPr>
      <t>IN(nom)</t>
    </r>
  </si>
  <si>
    <t>Step 4: Output Capacitors</t>
  </si>
  <si>
    <t>Output Voltage Ripple Spec</t>
  </si>
  <si>
    <r>
      <t>mV</t>
    </r>
    <r>
      <rPr>
        <b/>
        <vertAlign val="subscript"/>
        <sz val="10"/>
        <rFont val="Arial"/>
        <family val="2"/>
      </rPr>
      <t>PK=PK</t>
    </r>
  </si>
  <si>
    <t>Minimum Output Capacitance</t>
  </si>
  <si>
    <t>µF</t>
  </si>
  <si>
    <r>
      <t>Output Capacitance (derated), C</t>
    </r>
    <r>
      <rPr>
        <b/>
        <vertAlign val="subscript"/>
        <sz val="10"/>
        <rFont val="Arial"/>
        <family val="2"/>
      </rPr>
      <t>OUT</t>
    </r>
    <r>
      <rPr>
        <b/>
        <sz val="10"/>
        <rFont val="Arial"/>
        <family val="2"/>
      </rPr>
      <t xml:space="preserve"> </t>
    </r>
  </si>
  <si>
    <t>Maximum Permitted ESR</t>
  </si>
  <si>
    <t>Output Capacitor ESR</t>
  </si>
  <si>
    <t xml:space="preserve">Resulting Output Voltage Ripple (max) </t>
  </si>
  <si>
    <r>
      <t>mV</t>
    </r>
    <r>
      <rPr>
        <vertAlign val="subscript"/>
        <sz val="10"/>
        <rFont val="Arial"/>
        <family val="2"/>
      </rPr>
      <t>PK-PK</t>
    </r>
  </si>
  <si>
    <t xml:space="preserve">Output Capacitor RMS Current (max) </t>
  </si>
  <si>
    <r>
      <t>A</t>
    </r>
    <r>
      <rPr>
        <vertAlign val="subscript"/>
        <sz val="10"/>
        <rFont val="Arial"/>
        <family val="2"/>
      </rPr>
      <t>RMS</t>
    </r>
  </si>
  <si>
    <t>Step 5: Input Capacitors</t>
  </si>
  <si>
    <t>Input Voltage Ripple Spec</t>
  </si>
  <si>
    <r>
      <t>mV</t>
    </r>
    <r>
      <rPr>
        <b/>
        <vertAlign val="subscript"/>
        <sz val="10"/>
        <rFont val="Arial"/>
        <family val="2"/>
      </rPr>
      <t>PK-PK</t>
    </r>
  </si>
  <si>
    <t>Minimum Input Capacitance</t>
  </si>
  <si>
    <r>
      <t>Input Capacitance (derated), C</t>
    </r>
    <r>
      <rPr>
        <b/>
        <vertAlign val="subscript"/>
        <sz val="10"/>
        <color theme="1"/>
        <rFont val="Arial"/>
        <family val="2"/>
      </rPr>
      <t>IN</t>
    </r>
    <r>
      <rPr>
        <b/>
        <sz val="10"/>
        <color theme="1"/>
        <rFont val="Arial"/>
        <family val="2"/>
      </rPr>
      <t xml:space="preserve"> </t>
    </r>
  </si>
  <si>
    <t xml:space="preserve"> </t>
  </si>
  <si>
    <t>Input Capacitor ESR</t>
  </si>
  <si>
    <t>Resulting Input Voltage Ripple (max)</t>
  </si>
  <si>
    <t>Input Capacitor RMS Current (max)</t>
  </si>
  <si>
    <t>AEF Filter Inductor</t>
  </si>
  <si>
    <t>Step 6: Precision Enable, DRSS, FPWM / PFM</t>
  </si>
  <si>
    <t>Input Voltage UVLO Turn On</t>
  </si>
  <si>
    <t>Input Voltage UVLO Turn Off</t>
  </si>
  <si>
    <r>
      <t>Upper Enable Resistor, R</t>
    </r>
    <r>
      <rPr>
        <vertAlign val="subscript"/>
        <sz val="10"/>
        <rFont val="Arial"/>
        <family val="2"/>
      </rPr>
      <t>UV1</t>
    </r>
  </si>
  <si>
    <r>
      <t>Lower Enable Resistor, R</t>
    </r>
    <r>
      <rPr>
        <vertAlign val="subscript"/>
        <sz val="10"/>
        <rFont val="Arial"/>
        <family val="2"/>
      </rPr>
      <t>UV2</t>
    </r>
  </si>
  <si>
    <r>
      <t>Configuration Resistor, R</t>
    </r>
    <r>
      <rPr>
        <vertAlign val="subscript"/>
        <sz val="10"/>
        <rFont val="Arial"/>
        <family val="2"/>
      </rPr>
      <t>CNFG</t>
    </r>
  </si>
  <si>
    <t>Step 7: Compensation Design</t>
  </si>
  <si>
    <t>Load Pole Frequency</t>
  </si>
  <si>
    <t>Hz</t>
  </si>
  <si>
    <t>ESR Zero Frequency</t>
  </si>
  <si>
    <t>Desired Crossover Frequency</t>
  </si>
  <si>
    <t>Error Amp Pole Frequency</t>
  </si>
  <si>
    <t>Compensation Components</t>
  </si>
  <si>
    <t>Calculated /</t>
  </si>
  <si>
    <t>Std Values</t>
  </si>
  <si>
    <t>Actual P/Z Frequencies</t>
  </si>
  <si>
    <r>
      <t>R</t>
    </r>
    <r>
      <rPr>
        <b/>
        <vertAlign val="subscript"/>
        <sz val="10"/>
        <rFont val="Arial"/>
        <family val="2"/>
      </rPr>
      <t>C1</t>
    </r>
  </si>
  <si>
    <r>
      <t>Hz   (F</t>
    </r>
    <r>
      <rPr>
        <vertAlign val="subscript"/>
        <sz val="10"/>
        <rFont val="Arial"/>
        <family val="2"/>
      </rPr>
      <t>PEA</t>
    </r>
    <r>
      <rPr>
        <sz val="10"/>
        <rFont val="Arial"/>
        <family val="2"/>
      </rPr>
      <t>)</t>
    </r>
  </si>
  <si>
    <r>
      <t>C</t>
    </r>
    <r>
      <rPr>
        <b/>
        <vertAlign val="subscript"/>
        <sz val="10"/>
        <rFont val="Arial"/>
        <family val="2"/>
      </rPr>
      <t>C1</t>
    </r>
  </si>
  <si>
    <t>nF</t>
  </si>
  <si>
    <r>
      <t>kHz (F</t>
    </r>
    <r>
      <rPr>
        <vertAlign val="subscript"/>
        <sz val="10"/>
        <rFont val="Arial"/>
        <family val="2"/>
      </rPr>
      <t>ZCOMP</t>
    </r>
    <r>
      <rPr>
        <sz val="10"/>
        <rFont val="Arial"/>
        <family val="2"/>
      </rPr>
      <t>)</t>
    </r>
  </si>
  <si>
    <r>
      <t>C</t>
    </r>
    <r>
      <rPr>
        <b/>
        <vertAlign val="subscript"/>
        <sz val="10"/>
        <rFont val="Arial"/>
        <family val="2"/>
      </rPr>
      <t>C2</t>
    </r>
  </si>
  <si>
    <t>pF</t>
  </si>
  <si>
    <r>
      <t>kHz (F</t>
    </r>
    <r>
      <rPr>
        <vertAlign val="subscript"/>
        <sz val="10"/>
        <rFont val="Arial"/>
        <family val="2"/>
      </rPr>
      <t>PCOMP</t>
    </r>
    <r>
      <rPr>
        <sz val="10"/>
        <rFont val="Arial"/>
        <family val="2"/>
      </rPr>
      <t>)</t>
    </r>
  </si>
  <si>
    <t>Efficiency / Power Loss Analyzer</t>
  </si>
  <si>
    <t>Step 8: Efficiency</t>
  </si>
  <si>
    <t>Power MOSFETs</t>
  </si>
  <si>
    <r>
      <t>(Q</t>
    </r>
    <r>
      <rPr>
        <b/>
        <vertAlign val="subscript"/>
        <sz val="10"/>
        <color rgb="FF0000FF"/>
        <rFont val="Arial"/>
        <family val="2"/>
      </rPr>
      <t>1</t>
    </r>
    <r>
      <rPr>
        <b/>
        <sz val="10"/>
        <color rgb="FF0000FF"/>
        <rFont val="Arial"/>
        <family val="2"/>
      </rPr>
      <t>, Q</t>
    </r>
    <r>
      <rPr>
        <b/>
        <vertAlign val="subscript"/>
        <sz val="10"/>
        <color rgb="FF0000FF"/>
        <rFont val="Arial"/>
        <family val="2"/>
      </rPr>
      <t>2</t>
    </r>
    <r>
      <rPr>
        <b/>
        <sz val="10"/>
        <color rgb="FF0000FF"/>
        <rFont val="Arial"/>
        <family val="2"/>
      </rPr>
      <t xml:space="preserve">) </t>
    </r>
  </si>
  <si>
    <t>'852, '824</t>
  </si>
  <si>
    <t>High-side</t>
  </si>
  <si>
    <t xml:space="preserve">  Low-side</t>
  </si>
  <si>
    <r>
      <t>On-State Resistance, R</t>
    </r>
    <r>
      <rPr>
        <b/>
        <vertAlign val="subscript"/>
        <sz val="10"/>
        <rFont val="Arial"/>
        <family val="2"/>
      </rPr>
      <t>DS(on)</t>
    </r>
    <r>
      <rPr>
        <b/>
        <sz val="10"/>
        <rFont val="Arial"/>
        <family val="2"/>
      </rPr>
      <t xml:space="preserve"> </t>
    </r>
  </si>
  <si>
    <r>
      <t>Total Gate Charge, Q</t>
    </r>
    <r>
      <rPr>
        <b/>
        <vertAlign val="subscript"/>
        <sz val="10"/>
        <rFont val="Arial"/>
        <family val="2"/>
      </rPr>
      <t>G</t>
    </r>
    <r>
      <rPr>
        <b/>
        <sz val="10"/>
        <rFont val="Arial"/>
        <family val="2"/>
      </rPr>
      <t xml:space="preserve"> </t>
    </r>
  </si>
  <si>
    <t>nC</t>
  </si>
  <si>
    <r>
      <t>Gate-Drain Charge, Q</t>
    </r>
    <r>
      <rPr>
        <b/>
        <vertAlign val="subscript"/>
        <sz val="10"/>
        <rFont val="Arial"/>
        <family val="2"/>
      </rPr>
      <t>GD</t>
    </r>
    <r>
      <rPr>
        <b/>
        <sz val="10"/>
        <rFont val="Arial"/>
        <family val="2"/>
      </rPr>
      <t xml:space="preserve"> </t>
    </r>
  </si>
  <si>
    <r>
      <t>Gate-Source Charge, Q</t>
    </r>
    <r>
      <rPr>
        <b/>
        <vertAlign val="subscript"/>
        <sz val="10"/>
        <rFont val="Arial"/>
        <family val="2"/>
      </rPr>
      <t>GS</t>
    </r>
    <r>
      <rPr>
        <b/>
        <sz val="10"/>
        <rFont val="Arial"/>
        <family val="2"/>
      </rPr>
      <t xml:space="preserve"> </t>
    </r>
  </si>
  <si>
    <r>
      <t>Output Charge, Q</t>
    </r>
    <r>
      <rPr>
        <b/>
        <vertAlign val="subscript"/>
        <sz val="10"/>
        <rFont val="Arial"/>
        <family val="2"/>
      </rPr>
      <t>OSS</t>
    </r>
    <r>
      <rPr>
        <b/>
        <sz val="10"/>
        <rFont val="Arial"/>
        <family val="2"/>
      </rPr>
      <t xml:space="preserve"> </t>
    </r>
  </si>
  <si>
    <r>
      <t>Output Capacitance, C</t>
    </r>
    <r>
      <rPr>
        <b/>
        <vertAlign val="subscript"/>
        <sz val="10"/>
        <rFont val="Arial"/>
        <family val="2"/>
      </rPr>
      <t>OSS</t>
    </r>
    <r>
      <rPr>
        <b/>
        <sz val="10"/>
        <rFont val="Arial"/>
        <family val="2"/>
      </rPr>
      <t xml:space="preserve"> </t>
    </r>
  </si>
  <si>
    <r>
      <t>Gate Resistance, R</t>
    </r>
    <r>
      <rPr>
        <b/>
        <vertAlign val="subscript"/>
        <sz val="10"/>
        <rFont val="Arial"/>
        <family val="2"/>
      </rPr>
      <t>G</t>
    </r>
    <r>
      <rPr>
        <b/>
        <sz val="10"/>
        <rFont val="Arial"/>
        <family val="2"/>
      </rPr>
      <t xml:space="preserve"> </t>
    </r>
  </si>
  <si>
    <t>Ω</t>
  </si>
  <si>
    <r>
      <t>Transconductance, g</t>
    </r>
    <r>
      <rPr>
        <b/>
        <vertAlign val="subscript"/>
        <sz val="10"/>
        <rFont val="Arial"/>
        <family val="2"/>
      </rPr>
      <t>FS</t>
    </r>
    <r>
      <rPr>
        <b/>
        <sz val="10"/>
        <rFont val="Arial"/>
        <family val="2"/>
      </rPr>
      <t xml:space="preserve"> </t>
    </r>
  </si>
  <si>
    <t>S</t>
  </si>
  <si>
    <r>
      <t>Gate-Source Threshold Voltage, V</t>
    </r>
    <r>
      <rPr>
        <b/>
        <vertAlign val="subscript"/>
        <sz val="10"/>
        <rFont val="Arial"/>
        <family val="2"/>
      </rPr>
      <t>TH</t>
    </r>
    <r>
      <rPr>
        <b/>
        <sz val="10"/>
        <rFont val="Arial"/>
        <family val="2"/>
      </rPr>
      <t xml:space="preserve"> </t>
    </r>
  </si>
  <si>
    <r>
      <t>Body Diode Forward Voltage, V</t>
    </r>
    <r>
      <rPr>
        <b/>
        <vertAlign val="subscript"/>
        <sz val="10"/>
        <rFont val="Arial"/>
        <family val="2"/>
      </rPr>
      <t>BD</t>
    </r>
    <r>
      <rPr>
        <b/>
        <sz val="10"/>
        <rFont val="Arial"/>
        <family val="2"/>
      </rPr>
      <t xml:space="preserve"> </t>
    </r>
  </si>
  <si>
    <r>
      <t>Body Diode Rev Recovery Charge, Q</t>
    </r>
    <r>
      <rPr>
        <b/>
        <vertAlign val="subscript"/>
        <sz val="10"/>
        <rFont val="Arial"/>
        <family val="2"/>
      </rPr>
      <t>RR</t>
    </r>
    <r>
      <rPr>
        <b/>
        <sz val="10"/>
        <rFont val="Arial"/>
        <family val="2"/>
      </rPr>
      <t xml:space="preserve"> </t>
    </r>
  </si>
  <si>
    <r>
      <t>Thermal Resistance, θ</t>
    </r>
    <r>
      <rPr>
        <b/>
        <vertAlign val="subscript"/>
        <sz val="10"/>
        <rFont val="Arial"/>
        <family val="2"/>
      </rPr>
      <t>JA</t>
    </r>
    <r>
      <rPr>
        <b/>
        <sz val="10"/>
        <rFont val="Arial"/>
        <family val="2"/>
      </rPr>
      <t xml:space="preserve"> </t>
    </r>
  </si>
  <si>
    <t>°C/W</t>
  </si>
  <si>
    <t>External Schottky Diode (if applicable)</t>
  </si>
  <si>
    <r>
      <t>Schottky Fwd Voltage, V</t>
    </r>
    <r>
      <rPr>
        <b/>
        <vertAlign val="subscript"/>
        <sz val="10"/>
        <rFont val="Arial"/>
        <family val="2"/>
      </rPr>
      <t>FWDsch</t>
    </r>
    <r>
      <rPr>
        <b/>
        <sz val="10"/>
        <rFont val="Arial"/>
        <family val="2"/>
      </rPr>
      <t xml:space="preserve"> </t>
    </r>
  </si>
  <si>
    <r>
      <t>Schottky Rev Recovery Charge, Q</t>
    </r>
    <r>
      <rPr>
        <b/>
        <vertAlign val="subscript"/>
        <sz val="10"/>
        <rFont val="Arial"/>
        <family val="2"/>
      </rPr>
      <t>RRsch</t>
    </r>
    <r>
      <rPr>
        <b/>
        <sz val="10"/>
        <rFont val="Arial"/>
        <family val="2"/>
      </rPr>
      <t xml:space="preserve"> </t>
    </r>
  </si>
  <si>
    <t>Step 9: IC Power Loss</t>
  </si>
  <si>
    <t>IC Power Dissipation</t>
  </si>
  <si>
    <t>IC Junction Temperature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</si>
</sst>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00"/>
    <numFmt numFmtId="166" formatCode="0.00000000"/>
    <numFmt numFmtId="167" formatCode="0.0000"/>
    <numFmt numFmtId="168" formatCode="#0.0#"/>
  </numFmts>
  <fonts count="64" x14ac:knownFonts="1">
    <font>
      <sz val="10"/>
      <name val="Arial"/>
      <family val="2"/>
    </font>
    <font>
      <b/>
      <sz val="9"/>
      <color rgb="FF000000"/>
      <name val="Arial"/>
      <family val="2"/>
    </font>
    <font>
      <sz val="10"/>
      <name val="Arial"/>
      <family val="2"/>
    </font>
    <font>
      <b/>
      <sz val="10"/>
      <name val="Arial"/>
      <family val="2"/>
    </font>
    <font>
      <sz val="32"/>
      <color theme="0"/>
      <name val="Arial"/>
      <family val="2"/>
    </font>
    <font>
      <sz val="10"/>
      <name val="Calibri"/>
      <family val="2"/>
    </font>
    <font>
      <b/>
      <sz val="22"/>
      <color indexed="9"/>
      <name val="Calibri"/>
      <family val="2"/>
    </font>
    <font>
      <u/>
      <sz val="10"/>
      <color indexed="12"/>
      <name val="Arial"/>
      <family val="2"/>
    </font>
    <font>
      <u/>
      <sz val="10"/>
      <color theme="0" tint="-0.499984740745262"/>
      <name val="Arial"/>
      <family val="2"/>
    </font>
    <font>
      <b/>
      <sz val="12"/>
      <color indexed="9"/>
      <name val="Calibri"/>
      <family val="2"/>
    </font>
    <font>
      <b/>
      <sz val="12"/>
      <color rgb="FF003366"/>
      <name val="Calibri"/>
      <family val="2"/>
    </font>
    <font>
      <b/>
      <sz val="10"/>
      <color indexed="9"/>
      <name val="Calibri"/>
      <family val="2"/>
    </font>
    <font>
      <sz val="10"/>
      <color indexed="56"/>
      <name val="Calibri"/>
      <family val="2"/>
    </font>
    <font>
      <b/>
      <sz val="14"/>
      <color indexed="9"/>
      <name val="Calibri"/>
      <family val="2"/>
    </font>
    <font>
      <b/>
      <sz val="10"/>
      <color indexed="13"/>
      <name val="Calibri"/>
      <family val="2"/>
    </font>
    <font>
      <b/>
      <sz val="12"/>
      <color indexed="12"/>
      <name val="Arial"/>
      <family val="2"/>
    </font>
    <font>
      <b/>
      <i/>
      <sz val="14"/>
      <color indexed="12"/>
      <name val="Calibri"/>
      <family val="2"/>
    </font>
    <font>
      <b/>
      <sz val="10"/>
      <name val="Calibri"/>
      <family val="2"/>
    </font>
    <font>
      <sz val="10"/>
      <color indexed="55"/>
      <name val="Calibri"/>
      <family val="2"/>
    </font>
    <font>
      <b/>
      <sz val="10"/>
      <color theme="1"/>
      <name val="Arial"/>
      <family val="2"/>
    </font>
    <font>
      <b/>
      <vertAlign val="subscript"/>
      <sz val="10"/>
      <color theme="1"/>
      <name val="Arial"/>
      <family val="2"/>
    </font>
    <font>
      <sz val="10"/>
      <color indexed="55"/>
      <name val="Arial"/>
      <family val="2"/>
    </font>
    <font>
      <vertAlign val="subscript"/>
      <sz val="10"/>
      <name val="Arial"/>
      <family val="2"/>
    </font>
    <font>
      <b/>
      <vertAlign val="subscript"/>
      <sz val="10"/>
      <name val="Arial"/>
      <family val="2"/>
    </font>
    <font>
      <b/>
      <i/>
      <sz val="14"/>
      <color indexed="12"/>
      <name val="Arial"/>
      <family val="2"/>
    </font>
    <font>
      <sz val="10"/>
      <color theme="1"/>
      <name val="Arial"/>
      <family val="2"/>
    </font>
    <font>
      <vertAlign val="subscript"/>
      <sz val="10"/>
      <color theme="1"/>
      <name val="Arial"/>
      <family val="2"/>
    </font>
    <font>
      <sz val="10"/>
      <name val="Symbol"/>
      <family val="1"/>
      <charset val="2"/>
    </font>
    <font>
      <b/>
      <sz val="10"/>
      <color theme="0"/>
      <name val="Arial"/>
      <family val="2"/>
    </font>
    <font>
      <b/>
      <i/>
      <sz val="10"/>
      <color indexed="55"/>
      <name val="Arial"/>
      <family val="2"/>
    </font>
    <font>
      <sz val="10"/>
      <color indexed="23"/>
      <name val="Calibri"/>
      <family val="2"/>
    </font>
    <font>
      <b/>
      <sz val="10"/>
      <color rgb="FFC00000"/>
      <name val="Arial"/>
      <family val="2"/>
    </font>
    <font>
      <sz val="10"/>
      <color indexed="23"/>
      <name val="Arial"/>
      <family val="2"/>
    </font>
    <font>
      <b/>
      <sz val="11"/>
      <name val="Arial"/>
      <family val="2"/>
    </font>
    <font>
      <b/>
      <sz val="10"/>
      <color rgb="FFFF0000"/>
      <name val="Arial"/>
      <family val="2"/>
    </font>
    <font>
      <b/>
      <i/>
      <sz val="10"/>
      <name val="Arial"/>
      <family val="2"/>
    </font>
    <font>
      <sz val="10"/>
      <color rgb="FF0000FF"/>
      <name val="Arial"/>
      <family val="2"/>
    </font>
    <font>
      <b/>
      <sz val="10"/>
      <color rgb="FF0000FF"/>
      <name val="Arial"/>
      <family val="2"/>
    </font>
    <font>
      <sz val="10"/>
      <color rgb="FF0000FF"/>
      <name val="Calibri"/>
      <family val="2"/>
    </font>
    <font>
      <b/>
      <sz val="10"/>
      <color indexed="8"/>
      <name val="Arial"/>
      <family val="2"/>
    </font>
    <font>
      <b/>
      <sz val="14"/>
      <color indexed="9"/>
      <name val="Arial"/>
      <family val="2"/>
    </font>
    <font>
      <sz val="12"/>
      <name val="Arial"/>
      <family val="2"/>
    </font>
    <font>
      <sz val="12"/>
      <name val="Calibri"/>
      <family val="2"/>
    </font>
    <font>
      <b/>
      <vertAlign val="subscript"/>
      <sz val="10"/>
      <color rgb="FF0000FF"/>
      <name val="Arial"/>
      <family val="2"/>
    </font>
    <font>
      <i/>
      <sz val="10"/>
      <name val="Arial"/>
      <family val="2"/>
    </font>
    <font>
      <b/>
      <sz val="12"/>
      <color indexed="10"/>
      <name val="Tahoma"/>
      <family val="2"/>
    </font>
    <font>
      <sz val="9"/>
      <color indexed="81"/>
      <name val="Tahoma"/>
      <family val="2"/>
    </font>
    <font>
      <b/>
      <sz val="9"/>
      <color indexed="81"/>
      <name val="Tahoma"/>
      <family val="2"/>
    </font>
    <font>
      <u/>
      <sz val="9"/>
      <color indexed="12"/>
      <name val="Tahoma"/>
      <family val="2"/>
    </font>
    <font>
      <b/>
      <u/>
      <sz val="11"/>
      <color indexed="10"/>
      <name val="Tahoma"/>
      <family val="2"/>
    </font>
    <font>
      <sz val="11"/>
      <color indexed="10"/>
      <name val="Tahoma"/>
      <family val="2"/>
    </font>
    <font>
      <b/>
      <u/>
      <sz val="9"/>
      <color indexed="81"/>
      <name val="Tahoma"/>
      <family val="2"/>
    </font>
    <font>
      <b/>
      <sz val="9"/>
      <color indexed="10"/>
      <name val="Tahoma"/>
      <family val="2"/>
    </font>
    <font>
      <b/>
      <vertAlign val="subscript"/>
      <sz val="9"/>
      <color indexed="10"/>
      <name val="Tahoma"/>
      <family val="2"/>
    </font>
    <font>
      <b/>
      <vertAlign val="subscript"/>
      <sz val="9"/>
      <color indexed="81"/>
      <name val="Tahoma"/>
      <family val="2"/>
    </font>
    <font>
      <vertAlign val="subscript"/>
      <sz val="9"/>
      <color indexed="81"/>
      <name val="Tahoma"/>
      <family val="2"/>
    </font>
    <font>
      <sz val="11"/>
      <color indexed="81"/>
      <name val="Tahoma"/>
      <family val="2"/>
    </font>
    <font>
      <sz val="9"/>
      <color indexed="39"/>
      <name val="Tahoma"/>
      <family val="2"/>
    </font>
    <font>
      <b/>
      <sz val="9"/>
      <color indexed="14"/>
      <name val="Tahoma"/>
      <family val="2"/>
    </font>
    <font>
      <b/>
      <sz val="9"/>
      <color indexed="39"/>
      <name val="Tahoma"/>
      <family val="2"/>
    </font>
    <font>
      <b/>
      <sz val="10"/>
      <color indexed="81"/>
      <name val="Tahoma"/>
      <family val="2"/>
    </font>
    <font>
      <b/>
      <vertAlign val="subscript"/>
      <sz val="10"/>
      <color indexed="81"/>
      <name val="Tahoma"/>
      <family val="2"/>
    </font>
    <font>
      <sz val="10"/>
      <color indexed="81"/>
      <name val="Tahoma"/>
      <family val="2"/>
    </font>
    <font>
      <vertAlign val="subscript"/>
      <sz val="10"/>
      <color indexed="81"/>
      <name val="Tahoma"/>
      <family val="2"/>
    </font>
  </fonts>
  <fills count="10">
    <fill>
      <patternFill patternType="none"/>
    </fill>
    <fill>
      <patternFill patternType="gray125"/>
    </fill>
    <fill>
      <patternFill patternType="solid">
        <fgColor rgb="FFFF0000"/>
        <bgColor indexed="64"/>
      </patternFill>
    </fill>
    <fill>
      <patternFill patternType="solid">
        <fgColor theme="0" tint="-0.499984740745262"/>
        <bgColor indexed="64"/>
      </patternFill>
    </fill>
    <fill>
      <patternFill patternType="solid">
        <fgColor indexed="8"/>
        <bgColor indexed="64"/>
      </patternFill>
    </fill>
    <fill>
      <patternFill patternType="solid">
        <fgColor rgb="FFFFFF00"/>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
      <patternFill patternType="solid">
        <fgColor indexed="56"/>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auto="1"/>
      </right>
      <top style="medium">
        <color auto="1"/>
      </top>
      <bottom/>
      <diagonal/>
    </border>
    <border>
      <left/>
      <right style="medium">
        <color auto="1"/>
      </right>
      <top/>
      <bottom style="medium">
        <color auto="1"/>
      </bottom>
      <diagonal/>
    </border>
    <border>
      <left style="medium">
        <color indexed="64"/>
      </left>
      <right/>
      <top/>
      <bottom style="thin">
        <color indexed="64"/>
      </bottom>
      <diagonal/>
    </border>
    <border>
      <left/>
      <right/>
      <top/>
      <bottom style="thin">
        <color indexed="64"/>
      </bottom>
      <diagonal/>
    </border>
    <border>
      <left/>
      <right style="medium">
        <color indexed="64"/>
      </right>
      <top style="thin">
        <color indexed="64"/>
      </top>
      <bottom/>
      <diagonal/>
    </border>
    <border>
      <left style="medium">
        <color auto="1"/>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2" fillId="0" borderId="0" applyFont="0" applyFill="0" applyBorder="0" applyAlignment="0" applyProtection="0"/>
    <xf numFmtId="0" fontId="7" fillId="0" borderId="0" applyNumberFormat="0" applyFill="0" applyBorder="0" applyAlignment="0" applyProtection="0">
      <alignment vertical="top"/>
      <protection locked="0"/>
    </xf>
  </cellStyleXfs>
  <cellXfs count="261">
    <xf numFmtId="0" fontId="0" fillId="0" borderId="0" xfId="0"/>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5" fillId="3" borderId="0" xfId="0" applyFont="1" applyFill="1"/>
    <xf numFmtId="0" fontId="5" fillId="4" borderId="0" xfId="0" applyFont="1" applyFill="1"/>
    <xf numFmtId="0" fontId="6" fillId="3" borderId="3" xfId="0" applyFont="1" applyFill="1" applyBorder="1" applyAlignment="1">
      <alignment horizontal="left"/>
    </xf>
    <xf numFmtId="0" fontId="6" fillId="3" borderId="0" xfId="0" applyFont="1" applyFill="1" applyAlignment="1">
      <alignment horizontal="left"/>
    </xf>
    <xf numFmtId="0" fontId="8" fillId="3" borderId="0" xfId="2" applyFont="1" applyFill="1" applyAlignment="1" applyProtection="1"/>
    <xf numFmtId="0" fontId="9" fillId="3" borderId="3" xfId="0" applyFont="1" applyFill="1" applyBorder="1" applyAlignment="1">
      <alignment horizontal="left" vertical="center"/>
    </xf>
    <xf numFmtId="0" fontId="9" fillId="3" borderId="0" xfId="0" applyFont="1" applyFill="1" applyAlignment="1">
      <alignment horizontal="left" vertical="center"/>
    </xf>
    <xf numFmtId="0" fontId="8" fillId="3" borderId="0" xfId="2" applyFont="1" applyFill="1" applyBorder="1" applyAlignment="1" applyProtection="1">
      <alignment horizontal="left" vertical="center"/>
    </xf>
    <xf numFmtId="0" fontId="10" fillId="3" borderId="0" xfId="0" applyFont="1" applyFill="1" applyAlignment="1">
      <alignment horizontal="left" vertical="center"/>
    </xf>
    <xf numFmtId="0" fontId="11" fillId="5" borderId="0" xfId="0" applyFont="1" applyFill="1" applyAlignment="1">
      <alignment vertical="center"/>
    </xf>
    <xf numFmtId="0" fontId="9" fillId="3" borderId="0" xfId="0" quotePrefix="1"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xf numFmtId="0" fontId="9" fillId="3" borderId="0" xfId="0" applyFont="1" applyFill="1" applyAlignment="1">
      <alignment horizontal="center" vertical="center"/>
    </xf>
    <xf numFmtId="0" fontId="13" fillId="3" borderId="4" xfId="0" applyFont="1" applyFill="1" applyBorder="1"/>
    <xf numFmtId="0" fontId="13" fillId="3" borderId="5" xfId="0" applyFont="1" applyFill="1" applyBorder="1"/>
    <xf numFmtId="0" fontId="11" fillId="3" borderId="5" xfId="0" applyFont="1" applyFill="1" applyBorder="1"/>
    <xf numFmtId="0" fontId="14" fillId="3" borderId="5" xfId="0" applyFont="1" applyFill="1" applyBorder="1"/>
    <xf numFmtId="0" fontId="15" fillId="6" borderId="3" xfId="0" applyFont="1" applyFill="1" applyBorder="1" applyAlignment="1">
      <alignment vertical="center"/>
    </xf>
    <xf numFmtId="0" fontId="16" fillId="6" borderId="0" xfId="0" applyFont="1" applyFill="1"/>
    <xf numFmtId="0" fontId="17" fillId="6" borderId="0" xfId="0" applyFont="1" applyFill="1"/>
    <xf numFmtId="0" fontId="17" fillId="6" borderId="0" xfId="0" applyFont="1" applyFill="1" applyAlignment="1">
      <alignment horizontal="right"/>
    </xf>
    <xf numFmtId="0" fontId="18" fillId="6" borderId="0" xfId="0" applyFont="1" applyFill="1"/>
    <xf numFmtId="0" fontId="5" fillId="6" borderId="0" xfId="0" applyFont="1" applyFill="1"/>
    <xf numFmtId="0" fontId="5" fillId="6" borderId="6" xfId="0" applyFont="1" applyFill="1" applyBorder="1"/>
    <xf numFmtId="0" fontId="2" fillId="6" borderId="1" xfId="0" applyFont="1" applyFill="1" applyBorder="1" applyAlignment="1">
      <alignment vertical="center"/>
    </xf>
    <xf numFmtId="0" fontId="2" fillId="6" borderId="2" xfId="0" applyFont="1" applyFill="1" applyBorder="1" applyAlignment="1">
      <alignment vertical="center"/>
    </xf>
    <xf numFmtId="0" fontId="2" fillId="6" borderId="2" xfId="0" applyFont="1" applyFill="1" applyBorder="1" applyAlignment="1">
      <alignment horizontal="right" vertical="center"/>
    </xf>
    <xf numFmtId="0" fontId="19" fillId="6" borderId="2" xfId="0" applyFont="1" applyFill="1" applyBorder="1" applyAlignment="1">
      <alignment horizontal="right" vertical="center"/>
    </xf>
    <xf numFmtId="0" fontId="3" fillId="5" borderId="2" xfId="0" applyFont="1" applyFill="1" applyBorder="1" applyAlignment="1" applyProtection="1">
      <alignment vertical="center"/>
      <protection locked="0"/>
    </xf>
    <xf numFmtId="0" fontId="3" fillId="6" borderId="7" xfId="0" applyFont="1" applyFill="1" applyBorder="1" applyAlignment="1">
      <alignment vertical="center"/>
    </xf>
    <xf numFmtId="0" fontId="21" fillId="6" borderId="0" xfId="0" applyFont="1" applyFill="1"/>
    <xf numFmtId="0" fontId="2" fillId="6" borderId="0" xfId="0" applyFont="1" applyFill="1"/>
    <xf numFmtId="0" fontId="2" fillId="6" borderId="3" xfId="0" applyFont="1" applyFill="1" applyBorder="1" applyAlignment="1">
      <alignment vertical="center"/>
    </xf>
    <xf numFmtId="0" fontId="2" fillId="6" borderId="0" xfId="0" applyFont="1" applyFill="1" applyAlignment="1">
      <alignment vertical="center"/>
    </xf>
    <xf numFmtId="0" fontId="2" fillId="6" borderId="0" xfId="0" applyFont="1" applyFill="1" applyAlignment="1">
      <alignment horizontal="right" vertical="center"/>
    </xf>
    <xf numFmtId="0" fontId="19" fillId="6" borderId="0" xfId="0" applyFont="1" applyFill="1" applyAlignment="1">
      <alignment horizontal="right" vertical="center"/>
    </xf>
    <xf numFmtId="0" fontId="3" fillId="5" borderId="0" xfId="0" applyFont="1" applyFill="1" applyAlignment="1" applyProtection="1">
      <alignment vertical="center"/>
      <protection locked="0"/>
    </xf>
    <xf numFmtId="0" fontId="3" fillId="6" borderId="6" xfId="0" applyFont="1" applyFill="1" applyBorder="1" applyAlignment="1">
      <alignment horizontal="left" vertical="center"/>
    </xf>
    <xf numFmtId="0" fontId="3" fillId="6" borderId="6" xfId="0" applyFont="1" applyFill="1" applyBorder="1" applyAlignment="1">
      <alignment vertical="center"/>
    </xf>
    <xf numFmtId="0" fontId="21" fillId="7" borderId="3" xfId="0" applyFont="1" applyFill="1" applyBorder="1"/>
    <xf numFmtId="0" fontId="5" fillId="7" borderId="0" xfId="0" applyFont="1" applyFill="1"/>
    <xf numFmtId="0" fontId="3" fillId="7" borderId="0" xfId="0" applyFont="1" applyFill="1" applyAlignment="1">
      <alignment vertical="center"/>
    </xf>
    <xf numFmtId="1" fontId="3" fillId="5" borderId="0" xfId="0" applyNumberFormat="1" applyFont="1" applyFill="1" applyAlignment="1" applyProtection="1">
      <alignment vertical="center"/>
      <protection locked="0"/>
    </xf>
    <xf numFmtId="0" fontId="21" fillId="7" borderId="0" xfId="0" applyFont="1" applyFill="1"/>
    <xf numFmtId="0" fontId="2" fillId="7" borderId="0" xfId="0" applyFont="1" applyFill="1"/>
    <xf numFmtId="0" fontId="2" fillId="6" borderId="6" xfId="0" applyFont="1" applyFill="1" applyBorder="1" applyAlignment="1">
      <alignment vertical="center"/>
    </xf>
    <xf numFmtId="0" fontId="2" fillId="6" borderId="4" xfId="0" applyFont="1" applyFill="1" applyBorder="1" applyAlignment="1">
      <alignment vertical="center"/>
    </xf>
    <xf numFmtId="0" fontId="5" fillId="7" borderId="5" xfId="0" applyFont="1" applyFill="1" applyBorder="1"/>
    <xf numFmtId="0" fontId="2" fillId="6" borderId="5" xfId="0" applyFont="1" applyFill="1" applyBorder="1" applyAlignment="1">
      <alignment horizontal="right" vertical="center"/>
    </xf>
    <xf numFmtId="0" fontId="3" fillId="7" borderId="5" xfId="0" applyFont="1" applyFill="1" applyBorder="1" applyAlignment="1">
      <alignment horizontal="right" vertical="center"/>
    </xf>
    <xf numFmtId="0" fontId="3" fillId="5" borderId="5" xfId="0" applyFont="1" applyFill="1" applyBorder="1" applyAlignment="1" applyProtection="1">
      <alignment horizontal="right" vertical="center"/>
      <protection locked="0"/>
    </xf>
    <xf numFmtId="0" fontId="3" fillId="7" borderId="8" xfId="0" applyFont="1" applyFill="1" applyBorder="1" applyAlignment="1">
      <alignment vertical="center"/>
    </xf>
    <xf numFmtId="0" fontId="3" fillId="7" borderId="0" xfId="0" applyFont="1" applyFill="1" applyAlignment="1">
      <alignment horizontal="right" vertical="center"/>
    </xf>
    <xf numFmtId="0" fontId="24" fillId="6" borderId="0" xfId="0" applyFont="1" applyFill="1"/>
    <xf numFmtId="0" fontId="2" fillId="6" borderId="2" xfId="0" applyFont="1" applyFill="1" applyBorder="1"/>
    <xf numFmtId="0" fontId="19" fillId="6" borderId="2" xfId="0" applyFont="1" applyFill="1" applyBorder="1" applyAlignment="1">
      <alignment horizontal="right"/>
    </xf>
    <xf numFmtId="0" fontId="3" fillId="5" borderId="2" xfId="0" applyFont="1" applyFill="1" applyBorder="1" applyProtection="1">
      <protection locked="0"/>
    </xf>
    <xf numFmtId="0" fontId="3" fillId="6" borderId="7" xfId="0" applyFont="1" applyFill="1" applyBorder="1"/>
    <xf numFmtId="0" fontId="3" fillId="7" borderId="0" xfId="0" applyFont="1" applyFill="1"/>
    <xf numFmtId="0" fontId="2" fillId="6" borderId="0" xfId="0" applyFont="1" applyFill="1" applyAlignment="1">
      <alignment horizontal="right"/>
    </xf>
    <xf numFmtId="164" fontId="2" fillId="6" borderId="0" xfId="0" applyNumberFormat="1" applyFont="1" applyFill="1"/>
    <xf numFmtId="0" fontId="2" fillId="6" borderId="6" xfId="0" applyFont="1" applyFill="1" applyBorder="1"/>
    <xf numFmtId="164" fontId="2" fillId="7" borderId="0" xfId="0" applyNumberFormat="1" applyFont="1" applyFill="1"/>
    <xf numFmtId="0" fontId="19" fillId="6" borderId="0" xfId="0" applyFont="1" applyFill="1" applyAlignment="1">
      <alignment horizontal="right"/>
    </xf>
    <xf numFmtId="0" fontId="3" fillId="5" borderId="0" xfId="0" applyFont="1" applyFill="1" applyProtection="1">
      <protection locked="0"/>
    </xf>
    <xf numFmtId="0" fontId="3" fillId="6" borderId="6" xfId="0" applyFont="1" applyFill="1" applyBorder="1"/>
    <xf numFmtId="0" fontId="25" fillId="6" borderId="0" xfId="0" applyFont="1" applyFill="1" applyAlignment="1">
      <alignment horizontal="right"/>
    </xf>
    <xf numFmtId="2" fontId="2" fillId="7" borderId="0" xfId="0" applyNumberFormat="1" applyFont="1" applyFill="1"/>
    <xf numFmtId="0" fontId="25" fillId="7" borderId="0" xfId="0" applyFont="1" applyFill="1" applyAlignment="1">
      <alignment horizontal="center"/>
    </xf>
    <xf numFmtId="164" fontId="2" fillId="6" borderId="0" xfId="0" applyNumberFormat="1" applyFont="1" applyFill="1" applyAlignment="1">
      <alignment vertical="center"/>
    </xf>
    <xf numFmtId="164" fontId="2" fillId="7" borderId="0" xfId="0" applyNumberFormat="1" applyFont="1" applyFill="1" applyAlignment="1">
      <alignment vertical="center"/>
    </xf>
    <xf numFmtId="0" fontId="2" fillId="7" borderId="0" xfId="0" applyFont="1" applyFill="1" applyAlignment="1">
      <alignment vertical="center"/>
    </xf>
    <xf numFmtId="0" fontId="2" fillId="7" borderId="0" xfId="0" applyFont="1" applyFill="1" applyAlignment="1">
      <alignment horizontal="right"/>
    </xf>
    <xf numFmtId="0" fontId="2" fillId="6" borderId="5" xfId="0" applyFont="1" applyFill="1" applyBorder="1"/>
    <xf numFmtId="0" fontId="25" fillId="7" borderId="5" xfId="0" applyFont="1" applyFill="1" applyBorder="1" applyAlignment="1">
      <alignment horizontal="center"/>
    </xf>
    <xf numFmtId="164" fontId="2" fillId="6" borderId="5" xfId="0" applyNumberFormat="1" applyFont="1" applyFill="1" applyBorder="1" applyAlignment="1">
      <alignment vertical="center"/>
    </xf>
    <xf numFmtId="0" fontId="2" fillId="6" borderId="8" xfId="0" applyFont="1" applyFill="1" applyBorder="1" applyAlignment="1">
      <alignment vertical="center"/>
    </xf>
    <xf numFmtId="0" fontId="3" fillId="6" borderId="0" xfId="0" applyFont="1" applyFill="1"/>
    <xf numFmtId="164" fontId="3" fillId="6" borderId="0" xfId="0" applyNumberFormat="1" applyFont="1" applyFill="1"/>
    <xf numFmtId="0" fontId="2" fillId="6" borderId="1" xfId="0" applyFont="1" applyFill="1" applyBorder="1"/>
    <xf numFmtId="0" fontId="2" fillId="6" borderId="2" xfId="0" applyFont="1" applyFill="1" applyBorder="1" applyAlignment="1">
      <alignment horizontal="right"/>
    </xf>
    <xf numFmtId="2" fontId="25" fillId="6" borderId="2" xfId="1" applyNumberFormat="1" applyFont="1" applyFill="1" applyBorder="1" applyAlignment="1" applyProtection="1">
      <alignment horizontal="right"/>
    </xf>
    <xf numFmtId="0" fontId="2" fillId="6" borderId="7" xfId="0" applyFont="1" applyFill="1" applyBorder="1"/>
    <xf numFmtId="2" fontId="25" fillId="7" borderId="0" xfId="1" applyNumberFormat="1" applyFont="1" applyFill="1" applyBorder="1" applyAlignment="1" applyProtection="1">
      <alignment horizontal="right"/>
    </xf>
    <xf numFmtId="0" fontId="2" fillId="6" borderId="3" xfId="0" applyFont="1" applyFill="1" applyBorder="1"/>
    <xf numFmtId="1" fontId="2" fillId="6" borderId="0" xfId="0" applyNumberFormat="1" applyFont="1" applyFill="1" applyAlignment="1">
      <alignment vertical="center"/>
    </xf>
    <xf numFmtId="0" fontId="2" fillId="6" borderId="5" xfId="0" applyFont="1" applyFill="1" applyBorder="1" applyAlignment="1">
      <alignment vertical="center"/>
    </xf>
    <xf numFmtId="0" fontId="3" fillId="6" borderId="5" xfId="0" applyFont="1" applyFill="1" applyBorder="1" applyAlignment="1">
      <alignment horizontal="right" vertical="center"/>
    </xf>
    <xf numFmtId="164" fontId="3" fillId="5" borderId="5" xfId="0" applyNumberFormat="1" applyFont="1" applyFill="1" applyBorder="1" applyAlignment="1" applyProtection="1">
      <alignment vertical="center"/>
      <protection locked="0"/>
    </xf>
    <xf numFmtId="0" fontId="3" fillId="6" borderId="8" xfId="0" applyFont="1" applyFill="1" applyBorder="1" applyAlignment="1">
      <alignment vertical="center"/>
    </xf>
    <xf numFmtId="1" fontId="2" fillId="7" borderId="0" xfId="0" applyNumberFormat="1" applyFont="1" applyFill="1" applyAlignment="1">
      <alignment vertical="center"/>
    </xf>
    <xf numFmtId="0" fontId="3" fillId="6" borderId="1" xfId="0" applyFont="1" applyFill="1" applyBorder="1"/>
    <xf numFmtId="0" fontId="3" fillId="6" borderId="2" xfId="0" applyFont="1" applyFill="1" applyBorder="1"/>
    <xf numFmtId="0" fontId="3" fillId="6" borderId="2" xfId="0" applyFont="1" applyFill="1" applyBorder="1" applyAlignment="1">
      <alignment horizontal="right"/>
    </xf>
    <xf numFmtId="1" fontId="3" fillId="5" borderId="2" xfId="0" applyNumberFormat="1" applyFont="1" applyFill="1" applyBorder="1" applyProtection="1">
      <protection locked="0"/>
    </xf>
    <xf numFmtId="0" fontId="2" fillId="7" borderId="3" xfId="0" applyFont="1" applyFill="1" applyBorder="1"/>
    <xf numFmtId="1" fontId="3" fillId="7" borderId="0" xfId="0" applyNumberFormat="1" applyFont="1" applyFill="1"/>
    <xf numFmtId="164" fontId="2" fillId="6" borderId="0" xfId="0" applyNumberFormat="1" applyFont="1" applyFill="1" applyAlignment="1">
      <alignment horizontal="right" vertical="center"/>
    </xf>
    <xf numFmtId="164" fontId="2" fillId="7" borderId="0" xfId="0" applyNumberFormat="1" applyFont="1" applyFill="1" applyAlignment="1">
      <alignment horizontal="right" vertical="center"/>
    </xf>
    <xf numFmtId="0" fontId="3" fillId="6" borderId="0" xfId="0" applyFont="1" applyFill="1" applyAlignment="1">
      <alignment horizontal="right"/>
    </xf>
    <xf numFmtId="1" fontId="3" fillId="5" borderId="0" xfId="0" applyNumberFormat="1" applyFont="1" applyFill="1" applyProtection="1">
      <protection locked="0"/>
    </xf>
    <xf numFmtId="0" fontId="3" fillId="6" borderId="0" xfId="0" applyFont="1" applyFill="1" applyAlignment="1">
      <alignment horizontal="left" vertical="center" wrapText="1"/>
    </xf>
    <xf numFmtId="0" fontId="3" fillId="6" borderId="6" xfId="0" applyFont="1" applyFill="1" applyBorder="1" applyAlignment="1">
      <alignment horizontal="left" vertical="center" wrapText="1"/>
    </xf>
    <xf numFmtId="1" fontId="2" fillId="6" borderId="0" xfId="0" applyNumberFormat="1" applyFont="1" applyFill="1" applyAlignment="1">
      <alignment horizontal="right"/>
    </xf>
    <xf numFmtId="1" fontId="2" fillId="7" borderId="0" xfId="0" applyNumberFormat="1" applyFont="1" applyFill="1" applyAlignment="1">
      <alignment horizontal="right"/>
    </xf>
    <xf numFmtId="0" fontId="3" fillId="6" borderId="0" xfId="0" applyFont="1" applyFill="1" applyAlignment="1">
      <alignment horizontal="left" vertical="center"/>
    </xf>
    <xf numFmtId="0" fontId="28" fillId="7" borderId="6" xfId="0" applyFont="1" applyFill="1" applyBorder="1"/>
    <xf numFmtId="1" fontId="2" fillId="6" borderId="0" xfId="0" applyNumberFormat="1" applyFont="1" applyFill="1"/>
    <xf numFmtId="1" fontId="2" fillId="7" borderId="0" xfId="0" applyNumberFormat="1" applyFont="1" applyFill="1"/>
    <xf numFmtId="0" fontId="3" fillId="6" borderId="0" xfId="0" applyFont="1" applyFill="1" applyAlignment="1">
      <alignment vertical="center"/>
    </xf>
    <xf numFmtId="0" fontId="2" fillId="6" borderId="4" xfId="0" applyFont="1" applyFill="1" applyBorder="1"/>
    <xf numFmtId="0" fontId="2" fillId="6" borderId="5" xfId="0" applyFont="1" applyFill="1" applyBorder="1" applyAlignment="1">
      <alignment horizontal="right"/>
    </xf>
    <xf numFmtId="2" fontId="2" fillId="6" borderId="5" xfId="0" applyNumberFormat="1" applyFont="1" applyFill="1" applyBorder="1"/>
    <xf numFmtId="0" fontId="2" fillId="6" borderId="8" xfId="0" applyFont="1" applyFill="1" applyBorder="1"/>
    <xf numFmtId="0" fontId="29" fillId="7" borderId="3" xfId="0" applyFont="1" applyFill="1" applyBorder="1"/>
    <xf numFmtId="0" fontId="5" fillId="7" borderId="6" xfId="0" applyFont="1" applyFill="1" applyBorder="1"/>
    <xf numFmtId="165" fontId="5" fillId="6" borderId="0" xfId="0" applyNumberFormat="1" applyFont="1" applyFill="1"/>
    <xf numFmtId="166" fontId="5" fillId="6" borderId="0" xfId="0" applyNumberFormat="1" applyFont="1" applyFill="1"/>
    <xf numFmtId="0" fontId="3" fillId="6" borderId="3" xfId="0" applyFont="1" applyFill="1" applyBorder="1"/>
    <xf numFmtId="0" fontId="3" fillId="0" borderId="0" xfId="0" applyFont="1" applyAlignment="1">
      <alignment horizontal="left"/>
    </xf>
    <xf numFmtId="164" fontId="2" fillId="6" borderId="0" xfId="0" applyNumberFormat="1" applyFont="1" applyFill="1" applyAlignment="1">
      <alignment horizontal="right"/>
    </xf>
    <xf numFmtId="167" fontId="5" fillId="6" borderId="0" xfId="0" applyNumberFormat="1" applyFont="1" applyFill="1"/>
    <xf numFmtId="0" fontId="2" fillId="6" borderId="9" xfId="0" applyFont="1" applyFill="1" applyBorder="1"/>
    <xf numFmtId="0" fontId="2" fillId="6" borderId="10" xfId="0" applyFont="1" applyFill="1" applyBorder="1"/>
    <xf numFmtId="0" fontId="2" fillId="6" borderId="10" xfId="0" applyFont="1" applyFill="1" applyBorder="1" applyAlignment="1">
      <alignment horizontal="right" vertical="center"/>
    </xf>
    <xf numFmtId="164" fontId="2" fillId="6" borderId="10" xfId="0" applyNumberFormat="1" applyFont="1" applyFill="1" applyBorder="1" applyAlignment="1">
      <alignment vertical="center"/>
    </xf>
    <xf numFmtId="0" fontId="2" fillId="6" borderId="8" xfId="0" applyFont="1" applyFill="1" applyBorder="1" applyAlignment="1">
      <alignment vertical="top"/>
    </xf>
    <xf numFmtId="0" fontId="3" fillId="5" borderId="0" xfId="0" applyFont="1" applyFill="1"/>
    <xf numFmtId="0" fontId="2" fillId="6" borderId="11" xfId="0" applyFont="1" applyFill="1" applyBorder="1"/>
    <xf numFmtId="0" fontId="29" fillId="7" borderId="0" xfId="0" applyFont="1" applyFill="1"/>
    <xf numFmtId="0" fontId="24" fillId="7" borderId="0" xfId="0" applyFont="1" applyFill="1"/>
    <xf numFmtId="0" fontId="19" fillId="7" borderId="2" xfId="0" applyFont="1" applyFill="1" applyBorder="1" applyAlignment="1">
      <alignment horizontal="right" vertical="center"/>
    </xf>
    <xf numFmtId="0" fontId="3" fillId="6" borderId="0" xfId="0" applyFont="1" applyFill="1" applyAlignment="1">
      <alignment horizontal="right" vertical="center"/>
    </xf>
    <xf numFmtId="0" fontId="5" fillId="6" borderId="0" xfId="0" applyFont="1" applyFill="1" applyAlignment="1">
      <alignment horizontal="right"/>
    </xf>
    <xf numFmtId="0" fontId="30" fillId="6" borderId="0" xfId="0" applyFont="1" applyFill="1" applyAlignment="1">
      <alignment horizontal="right"/>
    </xf>
    <xf numFmtId="0" fontId="0" fillId="0" borderId="0" xfId="0" applyAlignment="1">
      <alignment horizontal="right"/>
    </xf>
    <xf numFmtId="0" fontId="31" fillId="6" borderId="5" xfId="0" applyFont="1" applyFill="1" applyBorder="1" applyAlignment="1">
      <alignment horizontal="right" vertical="center"/>
    </xf>
    <xf numFmtId="0" fontId="2" fillId="7" borderId="5" xfId="0" applyFont="1" applyFill="1" applyBorder="1" applyAlignment="1">
      <alignment horizontal="right" vertical="center"/>
    </xf>
    <xf numFmtId="1" fontId="32" fillId="6" borderId="0" xfId="0" applyNumberFormat="1" applyFont="1" applyFill="1" applyAlignment="1">
      <alignment horizontal="right"/>
    </xf>
    <xf numFmtId="0" fontId="24" fillId="6" borderId="0" xfId="0" applyFont="1" applyFill="1" applyAlignment="1">
      <alignment vertical="center"/>
    </xf>
    <xf numFmtId="0" fontId="3" fillId="6" borderId="5" xfId="0" applyFont="1" applyFill="1" applyBorder="1" applyAlignment="1">
      <alignment horizontal="left" vertical="center"/>
    </xf>
    <xf numFmtId="168" fontId="5" fillId="3" borderId="0" xfId="0" applyNumberFormat="1" applyFont="1" applyFill="1" applyAlignment="1">
      <alignment horizontal="center"/>
    </xf>
    <xf numFmtId="168" fontId="5" fillId="4" borderId="0" xfId="0" applyNumberFormat="1" applyFont="1" applyFill="1" applyAlignment="1">
      <alignment horizontal="center"/>
    </xf>
    <xf numFmtId="1" fontId="2" fillId="6" borderId="2" xfId="0" applyNumberFormat="1" applyFont="1" applyFill="1" applyBorder="1" applyAlignment="1">
      <alignment vertical="center"/>
    </xf>
    <xf numFmtId="0" fontId="2" fillId="6" borderId="7" xfId="0" applyFont="1" applyFill="1" applyBorder="1" applyAlignment="1">
      <alignment vertical="center"/>
    </xf>
    <xf numFmtId="1" fontId="19" fillId="5" borderId="0" xfId="0" applyNumberFormat="1" applyFont="1" applyFill="1" applyAlignment="1" applyProtection="1">
      <alignment horizontal="right" vertical="center"/>
      <protection locked="0"/>
    </xf>
    <xf numFmtId="1" fontId="19" fillId="7" borderId="0" xfId="0" applyNumberFormat="1" applyFont="1" applyFill="1" applyAlignment="1">
      <alignment horizontal="right" vertical="center"/>
    </xf>
    <xf numFmtId="0" fontId="3" fillId="7" borderId="0" xfId="0" applyFont="1" applyFill="1" applyAlignment="1">
      <alignment horizontal="left" vertical="center"/>
    </xf>
    <xf numFmtId="2" fontId="2" fillId="6" borderId="0" xfId="0" applyNumberFormat="1" applyFont="1" applyFill="1" applyAlignment="1">
      <alignment vertical="center"/>
    </xf>
    <xf numFmtId="0" fontId="19" fillId="5" borderId="0" xfId="0" applyFont="1" applyFill="1" applyAlignment="1" applyProtection="1">
      <alignment vertical="center"/>
      <protection locked="0"/>
    </xf>
    <xf numFmtId="0" fontId="19" fillId="7" borderId="0" xfId="0" applyFont="1" applyFill="1" applyAlignment="1">
      <alignment vertical="center"/>
    </xf>
    <xf numFmtId="0" fontId="2" fillId="7" borderId="0" xfId="0" applyFont="1" applyFill="1" applyAlignment="1">
      <alignment horizontal="right" vertical="center"/>
    </xf>
    <xf numFmtId="165" fontId="2" fillId="6" borderId="5" xfId="0" applyNumberFormat="1" applyFont="1" applyFill="1" applyBorder="1" applyAlignment="1">
      <alignment horizontal="right" vertical="center"/>
    </xf>
    <xf numFmtId="1" fontId="3" fillId="7" borderId="3" xfId="0" applyNumberFormat="1" applyFont="1" applyFill="1" applyBorder="1" applyAlignment="1">
      <alignment horizontal="right" vertical="center"/>
    </xf>
    <xf numFmtId="1" fontId="3" fillId="7" borderId="0" xfId="0" applyNumberFormat="1" applyFont="1" applyFill="1" applyAlignment="1" applyProtection="1">
      <alignment horizontal="right" vertical="center"/>
      <protection hidden="1"/>
    </xf>
    <xf numFmtId="0" fontId="3" fillId="6" borderId="0" xfId="0" applyFont="1" applyFill="1" applyAlignment="1">
      <alignment horizontal="left"/>
    </xf>
    <xf numFmtId="0" fontId="2" fillId="7" borderId="0" xfId="0" applyFont="1" applyFill="1" applyAlignment="1">
      <alignment horizontal="left"/>
    </xf>
    <xf numFmtId="0" fontId="33" fillId="6" borderId="3" xfId="0" applyFont="1" applyFill="1" applyBorder="1"/>
    <xf numFmtId="0" fontId="34" fillId="6" borderId="0" xfId="0" applyFont="1" applyFill="1"/>
    <xf numFmtId="0" fontId="35" fillId="6" borderId="0" xfId="0" applyFont="1" applyFill="1" applyAlignment="1">
      <alignment horizontal="right"/>
    </xf>
    <xf numFmtId="164" fontId="35" fillId="6" borderId="0" xfId="0" applyNumberFormat="1" applyFont="1" applyFill="1"/>
    <xf numFmtId="0" fontId="35" fillId="6" borderId="0" xfId="0" applyFont="1" applyFill="1"/>
    <xf numFmtId="0" fontId="2" fillId="6" borderId="0" xfId="0" applyFont="1" applyFill="1" applyAlignment="1">
      <alignment horizontal="left"/>
    </xf>
    <xf numFmtId="168" fontId="5" fillId="8" borderId="0" xfId="0" applyNumberFormat="1" applyFont="1" applyFill="1" applyAlignment="1">
      <alignment horizontal="center"/>
    </xf>
    <xf numFmtId="0" fontId="5" fillId="8" borderId="0" xfId="0" applyFont="1" applyFill="1"/>
    <xf numFmtId="0" fontId="36" fillId="6" borderId="3" xfId="0" applyFont="1" applyFill="1" applyBorder="1" applyAlignment="1">
      <alignment vertical="center"/>
    </xf>
    <xf numFmtId="0" fontId="37" fillId="6" borderId="0" xfId="0" applyFont="1" applyFill="1" applyAlignment="1">
      <alignment horizontal="right" vertical="center"/>
    </xf>
    <xf numFmtId="0" fontId="37" fillId="0" borderId="0" xfId="0" applyFont="1" applyAlignment="1">
      <alignment horizontal="left" vertical="center"/>
    </xf>
    <xf numFmtId="164" fontId="37" fillId="6" borderId="5" xfId="0" applyNumberFormat="1" applyFont="1" applyFill="1" applyBorder="1" applyAlignment="1">
      <alignment horizontal="left" vertical="center"/>
    </xf>
    <xf numFmtId="0" fontId="37" fillId="6" borderId="0" xfId="0" applyFont="1" applyFill="1" applyAlignment="1">
      <alignment horizontal="left" vertical="center"/>
    </xf>
    <xf numFmtId="0" fontId="38" fillId="6" borderId="0" xfId="0" applyFont="1" applyFill="1"/>
    <xf numFmtId="0" fontId="38" fillId="6" borderId="6" xfId="0" applyFont="1" applyFill="1" applyBorder="1"/>
    <xf numFmtId="168" fontId="38" fillId="3" borderId="0" xfId="0" applyNumberFormat="1" applyFont="1" applyFill="1" applyAlignment="1">
      <alignment horizontal="center"/>
    </xf>
    <xf numFmtId="168" fontId="38" fillId="8" borderId="0" xfId="0" applyNumberFormat="1" applyFont="1" applyFill="1" applyAlignment="1">
      <alignment horizontal="center"/>
    </xf>
    <xf numFmtId="0" fontId="38" fillId="8" borderId="0" xfId="0" applyFont="1" applyFill="1"/>
    <xf numFmtId="168" fontId="38" fillId="4" borderId="0" xfId="0" applyNumberFormat="1" applyFont="1" applyFill="1" applyAlignment="1">
      <alignment horizontal="center"/>
    </xf>
    <xf numFmtId="0" fontId="38" fillId="4" borderId="0" xfId="0" applyFont="1" applyFill="1"/>
    <xf numFmtId="0" fontId="3" fillId="6" borderId="1" xfId="0" applyFont="1" applyFill="1" applyBorder="1" applyAlignment="1">
      <alignment horizontal="center"/>
    </xf>
    <xf numFmtId="164" fontId="2" fillId="6" borderId="2" xfId="0" applyNumberFormat="1" applyFont="1" applyFill="1" applyBorder="1" applyAlignment="1">
      <alignment horizontal="left" vertical="center"/>
    </xf>
    <xf numFmtId="0" fontId="2" fillId="7" borderId="2" xfId="0" applyFont="1" applyFill="1" applyBorder="1" applyAlignment="1">
      <alignment horizontal="left"/>
    </xf>
    <xf numFmtId="0" fontId="39" fillId="5" borderId="2" xfId="0" applyFont="1" applyFill="1" applyBorder="1" applyAlignment="1" applyProtection="1">
      <alignment horizontal="right"/>
      <protection locked="0" hidden="1"/>
    </xf>
    <xf numFmtId="0" fontId="39" fillId="6" borderId="7" xfId="0" applyFont="1" applyFill="1" applyBorder="1" applyAlignment="1">
      <alignment horizontal="left"/>
    </xf>
    <xf numFmtId="164" fontId="2" fillId="6" borderId="1" xfId="0" applyNumberFormat="1" applyFont="1" applyFill="1" applyBorder="1" applyAlignment="1">
      <alignment horizontal="right"/>
    </xf>
    <xf numFmtId="0" fontId="2" fillId="6" borderId="7" xfId="0" applyFont="1" applyFill="1" applyBorder="1" applyAlignment="1">
      <alignment horizontal="left"/>
    </xf>
    <xf numFmtId="165" fontId="3" fillId="6" borderId="0" xfId="0" applyNumberFormat="1" applyFont="1" applyFill="1" applyAlignment="1">
      <alignment horizontal="center"/>
    </xf>
    <xf numFmtId="0" fontId="3" fillId="6" borderId="3" xfId="0" applyFont="1" applyFill="1" applyBorder="1" applyAlignment="1">
      <alignment horizontal="center"/>
    </xf>
    <xf numFmtId="164" fontId="2" fillId="6" borderId="0" xfId="0" applyNumberFormat="1" applyFont="1" applyFill="1" applyAlignment="1">
      <alignment horizontal="left" vertical="center"/>
    </xf>
    <xf numFmtId="0" fontId="39" fillId="5" borderId="0" xfId="0" applyFont="1" applyFill="1" applyAlignment="1" applyProtection="1">
      <alignment horizontal="right"/>
      <protection locked="0" hidden="1"/>
    </xf>
    <xf numFmtId="0" fontId="39" fillId="6" borderId="6" xfId="0" applyFont="1" applyFill="1" applyBorder="1" applyAlignment="1">
      <alignment horizontal="left"/>
    </xf>
    <xf numFmtId="164" fontId="2" fillId="6" borderId="3" xfId="0" applyNumberFormat="1" applyFont="1" applyFill="1" applyBorder="1" applyAlignment="1">
      <alignment horizontal="right"/>
    </xf>
    <xf numFmtId="0" fontId="2" fillId="6" borderId="6" xfId="0" applyFont="1" applyFill="1" applyBorder="1" applyAlignment="1">
      <alignment horizontal="left"/>
    </xf>
    <xf numFmtId="0" fontId="3" fillId="6" borderId="4" xfId="0" applyFont="1" applyFill="1" applyBorder="1" applyAlignment="1">
      <alignment horizontal="center"/>
    </xf>
    <xf numFmtId="1" fontId="2" fillId="6" borderId="5" xfId="0" applyNumberFormat="1" applyFont="1" applyFill="1" applyBorder="1" applyAlignment="1">
      <alignment horizontal="left" vertical="center"/>
    </xf>
    <xf numFmtId="0" fontId="2" fillId="7" borderId="5" xfId="0" applyFont="1" applyFill="1" applyBorder="1" applyAlignment="1">
      <alignment horizontal="left"/>
    </xf>
    <xf numFmtId="0" fontId="39" fillId="5" borderId="5" xfId="0" applyFont="1" applyFill="1" applyBorder="1" applyAlignment="1" applyProtection="1">
      <alignment horizontal="right"/>
      <protection locked="0" hidden="1"/>
    </xf>
    <xf numFmtId="0" fontId="39" fillId="6" borderId="8" xfId="0" applyFont="1" applyFill="1" applyBorder="1" applyAlignment="1">
      <alignment horizontal="left"/>
    </xf>
    <xf numFmtId="1" fontId="2" fillId="6" borderId="4" xfId="0" applyNumberFormat="1" applyFont="1" applyFill="1" applyBorder="1" applyAlignment="1">
      <alignment horizontal="right"/>
    </xf>
    <xf numFmtId="0" fontId="2" fillId="6" borderId="8" xfId="0" applyFont="1" applyFill="1" applyBorder="1" applyAlignment="1">
      <alignment horizontal="left"/>
    </xf>
    <xf numFmtId="0" fontId="2" fillId="7" borderId="0" xfId="0" applyFont="1" applyFill="1" applyAlignment="1" applyProtection="1">
      <alignment horizontal="left"/>
      <protection hidden="1"/>
    </xf>
    <xf numFmtId="0" fontId="39" fillId="7" borderId="0" xfId="0" applyFont="1" applyFill="1" applyAlignment="1" applyProtection="1">
      <alignment horizontal="right"/>
      <protection hidden="1"/>
    </xf>
    <xf numFmtId="0" fontId="39" fillId="6" borderId="2" xfId="0" applyFont="1" applyFill="1" applyBorder="1" applyAlignment="1" applyProtection="1">
      <alignment horizontal="left"/>
      <protection hidden="1"/>
    </xf>
    <xf numFmtId="1" fontId="2" fillId="6" borderId="2" xfId="0" applyNumberFormat="1" applyFont="1" applyFill="1" applyBorder="1" applyAlignment="1" applyProtection="1">
      <alignment horizontal="right"/>
      <protection hidden="1"/>
    </xf>
    <xf numFmtId="0" fontId="2" fillId="6" borderId="2" xfId="0" applyFont="1" applyFill="1" applyBorder="1" applyAlignment="1" applyProtection="1">
      <alignment horizontal="left"/>
      <protection hidden="1"/>
    </xf>
    <xf numFmtId="0" fontId="3" fillId="7" borderId="0" xfId="0" applyFont="1" applyFill="1" applyProtection="1">
      <protection locked="0"/>
    </xf>
    <xf numFmtId="0" fontId="2" fillId="6" borderId="0" xfId="0" applyFont="1" applyFill="1" applyAlignment="1" applyProtection="1">
      <alignment horizontal="right"/>
      <protection hidden="1"/>
    </xf>
    <xf numFmtId="0" fontId="2" fillId="6" borderId="0" xfId="0" applyFont="1" applyFill="1" applyProtection="1">
      <protection hidden="1"/>
    </xf>
    <xf numFmtId="0" fontId="40" fillId="9" borderId="12" xfId="0" applyFont="1" applyFill="1" applyBorder="1"/>
    <xf numFmtId="0" fontId="40" fillId="9" borderId="13" xfId="0" applyFont="1" applyFill="1" applyBorder="1"/>
    <xf numFmtId="0" fontId="41" fillId="9" borderId="13" xfId="0" applyFont="1" applyFill="1" applyBorder="1"/>
    <xf numFmtId="0" fontId="42" fillId="9" borderId="13" xfId="0" applyFont="1" applyFill="1" applyBorder="1"/>
    <xf numFmtId="0" fontId="42" fillId="9" borderId="14" xfId="0" applyFont="1" applyFill="1" applyBorder="1"/>
    <xf numFmtId="168" fontId="42" fillId="3" borderId="0" xfId="0" applyNumberFormat="1" applyFont="1" applyFill="1" applyAlignment="1">
      <alignment horizontal="center"/>
    </xf>
    <xf numFmtId="168" fontId="42" fillId="8" borderId="0" xfId="0" applyNumberFormat="1" applyFont="1" applyFill="1" applyAlignment="1">
      <alignment horizontal="center"/>
    </xf>
    <xf numFmtId="0" fontId="42" fillId="8" borderId="0" xfId="0" applyFont="1" applyFill="1"/>
    <xf numFmtId="168" fontId="42" fillId="4" borderId="0" xfId="0" applyNumberFormat="1" applyFont="1" applyFill="1" applyAlignment="1">
      <alignment horizontal="center"/>
    </xf>
    <xf numFmtId="0" fontId="42" fillId="4" borderId="0" xfId="0" applyFont="1" applyFill="1"/>
    <xf numFmtId="0" fontId="15" fillId="6" borderId="3" xfId="0" applyFont="1" applyFill="1" applyBorder="1"/>
    <xf numFmtId="0" fontId="5" fillId="7" borderId="2" xfId="0" applyFont="1" applyFill="1" applyBorder="1"/>
    <xf numFmtId="0" fontId="37" fillId="6" borderId="2" xfId="0" applyFont="1" applyFill="1" applyBorder="1" applyAlignment="1">
      <alignment horizontal="right"/>
    </xf>
    <xf numFmtId="0" fontId="37" fillId="6" borderId="7" xfId="0" applyFont="1" applyFill="1" applyBorder="1" applyAlignment="1">
      <alignment horizontal="left"/>
    </xf>
    <xf numFmtId="0" fontId="5" fillId="7" borderId="3" xfId="0" applyFont="1" applyFill="1" applyBorder="1"/>
    <xf numFmtId="0" fontId="37" fillId="7" borderId="0" xfId="0" applyFont="1" applyFill="1" applyAlignment="1">
      <alignment horizontal="right"/>
    </xf>
    <xf numFmtId="0" fontId="0" fillId="8" borderId="0" xfId="0" applyFill="1"/>
    <xf numFmtId="0" fontId="37" fillId="6" borderId="0" xfId="0" applyFont="1" applyFill="1" applyAlignment="1">
      <alignment horizontal="right"/>
    </xf>
    <xf numFmtId="0" fontId="37" fillId="6" borderId="0" xfId="0" applyFont="1" applyFill="1" applyAlignment="1">
      <alignment horizontal="left"/>
    </xf>
    <xf numFmtId="0" fontId="34" fillId="0" borderId="0" xfId="0" quotePrefix="1" applyFont="1" applyProtection="1">
      <protection locked="0"/>
    </xf>
    <xf numFmtId="0" fontId="34" fillId="7" borderId="3" xfId="0" applyFont="1" applyFill="1" applyBorder="1" applyAlignment="1">
      <alignment horizontal="right"/>
    </xf>
    <xf numFmtId="0" fontId="2" fillId="6" borderId="0" xfId="0" applyFont="1" applyFill="1" applyAlignment="1">
      <alignment horizontal="right" vertical="top"/>
    </xf>
    <xf numFmtId="0" fontId="2" fillId="6" borderId="0" xfId="0" applyFont="1" applyFill="1" applyAlignment="1">
      <alignment horizontal="left" vertical="top"/>
    </xf>
    <xf numFmtId="0" fontId="2" fillId="6" borderId="6" xfId="0" applyFont="1" applyFill="1" applyBorder="1" applyAlignment="1">
      <alignment horizontal="left" vertical="top"/>
    </xf>
    <xf numFmtId="0" fontId="2" fillId="7" borderId="0" xfId="0" applyFont="1" applyFill="1" applyAlignment="1">
      <alignment horizontal="right" vertical="top" readingOrder="1"/>
    </xf>
    <xf numFmtId="164" fontId="3" fillId="5" borderId="0" xfId="0" applyNumberFormat="1" applyFont="1" applyFill="1" applyProtection="1">
      <protection locked="0"/>
    </xf>
    <xf numFmtId="0" fontId="3" fillId="0" borderId="0" xfId="0" applyFont="1"/>
    <xf numFmtId="0" fontId="3" fillId="6" borderId="5" xfId="0" applyFont="1" applyFill="1" applyBorder="1"/>
    <xf numFmtId="0" fontId="3" fillId="6" borderId="5" xfId="0" applyFont="1" applyFill="1" applyBorder="1" applyAlignment="1">
      <alignment horizontal="right"/>
    </xf>
    <xf numFmtId="0" fontId="3" fillId="5" borderId="5" xfId="0" applyFont="1" applyFill="1" applyBorder="1" applyProtection="1">
      <protection locked="0"/>
    </xf>
    <xf numFmtId="0" fontId="3" fillId="7" borderId="3" xfId="0" applyFont="1" applyFill="1" applyBorder="1"/>
    <xf numFmtId="0" fontId="2" fillId="6" borderId="13" xfId="0" applyFont="1" applyFill="1" applyBorder="1"/>
    <xf numFmtId="0" fontId="37" fillId="6" borderId="1" xfId="0" applyFont="1" applyFill="1" applyBorder="1" applyAlignment="1">
      <alignment horizontal="left"/>
    </xf>
    <xf numFmtId="0" fontId="37" fillId="6" borderId="2" xfId="0" applyFont="1" applyFill="1" applyBorder="1" applyAlignment="1">
      <alignment horizontal="left"/>
    </xf>
    <xf numFmtId="0" fontId="44" fillId="6" borderId="2" xfId="0" applyFont="1" applyFill="1" applyBorder="1" applyAlignment="1">
      <alignment horizontal="right" vertical="center"/>
    </xf>
    <xf numFmtId="0" fontId="3" fillId="5" borderId="0" xfId="0" applyFont="1" applyFill="1" applyAlignment="1" applyProtection="1">
      <alignment horizontal="right"/>
      <protection locked="0"/>
    </xf>
    <xf numFmtId="0" fontId="3" fillId="5" borderId="5" xfId="0" applyFont="1" applyFill="1" applyBorder="1" applyAlignment="1" applyProtection="1">
      <alignment horizontal="right"/>
      <protection locked="0"/>
    </xf>
    <xf numFmtId="0" fontId="3" fillId="7" borderId="0" xfId="0" applyFont="1" applyFill="1" applyAlignment="1">
      <alignment horizontal="right"/>
    </xf>
    <xf numFmtId="0" fontId="0" fillId="4" borderId="0" xfId="0" applyFill="1"/>
    <xf numFmtId="0" fontId="2" fillId="7" borderId="4" xfId="0" applyFont="1" applyFill="1" applyBorder="1"/>
    <xf numFmtId="0" fontId="2" fillId="7" borderId="5" xfId="0" applyFont="1" applyFill="1" applyBorder="1"/>
    <xf numFmtId="0" fontId="31" fillId="7" borderId="5" xfId="0" applyFont="1" applyFill="1" applyBorder="1" applyAlignment="1">
      <alignment horizontal="right"/>
    </xf>
    <xf numFmtId="0" fontId="31" fillId="7" borderId="8" xfId="0" applyFont="1" applyFill="1" applyBorder="1" applyAlignment="1">
      <alignment horizontal="right"/>
    </xf>
    <xf numFmtId="0" fontId="5" fillId="6" borderId="0" xfId="0" applyFont="1" applyFill="1" applyAlignment="1">
      <alignment horizontal="left"/>
    </xf>
    <xf numFmtId="0" fontId="5" fillId="6" borderId="5" xfId="0" applyFont="1" applyFill="1" applyBorder="1"/>
    <xf numFmtId="0" fontId="5" fillId="6" borderId="8" xfId="0" applyFont="1" applyFill="1" applyBorder="1"/>
    <xf numFmtId="0" fontId="11" fillId="3" borderId="1" xfId="0" applyFont="1" applyFill="1" applyBorder="1"/>
    <xf numFmtId="0" fontId="11" fillId="3" borderId="2" xfId="0" applyFont="1" applyFill="1" applyBorder="1"/>
    <xf numFmtId="0" fontId="5" fillId="3" borderId="2" xfId="0" applyFont="1" applyFill="1" applyBorder="1"/>
    <xf numFmtId="0" fontId="5" fillId="4" borderId="3" xfId="0" applyFont="1" applyFill="1" applyBorder="1"/>
  </cellXfs>
  <cellStyles count="3">
    <cellStyle name="Comma" xfId="1" builtinId="3"/>
    <cellStyle name="Hyperlink" xfId="2" builtinId="8"/>
    <cellStyle name="Normal" xfId="0" builtinId="0"/>
  </cellStyles>
  <dxfs count="27">
    <dxf>
      <font>
        <b/>
        <i val="0"/>
        <color rgb="FFC00000"/>
      </font>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border>
        <left/>
        <right/>
        <top style="thin">
          <color auto="1"/>
        </top>
        <bottom/>
        <vertical/>
        <horizontal/>
      </border>
    </dxf>
    <dxf>
      <font>
        <color rgb="FFC00000"/>
      </font>
    </dxf>
    <dxf>
      <font>
        <color theme="0"/>
      </font>
      <fill>
        <patternFill>
          <bgColor theme="0"/>
        </patternFill>
      </fill>
      <border>
        <right/>
        <top/>
        <bottom/>
        <vertical/>
        <horizontal/>
      </border>
    </dxf>
    <dxf>
      <font>
        <color theme="0"/>
      </font>
    </dxf>
    <dxf>
      <font>
        <color theme="0"/>
      </font>
      <fill>
        <patternFill>
          <bgColor theme="0"/>
        </patternFill>
      </fill>
    </dxf>
    <dxf>
      <font>
        <color theme="0"/>
      </font>
      <fill>
        <patternFill patternType="solid">
          <bgColor theme="0"/>
        </patternFill>
      </fill>
      <border>
        <right/>
        <top/>
        <bottom/>
        <vertical/>
        <horizontal/>
      </border>
    </dxf>
    <dxf>
      <font>
        <color theme="0"/>
      </font>
      <fill>
        <patternFill patternType="solid">
          <bgColor theme="0"/>
        </patternFill>
      </fill>
      <border>
        <right/>
        <bottom/>
        <vertical/>
        <horizontal/>
      </border>
    </dxf>
    <dxf>
      <font>
        <color rgb="FFFF0000"/>
      </font>
    </dxf>
    <dxf>
      <font>
        <color rgb="FFFF0000"/>
      </font>
    </dxf>
    <dxf>
      <font>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Drop" dropStyle="combo" dx="22" fmlaRange="$1:$1048576" noThreeD="1" sel="0" val="0"/>
</file>

<file path=xl/ctrlProps/ctrlProp4.xml><?xml version="1.0" encoding="utf-8"?>
<formControlPr xmlns="http://schemas.microsoft.com/office/spreadsheetml/2009/9/main" objectType="Spin" dx="16" fmlaLink="$E$63" inc="2" max="120" min="5" page="10" val="40"/>
</file>

<file path=xl/ctrlProps/ctrlProp5.xml><?xml version="1.0" encoding="utf-8"?>
<formControlPr xmlns="http://schemas.microsoft.com/office/spreadsheetml/2009/9/main" objectType="Spin" dx="16" fmlaLink="$E$7" max="58" page="10" val="50"/>
</file>

<file path=xl/ctrlProps/ctrlProp6.xml><?xml version="1.0" encoding="utf-8"?>
<formControlPr xmlns="http://schemas.microsoft.com/office/spreadsheetml/2009/9/main" objectType="Drop" dropLines="2" dropStyle="combo" dx="16" fmlaLink="'[1]Variable Management'!$O$10" fmlaRange="'[1]Variable Management'!$N$8:$N$9" noThreeD="1" sel="1" val="0"/>
</file>

<file path=xl/ctrlProps/ctrlProp7.xml><?xml version="1.0" encoding="utf-8"?>
<formControlPr xmlns="http://schemas.microsoft.com/office/spreadsheetml/2009/9/main" objectType="Drop" dropLines="2" dropStyle="combo" dx="16" fmlaLink="'[1]Variable Management'!$X$10" fmlaRange="'[1]Variable Management'!$W$8:$W$9" noThreeD="1" sel="1" val="0"/>
</file>

<file path=xl/ctrlProps/ctrlProp8.xml><?xml version="1.0" encoding="utf-8"?>
<formControlPr xmlns="http://schemas.microsoft.com/office/spreadsheetml/2009/9/main" objectType="Drop" dropLines="2" dropStyle="combo" dx="16" fmlaLink="'[1]Variable Management'!$X$15" fmlaRange="'[1]Variable Management'!$W$13:$W$14" noThreeD="1" sel="1" val="0"/>
</file>

<file path=xl/ctrlProps/ctrlProp9.xml><?xml version="1.0" encoding="utf-8"?>
<formControlPr xmlns="http://schemas.microsoft.com/office/spreadsheetml/2009/9/main" objectType="Drop" dropLines="2" dropStyle="combo" dx="16" fmlaLink="'[1]Variable Management'!$AA$21" fmlaRange="'[1]Variable Management'!$Z$19:$Z$20" noThreeD="1" sel="2" val="0"/>
</file>

<file path=xl/ctrlProps/ctrlProp10.xml><?xml version="1.0" encoding="utf-8"?>
<formControlPr xmlns="http://schemas.microsoft.com/office/spreadsheetml/2009/9/main" objectType="Drop" dropLines="2" dropStyle="combo" dx="16" fmlaLink="'[1]Variable Management'!$AA$27" fmlaRange="'[1]Variable Management'!$Z$25:$Z$26" noThreeD="1" sel="1" val="0"/>
</file>

<file path=xl/ctrlProps/ctrlProp11.xml><?xml version="1.0" encoding="utf-8"?>
<formControlPr xmlns="http://schemas.microsoft.com/office/spreadsheetml/2009/9/main" objectType="Drop" dropLines="4" dropStyle="combo" dx="16" fmlaLink="'[1]Variable Management'!$Q$29" fmlaRange="'[1]Variable Management'!$P$25:$P$28" noThreeD="1" sel="1" val="0"/>
</file>

<file path=xl/drawings/_rels/drawing1.xml.rels><?xml version="1.0" encoding="UTF-8" standalone="yes"?>
<Relationships xmlns="http://schemas.openxmlformats.org/package/2006/relationships"><Relationship Id="rId8" Type="http://schemas.openxmlformats.org/officeDocument/2006/relationships/image" Target="../media/image6.jpg"/><Relationship Id="rId3" Type="http://schemas.openxmlformats.org/officeDocument/2006/relationships/image" Target="../media/image3.emf"/><Relationship Id="rId7" Type="http://schemas.openxmlformats.org/officeDocument/2006/relationships/image" Target="../media/image5.jp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hyperlink" Target="http://www.ti.com/power" TargetMode="External"/><Relationship Id="rId5" Type="http://schemas.openxmlformats.org/officeDocument/2006/relationships/image" Target="../media/image4.png"/><Relationship Id="rId4" Type="http://schemas.openxmlformats.org/officeDocument/2006/relationships/hyperlink" Target="http://www.ti.com/product/lm5148-q1" TargetMode="Externa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327660</xdr:colOff>
          <xdr:row>70</xdr:row>
          <xdr:rowOff>76200</xdr:rowOff>
        </xdr:from>
        <xdr:to>
          <xdr:col>2</xdr:col>
          <xdr:colOff>899160</xdr:colOff>
          <xdr:row>72</xdr:row>
          <xdr:rowOff>137160</xdr:rowOff>
        </xdr:to>
        <xdr:sp macro="" textlink="">
          <xdr:nvSpPr>
            <xdr:cNvPr id="1025" name="Button 1" hidden="1">
              <a:extLst>
                <a:ext uri="{63B3BB69-23CF-44E3-9099-C40C66FF867C}">
                  <a14:compatExt spid="_x0000_s1025"/>
                </a:ext>
                <a:ext uri="{FF2B5EF4-FFF2-40B4-BE49-F238E27FC236}">
                  <a16:creationId xmlns:a16="http://schemas.microsoft.com/office/drawing/2014/main" id="{ABABF655-35C4-4D9D-86A7-14F91544CCF1}"/>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RESET VALUES</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xdr:from>
          <xdr:col>2</xdr:col>
          <xdr:colOff>327660</xdr:colOff>
          <xdr:row>70</xdr:row>
          <xdr:rowOff>76200</xdr:rowOff>
        </xdr:from>
        <xdr:to>
          <xdr:col>2</xdr:col>
          <xdr:colOff>899160</xdr:colOff>
          <xdr:row>72</xdr:row>
          <xdr:rowOff>137160</xdr:rowOff>
        </xdr:to>
        <xdr:sp macro="" textlink="">
          <xdr:nvSpPr>
            <xdr:cNvPr id="1026" name="Button 2" hidden="1">
              <a:extLst>
                <a:ext uri="{63B3BB69-23CF-44E3-9099-C40C66FF867C}">
                  <a14:compatExt spid="_x0000_s1026"/>
                </a:ext>
                <a:ext uri="{FF2B5EF4-FFF2-40B4-BE49-F238E27FC236}">
                  <a16:creationId xmlns:a16="http://schemas.microsoft.com/office/drawing/2014/main" id="{2929AEE6-E062-4CEF-8762-687B34F1C5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900" b="1" i="0" u="none" strike="noStrike" baseline="0">
                  <a:solidFill>
                    <a:srgbClr val="000000"/>
                  </a:solidFill>
                  <a:latin typeface="Arial"/>
                  <a:cs typeface="Arial"/>
                </a:rPr>
                <a:t>FIX</a:t>
              </a:r>
            </a:p>
            <a:p>
              <a:pPr algn="ctr" rtl="0">
                <a:defRPr sz="1000"/>
              </a:pPr>
              <a:r>
                <a:rPr lang="en-US" sz="900" b="1" i="0" u="none" strike="noStrike" baseline="0">
                  <a:solidFill>
                    <a:srgbClr val="000000"/>
                  </a:solidFill>
                  <a:latin typeface="Arial"/>
                  <a:cs typeface="Arial"/>
                </a:rPr>
                <a:t>VALUES</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5478780</xdr:colOff>
          <xdr:row>0</xdr:row>
          <xdr:rowOff>175260</xdr:rowOff>
        </xdr:from>
        <xdr:to>
          <xdr:col>15</xdr:col>
          <xdr:colOff>5859780</xdr:colOff>
          <xdr:row>0</xdr:row>
          <xdr:rowOff>419100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34CF958D-4E22-4223-A7B1-9A6779A3E8E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228877</xdr:colOff>
          <xdr:row>42</xdr:row>
          <xdr:rowOff>16188</xdr:rowOff>
        </xdr:from>
        <xdr:to>
          <xdr:col>15</xdr:col>
          <xdr:colOff>3999951</xdr:colOff>
          <xdr:row>70</xdr:row>
          <xdr:rowOff>163416</xdr:rowOff>
        </xdr:to>
        <xdr:pic>
          <xdr:nvPicPr>
            <xdr:cNvPr id="2" name="Picture 1174">
              <a:extLst>
                <a:ext uri="{FF2B5EF4-FFF2-40B4-BE49-F238E27FC236}">
                  <a16:creationId xmlns:a16="http://schemas.microsoft.com/office/drawing/2014/main" id="{B6B5993E-4327-4F25-9154-7CCD98833BF3}"/>
                </a:ext>
              </a:extLst>
            </xdr:cNvPr>
            <xdr:cNvPicPr>
              <a:picLocks noChangeAspect="1" noChangeArrowheads="1"/>
              <a:extLst>
                <a:ext uri="{84589F7E-364E-4C9E-8A38-B11213B215E9}">
                  <a14:cameraTool cellRange="PICTURE3" spid="_x0000_s1088"/>
                </a:ext>
              </a:extLst>
            </xdr:cNvPicPr>
          </xdr:nvPicPr>
          <xdr:blipFill>
            <a:blip xmlns:r="http://schemas.openxmlformats.org/officeDocument/2006/relationships" r:embed="rId1"/>
            <a:srcRect/>
            <a:stretch>
              <a:fillRect/>
            </a:stretch>
          </xdr:blipFill>
          <xdr:spPr bwMode="auto">
            <a:xfrm>
              <a:off x="4938037" y="8268648"/>
              <a:ext cx="8617394" cy="539740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587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270920</xdr:colOff>
          <xdr:row>76</xdr:row>
          <xdr:rowOff>124506</xdr:rowOff>
        </xdr:from>
        <xdr:to>
          <xdr:col>15</xdr:col>
          <xdr:colOff>5414862</xdr:colOff>
          <xdr:row>105</xdr:row>
          <xdr:rowOff>65295</xdr:rowOff>
        </xdr:to>
        <xdr:pic>
          <xdr:nvPicPr>
            <xdr:cNvPr id="3" name="Picture 1174">
              <a:extLst>
                <a:ext uri="{FF2B5EF4-FFF2-40B4-BE49-F238E27FC236}">
                  <a16:creationId xmlns:a16="http://schemas.microsoft.com/office/drawing/2014/main" id="{35E22CFF-C63D-4EE6-B366-4B7658A8EFBC}"/>
                </a:ext>
              </a:extLst>
            </xdr:cNvPr>
            <xdr:cNvPicPr>
              <a:picLocks noChangeAspect="1" noChangeArrowheads="1"/>
              <a:extLst>
                <a:ext uri="{84589F7E-364E-4C9E-8A38-B11213B215E9}">
                  <a14:cameraTool cellRange="PICTURE" spid="_x0000_s1089"/>
                </a:ext>
              </a:extLst>
            </xdr:cNvPicPr>
          </xdr:nvPicPr>
          <xdr:blipFill>
            <a:blip xmlns:r="http://schemas.openxmlformats.org/officeDocument/2006/relationships" r:embed="rId2"/>
            <a:srcRect/>
            <a:stretch>
              <a:fillRect/>
            </a:stretch>
          </xdr:blipFill>
          <xdr:spPr bwMode="auto">
            <a:xfrm>
              <a:off x="5886860" y="14815866"/>
              <a:ext cx="9083482" cy="546528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5875">
                  <a:solidFill>
                    <a:srgbClr val="000000"/>
                  </a:solidFill>
                  <a:miter lim="800000"/>
                  <a:headEnd/>
                  <a:tailEnd/>
                </a14:hiddenLine>
              </a:ext>
            </a:extLst>
          </xdr:spPr>
        </xdr:pic>
        <xdr:clientData/>
      </xdr:twoCellAnchor>
    </mc:Choice>
    <mc:Fallback/>
  </mc:AlternateContent>
  <xdr:twoCellAnchor>
    <xdr:from>
      <xdr:col>9</xdr:col>
      <xdr:colOff>265485</xdr:colOff>
      <xdr:row>63</xdr:row>
      <xdr:rowOff>155416</xdr:rowOff>
    </xdr:from>
    <xdr:to>
      <xdr:col>12</xdr:col>
      <xdr:colOff>496584</xdr:colOff>
      <xdr:row>65</xdr:row>
      <xdr:rowOff>40450</xdr:rowOff>
    </xdr:to>
    <xdr:sp macro="" textlink="'[1]Variable Management'!A424">
      <xdr:nvSpPr>
        <xdr:cNvPr id="4" name="Text Box 23">
          <a:extLst>
            <a:ext uri="{FF2B5EF4-FFF2-40B4-BE49-F238E27FC236}">
              <a16:creationId xmlns:a16="http://schemas.microsoft.com/office/drawing/2014/main" id="{A3D8D381-E826-4CBE-A357-F155F2DD572D}"/>
            </a:ext>
          </a:extLst>
        </xdr:cNvPr>
        <xdr:cNvSpPr txBox="1">
          <a:spLocks noChangeArrowheads="1" noTextEdit="1"/>
        </xdr:cNvSpPr>
      </xdr:nvSpPr>
      <xdr:spPr bwMode="auto">
        <a:xfrm>
          <a:off x="5881425" y="12362656"/>
          <a:ext cx="2227539" cy="266034"/>
        </a:xfrm>
        <a:prstGeom prst="rect">
          <a:avLst/>
        </a:prstGeom>
        <a:solidFill>
          <a:schemeClr val="bg1"/>
        </a:solidFill>
        <a:ln w="9525">
          <a:noFill/>
          <a:miter lim="800000"/>
          <a:headEnd/>
          <a:tailEnd/>
        </a:ln>
      </xdr:spPr>
      <xdr:txBody>
        <a:bodyPr vertOverflow="clip" wrap="square" lIns="27432" tIns="22860" rIns="0" bIns="22860" anchor="ctr" upright="1"/>
        <a:lstStyle/>
        <a:p>
          <a:pPr algn="l" rtl="0">
            <a:defRPr sz="1000"/>
          </a:pPr>
          <a:fld id="{10952A97-D9C5-44B7-89A3-65441574648A}" type="TxLink">
            <a:rPr lang="en-US" sz="1100" b="1" i="0" u="none" strike="noStrike" baseline="0">
              <a:solidFill>
                <a:srgbClr val="FF0000"/>
              </a:solidFill>
              <a:latin typeface="Arial"/>
              <a:cs typeface="Arial"/>
            </a:rPr>
            <a:pPr algn="l" rtl="0">
              <a:defRPr sz="1000"/>
            </a:pPr>
            <a:t>Crossover frequency = 39kHz</a:t>
          </a:fld>
          <a:endParaRPr lang="en-US" sz="1100" b="1" i="0" u="none" strike="noStrike" baseline="0">
            <a:solidFill>
              <a:srgbClr val="FF0000"/>
            </a:solidFill>
            <a:latin typeface="Arial"/>
            <a:cs typeface="Arial"/>
          </a:endParaRPr>
        </a:p>
      </xdr:txBody>
    </xdr:sp>
    <xdr:clientData/>
  </xdr:twoCellAnchor>
  <xdr:twoCellAnchor>
    <xdr:from>
      <xdr:col>9</xdr:col>
      <xdr:colOff>278598</xdr:colOff>
      <xdr:row>65</xdr:row>
      <xdr:rowOff>8066</xdr:rowOff>
    </xdr:from>
    <xdr:to>
      <xdr:col>11</xdr:col>
      <xdr:colOff>547251</xdr:colOff>
      <xdr:row>66</xdr:row>
      <xdr:rowOff>113718</xdr:rowOff>
    </xdr:to>
    <xdr:sp macro="" textlink="'[1]Variable Management'!A425">
      <xdr:nvSpPr>
        <xdr:cNvPr id="5" name="Text Box 24">
          <a:extLst>
            <a:ext uri="{FF2B5EF4-FFF2-40B4-BE49-F238E27FC236}">
              <a16:creationId xmlns:a16="http://schemas.microsoft.com/office/drawing/2014/main" id="{96B31F76-F513-43DE-BF82-E43DDFAE4459}"/>
            </a:ext>
          </a:extLst>
        </xdr:cNvPr>
        <xdr:cNvSpPr txBox="1">
          <a:spLocks noChangeArrowheads="1" noTextEdit="1"/>
        </xdr:cNvSpPr>
      </xdr:nvSpPr>
      <xdr:spPr bwMode="auto">
        <a:xfrm>
          <a:off x="5894538" y="12596306"/>
          <a:ext cx="1640253" cy="296152"/>
        </a:xfrm>
        <a:prstGeom prst="rect">
          <a:avLst/>
        </a:prstGeom>
        <a:solidFill>
          <a:schemeClr val="bg1"/>
        </a:solidFill>
        <a:ln w="9525">
          <a:noFill/>
          <a:miter lim="800000"/>
          <a:headEnd/>
          <a:tailEnd/>
        </a:ln>
      </xdr:spPr>
      <xdr:txBody>
        <a:bodyPr vertOverflow="clip" wrap="square" lIns="27432" tIns="22860" rIns="0" bIns="22860" anchor="ctr" upright="1"/>
        <a:lstStyle/>
        <a:p>
          <a:pPr algn="l" rtl="0">
            <a:defRPr sz="1000"/>
          </a:pPr>
          <a:fld id="{95DD25AA-EC3B-4C80-B80E-8DC148525216}" type="TxLink">
            <a:rPr lang="en-US" sz="1100" b="1" i="0" u="none" strike="noStrike" baseline="0">
              <a:solidFill>
                <a:srgbClr val="002060"/>
              </a:solidFill>
              <a:latin typeface="Arial"/>
              <a:cs typeface="Arial"/>
            </a:rPr>
            <a:pPr algn="l" rtl="0">
              <a:defRPr sz="1000"/>
            </a:pPr>
            <a:t>Phase margin = 60°</a:t>
          </a:fld>
          <a:endParaRPr lang="en-US" sz="1100" b="1" i="0" u="none" strike="noStrike" baseline="0">
            <a:solidFill>
              <a:srgbClr val="00206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xdr:from>
          <xdr:col>5</xdr:col>
          <xdr:colOff>22860</xdr:colOff>
          <xdr:row>62</xdr:row>
          <xdr:rowOff>0</xdr:rowOff>
        </xdr:from>
        <xdr:to>
          <xdr:col>5</xdr:col>
          <xdr:colOff>182880</xdr:colOff>
          <xdr:row>62</xdr:row>
          <xdr:rowOff>182880</xdr:rowOff>
        </xdr:to>
        <xdr:sp macro="" textlink="">
          <xdr:nvSpPr>
            <xdr:cNvPr id="1028" name="Spinner 4" hidden="1">
              <a:extLst>
                <a:ext uri="{63B3BB69-23CF-44E3-9099-C40C66FF867C}">
                  <a14:compatExt spid="_x0000_s1028"/>
                </a:ext>
                <a:ext uri="{FF2B5EF4-FFF2-40B4-BE49-F238E27FC236}">
                  <a16:creationId xmlns:a16="http://schemas.microsoft.com/office/drawing/2014/main" id="{22EC6E99-F0DC-4314-BCF2-CB84B368145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137160</xdr:colOff>
          <xdr:row>6</xdr:row>
          <xdr:rowOff>22860</xdr:rowOff>
        </xdr:from>
        <xdr:to>
          <xdr:col>5</xdr:col>
          <xdr:colOff>304800</xdr:colOff>
          <xdr:row>7</xdr:row>
          <xdr:rowOff>22860</xdr:rowOff>
        </xdr:to>
        <xdr:sp macro="" textlink="">
          <xdr:nvSpPr>
            <xdr:cNvPr id="1029" name="Spinner 5" hidden="1">
              <a:extLst>
                <a:ext uri="{63B3BB69-23CF-44E3-9099-C40C66FF867C}">
                  <a14:compatExt spid="_x0000_s1029"/>
                </a:ext>
                <a:ext uri="{FF2B5EF4-FFF2-40B4-BE49-F238E27FC236}">
                  <a16:creationId xmlns:a16="http://schemas.microsoft.com/office/drawing/2014/main" id="{FA460DE5-8DB0-47ED-A433-EE074FAD1E7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50</xdr:row>
          <xdr:rowOff>60960</xdr:rowOff>
        </xdr:from>
        <xdr:to>
          <xdr:col>3</xdr:col>
          <xdr:colOff>449580</xdr:colOff>
          <xdr:row>51</xdr:row>
          <xdr:rowOff>137160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ADE39CD-831B-4C0C-B130-72BB831DF64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233354</xdr:colOff>
          <xdr:row>5</xdr:row>
          <xdr:rowOff>3569</xdr:rowOff>
        </xdr:from>
        <xdr:to>
          <xdr:col>15</xdr:col>
          <xdr:colOff>4080910</xdr:colOff>
          <xdr:row>30</xdr:row>
          <xdr:rowOff>80952</xdr:rowOff>
        </xdr:to>
        <xdr:pic>
          <xdr:nvPicPr>
            <xdr:cNvPr id="6" name="Picture 1175">
              <a:extLst>
                <a:ext uri="{FF2B5EF4-FFF2-40B4-BE49-F238E27FC236}">
                  <a16:creationId xmlns:a16="http://schemas.microsoft.com/office/drawing/2014/main" id="{D9B45D31-6366-45B7-94C4-B898E4732947}"/>
                </a:ext>
              </a:extLst>
            </xdr:cNvPr>
            <xdr:cNvPicPr>
              <a:picLocks noChangeAspect="1" noChangeArrowheads="1"/>
              <a:extLst>
                <a:ext uri="{84589F7E-364E-4C9E-8A38-B11213B215E9}">
                  <a14:cameraTool cellRange="PICTURE2" spid="_x0000_s1090"/>
                </a:ext>
              </a:extLst>
            </xdr:cNvPicPr>
          </xdr:nvPicPr>
          <xdr:blipFill>
            <a:blip xmlns:r="http://schemas.openxmlformats.org/officeDocument/2006/relationships" r:embed="rId3"/>
            <a:srcRect/>
            <a:stretch>
              <a:fillRect/>
            </a:stretch>
          </xdr:blipFill>
          <xdr:spPr bwMode="auto">
            <a:xfrm>
              <a:off x="4942514" y="1398029"/>
              <a:ext cx="8693876" cy="4710343"/>
            </a:xfrm>
            <a:prstGeom prst="rect">
              <a:avLst/>
            </a:prstGeom>
            <a:noFill/>
            <a:ln w="15875">
              <a:noFill/>
              <a:miter lim="800000"/>
              <a:headEnd/>
              <a:tailEnd/>
            </a:ln>
            <a:extLst>
              <a:ext uri="{909E8E84-426E-40DD-AFC4-6F175D3DCCD1}">
                <a14:hiddenFill>
                  <a:solidFill>
                    <a:srgbClr val="FFFFFF" mc:Ignorable="a14" a14:legacySpreadsheetColorIndex="65"/>
                  </a:solidFill>
                </a14:hiddenFill>
              </a:ext>
            </a:extLst>
          </xdr:spPr>
        </xdr:pic>
        <xdr:clientData/>
      </xdr:twoCellAnchor>
    </mc:Choice>
    <mc:Fallback/>
  </mc:AlternateContent>
  <xdr:twoCellAnchor editAs="oneCell">
    <xdr:from>
      <xdr:col>15</xdr:col>
      <xdr:colOff>3485611</xdr:colOff>
      <xdr:row>32</xdr:row>
      <xdr:rowOff>34869</xdr:rowOff>
    </xdr:from>
    <xdr:to>
      <xdr:col>15</xdr:col>
      <xdr:colOff>5756269</xdr:colOff>
      <xdr:row>40</xdr:row>
      <xdr:rowOff>80277</xdr:rowOff>
    </xdr:to>
    <xdr:pic>
      <xdr:nvPicPr>
        <xdr:cNvPr id="7" name="Picture 6">
          <a:hlinkClick xmlns:r="http://schemas.openxmlformats.org/officeDocument/2006/relationships" r:id="rId4"/>
          <a:extLst>
            <a:ext uri="{FF2B5EF4-FFF2-40B4-BE49-F238E27FC236}">
              <a16:creationId xmlns:a16="http://schemas.microsoft.com/office/drawing/2014/main" id="{28468DFC-E5FA-4483-9AF4-4FDA53456B7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041091" y="6466149"/>
          <a:ext cx="2270658" cy="1462728"/>
        </a:xfrm>
        <a:prstGeom prst="rect">
          <a:avLst/>
        </a:prstGeom>
      </xdr:spPr>
    </xdr:pic>
    <xdr:clientData/>
  </xdr:twoCellAnchor>
  <xdr:twoCellAnchor editAs="oneCell">
    <xdr:from>
      <xdr:col>15</xdr:col>
      <xdr:colOff>4051935</xdr:colOff>
      <xdr:row>0</xdr:row>
      <xdr:rowOff>0</xdr:rowOff>
    </xdr:from>
    <xdr:to>
      <xdr:col>16</xdr:col>
      <xdr:colOff>1904</xdr:colOff>
      <xdr:row>4</xdr:row>
      <xdr:rowOff>34290</xdr:rowOff>
    </xdr:to>
    <xdr:pic>
      <xdr:nvPicPr>
        <xdr:cNvPr id="8" name="Picture 7">
          <a:hlinkClick xmlns:r="http://schemas.openxmlformats.org/officeDocument/2006/relationships" r:id="rId6"/>
          <a:extLst>
            <a:ext uri="{FF2B5EF4-FFF2-40B4-BE49-F238E27FC236}">
              <a16:creationId xmlns:a16="http://schemas.microsoft.com/office/drawing/2014/main" id="{2B884A40-C3EA-4746-BB18-B92DB48F69C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607415" y="0"/>
          <a:ext cx="2053589" cy="1177290"/>
        </a:xfrm>
        <a:prstGeom prst="rect">
          <a:avLst/>
        </a:prstGeom>
      </xdr:spPr>
    </xdr:pic>
    <xdr:clientData/>
  </xdr:twoCellAnchor>
  <xdr:twoCellAnchor editAs="oneCell">
    <xdr:from>
      <xdr:col>0</xdr:col>
      <xdr:colOff>9525</xdr:colOff>
      <xdr:row>0</xdr:row>
      <xdr:rowOff>9525</xdr:rowOff>
    </xdr:from>
    <xdr:to>
      <xdr:col>3</xdr:col>
      <xdr:colOff>148590</xdr:colOff>
      <xdr:row>1</xdr:row>
      <xdr:rowOff>3463</xdr:rowOff>
    </xdr:to>
    <xdr:pic>
      <xdr:nvPicPr>
        <xdr:cNvPr id="9" name="Picture 8">
          <a:hlinkClick xmlns:r="http://schemas.openxmlformats.org/officeDocument/2006/relationships" r:id="rId4"/>
          <a:extLst>
            <a:ext uri="{FF2B5EF4-FFF2-40B4-BE49-F238E27FC236}">
              <a16:creationId xmlns:a16="http://schemas.microsoft.com/office/drawing/2014/main" id="{35A48E4E-5239-489D-9983-8833EC1A89D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525" y="9525"/>
          <a:ext cx="2211705" cy="58829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68580</xdr:colOff>
          <xdr:row>50</xdr:row>
          <xdr:rowOff>60960</xdr:rowOff>
        </xdr:from>
        <xdr:to>
          <xdr:col>5</xdr:col>
          <xdr:colOff>335280</xdr:colOff>
          <xdr:row>51</xdr:row>
          <xdr:rowOff>137160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D719C1F2-EB71-4E03-B1EA-323F6CF1CB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15</xdr:col>
      <xdr:colOff>3493770</xdr:colOff>
      <xdr:row>79</xdr:row>
      <xdr:rowOff>156999</xdr:rowOff>
    </xdr:from>
    <xdr:to>
      <xdr:col>15</xdr:col>
      <xdr:colOff>3915713</xdr:colOff>
      <xdr:row>81</xdr:row>
      <xdr:rowOff>29364</xdr:rowOff>
    </xdr:to>
    <xdr:sp macro="" textlink="'[1]Variable Management'!$B$428">
      <xdr:nvSpPr>
        <xdr:cNvPr id="10" name="Text Box 24">
          <a:extLst>
            <a:ext uri="{FF2B5EF4-FFF2-40B4-BE49-F238E27FC236}">
              <a16:creationId xmlns:a16="http://schemas.microsoft.com/office/drawing/2014/main" id="{8F544B53-ADA2-4E13-8180-1195B25077E0}"/>
            </a:ext>
          </a:extLst>
        </xdr:cNvPr>
        <xdr:cNvSpPr txBox="1">
          <a:spLocks noChangeArrowheads="1" noTextEdit="1"/>
        </xdr:cNvSpPr>
      </xdr:nvSpPr>
      <xdr:spPr bwMode="auto">
        <a:xfrm>
          <a:off x="13049250" y="15480819"/>
          <a:ext cx="421943" cy="230505"/>
        </a:xfrm>
        <a:prstGeom prst="rect">
          <a:avLst/>
        </a:prstGeom>
        <a:noFill/>
        <a:ln w="9525">
          <a:noFill/>
          <a:miter lim="800000"/>
          <a:headEnd/>
          <a:tailEnd/>
        </a:ln>
      </xdr:spPr>
      <xdr:txBody>
        <a:bodyPr wrap="square" lIns="27432" tIns="22860" rIns="0" bIns="22860" anchor="b"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fld id="{1F0AFB1C-0795-4024-9821-D34D86340D40}" type="TxLink">
            <a:rPr lang="en-US" sz="1000" b="0" i="0" u="none" strike="noStrike" baseline="0">
              <a:solidFill>
                <a:srgbClr val="000000"/>
              </a:solidFill>
              <a:latin typeface="Arial"/>
              <a:cs typeface="Arial"/>
            </a:rPr>
            <a:pPr algn="l" rtl="0">
              <a:defRPr sz="1000"/>
            </a:pPr>
            <a:t>96.8%</a:t>
          </a:fld>
          <a:endParaRPr lang="en-US" sz="900" b="1" i="0" u="none" strike="noStrike" baseline="0">
            <a:solidFill>
              <a:srgbClr val="000000"/>
            </a:solidFill>
            <a:latin typeface="Arial" pitchFamily="34" charset="0"/>
            <a:cs typeface="Arial" pitchFamily="34" charset="0"/>
          </a:endParaRPr>
        </a:p>
      </xdr:txBody>
    </xdr:sp>
    <xdr:clientData/>
  </xdr:twoCellAnchor>
  <xdr:twoCellAnchor>
    <xdr:from>
      <xdr:col>15</xdr:col>
      <xdr:colOff>411480</xdr:colOff>
      <xdr:row>79</xdr:row>
      <xdr:rowOff>162714</xdr:rowOff>
    </xdr:from>
    <xdr:to>
      <xdr:col>15</xdr:col>
      <xdr:colOff>833423</xdr:colOff>
      <xdr:row>81</xdr:row>
      <xdr:rowOff>35079</xdr:rowOff>
    </xdr:to>
    <xdr:sp macro="" textlink="'[1]Variable Management'!$B$429">
      <xdr:nvSpPr>
        <xdr:cNvPr id="11" name="Text Box 24">
          <a:extLst>
            <a:ext uri="{FF2B5EF4-FFF2-40B4-BE49-F238E27FC236}">
              <a16:creationId xmlns:a16="http://schemas.microsoft.com/office/drawing/2014/main" id="{CAF4B51C-5965-49F0-BE56-21C6FFA0E8EB}"/>
            </a:ext>
          </a:extLst>
        </xdr:cNvPr>
        <xdr:cNvSpPr txBox="1">
          <a:spLocks noChangeArrowheads="1" noTextEdit="1"/>
        </xdr:cNvSpPr>
      </xdr:nvSpPr>
      <xdr:spPr bwMode="auto">
        <a:xfrm>
          <a:off x="9966960" y="15486534"/>
          <a:ext cx="421943" cy="230505"/>
        </a:xfrm>
        <a:prstGeom prst="rect">
          <a:avLst/>
        </a:prstGeom>
        <a:noFill/>
        <a:ln w="9525">
          <a:noFill/>
          <a:miter lim="800000"/>
          <a:headEnd/>
          <a:tailEnd/>
        </a:ln>
      </xdr:spPr>
      <xdr:txBody>
        <a:bodyPr wrap="square" lIns="27432" tIns="22860" rIns="0" bIns="22860" anchor="b"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fld id="{93B0AF30-6523-4122-9521-75B00DB91745}" type="TxLink">
            <a:rPr lang="en-US" sz="1000" b="0" i="0" u="none" strike="noStrike" baseline="0">
              <a:solidFill>
                <a:srgbClr val="000000"/>
              </a:solidFill>
              <a:latin typeface="Arial"/>
              <a:cs typeface="Arial"/>
            </a:rPr>
            <a:pPr algn="l" rtl="0">
              <a:defRPr sz="1000"/>
            </a:pPr>
            <a:t>96.2%</a:t>
          </a:fld>
          <a:endParaRPr lang="en-US" sz="900" b="1" i="0" u="none" strike="noStrike" baseline="0">
            <a:solidFill>
              <a:srgbClr val="000000"/>
            </a:solidFill>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0</xdr:col>
          <xdr:colOff>22860</xdr:colOff>
          <xdr:row>101</xdr:row>
          <xdr:rowOff>0</xdr:rowOff>
        </xdr:from>
        <xdr:to>
          <xdr:col>2</xdr:col>
          <xdr:colOff>22860</xdr:colOff>
          <xdr:row>102</xdr:row>
          <xdr:rowOff>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729FCABD-7A19-4EDA-B246-815DD532E9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absolute">
    <xdr:from>
      <xdr:col>10</xdr:col>
      <xdr:colOff>808966</xdr:colOff>
      <xdr:row>25</xdr:row>
      <xdr:rowOff>102425</xdr:rowOff>
    </xdr:from>
    <xdr:to>
      <xdr:col>11</xdr:col>
      <xdr:colOff>409761</xdr:colOff>
      <xdr:row>27</xdr:row>
      <xdr:rowOff>18374</xdr:rowOff>
    </xdr:to>
    <xdr:sp macro="" textlink="'[1]Variable Management'!B409">
      <xdr:nvSpPr>
        <xdr:cNvPr id="12" name="Text Box 262">
          <a:extLst>
            <a:ext uri="{FF2B5EF4-FFF2-40B4-BE49-F238E27FC236}">
              <a16:creationId xmlns:a16="http://schemas.microsoft.com/office/drawing/2014/main" id="{B7990764-D0E3-43C3-9E62-F04F5F747FEC}"/>
            </a:ext>
          </a:extLst>
        </xdr:cNvPr>
        <xdr:cNvSpPr txBox="1">
          <a:spLocks noChangeArrowheads="1" noTextEdit="1"/>
        </xdr:cNvSpPr>
      </xdr:nvSpPr>
      <xdr:spPr bwMode="auto">
        <a:xfrm>
          <a:off x="6943066" y="5253545"/>
          <a:ext cx="454235" cy="251229"/>
        </a:xfrm>
        <a:prstGeom prst="rect">
          <a:avLst/>
        </a:prstGeom>
        <a:noFill/>
        <a:ln w="9525">
          <a:noFill/>
          <a:miter lim="800000"/>
          <a:headEnd/>
          <a:tailEnd/>
        </a:ln>
      </xdr:spPr>
      <xdr:txBody>
        <a:bodyPr vertOverflow="clip" wrap="square" lIns="27432" tIns="22860" rIns="0" bIns="0" anchor="ctr" upright="1"/>
        <a:lstStyle/>
        <a:p>
          <a:pPr algn="l" rtl="0">
            <a:defRPr sz="1000"/>
          </a:pPr>
          <a:fld id="{2D8520E2-C481-4B17-83BA-3FA209B7A03A}" type="TxLink">
            <a:rPr lang="en-US" sz="1000" b="0" i="0" u="none" strike="noStrike" baseline="0">
              <a:solidFill>
                <a:srgbClr val="000000"/>
              </a:solidFill>
              <a:latin typeface="Arial" pitchFamily="34" charset="0"/>
              <a:cs typeface="Arial" pitchFamily="34" charset="0"/>
            </a:rPr>
            <a:pPr algn="l" rtl="0">
              <a:defRPr sz="1000"/>
            </a:pPr>
            <a:t>56pF</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9</xdr:col>
      <xdr:colOff>291960</xdr:colOff>
      <xdr:row>24</xdr:row>
      <xdr:rowOff>126514</xdr:rowOff>
    </xdr:from>
    <xdr:to>
      <xdr:col>10</xdr:col>
      <xdr:colOff>407471</xdr:colOff>
      <xdr:row>25</xdr:row>
      <xdr:rowOff>138242</xdr:rowOff>
    </xdr:to>
    <xdr:sp macro="" textlink="'[1]Variable Management'!B407">
      <xdr:nvSpPr>
        <xdr:cNvPr id="13" name="Text Box 263">
          <a:extLst>
            <a:ext uri="{FF2B5EF4-FFF2-40B4-BE49-F238E27FC236}">
              <a16:creationId xmlns:a16="http://schemas.microsoft.com/office/drawing/2014/main" id="{4E339A17-B3E5-41C7-9430-D4BDD37B480D}"/>
            </a:ext>
          </a:extLst>
        </xdr:cNvPr>
        <xdr:cNvSpPr txBox="1">
          <a:spLocks noChangeArrowheads="1" noTextEdit="1"/>
        </xdr:cNvSpPr>
      </xdr:nvSpPr>
      <xdr:spPr bwMode="auto">
        <a:xfrm>
          <a:off x="5907900" y="5033794"/>
          <a:ext cx="633671" cy="255568"/>
        </a:xfrm>
        <a:prstGeom prst="rect">
          <a:avLst/>
        </a:prstGeom>
        <a:noFill/>
        <a:ln w="9525">
          <a:noFill/>
          <a:miter lim="800000"/>
          <a:headEnd/>
          <a:tailEnd/>
        </a:ln>
      </xdr:spPr>
      <xdr:txBody>
        <a:bodyPr vertOverflow="clip" wrap="square" lIns="27432" tIns="22860" rIns="0" bIns="0" anchor="t" upright="1"/>
        <a:lstStyle/>
        <a:p>
          <a:pPr algn="ctr" rtl="0">
            <a:defRPr sz="1000"/>
          </a:pPr>
          <a:fld id="{EDB14F34-7391-4353-9626-FAE030CE211F}" type="TxLink">
            <a:rPr lang="en-US" sz="1000" b="0" i="0" u="none" strike="noStrike" baseline="0">
              <a:solidFill>
                <a:srgbClr val="000000"/>
              </a:solidFill>
              <a:latin typeface="Arial" pitchFamily="34" charset="0"/>
              <a:cs typeface="Arial" pitchFamily="34" charset="0"/>
            </a:rPr>
            <a:pPr algn="ctr" rtl="0">
              <a:defRPr sz="1000"/>
            </a:pPr>
            <a:t>12.4kΩ</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15</xdr:col>
      <xdr:colOff>3133628</xdr:colOff>
      <xdr:row>15</xdr:row>
      <xdr:rowOff>59531</xdr:rowOff>
    </xdr:from>
    <xdr:to>
      <xdr:col>15</xdr:col>
      <xdr:colOff>3629712</xdr:colOff>
      <xdr:row>16</xdr:row>
      <xdr:rowOff>98231</xdr:rowOff>
    </xdr:to>
    <xdr:sp macro="" textlink="'[1]Variable Management'!B397">
      <xdr:nvSpPr>
        <xdr:cNvPr id="14" name="Text Box 267">
          <a:extLst>
            <a:ext uri="{FF2B5EF4-FFF2-40B4-BE49-F238E27FC236}">
              <a16:creationId xmlns:a16="http://schemas.microsoft.com/office/drawing/2014/main" id="{775D066B-94C0-4913-A149-4385DC2FA67E}"/>
            </a:ext>
          </a:extLst>
        </xdr:cNvPr>
        <xdr:cNvSpPr txBox="1">
          <a:spLocks noChangeArrowheads="1" noTextEdit="1"/>
        </xdr:cNvSpPr>
      </xdr:nvSpPr>
      <xdr:spPr bwMode="auto">
        <a:xfrm>
          <a:off x="12689108" y="3336131"/>
          <a:ext cx="496084" cy="229200"/>
        </a:xfrm>
        <a:prstGeom prst="rect">
          <a:avLst/>
        </a:prstGeom>
        <a:noFill/>
        <a:ln w="9525">
          <a:noFill/>
          <a:miter lim="800000"/>
          <a:headEnd/>
          <a:tailEnd/>
        </a:ln>
      </xdr:spPr>
      <xdr:txBody>
        <a:bodyPr vertOverflow="clip" wrap="square" lIns="27432" tIns="22860" rIns="0" bIns="0" anchor="ctr" upright="1"/>
        <a:lstStyle/>
        <a:p>
          <a:pPr algn="ctr" rtl="0">
            <a:defRPr sz="1000"/>
          </a:pPr>
          <a:fld id="{DEF62FD0-959B-4627-B7E8-61CA1688D174}" type="TxLink">
            <a:rPr lang="en-US" sz="1000" b="0" i="0" u="none" strike="noStrike" baseline="0">
              <a:solidFill>
                <a:srgbClr val="000000"/>
              </a:solidFill>
              <a:latin typeface="Arial" pitchFamily="34" charset="0"/>
              <a:cs typeface="Arial" pitchFamily="34" charset="0"/>
            </a:rPr>
            <a:pPr algn="ctr" rtl="0">
              <a:defRPr sz="1000"/>
            </a:pPr>
            <a:t>200µF</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15</xdr:col>
      <xdr:colOff>1837592</xdr:colOff>
      <xdr:row>14</xdr:row>
      <xdr:rowOff>17964</xdr:rowOff>
    </xdr:from>
    <xdr:to>
      <xdr:col>15</xdr:col>
      <xdr:colOff>2333341</xdr:colOff>
      <xdr:row>14</xdr:row>
      <xdr:rowOff>241555</xdr:rowOff>
    </xdr:to>
    <xdr:sp macro="" textlink="'[1]Variable Management'!B379">
      <xdr:nvSpPr>
        <xdr:cNvPr id="15" name="Text Box 275">
          <a:extLst>
            <a:ext uri="{FF2B5EF4-FFF2-40B4-BE49-F238E27FC236}">
              <a16:creationId xmlns:a16="http://schemas.microsoft.com/office/drawing/2014/main" id="{B2586449-2AD8-4677-B681-E9C91E34ACA4}"/>
            </a:ext>
          </a:extLst>
        </xdr:cNvPr>
        <xdr:cNvSpPr txBox="1">
          <a:spLocks noChangeArrowheads="1" noTextEdit="1"/>
        </xdr:cNvSpPr>
      </xdr:nvSpPr>
      <xdr:spPr bwMode="auto">
        <a:xfrm>
          <a:off x="11393072" y="3043104"/>
          <a:ext cx="495749" cy="223591"/>
        </a:xfrm>
        <a:prstGeom prst="rect">
          <a:avLst/>
        </a:prstGeom>
        <a:noFill/>
        <a:ln w="9525">
          <a:noFill/>
          <a:miter lim="800000"/>
          <a:headEnd/>
          <a:tailEnd/>
        </a:ln>
      </xdr:spPr>
      <xdr:txBody>
        <a:bodyPr vertOverflow="clip" wrap="square" lIns="27432" tIns="22860" rIns="0" bIns="0" anchor="ctr" upright="1"/>
        <a:lstStyle/>
        <a:p>
          <a:pPr algn="ctr" rtl="0">
            <a:defRPr sz="1000"/>
          </a:pPr>
          <a:fld id="{08583DE7-3129-476B-98BE-2887A134E956}" type="TxLink">
            <a:rPr lang="en-US" sz="1000" b="0" i="0" u="none" strike="noStrike" baseline="0">
              <a:solidFill>
                <a:srgbClr val="000000"/>
              </a:solidFill>
              <a:latin typeface="Arial" pitchFamily="34" charset="0"/>
              <a:cs typeface="Arial" pitchFamily="34" charset="0"/>
            </a:rPr>
            <a:pPr algn="ctr" rtl="0">
              <a:defRPr sz="1000"/>
            </a:pPr>
            <a:t>2.2µH</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15</xdr:col>
      <xdr:colOff>2067626</xdr:colOff>
      <xdr:row>8</xdr:row>
      <xdr:rowOff>50997</xdr:rowOff>
    </xdr:from>
    <xdr:to>
      <xdr:col>15</xdr:col>
      <xdr:colOff>2561649</xdr:colOff>
      <xdr:row>9</xdr:row>
      <xdr:rowOff>136349</xdr:rowOff>
    </xdr:to>
    <xdr:sp macro="" textlink="'[1]Variable Management'!B401">
      <xdr:nvSpPr>
        <xdr:cNvPr id="16" name="Text Box 276">
          <a:extLst>
            <a:ext uri="{FF2B5EF4-FFF2-40B4-BE49-F238E27FC236}">
              <a16:creationId xmlns:a16="http://schemas.microsoft.com/office/drawing/2014/main" id="{CE220A6C-D85A-4F0B-84A8-04B217AB84E4}"/>
            </a:ext>
          </a:extLst>
        </xdr:cNvPr>
        <xdr:cNvSpPr txBox="1">
          <a:spLocks noChangeArrowheads="1" noTextEdit="1"/>
        </xdr:cNvSpPr>
      </xdr:nvSpPr>
      <xdr:spPr bwMode="auto">
        <a:xfrm>
          <a:off x="11623106" y="1978857"/>
          <a:ext cx="494023" cy="252992"/>
        </a:xfrm>
        <a:prstGeom prst="rect">
          <a:avLst/>
        </a:prstGeom>
        <a:noFill/>
        <a:ln w="9525">
          <a:noFill/>
          <a:miter lim="800000"/>
          <a:headEnd/>
          <a:tailEnd/>
        </a:ln>
      </xdr:spPr>
      <xdr:txBody>
        <a:bodyPr vertOverflow="clip" wrap="square" lIns="27432" tIns="22860" rIns="0" bIns="0" anchor="ctr" upright="1"/>
        <a:lstStyle/>
        <a:p>
          <a:pPr algn="ctr" rtl="0">
            <a:defRPr sz="1000"/>
          </a:pPr>
          <a:fld id="{7E8F3901-1453-4951-8E28-510E65401D4C}" type="TxLink">
            <a:rPr lang="en-US" sz="1000" b="0" i="0" u="none" strike="noStrike" baseline="0">
              <a:solidFill>
                <a:srgbClr val="000000"/>
              </a:solidFill>
              <a:latin typeface="Arial" pitchFamily="34" charset="0"/>
              <a:cs typeface="Arial" pitchFamily="34" charset="0"/>
            </a:rPr>
            <a:pPr algn="ctr" rtl="0">
              <a:defRPr sz="1000"/>
            </a:pPr>
            <a:t>30µF</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15</xdr:col>
      <xdr:colOff>3227835</xdr:colOff>
      <xdr:row>11</xdr:row>
      <xdr:rowOff>48221</xdr:rowOff>
    </xdr:from>
    <xdr:to>
      <xdr:col>15</xdr:col>
      <xdr:colOff>3838088</xdr:colOff>
      <xdr:row>12</xdr:row>
      <xdr:rowOff>153978</xdr:rowOff>
    </xdr:to>
    <xdr:sp macro="" textlink="'[1]Variable Management'!B395">
      <xdr:nvSpPr>
        <xdr:cNvPr id="17" name="Text Box 285">
          <a:extLst>
            <a:ext uri="{FF2B5EF4-FFF2-40B4-BE49-F238E27FC236}">
              <a16:creationId xmlns:a16="http://schemas.microsoft.com/office/drawing/2014/main" id="{3463F5F4-5473-4E2F-B86F-5A60E27FE9B1}"/>
            </a:ext>
          </a:extLst>
        </xdr:cNvPr>
        <xdr:cNvSpPr txBox="1">
          <a:spLocks noChangeArrowheads="1" noTextEdit="1"/>
        </xdr:cNvSpPr>
      </xdr:nvSpPr>
      <xdr:spPr bwMode="auto">
        <a:xfrm>
          <a:off x="12783315" y="2479001"/>
          <a:ext cx="610253" cy="273397"/>
        </a:xfrm>
        <a:prstGeom prst="rect">
          <a:avLst/>
        </a:prstGeom>
        <a:noFill/>
        <a:ln w="9525">
          <a:noFill/>
          <a:miter lim="800000"/>
          <a:headEnd/>
          <a:tailEnd/>
        </a:ln>
      </xdr:spPr>
      <xdr:txBody>
        <a:bodyPr vertOverflow="clip" wrap="square" lIns="27432" tIns="22860" rIns="0" bIns="0" anchor="ctr" upright="1"/>
        <a:lstStyle/>
        <a:p>
          <a:pPr algn="l" rtl="0">
            <a:defRPr sz="1000"/>
          </a:pPr>
          <a:fld id="{702C2B8A-7C4B-4FDB-B229-3170089D9686}" type="TxLink">
            <a:rPr lang="en-US" sz="1100" b="1" i="0" u="none" strike="noStrike" baseline="0">
              <a:solidFill>
                <a:srgbClr val="FF0000"/>
              </a:solidFill>
              <a:latin typeface="Arial" pitchFamily="34" charset="0"/>
              <a:cs typeface="Arial" pitchFamily="34" charset="0"/>
            </a:rPr>
            <a:pPr algn="l" rtl="0">
              <a:defRPr sz="1000"/>
            </a:pPr>
            <a:t>12V</a:t>
          </a:fld>
          <a:endParaRPr lang="en-US" sz="1100" b="1" i="0" u="none" strike="noStrike" baseline="0">
            <a:solidFill>
              <a:srgbClr val="FF0000"/>
            </a:solidFill>
            <a:latin typeface="Arial" pitchFamily="34" charset="0"/>
            <a:cs typeface="Arial" pitchFamily="34" charset="0"/>
          </a:endParaRPr>
        </a:p>
      </xdr:txBody>
    </xdr:sp>
    <xdr:clientData/>
  </xdr:twoCellAnchor>
  <xdr:twoCellAnchor editAs="absolute">
    <xdr:from>
      <xdr:col>15</xdr:col>
      <xdr:colOff>3225429</xdr:colOff>
      <xdr:row>12</xdr:row>
      <xdr:rowOff>124573</xdr:rowOff>
    </xdr:from>
    <xdr:to>
      <xdr:col>15</xdr:col>
      <xdr:colOff>3643985</xdr:colOff>
      <xdr:row>13</xdr:row>
      <xdr:rowOff>162140</xdr:rowOff>
    </xdr:to>
    <xdr:sp macro="" textlink="'[1]Variable Management'!B448">
      <xdr:nvSpPr>
        <xdr:cNvPr id="18" name="Text Box 286">
          <a:extLst>
            <a:ext uri="{FF2B5EF4-FFF2-40B4-BE49-F238E27FC236}">
              <a16:creationId xmlns:a16="http://schemas.microsoft.com/office/drawing/2014/main" id="{333A289C-FAD5-4930-B928-6000DD04FF74}"/>
            </a:ext>
          </a:extLst>
        </xdr:cNvPr>
        <xdr:cNvSpPr txBox="1">
          <a:spLocks noChangeArrowheads="1" noTextEdit="1"/>
        </xdr:cNvSpPr>
      </xdr:nvSpPr>
      <xdr:spPr bwMode="auto">
        <a:xfrm>
          <a:off x="12780909" y="2722993"/>
          <a:ext cx="418556" cy="250927"/>
        </a:xfrm>
        <a:prstGeom prst="rect">
          <a:avLst/>
        </a:prstGeom>
        <a:noFill/>
        <a:ln w="9525">
          <a:noFill/>
          <a:miter lim="800000"/>
          <a:headEnd/>
          <a:tailEnd/>
        </a:ln>
      </xdr:spPr>
      <xdr:txBody>
        <a:bodyPr vertOverflow="clip" wrap="square" lIns="27432" tIns="22860" rIns="0" bIns="0" anchor="t" upright="1"/>
        <a:lstStyle/>
        <a:p>
          <a:pPr algn="l" rtl="0">
            <a:defRPr sz="1000"/>
          </a:pPr>
          <a:fld id="{E0FB88FA-F39E-4ACF-AB5E-DCB628763AAE}" type="TxLink">
            <a:rPr lang="en-US" sz="1100" b="1" i="0" u="none" strike="noStrike">
              <a:solidFill>
                <a:srgbClr val="FF0000"/>
              </a:solidFill>
              <a:latin typeface="Arial" pitchFamily="34" charset="0"/>
              <a:cs typeface="Arial" pitchFamily="34" charset="0"/>
            </a:rPr>
            <a:pPr algn="l" rtl="0">
              <a:defRPr sz="1000"/>
            </a:pPr>
            <a:t>5A</a:t>
          </a:fld>
          <a:endParaRPr lang="en-US" sz="1100" b="1" i="0" strike="noStrike">
            <a:solidFill>
              <a:srgbClr val="FF0000"/>
            </a:solidFill>
            <a:latin typeface="Arial" pitchFamily="34" charset="0"/>
            <a:cs typeface="Arial" pitchFamily="34" charset="0"/>
          </a:endParaRPr>
        </a:p>
      </xdr:txBody>
    </xdr:sp>
    <xdr:clientData/>
  </xdr:twoCellAnchor>
  <xdr:twoCellAnchor editAs="absolute">
    <xdr:from>
      <xdr:col>15</xdr:col>
      <xdr:colOff>2372103</xdr:colOff>
      <xdr:row>12</xdr:row>
      <xdr:rowOff>173205</xdr:rowOff>
    </xdr:from>
    <xdr:to>
      <xdr:col>15</xdr:col>
      <xdr:colOff>2828283</xdr:colOff>
      <xdr:row>13</xdr:row>
      <xdr:rowOff>204628</xdr:rowOff>
    </xdr:to>
    <xdr:sp macro="" textlink="'[1]Variable Management'!B381">
      <xdr:nvSpPr>
        <xdr:cNvPr id="19" name="Text Box 275">
          <a:extLst>
            <a:ext uri="{FF2B5EF4-FFF2-40B4-BE49-F238E27FC236}">
              <a16:creationId xmlns:a16="http://schemas.microsoft.com/office/drawing/2014/main" id="{D6DDB804-7FB9-4D23-9D98-E3B449D1694B}"/>
            </a:ext>
          </a:extLst>
        </xdr:cNvPr>
        <xdr:cNvSpPr txBox="1">
          <a:spLocks noChangeArrowheads="1" noTextEdit="1"/>
        </xdr:cNvSpPr>
      </xdr:nvSpPr>
      <xdr:spPr bwMode="auto">
        <a:xfrm>
          <a:off x="11927583" y="2771625"/>
          <a:ext cx="456180" cy="244783"/>
        </a:xfrm>
        <a:prstGeom prst="rect">
          <a:avLst/>
        </a:prstGeom>
        <a:noFill/>
        <a:ln w="9525">
          <a:noFill/>
          <a:miter lim="800000"/>
          <a:headEnd/>
          <a:tailEnd/>
        </a:ln>
      </xdr:spPr>
      <xdr:txBody>
        <a:bodyPr vertOverflow="clip" wrap="square" lIns="27432" tIns="22860" rIns="0" bIns="0" anchor="ctr" upright="1"/>
        <a:lstStyle/>
        <a:p>
          <a:pPr algn="ctr" rtl="0">
            <a:defRPr sz="1000"/>
          </a:pPr>
          <a:fld id="{952677B8-8C18-463F-B0C9-D2099A1EBA1B}" type="TxLink">
            <a:rPr lang="en-US" sz="1000" b="0" i="0" u="none" strike="noStrike" baseline="0">
              <a:solidFill>
                <a:srgbClr val="000000"/>
              </a:solidFill>
              <a:latin typeface="Arial" panose="020B0604020202020204" pitchFamily="34" charset="0"/>
              <a:cs typeface="Arial" panose="020B0604020202020204" pitchFamily="34" charset="0"/>
            </a:rPr>
            <a:pPr algn="ctr" rtl="0">
              <a:defRPr sz="1000"/>
            </a:pPr>
            <a:t>2mΩ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9</xdr:col>
      <xdr:colOff>410523</xdr:colOff>
      <xdr:row>26</xdr:row>
      <xdr:rowOff>137173</xdr:rowOff>
    </xdr:from>
    <xdr:to>
      <xdr:col>10</xdr:col>
      <xdr:colOff>304313</xdr:colOff>
      <xdr:row>28</xdr:row>
      <xdr:rowOff>50975</xdr:rowOff>
    </xdr:to>
    <xdr:sp macro="" textlink="'[1]Variable Management'!B408">
      <xdr:nvSpPr>
        <xdr:cNvPr id="20" name="Text Box 261">
          <a:extLst>
            <a:ext uri="{FF2B5EF4-FFF2-40B4-BE49-F238E27FC236}">
              <a16:creationId xmlns:a16="http://schemas.microsoft.com/office/drawing/2014/main" id="{AFD8E8D6-2A20-43F3-8CF3-CA6C3AA3335B}"/>
            </a:ext>
          </a:extLst>
        </xdr:cNvPr>
        <xdr:cNvSpPr txBox="1">
          <a:spLocks noChangeArrowheads="1" noTextEdit="1"/>
        </xdr:cNvSpPr>
      </xdr:nvSpPr>
      <xdr:spPr bwMode="auto">
        <a:xfrm>
          <a:off x="6026463" y="5455933"/>
          <a:ext cx="411950" cy="249082"/>
        </a:xfrm>
        <a:prstGeom prst="rect">
          <a:avLst/>
        </a:prstGeom>
        <a:noFill/>
        <a:ln w="9525">
          <a:noFill/>
          <a:miter lim="800000"/>
          <a:headEnd/>
          <a:tailEnd/>
        </a:ln>
      </xdr:spPr>
      <xdr:txBody>
        <a:bodyPr vertOverflow="clip" wrap="square" lIns="27432" tIns="22860" rIns="0" bIns="0" anchor="t" upright="1"/>
        <a:lstStyle/>
        <a:p>
          <a:pPr algn="ctr" rtl="0">
            <a:defRPr sz="1000"/>
          </a:pPr>
          <a:fld id="{B9060F6D-CAA3-48E6-BAE7-37C16D6980D0}" type="TxLink">
            <a:rPr lang="en-US" sz="1000" b="0" i="0" u="none" strike="noStrike" baseline="0">
              <a:solidFill>
                <a:srgbClr val="000000"/>
              </a:solidFill>
              <a:latin typeface="Arial" panose="020B0604020202020204" pitchFamily="34" charset="0"/>
              <a:cs typeface="Arial" panose="020B0604020202020204" pitchFamily="34" charset="0"/>
            </a:rPr>
            <a:pPr algn="ctr" rtl="0">
              <a:defRPr sz="1000"/>
            </a:pPr>
            <a:t>3.3nF</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11</xdr:col>
      <xdr:colOff>157074</xdr:colOff>
      <xdr:row>27</xdr:row>
      <xdr:rowOff>32820</xdr:rowOff>
    </xdr:from>
    <xdr:to>
      <xdr:col>12</xdr:col>
      <xdr:colOff>118722</xdr:colOff>
      <xdr:row>28</xdr:row>
      <xdr:rowOff>104903</xdr:rowOff>
    </xdr:to>
    <xdr:sp macro="" textlink="'[1]Variable Management'!B443">
      <xdr:nvSpPr>
        <xdr:cNvPr id="21" name="Text Box 281">
          <a:extLst>
            <a:ext uri="{FF2B5EF4-FFF2-40B4-BE49-F238E27FC236}">
              <a16:creationId xmlns:a16="http://schemas.microsoft.com/office/drawing/2014/main" id="{8165B896-2E7F-469D-AF65-DDE269F646B8}"/>
            </a:ext>
          </a:extLst>
        </xdr:cNvPr>
        <xdr:cNvSpPr txBox="1">
          <a:spLocks noChangeArrowheads="1" noTextEdit="1"/>
        </xdr:cNvSpPr>
      </xdr:nvSpPr>
      <xdr:spPr bwMode="auto">
        <a:xfrm>
          <a:off x="7144614" y="5519220"/>
          <a:ext cx="586488" cy="239723"/>
        </a:xfrm>
        <a:prstGeom prst="rect">
          <a:avLst/>
        </a:prstGeom>
        <a:noFill/>
        <a:ln w="9525">
          <a:noFill/>
          <a:miter lim="800000"/>
          <a:headEnd/>
          <a:tailEnd/>
        </a:ln>
      </xdr:spPr>
      <xdr:txBody>
        <a:bodyPr vertOverflow="clip" wrap="square" lIns="27432" tIns="22860" rIns="0" bIns="0" anchor="t" upright="1"/>
        <a:lstStyle/>
        <a:p>
          <a:pPr algn="ctr" rtl="0">
            <a:defRPr sz="1000"/>
          </a:pPr>
          <a:fld id="{040E05FC-A7F4-4D23-BCC4-309E85A2CCCA}" type="TxLink">
            <a:rPr lang="en-US" sz="1000" b="0" i="0" u="none" strike="noStrike">
              <a:solidFill>
                <a:srgbClr val="000000"/>
              </a:solidFill>
              <a:latin typeface="Arial" panose="020B0604020202020204" pitchFamily="34" charset="0"/>
              <a:cs typeface="Arial" panose="020B0604020202020204" pitchFamily="34" charset="0"/>
            </a:rPr>
            <a:pPr algn="ctr" rtl="0">
              <a:defRPr sz="1000"/>
            </a:pPr>
            <a:t>73.2kΩ</a:t>
          </a:fld>
          <a:endParaRPr lang="en-US" sz="1000" b="0" i="0" strike="noStrike">
            <a:solidFill>
              <a:srgbClr val="000000"/>
            </a:solidFill>
            <a:latin typeface="Arial" pitchFamily="34" charset="0"/>
            <a:cs typeface="Arial" pitchFamily="34" charset="0"/>
          </a:endParaRPr>
        </a:p>
      </xdr:txBody>
    </xdr:sp>
    <xdr:clientData/>
  </xdr:twoCellAnchor>
  <xdr:twoCellAnchor editAs="absolute">
    <xdr:from>
      <xdr:col>10</xdr:col>
      <xdr:colOff>96889</xdr:colOff>
      <xdr:row>17</xdr:row>
      <xdr:rowOff>142326</xdr:rowOff>
    </xdr:from>
    <xdr:to>
      <xdr:col>10</xdr:col>
      <xdr:colOff>631702</xdr:colOff>
      <xdr:row>19</xdr:row>
      <xdr:rowOff>22118</xdr:rowOff>
    </xdr:to>
    <xdr:sp macro="" textlink="'[1]Variable Management'!B417">
      <xdr:nvSpPr>
        <xdr:cNvPr id="22" name="Text Box 263">
          <a:extLst>
            <a:ext uri="{FF2B5EF4-FFF2-40B4-BE49-F238E27FC236}">
              <a16:creationId xmlns:a16="http://schemas.microsoft.com/office/drawing/2014/main" id="{6A070702-0EF6-4817-B4E2-85D0282F26BD}"/>
            </a:ext>
          </a:extLst>
        </xdr:cNvPr>
        <xdr:cNvSpPr txBox="1">
          <a:spLocks noChangeArrowheads="1" noTextEdit="1"/>
        </xdr:cNvSpPr>
      </xdr:nvSpPr>
      <xdr:spPr bwMode="auto">
        <a:xfrm>
          <a:off x="6230989" y="3799926"/>
          <a:ext cx="534813" cy="222692"/>
        </a:xfrm>
        <a:prstGeom prst="rect">
          <a:avLst/>
        </a:prstGeom>
        <a:noFill/>
        <a:ln w="9525">
          <a:noFill/>
          <a:miter lim="800000"/>
          <a:headEnd/>
          <a:tailEnd/>
        </a:ln>
      </xdr:spPr>
      <xdr:txBody>
        <a:bodyPr vertOverflow="clip" wrap="square" lIns="27432" tIns="22860" rIns="0" bIns="0" anchor="t" upright="1"/>
        <a:lstStyle/>
        <a:p>
          <a:pPr algn="r" rtl="0">
            <a:defRPr sz="1000"/>
          </a:pPr>
          <a:fld id="{E7CFC31C-4225-4DFF-A445-15835378F2C7}"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10</xdr:col>
      <xdr:colOff>82424</xdr:colOff>
      <xdr:row>20</xdr:row>
      <xdr:rowOff>148157</xdr:rowOff>
    </xdr:from>
    <xdr:to>
      <xdr:col>10</xdr:col>
      <xdr:colOff>653836</xdr:colOff>
      <xdr:row>22</xdr:row>
      <xdr:rowOff>33747</xdr:rowOff>
    </xdr:to>
    <xdr:sp macro="" textlink="'[1]Variable Management'!B418">
      <xdr:nvSpPr>
        <xdr:cNvPr id="23" name="Text Box 263">
          <a:extLst>
            <a:ext uri="{FF2B5EF4-FFF2-40B4-BE49-F238E27FC236}">
              <a16:creationId xmlns:a16="http://schemas.microsoft.com/office/drawing/2014/main" id="{56063EC1-E340-4CCC-B239-39866896976A}"/>
            </a:ext>
          </a:extLst>
        </xdr:cNvPr>
        <xdr:cNvSpPr txBox="1">
          <a:spLocks noChangeArrowheads="1" noTextEdit="1"/>
        </xdr:cNvSpPr>
      </xdr:nvSpPr>
      <xdr:spPr bwMode="auto">
        <a:xfrm>
          <a:off x="6216524" y="4323917"/>
          <a:ext cx="571412" cy="236110"/>
        </a:xfrm>
        <a:prstGeom prst="rect">
          <a:avLst/>
        </a:prstGeom>
        <a:noFill/>
        <a:ln w="9525">
          <a:noFill/>
          <a:miter lim="800000"/>
          <a:headEnd/>
          <a:tailEnd/>
        </a:ln>
      </xdr:spPr>
      <xdr:txBody>
        <a:bodyPr vertOverflow="clip" wrap="square" lIns="27432" tIns="22860" rIns="0" bIns="0" anchor="t" upright="1"/>
        <a:lstStyle/>
        <a:p>
          <a:pPr algn="r" rtl="0">
            <a:defRPr sz="1000"/>
          </a:pPr>
          <a:fld id="{3474E4CD-1870-4A36-820F-F9FFA24B283F}"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228600</xdr:colOff>
          <xdr:row>58</xdr:row>
          <xdr:rowOff>175260</xdr:rowOff>
        </xdr:from>
        <xdr:to>
          <xdr:col>6</xdr:col>
          <xdr:colOff>0</xdr:colOff>
          <xdr:row>59</xdr:row>
          <xdr:rowOff>236220</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367F3954-7C9B-46E1-8D43-6CFD1B172CB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absolute">
    <xdr:from>
      <xdr:col>12</xdr:col>
      <xdr:colOff>164682</xdr:colOff>
      <xdr:row>27</xdr:row>
      <xdr:rowOff>28100</xdr:rowOff>
    </xdr:from>
    <xdr:to>
      <xdr:col>13</xdr:col>
      <xdr:colOff>88364</xdr:colOff>
      <xdr:row>28</xdr:row>
      <xdr:rowOff>74468</xdr:rowOff>
    </xdr:to>
    <xdr:sp macro="" textlink="'[1]Variable Management'!B442">
      <xdr:nvSpPr>
        <xdr:cNvPr id="24" name="Text Box 263">
          <a:extLst>
            <a:ext uri="{FF2B5EF4-FFF2-40B4-BE49-F238E27FC236}">
              <a16:creationId xmlns:a16="http://schemas.microsoft.com/office/drawing/2014/main" id="{4B0BED3A-B2BF-4A18-A052-B82507F99ECF}"/>
            </a:ext>
          </a:extLst>
        </xdr:cNvPr>
        <xdr:cNvSpPr txBox="1">
          <a:spLocks noChangeArrowheads="1" noTextEdit="1"/>
        </xdr:cNvSpPr>
      </xdr:nvSpPr>
      <xdr:spPr bwMode="auto">
        <a:xfrm>
          <a:off x="7777062" y="5514500"/>
          <a:ext cx="548522" cy="214008"/>
        </a:xfrm>
        <a:prstGeom prst="rect">
          <a:avLst/>
        </a:prstGeom>
        <a:noFill/>
        <a:ln w="9525">
          <a:noFill/>
          <a:miter lim="800000"/>
          <a:headEnd/>
          <a:tailEnd/>
        </a:ln>
      </xdr:spPr>
      <xdr:txBody>
        <a:bodyPr vertOverflow="clip" wrap="square" lIns="27432" tIns="22860" rIns="0" bIns="0" anchor="t" upright="1"/>
        <a:lstStyle/>
        <a:p>
          <a:pPr algn="r" rtl="0">
            <a:defRPr sz="1000"/>
          </a:pPr>
          <a:fld id="{EC50C5B8-F352-44A2-A40B-3E79D8C8660A}"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41.2kΩ</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12</xdr:col>
      <xdr:colOff>490735</xdr:colOff>
      <xdr:row>31</xdr:row>
      <xdr:rowOff>77416</xdr:rowOff>
    </xdr:from>
    <xdr:to>
      <xdr:col>13</xdr:col>
      <xdr:colOff>338748</xdr:colOff>
      <xdr:row>32</xdr:row>
      <xdr:rowOff>71599</xdr:rowOff>
    </xdr:to>
    <xdr:sp macro="" textlink="'[1]Variable Management'!B385">
      <xdr:nvSpPr>
        <xdr:cNvPr id="25" name="Text Box 279">
          <a:extLst>
            <a:ext uri="{FF2B5EF4-FFF2-40B4-BE49-F238E27FC236}">
              <a16:creationId xmlns:a16="http://schemas.microsoft.com/office/drawing/2014/main" id="{8142C475-AC51-4F48-9A46-D3C1D476DFE3}"/>
            </a:ext>
          </a:extLst>
        </xdr:cNvPr>
        <xdr:cNvSpPr txBox="1">
          <a:spLocks noChangeArrowheads="1"/>
        </xdr:cNvSpPr>
      </xdr:nvSpPr>
      <xdr:spPr bwMode="auto">
        <a:xfrm>
          <a:off x="8103115" y="6280096"/>
          <a:ext cx="472853" cy="222783"/>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6743863A-37F9-454E-8264-1AAED8F1ABE9}" type="TxLink">
            <a:rPr lang="en-US" sz="1000" b="0" i="0" u="none" strike="noStrike">
              <a:solidFill>
                <a:srgbClr val="000000"/>
              </a:solidFill>
              <a:latin typeface="Arial"/>
              <a:ea typeface="+mn-ea"/>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1000">
            <a:latin typeface="Arial" pitchFamily="34" charset="0"/>
            <a:cs typeface="Arial" pitchFamily="34" charset="0"/>
          </a:endParaRPr>
        </a:p>
      </xdr:txBody>
    </xdr:sp>
    <xdr:clientData/>
  </xdr:twoCellAnchor>
  <xdr:twoCellAnchor editAs="absolute">
    <xdr:from>
      <xdr:col>9</xdr:col>
      <xdr:colOff>385274</xdr:colOff>
      <xdr:row>10</xdr:row>
      <xdr:rowOff>156195</xdr:rowOff>
    </xdr:from>
    <xdr:to>
      <xdr:col>10</xdr:col>
      <xdr:colOff>384896</xdr:colOff>
      <xdr:row>12</xdr:row>
      <xdr:rowOff>42552</xdr:rowOff>
    </xdr:to>
    <xdr:sp macro="" textlink="'[1]Variable Management'!B385">
      <xdr:nvSpPr>
        <xdr:cNvPr id="26" name="Text Box 279">
          <a:extLst>
            <a:ext uri="{FF2B5EF4-FFF2-40B4-BE49-F238E27FC236}">
              <a16:creationId xmlns:a16="http://schemas.microsoft.com/office/drawing/2014/main" id="{E59F2608-D329-45CF-B03D-91A89B48698F}"/>
            </a:ext>
          </a:extLst>
        </xdr:cNvPr>
        <xdr:cNvSpPr txBox="1">
          <a:spLocks noChangeArrowheads="1"/>
        </xdr:cNvSpPr>
      </xdr:nvSpPr>
      <xdr:spPr bwMode="auto">
        <a:xfrm>
          <a:off x="6001214" y="2419335"/>
          <a:ext cx="517782" cy="221637"/>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BEC6ADA1-D3F0-4250-A616-4B90091890E2}" type="TxLink">
            <a:rPr lang="en-US" sz="9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600">
            <a:latin typeface="Arial" pitchFamily="34" charset="0"/>
            <a:cs typeface="Arial" pitchFamily="34" charset="0"/>
          </a:endParaRPr>
        </a:p>
      </xdr:txBody>
    </xdr:sp>
    <xdr:clientData/>
  </xdr:twoCellAnchor>
  <xdr:twoCellAnchor editAs="absolute">
    <xdr:from>
      <xdr:col>9</xdr:col>
      <xdr:colOff>384414</xdr:colOff>
      <xdr:row>7</xdr:row>
      <xdr:rowOff>148504</xdr:rowOff>
    </xdr:from>
    <xdr:to>
      <xdr:col>10</xdr:col>
      <xdr:colOff>384036</xdr:colOff>
      <xdr:row>9</xdr:row>
      <xdr:rowOff>34136</xdr:rowOff>
    </xdr:to>
    <xdr:sp macro="" textlink="'[1]Variable Management'!C385">
      <xdr:nvSpPr>
        <xdr:cNvPr id="27" name="Text Box 279">
          <a:extLst>
            <a:ext uri="{FF2B5EF4-FFF2-40B4-BE49-F238E27FC236}">
              <a16:creationId xmlns:a16="http://schemas.microsoft.com/office/drawing/2014/main" id="{9E566DB1-AB81-4C03-A369-11CD9379F078}"/>
            </a:ext>
          </a:extLst>
        </xdr:cNvPr>
        <xdr:cNvSpPr txBox="1">
          <a:spLocks noChangeArrowheads="1"/>
        </xdr:cNvSpPr>
      </xdr:nvSpPr>
      <xdr:spPr bwMode="auto">
        <a:xfrm>
          <a:off x="6000354" y="1908724"/>
          <a:ext cx="517782" cy="220912"/>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4E64918A-6299-4F27-9549-1AB4B3DEA3B9}" type="TxLink">
            <a:rPr lang="en-US" sz="9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800">
            <a:latin typeface="Arial" pitchFamily="34" charset="0"/>
            <a:cs typeface="Arial" pitchFamily="34" charset="0"/>
          </a:endParaRPr>
        </a:p>
      </xdr:txBody>
    </xdr:sp>
    <xdr:clientData/>
  </xdr:twoCellAnchor>
  <xdr:twoCellAnchor editAs="absolute">
    <xdr:from>
      <xdr:col>8</xdr:col>
      <xdr:colOff>188858</xdr:colOff>
      <xdr:row>22</xdr:row>
      <xdr:rowOff>42135</xdr:rowOff>
    </xdr:from>
    <xdr:to>
      <xdr:col>9</xdr:col>
      <xdr:colOff>270281</xdr:colOff>
      <xdr:row>23</xdr:row>
      <xdr:rowOff>80809</xdr:rowOff>
    </xdr:to>
    <xdr:sp macro="" textlink="'[1]Variable Management'!E385">
      <xdr:nvSpPr>
        <xdr:cNvPr id="28" name="Text Box 279">
          <a:extLst>
            <a:ext uri="{FF2B5EF4-FFF2-40B4-BE49-F238E27FC236}">
              <a16:creationId xmlns:a16="http://schemas.microsoft.com/office/drawing/2014/main" id="{7988EE8B-CFA4-435C-9D43-81AF967BA642}"/>
            </a:ext>
          </a:extLst>
        </xdr:cNvPr>
        <xdr:cNvSpPr txBox="1">
          <a:spLocks noChangeArrowheads="1"/>
        </xdr:cNvSpPr>
      </xdr:nvSpPr>
      <xdr:spPr bwMode="auto">
        <a:xfrm>
          <a:off x="5347598" y="4568415"/>
          <a:ext cx="538623" cy="206314"/>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4E483F83-546B-48E4-817B-49519E47D65F}" type="TxLink">
            <a:rPr lang="en-US" sz="10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800">
            <a:latin typeface="Arial" pitchFamily="34" charset="0"/>
            <a:cs typeface="Arial" pitchFamily="34" charset="0"/>
          </a:endParaRPr>
        </a:p>
      </xdr:txBody>
    </xdr:sp>
    <xdr:clientData/>
  </xdr:twoCellAnchor>
  <xdr:twoCellAnchor editAs="absolute">
    <xdr:from>
      <xdr:col>9</xdr:col>
      <xdr:colOff>95</xdr:colOff>
      <xdr:row>7</xdr:row>
      <xdr:rowOff>918</xdr:rowOff>
    </xdr:from>
    <xdr:to>
      <xdr:col>10</xdr:col>
      <xdr:colOff>461799</xdr:colOff>
      <xdr:row>8</xdr:row>
      <xdr:rowOff>110241</xdr:rowOff>
    </xdr:to>
    <xdr:sp macro="" textlink="'[1]Variable Management'!B451">
      <xdr:nvSpPr>
        <xdr:cNvPr id="29" name="Text Box 283">
          <a:extLst>
            <a:ext uri="{FF2B5EF4-FFF2-40B4-BE49-F238E27FC236}">
              <a16:creationId xmlns:a16="http://schemas.microsoft.com/office/drawing/2014/main" id="{9EF3DD6D-069A-4559-B33E-D53A1F71FEED}"/>
            </a:ext>
          </a:extLst>
        </xdr:cNvPr>
        <xdr:cNvSpPr txBox="1">
          <a:spLocks noChangeArrowheads="1" noTextEdit="1"/>
        </xdr:cNvSpPr>
      </xdr:nvSpPr>
      <xdr:spPr bwMode="auto">
        <a:xfrm>
          <a:off x="5616035" y="1761138"/>
          <a:ext cx="979864" cy="276963"/>
        </a:xfrm>
        <a:prstGeom prst="rect">
          <a:avLst/>
        </a:prstGeom>
        <a:noFill/>
        <a:ln w="9525">
          <a:noFill/>
          <a:miter lim="800000"/>
          <a:headEnd/>
          <a:tailEnd/>
        </a:ln>
      </xdr:spPr>
      <xdr:txBody>
        <a:bodyPr vertOverflow="clip" wrap="square" lIns="27432" tIns="22860" rIns="0" bIns="0" anchor="t" upright="1"/>
        <a:lstStyle/>
        <a:p>
          <a:pPr algn="l" rtl="0">
            <a:defRPr sz="1000"/>
          </a:pPr>
          <a:fld id="{C6ED40A1-EDED-4BB3-907C-40CD83565E4B}" type="TxLink">
            <a:rPr lang="en-US" sz="1100" b="1" i="0" u="none" strike="noStrike">
              <a:solidFill>
                <a:srgbClr val="FF0000"/>
              </a:solidFill>
              <a:latin typeface="Arial"/>
              <a:cs typeface="Arial"/>
            </a:rPr>
            <a:pPr algn="l" rtl="0">
              <a:defRPr sz="1000"/>
            </a:pPr>
            <a:t>40V...60V</a:t>
          </a:fld>
          <a:endParaRPr lang="en-US" sz="1400" b="1" i="0" strike="noStrike">
            <a:solidFill>
              <a:srgbClr val="FF0000"/>
            </a:solidFill>
            <a:latin typeface="Arial" pitchFamily="34" charset="0"/>
            <a:cs typeface="Arial" pitchFamily="34" charset="0"/>
          </a:endParaRPr>
        </a:p>
      </xdr:txBody>
    </xdr:sp>
    <xdr:clientData/>
  </xdr:twoCellAnchor>
  <xdr:twoCellAnchor editAs="absolute">
    <xdr:from>
      <xdr:col>10</xdr:col>
      <xdr:colOff>153374</xdr:colOff>
      <xdr:row>17</xdr:row>
      <xdr:rowOff>142496</xdr:rowOff>
    </xdr:from>
    <xdr:to>
      <xdr:col>10</xdr:col>
      <xdr:colOff>686644</xdr:colOff>
      <xdr:row>18</xdr:row>
      <xdr:rowOff>149468</xdr:rowOff>
    </xdr:to>
    <xdr:sp macro="" textlink="'[1]Variable Management'!D419">
      <xdr:nvSpPr>
        <xdr:cNvPr id="30" name="Text Box 279">
          <a:extLst>
            <a:ext uri="{FF2B5EF4-FFF2-40B4-BE49-F238E27FC236}">
              <a16:creationId xmlns:a16="http://schemas.microsoft.com/office/drawing/2014/main" id="{C335B581-2D74-42B4-93CB-D1517578D2E6}"/>
            </a:ext>
          </a:extLst>
        </xdr:cNvPr>
        <xdr:cNvSpPr txBox="1">
          <a:spLocks noChangeArrowheads="1"/>
        </xdr:cNvSpPr>
      </xdr:nvSpPr>
      <xdr:spPr bwMode="auto">
        <a:xfrm>
          <a:off x="6287474" y="3800096"/>
          <a:ext cx="533270" cy="182232"/>
        </a:xfrm>
        <a:prstGeom prst="rect">
          <a:avLst/>
        </a:prstGeom>
        <a:noFill/>
        <a:ln w="9525">
          <a:noFill/>
          <a:miter lim="800000"/>
          <a:headEnd/>
          <a:tailEnd/>
        </a:ln>
      </xdr:spPr>
      <xdr:txBody>
        <a:bodyPr vertOverflow="clip" wrap="square" lIns="27432" tIns="27432" rIns="0" bIns="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fld id="{59CF34ED-6C7D-4B7D-8CCB-720517623826}" type="TxLink">
            <a:rPr lang="en-US" sz="1000" b="0" i="0" u="none" strike="noStrike">
              <a:solidFill>
                <a:srgbClr val="000000"/>
              </a:solidFill>
              <a:latin typeface="Arial"/>
              <a:cs typeface="Arial"/>
            </a:rPr>
            <a:pPr marL="0" marR="0" indent="0" algn="ctr" defTabSz="914400" rtl="0" eaLnBrk="1" fontAlgn="auto" latinLnBrk="0" hangingPunct="1">
              <a:lnSpc>
                <a:spcPct val="100000"/>
              </a:lnSpc>
              <a:spcBef>
                <a:spcPts val="0"/>
              </a:spcBef>
              <a:spcAft>
                <a:spcPts val="0"/>
              </a:spcAft>
              <a:buClrTx/>
              <a:buSzTx/>
              <a:buFontTx/>
              <a:buNone/>
              <a:tabLst/>
              <a:defRPr sz="1000"/>
            </a:pPr>
            <a:t>48.7kΩ</a:t>
          </a:fld>
          <a:endParaRPr lang="en-US" sz="1000">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0</xdr:col>
          <xdr:colOff>60960</xdr:colOff>
          <xdr:row>50</xdr:row>
          <xdr:rowOff>60960</xdr:rowOff>
        </xdr:from>
        <xdr:to>
          <xdr:col>2</xdr:col>
          <xdr:colOff>30480</xdr:colOff>
          <xdr:row>51</xdr:row>
          <xdr:rowOff>137160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1700939-F1D0-452D-8982-DABF4E8E55D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absolute">
    <xdr:from>
      <xdr:col>9</xdr:col>
      <xdr:colOff>97109</xdr:colOff>
      <xdr:row>10</xdr:row>
      <xdr:rowOff>51297</xdr:rowOff>
    </xdr:from>
    <xdr:to>
      <xdr:col>10</xdr:col>
      <xdr:colOff>250019</xdr:colOff>
      <xdr:row>11</xdr:row>
      <xdr:rowOff>58778</xdr:rowOff>
    </xdr:to>
    <xdr:sp macro="" textlink="'[1]Variable Management'!B421">
      <xdr:nvSpPr>
        <xdr:cNvPr id="31" name="Text Box 276">
          <a:extLst>
            <a:ext uri="{FF2B5EF4-FFF2-40B4-BE49-F238E27FC236}">
              <a16:creationId xmlns:a16="http://schemas.microsoft.com/office/drawing/2014/main" id="{A5E08027-DE3C-48C2-949E-9B0A9DFA7900}"/>
            </a:ext>
          </a:extLst>
        </xdr:cNvPr>
        <xdr:cNvSpPr txBox="1">
          <a:spLocks noChangeArrowheads="1" noTextEdit="1"/>
        </xdr:cNvSpPr>
      </xdr:nvSpPr>
      <xdr:spPr bwMode="auto">
        <a:xfrm>
          <a:off x="5713049" y="2314437"/>
          <a:ext cx="671070" cy="175121"/>
        </a:xfrm>
        <a:prstGeom prst="rect">
          <a:avLst/>
        </a:prstGeom>
        <a:noFill/>
        <a:ln w="9525">
          <a:noFill/>
          <a:miter lim="800000"/>
          <a:headEnd/>
          <a:tailEnd/>
        </a:ln>
      </xdr:spPr>
      <xdr:txBody>
        <a:bodyPr vertOverflow="clip" wrap="square" lIns="27432" tIns="22860" rIns="0" bIns="0" anchor="ctr" upright="1"/>
        <a:lstStyle/>
        <a:p>
          <a:pPr algn="r" rtl="0">
            <a:defRPr sz="1000"/>
          </a:pPr>
          <a:fld id="{5870FC66-CAAD-4C4C-B6A3-330B5B471599}"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200kΩ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9</xdr:col>
      <xdr:colOff>172461</xdr:colOff>
      <xdr:row>13</xdr:row>
      <xdr:rowOff>96434</xdr:rowOff>
    </xdr:from>
    <xdr:to>
      <xdr:col>10</xdr:col>
      <xdr:colOff>250197</xdr:colOff>
      <xdr:row>14</xdr:row>
      <xdr:rowOff>126070</xdr:rowOff>
    </xdr:to>
    <xdr:sp macro="" textlink="'[1]Variable Management'!B422">
      <xdr:nvSpPr>
        <xdr:cNvPr id="32" name="Text Box 276">
          <a:extLst>
            <a:ext uri="{FF2B5EF4-FFF2-40B4-BE49-F238E27FC236}">
              <a16:creationId xmlns:a16="http://schemas.microsoft.com/office/drawing/2014/main" id="{740E5E84-1696-417D-90C9-A0793434C198}"/>
            </a:ext>
          </a:extLst>
        </xdr:cNvPr>
        <xdr:cNvSpPr txBox="1">
          <a:spLocks noChangeArrowheads="1" noTextEdit="1"/>
        </xdr:cNvSpPr>
      </xdr:nvSpPr>
      <xdr:spPr bwMode="auto">
        <a:xfrm>
          <a:off x="5788401" y="2908214"/>
          <a:ext cx="595896" cy="242996"/>
        </a:xfrm>
        <a:prstGeom prst="rect">
          <a:avLst/>
        </a:prstGeom>
        <a:noFill/>
        <a:ln w="9525">
          <a:noFill/>
          <a:miter lim="800000"/>
          <a:headEnd/>
          <a:tailEnd/>
        </a:ln>
      </xdr:spPr>
      <xdr:txBody>
        <a:bodyPr vertOverflow="clip" wrap="square" lIns="27432" tIns="22860" rIns="0" bIns="0" anchor="t" upright="1"/>
        <a:lstStyle/>
        <a:p>
          <a:pPr algn="r" rtl="0">
            <a:defRPr sz="1000"/>
          </a:pPr>
          <a:fld id="{59617F90-7F7F-43F9-AB4B-411A3D6FCFA0}"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9.53kΩ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10</xdr:col>
      <xdr:colOff>574616</xdr:colOff>
      <xdr:row>8</xdr:row>
      <xdr:rowOff>3470</xdr:rowOff>
    </xdr:from>
    <xdr:to>
      <xdr:col>11</xdr:col>
      <xdr:colOff>307735</xdr:colOff>
      <xdr:row>9</xdr:row>
      <xdr:rowOff>42738</xdr:rowOff>
    </xdr:to>
    <xdr:sp macro="" textlink="'[1]Variable Management'!B405">
      <xdr:nvSpPr>
        <xdr:cNvPr id="33" name="Text Box 276">
          <a:extLst>
            <a:ext uri="{FF2B5EF4-FFF2-40B4-BE49-F238E27FC236}">
              <a16:creationId xmlns:a16="http://schemas.microsoft.com/office/drawing/2014/main" id="{AA6633C1-8716-484D-9827-B19DF77E6511}"/>
            </a:ext>
          </a:extLst>
        </xdr:cNvPr>
        <xdr:cNvSpPr txBox="1">
          <a:spLocks noChangeArrowheads="1" noTextEdit="1"/>
        </xdr:cNvSpPr>
      </xdr:nvSpPr>
      <xdr:spPr bwMode="auto">
        <a:xfrm>
          <a:off x="6708716" y="1931330"/>
          <a:ext cx="586559" cy="206908"/>
        </a:xfrm>
        <a:prstGeom prst="rect">
          <a:avLst/>
        </a:prstGeom>
        <a:noFill/>
        <a:ln w="9525">
          <a:noFill/>
          <a:miter lim="800000"/>
          <a:headEnd/>
          <a:tailEnd/>
        </a:ln>
      </xdr:spPr>
      <xdr:txBody>
        <a:bodyPr vertOverflow="clip" wrap="square" lIns="27432" tIns="22860" rIns="0" bIns="0" anchor="ctr" upright="1"/>
        <a:lstStyle/>
        <a:p>
          <a:pPr algn="r" rtl="0">
            <a:defRPr sz="1000"/>
          </a:pPr>
          <a:fld id="{1733A4D7-3523-40B9-84DE-2D041844A89F}" type="TxLink">
            <a:rPr lang="en-US" sz="1000" b="0" i="0" u="none" strike="noStrike" baseline="0">
              <a:solidFill>
                <a:srgbClr val="000000"/>
              </a:solidFill>
              <a:latin typeface="Arial"/>
              <a:cs typeface="Arial"/>
            </a:rPr>
            <a:pPr algn="r" rtl="0">
              <a:defRPr sz="1000"/>
            </a:pPr>
            <a:t> </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10</xdr:col>
      <xdr:colOff>688916</xdr:colOff>
      <xdr:row>10</xdr:row>
      <xdr:rowOff>80228</xdr:rowOff>
    </xdr:from>
    <xdr:to>
      <xdr:col>11</xdr:col>
      <xdr:colOff>307735</xdr:colOff>
      <xdr:row>11</xdr:row>
      <xdr:rowOff>156445</xdr:rowOff>
    </xdr:to>
    <xdr:sp macro="" textlink="'[1]Variable Management'!B404">
      <xdr:nvSpPr>
        <xdr:cNvPr id="34" name="Text Box 276">
          <a:extLst>
            <a:ext uri="{FF2B5EF4-FFF2-40B4-BE49-F238E27FC236}">
              <a16:creationId xmlns:a16="http://schemas.microsoft.com/office/drawing/2014/main" id="{693FC667-7036-4958-8832-EB89109C2674}"/>
            </a:ext>
          </a:extLst>
        </xdr:cNvPr>
        <xdr:cNvSpPr txBox="1">
          <a:spLocks noChangeArrowheads="1" noTextEdit="1"/>
        </xdr:cNvSpPr>
      </xdr:nvSpPr>
      <xdr:spPr bwMode="auto">
        <a:xfrm>
          <a:off x="6823016" y="2343368"/>
          <a:ext cx="472259" cy="243857"/>
        </a:xfrm>
        <a:prstGeom prst="rect">
          <a:avLst/>
        </a:prstGeom>
        <a:noFill/>
        <a:ln w="9525">
          <a:noFill/>
          <a:miter lim="800000"/>
          <a:headEnd/>
          <a:tailEnd/>
        </a:ln>
      </xdr:spPr>
      <xdr:txBody>
        <a:bodyPr vertOverflow="clip" wrap="square" lIns="27432" tIns="22860" rIns="0" bIns="0" anchor="ctr" upright="1"/>
        <a:lstStyle/>
        <a:p>
          <a:pPr algn="r" rtl="0">
            <a:defRPr sz="1000"/>
          </a:pPr>
          <a:fld id="{64A40C25-B8C4-4137-A6E6-043573078923}" type="TxLink">
            <a:rPr lang="en-US" sz="1000" b="0" i="0" u="none" strike="noStrike" baseline="0">
              <a:solidFill>
                <a:srgbClr val="000000"/>
              </a:solidFill>
              <a:latin typeface="Arial"/>
              <a:cs typeface="Arial"/>
            </a:rPr>
            <a:pPr algn="r" rtl="0">
              <a:defRPr sz="1000"/>
            </a:pPr>
            <a:t> </a:t>
          </a:fld>
          <a:endParaRPr lang="en-US" sz="1000" b="0" i="0" u="none" strike="noStrike" baseline="0">
            <a:solidFill>
              <a:srgbClr val="000000"/>
            </a:solidFill>
            <a:latin typeface="Arial" pitchFamily="34" charset="0"/>
            <a:cs typeface="Arial" pitchFamily="34" charset="0"/>
          </a:endParaRPr>
        </a:p>
      </xdr:txBody>
    </xdr:sp>
    <xdr:clientData/>
  </xdr:twoCellAnchor>
  <xdr:twoCellAnchor>
    <xdr:from>
      <xdr:col>11</xdr:col>
      <xdr:colOff>335280</xdr:colOff>
      <xdr:row>14</xdr:row>
      <xdr:rowOff>244906</xdr:rowOff>
    </xdr:from>
    <xdr:to>
      <xdr:col>15</xdr:col>
      <xdr:colOff>403860</xdr:colOff>
      <xdr:row>17</xdr:row>
      <xdr:rowOff>42303</xdr:rowOff>
    </xdr:to>
    <xdr:sp macro="" textlink="'[1]Variable Management'!P29">
      <xdr:nvSpPr>
        <xdr:cNvPr id="35" name="Text Box 255">
          <a:extLst>
            <a:ext uri="{FF2B5EF4-FFF2-40B4-BE49-F238E27FC236}">
              <a16:creationId xmlns:a16="http://schemas.microsoft.com/office/drawing/2014/main" id="{EBF93BE9-E5D1-4942-9A4C-2CCFF09A4B20}"/>
            </a:ext>
          </a:extLst>
        </xdr:cNvPr>
        <xdr:cNvSpPr txBox="1">
          <a:spLocks noChangeArrowheads="1"/>
        </xdr:cNvSpPr>
      </xdr:nvSpPr>
      <xdr:spPr bwMode="auto">
        <a:xfrm>
          <a:off x="7322820" y="3270046"/>
          <a:ext cx="2636520" cy="429857"/>
        </a:xfrm>
        <a:prstGeom prst="rect">
          <a:avLst/>
        </a:prstGeom>
        <a:noFill/>
        <a:ln w="9525">
          <a:noFill/>
          <a:miter lim="800000"/>
          <a:headEnd/>
          <a:tailEnd/>
        </a:ln>
      </xdr:spPr>
      <xdr:txBody>
        <a:bodyPr vertOverflow="clip" wrap="square" lIns="27432" tIns="27432" rIns="0" bIns="0" anchor="ctr" upright="1"/>
        <a:lstStyle/>
        <a:p>
          <a:pPr algn="ctr" rtl="0">
            <a:defRPr sz="1000"/>
          </a:pPr>
          <a:fld id="{3D1EE03A-7ADC-44E7-8465-7E5A0D981313}" type="TxLink">
            <a:rPr lang="en-US" sz="1400" b="1" i="0" u="none" strike="noStrike">
              <a:solidFill>
                <a:srgbClr val="FF0000"/>
              </a:solidFill>
              <a:latin typeface="Arial"/>
              <a:cs typeface="Arial"/>
            </a:rPr>
            <a:pPr algn="ctr" rtl="0">
              <a:defRPr sz="1000"/>
            </a:pPr>
            <a:t>LM5148</a:t>
          </a:fld>
          <a:endParaRPr lang="en-US" sz="4000" b="1" i="0" strike="noStrike" baseline="-25000">
            <a:solidFill>
              <a:srgbClr val="FF0000"/>
            </a:solidFill>
            <a:latin typeface="Arial" pitchFamily="34" charset="0"/>
            <a:cs typeface="Arial" pitchFamily="34" charset="0"/>
          </a:endParaRPr>
        </a:p>
      </xdr:txBody>
    </xdr:sp>
    <xdr:clientData/>
  </xdr:twoCellAnchor>
  <xdr:twoCellAnchor editAs="absolute">
    <xdr:from>
      <xdr:col>10</xdr:col>
      <xdr:colOff>92678</xdr:colOff>
      <xdr:row>22</xdr:row>
      <xdr:rowOff>118704</xdr:rowOff>
    </xdr:from>
    <xdr:to>
      <xdr:col>10</xdr:col>
      <xdr:colOff>739363</xdr:colOff>
      <xdr:row>23</xdr:row>
      <xdr:rowOff>194771</xdr:rowOff>
    </xdr:to>
    <xdr:sp macro="" textlink="'[1]Variable Management'!E407">
      <xdr:nvSpPr>
        <xdr:cNvPr id="36" name="Text Box 263">
          <a:extLst>
            <a:ext uri="{FF2B5EF4-FFF2-40B4-BE49-F238E27FC236}">
              <a16:creationId xmlns:a16="http://schemas.microsoft.com/office/drawing/2014/main" id="{150D166E-11A3-49DA-B5CF-FBFC197F144A}"/>
            </a:ext>
          </a:extLst>
        </xdr:cNvPr>
        <xdr:cNvSpPr txBox="1">
          <a:spLocks noChangeArrowheads="1" noTextEdit="1"/>
        </xdr:cNvSpPr>
      </xdr:nvSpPr>
      <xdr:spPr bwMode="auto">
        <a:xfrm>
          <a:off x="6226778" y="4644984"/>
          <a:ext cx="646685" cy="243707"/>
        </a:xfrm>
        <a:prstGeom prst="rect">
          <a:avLst/>
        </a:prstGeom>
        <a:noFill/>
        <a:ln w="9525">
          <a:noFill/>
          <a:miter lim="800000"/>
          <a:headEnd/>
          <a:tailEnd/>
        </a:ln>
      </xdr:spPr>
      <xdr:txBody>
        <a:bodyPr vertOverflow="clip" wrap="square" lIns="27432" tIns="22860" rIns="0" bIns="0" anchor="t" upright="1"/>
        <a:lstStyle/>
        <a:p>
          <a:pPr algn="ctr" rtl="0">
            <a:defRPr sz="1000"/>
          </a:pPr>
          <a:fld id="{3031C7D8-B5EB-4140-BBBF-1F7FE936F989}" type="TxLink">
            <a:rPr lang="en-US" sz="1000" b="0" i="0" u="none" strike="noStrike" baseline="0">
              <a:solidFill>
                <a:srgbClr val="000000"/>
              </a:solidFill>
              <a:latin typeface="Arial"/>
              <a:cs typeface="Arial"/>
            </a:rPr>
            <a:pPr algn="ct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9</xdr:col>
      <xdr:colOff>42394</xdr:colOff>
      <xdr:row>22</xdr:row>
      <xdr:rowOff>79883</xdr:rowOff>
    </xdr:from>
    <xdr:to>
      <xdr:col>10</xdr:col>
      <xdr:colOff>156515</xdr:colOff>
      <xdr:row>23</xdr:row>
      <xdr:rowOff>193945</xdr:rowOff>
    </xdr:to>
    <xdr:sp macro="" textlink="'[1]Variable Management'!C407">
      <xdr:nvSpPr>
        <xdr:cNvPr id="37" name="Text Box 263">
          <a:extLst>
            <a:ext uri="{FF2B5EF4-FFF2-40B4-BE49-F238E27FC236}">
              <a16:creationId xmlns:a16="http://schemas.microsoft.com/office/drawing/2014/main" id="{50D044B6-82A7-47D8-ACED-2FE2452FB361}"/>
            </a:ext>
          </a:extLst>
        </xdr:cNvPr>
        <xdr:cNvSpPr txBox="1">
          <a:spLocks noChangeArrowheads="1" noTextEdit="1"/>
        </xdr:cNvSpPr>
      </xdr:nvSpPr>
      <xdr:spPr bwMode="auto">
        <a:xfrm>
          <a:off x="5658334" y="4606163"/>
          <a:ext cx="632281" cy="281702"/>
        </a:xfrm>
        <a:prstGeom prst="rect">
          <a:avLst/>
        </a:prstGeom>
        <a:noFill/>
        <a:ln w="9525">
          <a:noFill/>
          <a:miter lim="800000"/>
          <a:headEnd/>
          <a:tailEnd/>
        </a:ln>
      </xdr:spPr>
      <xdr:txBody>
        <a:bodyPr vertOverflow="clip" wrap="square" lIns="27432" tIns="22860" rIns="0" bIns="0" anchor="t" upright="1"/>
        <a:lstStyle/>
        <a:p>
          <a:pPr algn="ctr" rtl="0">
            <a:defRPr sz="1000"/>
          </a:pPr>
          <a:fld id="{4871C2E7-D21C-4ED8-8DE5-93C2B2A18B90}" type="TxLink">
            <a:rPr lang="en-US" sz="1000" b="0" i="0" u="none" strike="noStrike" baseline="0">
              <a:solidFill>
                <a:srgbClr val="000000"/>
              </a:solidFill>
              <a:latin typeface="Arial"/>
              <a:cs typeface="Arial"/>
            </a:rPr>
            <a:pPr algn="ct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76200</xdr:colOff>
          <xdr:row>4</xdr:row>
          <xdr:rowOff>7620</xdr:rowOff>
        </xdr:from>
        <xdr:to>
          <xdr:col>7</xdr:col>
          <xdr:colOff>114300</xdr:colOff>
          <xdr:row>5</xdr:row>
          <xdr:rowOff>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5DD81F8B-252B-4CAB-A518-3D9EE629F9E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editAs="absolute">
    <xdr:from>
      <xdr:col>15</xdr:col>
      <xdr:colOff>1219200</xdr:colOff>
      <xdr:row>22</xdr:row>
      <xdr:rowOff>15240</xdr:rowOff>
    </xdr:from>
    <xdr:to>
      <xdr:col>15</xdr:col>
      <xdr:colOff>2894921</xdr:colOff>
      <xdr:row>24</xdr:row>
      <xdr:rowOff>30359</xdr:rowOff>
    </xdr:to>
    <xdr:sp macro="" textlink="">
      <xdr:nvSpPr>
        <xdr:cNvPr id="38" name="Text Box 249">
          <a:extLst>
            <a:ext uri="{FF2B5EF4-FFF2-40B4-BE49-F238E27FC236}">
              <a16:creationId xmlns:a16="http://schemas.microsoft.com/office/drawing/2014/main" id="{33C8C526-8C0A-48F6-BB5A-BD56AD457477}"/>
            </a:ext>
          </a:extLst>
        </xdr:cNvPr>
        <xdr:cNvSpPr txBox="1">
          <a:spLocks noChangeArrowheads="1"/>
        </xdr:cNvSpPr>
      </xdr:nvSpPr>
      <xdr:spPr bwMode="auto">
        <a:xfrm>
          <a:off x="10774680" y="4541520"/>
          <a:ext cx="1675721" cy="396119"/>
        </a:xfrm>
        <a:prstGeom prst="rect">
          <a:avLst/>
        </a:prstGeom>
        <a:noFill/>
        <a:ln w="9525">
          <a:noFill/>
          <a:miter lim="800000"/>
          <a:headEnd/>
          <a:tailEnd/>
        </a:ln>
      </xdr:spPr>
      <xdr:txBody>
        <a:bodyPr vertOverflow="clip" wrap="square" lIns="27432" tIns="27432" rIns="0" bIns="0" anchor="ctr" upright="1"/>
        <a:lstStyle/>
        <a:p>
          <a:pPr algn="l" rtl="0">
            <a:defRPr sz="1000"/>
          </a:pPr>
          <a:r>
            <a:rPr lang="en-US" sz="1000" b="0" i="0" strike="noStrike">
              <a:solidFill>
                <a:srgbClr val="000000"/>
              </a:solidFill>
              <a:latin typeface="Arial" pitchFamily="34" charset="0"/>
              <a:cs typeface="Arial" pitchFamily="34" charset="0"/>
            </a:rPr>
            <a:t>Connect to 5V rail </a:t>
          </a:r>
        </a:p>
        <a:p>
          <a:pPr algn="l" rtl="0">
            <a:defRPr sz="1000"/>
          </a:pPr>
          <a:r>
            <a:rPr lang="en-US" sz="1000" b="0" i="0" strike="noStrike">
              <a:solidFill>
                <a:srgbClr val="000000"/>
              </a:solidFill>
              <a:latin typeface="Arial" pitchFamily="34" charset="0"/>
              <a:cs typeface="Arial" pitchFamily="34" charset="0"/>
            </a:rPr>
            <a:t>(or</a:t>
          </a:r>
          <a:r>
            <a:rPr lang="en-US" sz="1000" b="0" i="0" strike="noStrike" baseline="0">
              <a:solidFill>
                <a:srgbClr val="000000"/>
              </a:solidFill>
              <a:latin typeface="Arial" pitchFamily="34" charset="0"/>
              <a:cs typeface="Arial" pitchFamily="34" charset="0"/>
            </a:rPr>
            <a:t> tie to GND if not used)</a:t>
          </a:r>
          <a:endParaRPr lang="en-US" sz="1000" b="0" i="0" strike="noStrike" baseline="-25000">
            <a:solidFill>
              <a:srgbClr val="000000"/>
            </a:solidFill>
            <a:latin typeface="Arial" pitchFamily="34" charset="0"/>
            <a:cs typeface="Arial" pitchFamily="34" charset="0"/>
          </a:endParaRPr>
        </a:p>
      </xdr:txBody>
    </xdr:sp>
    <xdr:clientData/>
  </xdr:twoCellAnchor>
  <xdr:twoCellAnchor editAs="absolute">
    <xdr:from>
      <xdr:col>14</xdr:col>
      <xdr:colOff>640080</xdr:colOff>
      <xdr:row>43</xdr:row>
      <xdr:rowOff>76200</xdr:rowOff>
    </xdr:from>
    <xdr:to>
      <xdr:col>15</xdr:col>
      <xdr:colOff>3368040</xdr:colOff>
      <xdr:row>45</xdr:row>
      <xdr:rowOff>2643</xdr:rowOff>
    </xdr:to>
    <xdr:sp macro="" textlink="'[1]Variable Management'!A426">
      <xdr:nvSpPr>
        <xdr:cNvPr id="39" name="Text Box 283">
          <a:extLst>
            <a:ext uri="{FF2B5EF4-FFF2-40B4-BE49-F238E27FC236}">
              <a16:creationId xmlns:a16="http://schemas.microsoft.com/office/drawing/2014/main" id="{D8AFFBCB-F0EA-49A4-8D3F-540D2560B67B}"/>
            </a:ext>
          </a:extLst>
        </xdr:cNvPr>
        <xdr:cNvSpPr txBox="1">
          <a:spLocks noChangeArrowheads="1" noTextEdit="1"/>
        </xdr:cNvSpPr>
      </xdr:nvSpPr>
      <xdr:spPr bwMode="auto">
        <a:xfrm>
          <a:off x="9502140" y="8503920"/>
          <a:ext cx="3421380" cy="276963"/>
        </a:xfrm>
        <a:prstGeom prst="rect">
          <a:avLst/>
        </a:prstGeom>
        <a:noFill/>
        <a:ln w="9525">
          <a:noFill/>
          <a:miter lim="800000"/>
          <a:headEnd/>
          <a:tailEnd/>
        </a:ln>
      </xdr:spPr>
      <xdr:txBody>
        <a:bodyPr vertOverflow="clip" wrap="square" lIns="27432" tIns="22860" rIns="0" bIns="0" anchor="t" upright="1"/>
        <a:lstStyle/>
        <a:p>
          <a:pPr algn="l" rtl="0">
            <a:defRPr sz="1000"/>
          </a:pPr>
          <a:fld id="{6459DEAC-AF83-4910-965F-54E18763E2E4}" type="TxLink">
            <a:rPr lang="en-US" sz="1100" b="1" i="0" u="none" strike="noStrike">
              <a:solidFill>
                <a:srgbClr val="FF0000"/>
              </a:solidFill>
              <a:latin typeface="Arial"/>
              <a:cs typeface="Arial"/>
            </a:rPr>
            <a:pPr algn="l" rtl="0">
              <a:defRPr sz="1000"/>
            </a:pPr>
            <a:t> </a:t>
          </a:fld>
          <a:endParaRPr lang="en-US" sz="1800" b="1" i="0" strike="noStrike">
            <a:solidFill>
              <a:srgbClr val="FF0000"/>
            </a:solidFill>
            <a:latin typeface="Arial" pitchFamily="34" charset="0"/>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m:\Amit%20Medina\Schematic%20and%20Layout%20Design%20Course\Schematic-and-Layout-Design-Course-repo\training\LM5148_LM25148_quickstart_calculator_A4.xlsm" TargetMode="External"/><Relationship Id="rId1" Type="http://schemas.openxmlformats.org/officeDocument/2006/relationships/externalLinkPath" Target="file:///m:\Amit%20Medina\Schematic%20and%20Layout%20Design%20Course\Schematic-and-Layout-Design-Course-repo\training\LM5148_LM25148_quickstart_calculator_A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sign Regulator"/>
      <sheetName val="Input Filters"/>
      <sheetName val="Design Input Filter"/>
      <sheetName val="BOM &amp; Schematic"/>
      <sheetName val="EVM"/>
      <sheetName val="Variable Management"/>
      <sheetName val="Schematic Management"/>
      <sheetName val="Stability Calculations"/>
      <sheetName val="Bode Plot Management"/>
      <sheetName val="Efficiency Calculations"/>
      <sheetName val="Efficiency Plot Management"/>
      <sheetName val="Input Filter Calculations"/>
      <sheetName val="Standard Value Calculator"/>
      <sheetName val="Snubber"/>
      <sheetName val="Parallel Output Caps"/>
    </sheetNames>
    <definedNames>
      <definedName name="FIXValues"/>
      <definedName name="RESETValues"/>
    </definedNames>
    <sheetDataSet>
      <sheetData sheetId="0"/>
      <sheetData sheetId="1"/>
      <sheetData sheetId="2"/>
      <sheetData sheetId="3"/>
      <sheetData sheetId="4"/>
      <sheetData sheetId="5">
        <row r="7">
          <cell r="B7">
            <v>40</v>
          </cell>
        </row>
        <row r="8">
          <cell r="B8">
            <v>50</v>
          </cell>
        </row>
        <row r="9">
          <cell r="B9">
            <v>60</v>
          </cell>
        </row>
        <row r="10">
          <cell r="L10">
            <v>1</v>
          </cell>
          <cell r="O10">
            <v>1</v>
          </cell>
          <cell r="X10">
            <v>1</v>
          </cell>
          <cell r="AA10">
            <v>1</v>
          </cell>
        </row>
        <row r="11">
          <cell r="B11">
            <v>12</v>
          </cell>
        </row>
        <row r="12">
          <cell r="B12">
            <v>5</v>
          </cell>
          <cell r="U12">
            <v>1</v>
          </cell>
        </row>
        <row r="13">
          <cell r="U13">
            <v>1</v>
          </cell>
        </row>
        <row r="14">
          <cell r="B14">
            <v>2.4</v>
          </cell>
        </row>
        <row r="15">
          <cell r="U15">
            <v>1</v>
          </cell>
          <cell r="X15">
            <v>1</v>
          </cell>
        </row>
        <row r="16">
          <cell r="B16">
            <v>60</v>
          </cell>
          <cell r="O16">
            <v>3</v>
          </cell>
        </row>
        <row r="17">
          <cell r="L17">
            <v>4</v>
          </cell>
        </row>
        <row r="18">
          <cell r="B18">
            <v>0.9</v>
          </cell>
        </row>
        <row r="19">
          <cell r="B19">
            <v>66.666666666666671</v>
          </cell>
        </row>
        <row r="21">
          <cell r="AA21">
            <v>2</v>
          </cell>
        </row>
        <row r="26">
          <cell r="B26">
            <v>300000</v>
          </cell>
        </row>
        <row r="27">
          <cell r="AA27">
            <v>1</v>
          </cell>
        </row>
        <row r="28">
          <cell r="X28">
            <v>1</v>
          </cell>
        </row>
        <row r="29">
          <cell r="Q29">
            <v>1</v>
          </cell>
        </row>
        <row r="30">
          <cell r="B30">
            <v>0.8</v>
          </cell>
          <cell r="P30">
            <v>80</v>
          </cell>
        </row>
        <row r="31">
          <cell r="B31">
            <v>73.2</v>
          </cell>
          <cell r="P31">
            <v>60</v>
          </cell>
        </row>
        <row r="33">
          <cell r="L33">
            <v>3</v>
          </cell>
        </row>
        <row r="37">
          <cell r="B37">
            <v>0.3</v>
          </cell>
        </row>
        <row r="38">
          <cell r="B38">
            <v>0.24</v>
          </cell>
        </row>
        <row r="39">
          <cell r="B39">
            <v>0.2</v>
          </cell>
        </row>
        <row r="44">
          <cell r="B44">
            <v>3.5211267605633808E-6</v>
          </cell>
        </row>
        <row r="46">
          <cell r="B46">
            <v>2.2000000000000001E-6</v>
          </cell>
        </row>
        <row r="47">
          <cell r="B47">
            <v>3.5000000000000001E-3</v>
          </cell>
        </row>
        <row r="49">
          <cell r="B49">
            <v>0.24050189962007598</v>
          </cell>
        </row>
        <row r="50">
          <cell r="B50">
            <v>0.75949810037992405</v>
          </cell>
        </row>
        <row r="52">
          <cell r="B52">
            <v>0.30061234691327171</v>
          </cell>
        </row>
        <row r="53">
          <cell r="B53">
            <v>0.24050189962007598</v>
          </cell>
        </row>
        <row r="54">
          <cell r="B54">
            <v>0.20042492917847027</v>
          </cell>
        </row>
        <row r="56">
          <cell r="B56">
            <v>12.753251081169104</v>
          </cell>
        </row>
        <row r="57">
          <cell r="B57">
            <v>13.847079069034676</v>
          </cell>
        </row>
        <row r="58">
          <cell r="B58">
            <v>14.576358485706926</v>
          </cell>
        </row>
        <row r="68">
          <cell r="B68">
            <v>2.7694158138069351</v>
          </cell>
        </row>
        <row r="73">
          <cell r="B73">
            <v>0.2</v>
          </cell>
        </row>
        <row r="77">
          <cell r="B77">
            <v>25</v>
          </cell>
        </row>
        <row r="85">
          <cell r="B85">
            <v>0.06</v>
          </cell>
        </row>
        <row r="92">
          <cell r="B92">
            <v>1.8794908357553828E-3</v>
          </cell>
        </row>
        <row r="93">
          <cell r="B93">
            <v>2E-3</v>
          </cell>
        </row>
        <row r="95">
          <cell r="B95">
            <v>30</v>
          </cell>
        </row>
        <row r="97">
          <cell r="B97">
            <v>23.623374459415448</v>
          </cell>
        </row>
        <row r="98">
          <cell r="B98">
            <v>23.076460465482661</v>
          </cell>
        </row>
        <row r="99">
          <cell r="B99">
            <v>22.711820757146537</v>
          </cell>
        </row>
        <row r="105">
          <cell r="B105">
            <v>1.143235210556081</v>
          </cell>
        </row>
        <row r="114">
          <cell r="B114">
            <v>4.2078322477636902</v>
          </cell>
        </row>
        <row r="116">
          <cell r="B116">
            <v>0.05</v>
          </cell>
        </row>
        <row r="120">
          <cell r="B120">
            <v>1.1539232557528896E-4</v>
          </cell>
        </row>
        <row r="121">
          <cell r="B121">
            <v>115.39232557528896</v>
          </cell>
        </row>
        <row r="122">
          <cell r="B122">
            <v>2.0000000000000001E-4</v>
          </cell>
        </row>
        <row r="123">
          <cell r="B123">
            <v>2.9492546733841021E-3</v>
          </cell>
        </row>
        <row r="125">
          <cell r="B125">
            <v>2.9492546733841021</v>
          </cell>
        </row>
        <row r="126">
          <cell r="B126">
            <v>1E-3</v>
          </cell>
        </row>
        <row r="127">
          <cell r="B127">
            <v>3.1999271848726356E-2</v>
          </cell>
        </row>
        <row r="138">
          <cell r="B138">
            <v>3.0545947425895128</v>
          </cell>
        </row>
        <row r="140">
          <cell r="B140">
            <v>0.4</v>
          </cell>
        </row>
        <row r="147">
          <cell r="B147">
            <v>8.7499999999999992E-6</v>
          </cell>
        </row>
        <row r="148">
          <cell r="B148">
            <v>8.75</v>
          </cell>
        </row>
        <row r="150">
          <cell r="B150">
            <v>3.0000000000000001E-5</v>
          </cell>
        </row>
        <row r="154">
          <cell r="B154">
            <v>2.4904865886864302E-2</v>
          </cell>
        </row>
        <row r="155">
          <cell r="B155">
            <v>24.904865886864304</v>
          </cell>
        </row>
        <row r="156">
          <cell r="B156">
            <v>1E-3</v>
          </cell>
        </row>
        <row r="162">
          <cell r="B162">
            <v>0.12817916098312149</v>
          </cell>
        </row>
        <row r="167">
          <cell r="B167">
            <v>0</v>
          </cell>
        </row>
        <row r="169">
          <cell r="B169">
            <v>0</v>
          </cell>
        </row>
        <row r="173">
          <cell r="B173">
            <v>0.02</v>
          </cell>
        </row>
        <row r="174">
          <cell r="B174">
            <v>3.3333333333333335E-7</v>
          </cell>
        </row>
        <row r="175">
          <cell r="B175">
            <v>3.3000000000000002E-7</v>
          </cell>
        </row>
        <row r="188">
          <cell r="B188">
            <v>200</v>
          </cell>
        </row>
        <row r="189">
          <cell r="B189">
            <v>9.5299999999999994</v>
          </cell>
        </row>
        <row r="191">
          <cell r="B191">
            <v>41200</v>
          </cell>
        </row>
        <row r="192">
          <cell r="B192">
            <v>2.0226537216828479E-9</v>
          </cell>
        </row>
        <row r="193">
          <cell r="B193">
            <v>2.1999999999999998E-9</v>
          </cell>
        </row>
        <row r="197">
          <cell r="B197">
            <v>3.1415926500000002</v>
          </cell>
        </row>
        <row r="198">
          <cell r="B198">
            <v>10</v>
          </cell>
        </row>
        <row r="199">
          <cell r="B199">
            <v>0.02</v>
          </cell>
        </row>
        <row r="200">
          <cell r="B200">
            <v>1.1999999999999999E-3</v>
          </cell>
        </row>
        <row r="202">
          <cell r="B202">
            <v>3409090.9090909087</v>
          </cell>
        </row>
        <row r="203">
          <cell r="B203">
            <v>17272727.272727273</v>
          </cell>
        </row>
        <row r="204">
          <cell r="B204">
            <v>5454545.4545454541</v>
          </cell>
        </row>
        <row r="210">
          <cell r="B210">
            <v>1.1973684210526316</v>
          </cell>
        </row>
        <row r="213">
          <cell r="B213">
            <v>1.1973684210526316</v>
          </cell>
        </row>
        <row r="214">
          <cell r="B214">
            <v>0.90939904124438276</v>
          </cell>
        </row>
        <row r="215">
          <cell r="B215">
            <v>0.77750520758426467</v>
          </cell>
        </row>
        <row r="218">
          <cell r="B218">
            <v>6</v>
          </cell>
        </row>
        <row r="219">
          <cell r="B219">
            <v>3.1830988654751269E-11</v>
          </cell>
        </row>
        <row r="220">
          <cell r="B220">
            <v>64000000</v>
          </cell>
        </row>
        <row r="221">
          <cell r="B221">
            <v>76800</v>
          </cell>
        </row>
        <row r="222">
          <cell r="B222">
            <v>6.749667855362608E-2</v>
          </cell>
        </row>
        <row r="223">
          <cell r="B223">
            <v>50</v>
          </cell>
        </row>
        <row r="225">
          <cell r="B225">
            <v>48.217484261811641</v>
          </cell>
        </row>
        <row r="230">
          <cell r="B230">
            <v>2.4</v>
          </cell>
        </row>
        <row r="232">
          <cell r="B232">
            <v>825.19311049896191</v>
          </cell>
        </row>
        <row r="233">
          <cell r="B233">
            <v>825.19311049896191</v>
          </cell>
        </row>
        <row r="235">
          <cell r="B235">
            <v>0.75342856523137813</v>
          </cell>
        </row>
        <row r="236">
          <cell r="B236">
            <v>146133.79932357057</v>
          </cell>
        </row>
        <row r="237">
          <cell r="B237">
            <v>795774.71636878187</v>
          </cell>
        </row>
        <row r="240">
          <cell r="B240">
            <v>40000</v>
          </cell>
          <cell r="D240">
            <v>6000</v>
          </cell>
        </row>
        <row r="241">
          <cell r="B241">
            <v>12411.84096687664</v>
          </cell>
        </row>
        <row r="242">
          <cell r="B242">
            <v>3.2057078337228865E-9</v>
          </cell>
        </row>
        <row r="243">
          <cell r="B243">
            <v>5.3654553577859046E-11</v>
          </cell>
        </row>
        <row r="247">
          <cell r="B247">
            <v>12400</v>
          </cell>
        </row>
        <row r="248">
          <cell r="B248">
            <v>3.3000000000000006E-9</v>
          </cell>
          <cell r="D248">
            <v>5.0000000000000002E-11</v>
          </cell>
        </row>
        <row r="249">
          <cell r="B249">
            <v>5.6E-11</v>
          </cell>
          <cell r="D249">
            <v>9.9999999999999998E-13</v>
          </cell>
        </row>
        <row r="252">
          <cell r="B252">
            <v>3889.4169910497644</v>
          </cell>
        </row>
        <row r="255">
          <cell r="B255">
            <v>2500000</v>
          </cell>
        </row>
        <row r="256">
          <cell r="B256">
            <v>178571.42857142858</v>
          </cell>
        </row>
        <row r="257">
          <cell r="B257">
            <v>177000</v>
          </cell>
        </row>
        <row r="259">
          <cell r="B259">
            <v>20000</v>
          </cell>
        </row>
        <row r="260">
          <cell r="B260">
            <v>3.67E-13</v>
          </cell>
        </row>
        <row r="261">
          <cell r="B261">
            <v>2.1999999999999999E-12</v>
          </cell>
        </row>
        <row r="263">
          <cell r="B263">
            <v>21683234.778440922</v>
          </cell>
        </row>
        <row r="264">
          <cell r="B264">
            <v>28937.262413410252</v>
          </cell>
        </row>
        <row r="267">
          <cell r="B267">
            <v>173465.8782275274</v>
          </cell>
        </row>
        <row r="282">
          <cell r="B282">
            <v>102.15634849028891</v>
          </cell>
        </row>
        <row r="284">
          <cell r="B284" t="e">
            <v>#VALUE!</v>
          </cell>
        </row>
        <row r="285">
          <cell r="B285" t="e">
            <v>#VALUE!</v>
          </cell>
        </row>
        <row r="287">
          <cell r="B287">
            <v>0.68</v>
          </cell>
        </row>
        <row r="289">
          <cell r="B289" t="e">
            <v>#VALUE!</v>
          </cell>
        </row>
        <row r="290">
          <cell r="B290">
            <v>3</v>
          </cell>
        </row>
        <row r="293">
          <cell r="B293" t="e">
            <v>#VALUE!</v>
          </cell>
          <cell r="D293" t="e">
            <v>#REF!</v>
          </cell>
        </row>
        <row r="295">
          <cell r="D295" t="e">
            <v>#REF!</v>
          </cell>
        </row>
        <row r="296">
          <cell r="D296" t="e">
            <v>#REF!</v>
          </cell>
        </row>
        <row r="297">
          <cell r="D297" t="e">
            <v>#VALUE!</v>
          </cell>
        </row>
        <row r="298">
          <cell r="B298" t="e">
            <v>#VALUE!</v>
          </cell>
        </row>
        <row r="299">
          <cell r="D299" t="e">
            <v>#VALUE!</v>
          </cell>
        </row>
        <row r="310">
          <cell r="B310">
            <v>25</v>
          </cell>
        </row>
        <row r="312">
          <cell r="B312">
            <v>4.0000000000000001E-3</v>
          </cell>
        </row>
        <row r="313">
          <cell r="B313">
            <v>20</v>
          </cell>
        </row>
        <row r="317">
          <cell r="B317">
            <v>5</v>
          </cell>
        </row>
        <row r="319">
          <cell r="B319">
            <v>1</v>
          </cell>
        </row>
        <row r="320">
          <cell r="B320">
            <v>0.5</v>
          </cell>
        </row>
        <row r="322">
          <cell r="B322">
            <v>1</v>
          </cell>
        </row>
        <row r="323">
          <cell r="B323">
            <v>0.5</v>
          </cell>
        </row>
        <row r="325">
          <cell r="B325">
            <v>1.4E-8</v>
          </cell>
        </row>
        <row r="327">
          <cell r="B327">
            <v>2.2000000000000001E-6</v>
          </cell>
        </row>
        <row r="330">
          <cell r="B330">
            <v>1.2E-2</v>
          </cell>
          <cell r="D330">
            <v>4.0999999999999995E-3</v>
          </cell>
        </row>
        <row r="331">
          <cell r="B331">
            <v>4.0000000000000001E-3</v>
          </cell>
          <cell r="D331">
            <v>4.0000000000000001E-3</v>
          </cell>
        </row>
        <row r="332">
          <cell r="B332">
            <v>8.0000000000000005E-9</v>
          </cell>
          <cell r="D332">
            <v>2.4999999999999999E-8</v>
          </cell>
        </row>
        <row r="333">
          <cell r="B333">
            <v>2.8999999999999999E-9</v>
          </cell>
        </row>
        <row r="334">
          <cell r="B334">
            <v>3.1E-9</v>
          </cell>
        </row>
        <row r="335">
          <cell r="D335">
            <v>2.9999999999999997E-8</v>
          </cell>
        </row>
        <row r="336">
          <cell r="B336">
            <v>1.16E-10</v>
          </cell>
          <cell r="D336">
            <v>3.6599999999999998E-10</v>
          </cell>
        </row>
        <row r="337">
          <cell r="B337">
            <v>1.2</v>
          </cell>
          <cell r="D337">
            <v>1.2</v>
          </cell>
        </row>
        <row r="338">
          <cell r="B338">
            <v>55</v>
          </cell>
          <cell r="D338">
            <v>178</v>
          </cell>
        </row>
        <row r="339">
          <cell r="B339">
            <v>3.1</v>
          </cell>
          <cell r="D339">
            <v>3</v>
          </cell>
        </row>
        <row r="340">
          <cell r="B340">
            <v>3.1909090909090909</v>
          </cell>
        </row>
        <row r="342">
          <cell r="B342">
            <v>0.7</v>
          </cell>
          <cell r="D342">
            <v>0.7</v>
          </cell>
        </row>
        <row r="343">
          <cell r="D343">
            <v>5.8999999999999999E-8</v>
          </cell>
        </row>
        <row r="344">
          <cell r="D344">
            <v>4.0000000000000001E-8</v>
          </cell>
        </row>
        <row r="345">
          <cell r="B345">
            <v>42</v>
          </cell>
          <cell r="D345">
            <v>40.700000000000003</v>
          </cell>
        </row>
        <row r="350">
          <cell r="B350">
            <v>0</v>
          </cell>
        </row>
        <row r="351">
          <cell r="B351">
            <v>0</v>
          </cell>
        </row>
        <row r="352">
          <cell r="B352">
            <v>0</v>
          </cell>
        </row>
        <row r="355">
          <cell r="B355">
            <v>34.1</v>
          </cell>
        </row>
        <row r="358">
          <cell r="B358">
            <v>5.4115577889447241E-9</v>
          </cell>
        </row>
        <row r="359">
          <cell r="B359">
            <v>2.3707977207977209E-9</v>
          </cell>
        </row>
        <row r="362">
          <cell r="B362">
            <v>4.9499999999999995E-2</v>
          </cell>
        </row>
        <row r="364">
          <cell r="B364">
            <v>26.687950000000001</v>
          </cell>
        </row>
        <row r="419">
          <cell r="D419" t="str">
            <v>48.7kΩ</v>
          </cell>
        </row>
        <row r="443">
          <cell r="C443">
            <v>73.2</v>
          </cell>
        </row>
      </sheetData>
      <sheetData sheetId="6">
        <row r="2">
          <cell r="A2" t="str">
            <v>SCH_SetVout_ExtComp_nAEF</v>
          </cell>
        </row>
      </sheetData>
      <sheetData sheetId="7">
        <row r="3">
          <cell r="K3">
            <v>795774.71636878187</v>
          </cell>
          <cell r="N3">
            <v>150000</v>
          </cell>
          <cell r="Q3">
            <v>5.8109410928520001E-6</v>
          </cell>
          <cell r="U3">
            <v>3703102.7913071341</v>
          </cell>
        </row>
        <row r="4">
          <cell r="C4">
            <v>3889.4169910497644</v>
          </cell>
          <cell r="K4">
            <v>825.19311049896191</v>
          </cell>
          <cell r="N4">
            <v>116625.7811376397</v>
          </cell>
          <cell r="Q4">
            <v>4.1019852617174042E-5</v>
          </cell>
        </row>
        <row r="5">
          <cell r="C5">
            <v>0.75342856523137813</v>
          </cell>
          <cell r="N5">
            <v>22500000000</v>
          </cell>
          <cell r="Q5">
            <v>1.5937437150456741E-12</v>
          </cell>
        </row>
        <row r="6">
          <cell r="Q6">
            <v>14.124293785310735</v>
          </cell>
          <cell r="U6">
            <v>57.295779578552292</v>
          </cell>
        </row>
        <row r="7">
          <cell r="C7">
            <v>146133.79932357057</v>
          </cell>
        </row>
        <row r="9">
          <cell r="AI9">
            <v>60.308247105272031</v>
          </cell>
        </row>
      </sheetData>
      <sheetData sheetId="8">
        <row r="2">
          <cell r="A2" t="str">
            <v>BODE_PLOT_Ch1</v>
          </cell>
        </row>
      </sheetData>
      <sheetData sheetId="9"/>
      <sheetData sheetId="10">
        <row r="2">
          <cell r="A2" t="str">
            <v>EFF_Ch1</v>
          </cell>
        </row>
      </sheetData>
      <sheetData sheetId="11">
        <row r="3">
          <cell r="D3">
            <v>6.8000000000000005E-7</v>
          </cell>
          <cell r="M3">
            <v>6.8000000000000005E-7</v>
          </cell>
          <cell r="AE3">
            <v>9.9999999999999995E-7</v>
          </cell>
        </row>
        <row r="4">
          <cell r="M4">
            <v>4.6999999999999995E-7</v>
          </cell>
          <cell r="AE4">
            <v>9.9999999999999995E-7</v>
          </cell>
        </row>
        <row r="5">
          <cell r="M5">
            <v>9.9999999999999995E-7</v>
          </cell>
          <cell r="AE5">
            <v>9.9999999999999995E-7</v>
          </cell>
        </row>
        <row r="6">
          <cell r="M6">
            <v>0.35</v>
          </cell>
          <cell r="AE6">
            <v>10</v>
          </cell>
        </row>
      </sheetData>
      <sheetData sheetId="12">
        <row r="27">
          <cell r="S27" t="e">
            <v>#VALUE!</v>
          </cell>
        </row>
        <row r="32">
          <cell r="S32">
            <v>12.4</v>
          </cell>
        </row>
        <row r="33">
          <cell r="S33">
            <v>3.3000000000000003</v>
          </cell>
        </row>
        <row r="34">
          <cell r="S34">
            <v>56</v>
          </cell>
        </row>
      </sheetData>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noFill/>
        <a:ln w="9525">
          <a:noFill/>
          <a:miter lim="800000"/>
          <a:headEnd/>
          <a:tailEnd/>
        </a:ln>
      </a:spPr>
      <a:bodyPr vertOverflow="clip" wrap="square" lIns="27432" tIns="27432" rIns="0" bIns="0" anchor="t" upright="1"/>
      <a:lstStyle>
        <a:defPPr algn="l" rtl="0">
          <a:defRPr sz="1100" b="0" i="0" strike="noStrike">
            <a:solidFill>
              <a:srgbClr val="000000"/>
            </a:solidFill>
            <a:latin typeface="Calibri"/>
          </a:defRPr>
        </a:defPPr>
      </a:lst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18" Type="http://schemas.openxmlformats.org/officeDocument/2006/relationships/comments" Target="../comments1.xml"/><Relationship Id="rId3" Type="http://schemas.openxmlformats.org/officeDocument/2006/relationships/printerSettings" Target="../printerSettings/printerSettings1.bin"/><Relationship Id="rId7" Type="http://schemas.openxmlformats.org/officeDocument/2006/relationships/ctrlProp" Target="../ctrlProps/ctrlProp1.xml"/><Relationship Id="rId12" Type="http://schemas.openxmlformats.org/officeDocument/2006/relationships/ctrlProp" Target="../ctrlProps/ctrlProp6.xml"/><Relationship Id="rId17" Type="http://schemas.openxmlformats.org/officeDocument/2006/relationships/ctrlProp" Target="../ctrlProps/ctrlProp11.xml"/><Relationship Id="rId2" Type="http://schemas.openxmlformats.org/officeDocument/2006/relationships/hyperlink" Target="http://www.ti.com/pol" TargetMode="External"/><Relationship Id="rId16" Type="http://schemas.openxmlformats.org/officeDocument/2006/relationships/ctrlProp" Target="../ctrlProps/ctrlProp10.xml"/><Relationship Id="rId1" Type="http://schemas.openxmlformats.org/officeDocument/2006/relationships/hyperlink" Target="http://www.ti.com/product/lm5175" TargetMode="External"/><Relationship Id="rId6" Type="http://schemas.openxmlformats.org/officeDocument/2006/relationships/vmlDrawing" Target="../drawings/vmlDrawing2.vml"/><Relationship Id="rId11" Type="http://schemas.openxmlformats.org/officeDocument/2006/relationships/ctrlProp" Target="../ctrlProps/ctrlProp5.xml"/><Relationship Id="rId5" Type="http://schemas.openxmlformats.org/officeDocument/2006/relationships/vmlDrawing" Target="../drawings/vmlDrawing1.vml"/><Relationship Id="rId15" Type="http://schemas.openxmlformats.org/officeDocument/2006/relationships/ctrlProp" Target="../ctrlProps/ctrlProp9.xml"/><Relationship Id="rId10" Type="http://schemas.openxmlformats.org/officeDocument/2006/relationships/ctrlProp" Target="../ctrlProps/ctrlProp4.xml"/><Relationship Id="rId4" Type="http://schemas.openxmlformats.org/officeDocument/2006/relationships/drawing" Target="../drawings/drawing1.xml"/><Relationship Id="rId9" Type="http://schemas.openxmlformats.org/officeDocument/2006/relationships/ctrlProp" Target="../ctrlProps/ctrlProp3.xml"/><Relationship Id="rId14"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7A0F6-A41E-48B7-8203-0DD26BFC79B2}">
  <sheetPr codeName="Sheet1">
    <tabColor rgb="FFFFFF00"/>
    <pageSetUpPr fitToPage="1"/>
  </sheetPr>
  <dimension ref="A1:AH454"/>
  <sheetViews>
    <sheetView tabSelected="1" topLeftCell="A2" zoomScaleNormal="100" zoomScaleSheetLayoutView="100" workbookViewId="0">
      <selection activeCell="E6" sqref="E6:E9"/>
    </sheetView>
  </sheetViews>
  <sheetFormatPr defaultColWidth="9.109375" defaultRowHeight="13.8" x14ac:dyDescent="0.3"/>
  <cols>
    <col min="1" max="1" width="8.33203125" style="260" customWidth="1"/>
    <col min="2" max="2" width="8.33203125" style="4" customWidth="1"/>
    <col min="3" max="3" width="13.5546875" style="4" customWidth="1"/>
    <col min="4" max="4" width="8.33203125" style="4" customWidth="1"/>
    <col min="5" max="5" width="8.5546875" style="4" customWidth="1"/>
    <col min="6" max="6" width="7.5546875" style="4" customWidth="1"/>
    <col min="7" max="7" width="14" style="4" customWidth="1"/>
    <col min="8" max="8" width="6.5546875" style="4" customWidth="1"/>
    <col min="9" max="9" width="6.6640625" style="4" customWidth="1"/>
    <col min="10" max="10" width="7.5546875" style="4" customWidth="1"/>
    <col min="11" max="11" width="12.44140625" style="4" bestFit="1" customWidth="1"/>
    <col min="12" max="14" width="9.109375" style="4"/>
    <col min="15" max="15" width="10.109375" style="4" customWidth="1"/>
    <col min="16" max="16" width="89" style="4" customWidth="1"/>
    <col min="17" max="17" width="3.109375" style="4" customWidth="1"/>
    <col min="18" max="18" width="10" style="4" bestFit="1" customWidth="1"/>
    <col min="19" max="16384" width="9.109375" style="4"/>
  </cols>
  <sheetData>
    <row r="1" spans="1:17" ht="47.25" customHeight="1" x14ac:dyDescent="0.3">
      <c r="A1" s="1" t="s">
        <v>0</v>
      </c>
      <c r="B1" s="2"/>
      <c r="C1" s="2"/>
      <c r="D1" s="2"/>
      <c r="E1" s="2"/>
      <c r="F1" s="2"/>
      <c r="G1" s="2"/>
      <c r="H1" s="2"/>
      <c r="I1" s="2"/>
      <c r="J1" s="2"/>
      <c r="K1" s="2"/>
      <c r="L1" s="2"/>
      <c r="M1" s="2"/>
      <c r="N1" s="2"/>
      <c r="O1" s="2"/>
      <c r="P1" s="2"/>
      <c r="Q1" s="3"/>
    </row>
    <row r="2" spans="1:17" ht="14.1" customHeight="1" x14ac:dyDescent="0.55000000000000004">
      <c r="A2" s="5"/>
      <c r="B2" s="6"/>
      <c r="C2" s="6"/>
      <c r="D2" s="6"/>
      <c r="E2" s="6"/>
      <c r="F2" s="6"/>
      <c r="G2" s="6"/>
      <c r="H2" s="6"/>
      <c r="I2" s="6"/>
      <c r="J2" s="6"/>
      <c r="K2" s="6"/>
      <c r="L2" s="6"/>
      <c r="M2" s="6"/>
      <c r="N2" s="7" t="s">
        <v>1</v>
      </c>
      <c r="O2" s="6"/>
      <c r="P2" s="6"/>
      <c r="Q2" s="3"/>
    </row>
    <row r="3" spans="1:17" ht="16.2" customHeight="1" x14ac:dyDescent="0.55000000000000004">
      <c r="A3" s="8" t="s">
        <v>2</v>
      </c>
      <c r="B3" s="9"/>
      <c r="C3" s="10" t="s">
        <v>3</v>
      </c>
      <c r="D3" s="11"/>
      <c r="E3" s="12"/>
      <c r="F3" s="13" t="s">
        <v>4</v>
      </c>
      <c r="G3" s="14"/>
      <c r="H3" s="6"/>
      <c r="I3" s="14"/>
      <c r="J3" s="15"/>
      <c r="K3" s="16"/>
      <c r="L3" s="3"/>
      <c r="M3" s="3"/>
      <c r="N3" s="17" t="s">
        <v>5</v>
      </c>
      <c r="O3" s="17"/>
      <c r="P3" s="3" t="s">
        <v>6</v>
      </c>
      <c r="Q3" s="3"/>
    </row>
    <row r="4" spans="1:17" ht="13.5" customHeight="1" thickBot="1" x14ac:dyDescent="0.4">
      <c r="A4" s="18"/>
      <c r="B4" s="19"/>
      <c r="C4" s="20"/>
      <c r="D4" s="20"/>
      <c r="E4" s="20"/>
      <c r="F4" s="20"/>
      <c r="G4" s="20"/>
      <c r="H4" s="20"/>
      <c r="I4" s="20"/>
      <c r="J4" s="20"/>
      <c r="K4" s="20"/>
      <c r="L4" s="21"/>
      <c r="M4" s="21"/>
      <c r="N4" s="21"/>
      <c r="O4" s="21"/>
      <c r="P4" s="21"/>
      <c r="Q4" s="3"/>
    </row>
    <row r="5" spans="1:17" ht="20.100000000000001" customHeight="1" thickBot="1" x14ac:dyDescent="0.4">
      <c r="A5" s="22" t="s">
        <v>7</v>
      </c>
      <c r="B5" s="23"/>
      <c r="C5" s="24"/>
      <c r="D5" s="24"/>
      <c r="E5" s="25"/>
      <c r="F5" s="24"/>
      <c r="G5" s="26"/>
      <c r="H5" s="27"/>
      <c r="I5" s="27"/>
      <c r="J5" s="27"/>
      <c r="K5" s="27"/>
      <c r="L5" s="27"/>
      <c r="M5" s="27"/>
      <c r="N5" s="27"/>
      <c r="O5" s="27"/>
      <c r="P5" s="28"/>
      <c r="Q5" s="3"/>
    </row>
    <row r="6" spans="1:17" ht="15.75" customHeight="1" x14ac:dyDescent="0.3">
      <c r="A6" s="29"/>
      <c r="B6" s="30"/>
      <c r="C6" s="31"/>
      <c r="D6" s="32" t="s">
        <v>8</v>
      </c>
      <c r="E6" s="33">
        <v>40</v>
      </c>
      <c r="F6" s="34" t="s">
        <v>9</v>
      </c>
      <c r="G6" s="35"/>
      <c r="H6" s="36"/>
      <c r="I6" s="27"/>
      <c r="J6" s="27"/>
      <c r="K6" s="27"/>
      <c r="L6" s="27"/>
      <c r="M6" s="27"/>
      <c r="N6" s="27"/>
      <c r="O6" s="27"/>
      <c r="P6" s="28"/>
      <c r="Q6" s="3"/>
    </row>
    <row r="7" spans="1:17" ht="13.5" customHeight="1" x14ac:dyDescent="0.3">
      <c r="A7" s="37"/>
      <c r="B7" s="38"/>
      <c r="C7" s="39"/>
      <c r="D7" s="40" t="s">
        <v>10</v>
      </c>
      <c r="E7" s="41">
        <v>50</v>
      </c>
      <c r="F7" s="42" t="s">
        <v>9</v>
      </c>
      <c r="G7" s="35"/>
      <c r="H7" s="36"/>
      <c r="I7" s="27"/>
      <c r="J7" s="27"/>
      <c r="K7" s="27"/>
      <c r="L7" s="27"/>
      <c r="M7" s="27"/>
      <c r="N7" s="27"/>
      <c r="O7" s="27"/>
      <c r="P7" s="28"/>
      <c r="Q7" s="3"/>
    </row>
    <row r="8" spans="1:17" ht="13.5" customHeight="1" x14ac:dyDescent="0.3">
      <c r="A8" s="37"/>
      <c r="B8" s="38"/>
      <c r="C8" s="39"/>
      <c r="D8" s="40" t="s">
        <v>11</v>
      </c>
      <c r="E8" s="41">
        <v>60</v>
      </c>
      <c r="F8" s="43" t="s">
        <v>9</v>
      </c>
      <c r="G8" s="35"/>
      <c r="H8" s="36"/>
      <c r="I8" s="27"/>
      <c r="J8" s="27"/>
      <c r="K8" s="27"/>
      <c r="L8" s="27"/>
      <c r="M8" s="27"/>
      <c r="N8" s="27"/>
      <c r="O8" s="27"/>
      <c r="P8" s="28"/>
      <c r="Q8" s="3"/>
    </row>
    <row r="9" spans="1:17" ht="13.5" customHeight="1" x14ac:dyDescent="0.3">
      <c r="A9" s="37"/>
      <c r="B9" s="38"/>
      <c r="C9" s="39"/>
      <c r="D9" s="40" t="s">
        <v>12</v>
      </c>
      <c r="E9" s="41">
        <v>12</v>
      </c>
      <c r="F9" s="43" t="s">
        <v>9</v>
      </c>
      <c r="G9" s="35"/>
      <c r="H9" s="36"/>
      <c r="I9" s="27"/>
      <c r="J9" s="27"/>
      <c r="K9" s="27"/>
      <c r="L9" s="27"/>
      <c r="M9" s="27"/>
      <c r="N9" s="27"/>
      <c r="O9" s="27"/>
      <c r="P9" s="28"/>
      <c r="Q9" s="3"/>
    </row>
    <row r="10" spans="1:17" ht="13.5" customHeight="1" x14ac:dyDescent="0.3">
      <c r="A10" s="37"/>
      <c r="B10" s="38"/>
      <c r="C10" s="39"/>
      <c r="D10" s="40" t="s">
        <v>13</v>
      </c>
      <c r="E10" s="41">
        <v>5</v>
      </c>
      <c r="F10" s="43" t="s">
        <v>14</v>
      </c>
      <c r="G10" s="44"/>
      <c r="H10" s="45"/>
      <c r="I10" s="46"/>
      <c r="J10" s="46"/>
      <c r="K10" s="27"/>
      <c r="L10" s="27"/>
      <c r="M10" s="27"/>
      <c r="N10" s="27"/>
      <c r="O10" s="27"/>
      <c r="P10" s="28"/>
      <c r="Q10" s="3"/>
    </row>
    <row r="11" spans="1:17" ht="13.5" customHeight="1" x14ac:dyDescent="0.3">
      <c r="A11" s="37"/>
      <c r="B11" s="38"/>
      <c r="C11" s="39"/>
      <c r="D11" s="40" t="s">
        <v>15</v>
      </c>
      <c r="E11" s="47">
        <v>300</v>
      </c>
      <c r="F11" s="43" t="s">
        <v>16</v>
      </c>
      <c r="G11" s="48"/>
      <c r="H11" s="49"/>
      <c r="I11" s="45"/>
      <c r="J11" s="45"/>
      <c r="K11" s="27"/>
      <c r="L11" s="27"/>
      <c r="M11" s="27"/>
      <c r="N11" s="27"/>
      <c r="O11" s="27"/>
      <c r="P11" s="28"/>
      <c r="Q11" s="3"/>
    </row>
    <row r="12" spans="1:17" ht="13.5" customHeight="1" x14ac:dyDescent="0.3">
      <c r="A12" s="37"/>
      <c r="B12" s="38"/>
      <c r="C12" s="39"/>
      <c r="D12" s="39" t="s">
        <v>17</v>
      </c>
      <c r="E12" s="39">
        <f>'[1]Variable Management'!C443</f>
        <v>73.2</v>
      </c>
      <c r="F12" s="50" t="s">
        <v>18</v>
      </c>
      <c r="G12" s="48"/>
      <c r="H12" s="49"/>
      <c r="I12" s="45"/>
      <c r="J12" s="45"/>
      <c r="K12" s="27"/>
      <c r="L12" s="27"/>
      <c r="M12" s="27"/>
      <c r="N12" s="27"/>
      <c r="O12" s="27"/>
      <c r="P12" s="28"/>
      <c r="Q12" s="3"/>
    </row>
    <row r="13" spans="1:17" ht="17.25" customHeight="1" thickBot="1" x14ac:dyDescent="0.35">
      <c r="A13" s="51"/>
      <c r="B13" s="52"/>
      <c r="C13" s="53"/>
      <c r="D13" s="54" t="s">
        <v>19</v>
      </c>
      <c r="E13" s="55">
        <v>25</v>
      </c>
      <c r="F13" s="56" t="s">
        <v>20</v>
      </c>
      <c r="G13" s="48"/>
      <c r="H13" s="49"/>
      <c r="I13" s="45"/>
      <c r="J13" s="45"/>
      <c r="K13" s="27"/>
      <c r="L13" s="27"/>
      <c r="M13" s="27"/>
      <c r="N13" s="27"/>
      <c r="O13" s="27"/>
      <c r="P13" s="28"/>
      <c r="Q13" s="3"/>
    </row>
    <row r="14" spans="1:17" ht="17.25" customHeight="1" x14ac:dyDescent="0.3">
      <c r="A14" s="37"/>
      <c r="B14" s="38"/>
      <c r="C14" s="39"/>
      <c r="D14" s="57"/>
      <c r="E14" s="57"/>
      <c r="F14" s="46"/>
      <c r="G14" s="48"/>
      <c r="H14" s="49"/>
      <c r="I14" s="45"/>
      <c r="J14" s="45"/>
      <c r="K14" s="27"/>
      <c r="L14" s="27"/>
      <c r="M14" s="27"/>
      <c r="N14" s="27"/>
      <c r="O14" s="27"/>
      <c r="P14" s="28"/>
      <c r="Q14" s="3"/>
    </row>
    <row r="15" spans="1:17" ht="20.100000000000001" customHeight="1" thickBot="1" x14ac:dyDescent="0.35">
      <c r="A15" s="22" t="s">
        <v>21</v>
      </c>
      <c r="B15" s="58"/>
      <c r="C15" s="36"/>
      <c r="D15" s="36"/>
      <c r="E15" s="36"/>
      <c r="F15" s="36"/>
      <c r="G15" s="48"/>
      <c r="H15" s="49"/>
      <c r="I15" s="45"/>
      <c r="J15" s="45"/>
      <c r="K15" s="27"/>
      <c r="L15" s="27"/>
      <c r="M15" s="27"/>
      <c r="N15" s="27"/>
      <c r="O15" s="27"/>
      <c r="P15" s="28"/>
      <c r="Q15" s="3"/>
    </row>
    <row r="16" spans="1:17" ht="15" customHeight="1" x14ac:dyDescent="0.35">
      <c r="A16" s="29"/>
      <c r="B16" s="59"/>
      <c r="C16" s="59"/>
      <c r="D16" s="60" t="s">
        <v>22</v>
      </c>
      <c r="E16" s="61">
        <v>25</v>
      </c>
      <c r="F16" s="62" t="s">
        <v>14</v>
      </c>
      <c r="G16" s="44"/>
      <c r="H16" s="49"/>
      <c r="I16" s="63"/>
      <c r="J16" s="63"/>
      <c r="K16" s="27"/>
      <c r="L16" s="27"/>
      <c r="M16" s="27"/>
      <c r="N16" s="27"/>
      <c r="O16" s="27"/>
      <c r="P16" s="28"/>
      <c r="Q16" s="3"/>
    </row>
    <row r="17" spans="1:17" ht="15" customHeight="1" x14ac:dyDescent="0.3">
      <c r="A17" s="37"/>
      <c r="B17" s="36"/>
      <c r="C17" s="36"/>
      <c r="D17" s="64" t="s">
        <v>23</v>
      </c>
      <c r="E17" s="65">
        <f>Rs_ideal*1000</f>
        <v>1.8794908357553828</v>
      </c>
      <c r="F17" s="66" t="s">
        <v>24</v>
      </c>
      <c r="G17" s="48"/>
      <c r="H17" s="49"/>
      <c r="I17" s="67"/>
      <c r="J17" s="49"/>
      <c r="K17" s="27"/>
      <c r="L17" s="27"/>
      <c r="M17" s="27"/>
      <c r="N17" s="27"/>
      <c r="O17" s="27"/>
      <c r="P17" s="28"/>
      <c r="Q17" s="3"/>
    </row>
    <row r="18" spans="1:17" ht="13.95" customHeight="1" x14ac:dyDescent="0.35">
      <c r="A18" s="37"/>
      <c r="B18" s="36"/>
      <c r="C18" s="36"/>
      <c r="D18" s="68" t="s">
        <v>25</v>
      </c>
      <c r="E18" s="69">
        <v>2</v>
      </c>
      <c r="F18" s="70" t="s">
        <v>24</v>
      </c>
      <c r="G18" s="48"/>
      <c r="H18" s="49"/>
      <c r="I18" s="63"/>
      <c r="J18" s="63"/>
      <c r="K18" s="27"/>
      <c r="L18" s="27"/>
      <c r="M18" s="27"/>
      <c r="N18" s="27"/>
      <c r="O18" s="27"/>
      <c r="P18" s="28"/>
      <c r="Q18" s="3"/>
    </row>
    <row r="19" spans="1:17" ht="13.5" customHeight="1" x14ac:dyDescent="0.35">
      <c r="A19" s="37"/>
      <c r="B19" s="36"/>
      <c r="C19" s="36"/>
      <c r="D19" s="71" t="s">
        <v>26</v>
      </c>
      <c r="E19" s="67">
        <f>'[1]Variable Management'!B95</f>
        <v>30</v>
      </c>
      <c r="F19" s="66" t="s">
        <v>14</v>
      </c>
      <c r="G19" s="48"/>
      <c r="H19" s="49"/>
      <c r="I19" s="67"/>
      <c r="J19" s="49"/>
      <c r="K19" s="27"/>
      <c r="L19" s="27"/>
      <c r="M19" s="27"/>
      <c r="N19" s="27"/>
      <c r="O19" s="27"/>
      <c r="P19" s="28"/>
      <c r="Q19" s="3"/>
    </row>
    <row r="20" spans="1:17" ht="13.95" customHeight="1" x14ac:dyDescent="0.3">
      <c r="A20" s="37"/>
      <c r="B20" s="36"/>
      <c r="C20" s="36"/>
      <c r="D20" s="71" t="s">
        <v>27</v>
      </c>
      <c r="E20" s="72">
        <f>'[1]Variable Management'!B105</f>
        <v>1.143235210556081</v>
      </c>
      <c r="F20" s="66" t="s">
        <v>28</v>
      </c>
      <c r="G20" s="48"/>
      <c r="H20" s="49"/>
      <c r="I20" s="72"/>
      <c r="J20" s="49"/>
      <c r="K20" s="27"/>
      <c r="L20" s="27"/>
      <c r="M20" s="27"/>
      <c r="N20" s="27"/>
      <c r="O20" s="27"/>
      <c r="P20" s="28"/>
      <c r="Q20" s="3"/>
    </row>
    <row r="21" spans="1:17" ht="13.95" customHeight="1" x14ac:dyDescent="0.35">
      <c r="A21" s="37"/>
      <c r="B21" s="36"/>
      <c r="C21" s="45"/>
      <c r="D21" s="73" t="s">
        <v>29</v>
      </c>
      <c r="E21" s="74">
        <f>'[1]Variable Management'!B97</f>
        <v>23.623374459415448</v>
      </c>
      <c r="F21" s="50" t="s">
        <v>14</v>
      </c>
      <c r="G21" s="48"/>
      <c r="H21" s="49"/>
      <c r="I21" s="75"/>
      <c r="J21" s="76"/>
      <c r="K21" s="27"/>
      <c r="L21" s="27"/>
      <c r="M21" s="27"/>
      <c r="N21" s="27"/>
      <c r="O21" s="27"/>
      <c r="P21" s="28"/>
      <c r="Q21" s="3"/>
    </row>
    <row r="22" spans="1:17" ht="13.95" customHeight="1" x14ac:dyDescent="0.35">
      <c r="A22" s="37"/>
      <c r="B22" s="36"/>
      <c r="C22" s="64" t="s">
        <v>30</v>
      </c>
      <c r="D22" s="73" t="s">
        <v>31</v>
      </c>
      <c r="E22" s="74">
        <f>'[1]Variable Management'!B98</f>
        <v>23.076460465482661</v>
      </c>
      <c r="F22" s="50" t="s">
        <v>14</v>
      </c>
      <c r="G22" s="48"/>
      <c r="H22" s="77"/>
      <c r="I22" s="75"/>
      <c r="J22" s="76"/>
      <c r="K22" s="27"/>
      <c r="L22" s="27"/>
      <c r="M22" s="27"/>
      <c r="N22" s="27"/>
      <c r="O22" s="27"/>
      <c r="P22" s="28"/>
      <c r="Q22" s="3"/>
    </row>
    <row r="23" spans="1:17" ht="13.5" customHeight="1" thickBot="1" x14ac:dyDescent="0.4">
      <c r="A23" s="51"/>
      <c r="B23" s="78"/>
      <c r="C23" s="78"/>
      <c r="D23" s="79" t="s">
        <v>32</v>
      </c>
      <c r="E23" s="80">
        <f>'[1]Variable Management'!B99</f>
        <v>22.711820757146537</v>
      </c>
      <c r="F23" s="81" t="s">
        <v>14</v>
      </c>
      <c r="G23" s="44"/>
      <c r="H23" s="49"/>
      <c r="I23" s="75"/>
      <c r="J23" s="76"/>
      <c r="K23" s="27"/>
      <c r="L23" s="27"/>
      <c r="M23" s="27"/>
      <c r="N23" s="27"/>
      <c r="O23" s="27"/>
      <c r="P23" s="28"/>
      <c r="Q23" s="3"/>
    </row>
    <row r="24" spans="1:17" ht="17.25" customHeight="1" x14ac:dyDescent="0.3">
      <c r="A24" s="37"/>
      <c r="B24" s="38"/>
      <c r="C24" s="39"/>
      <c r="D24" s="57"/>
      <c r="E24" s="57"/>
      <c r="F24" s="46"/>
      <c r="G24" s="48"/>
      <c r="H24" s="49"/>
      <c r="I24" s="45"/>
      <c r="J24" s="45"/>
      <c r="K24" s="27"/>
      <c r="L24" s="27"/>
      <c r="M24" s="27"/>
      <c r="N24" s="27"/>
      <c r="O24" s="27"/>
      <c r="P24" s="28"/>
      <c r="Q24" s="3"/>
    </row>
    <row r="25" spans="1:17" ht="19.5" customHeight="1" thickBot="1" x14ac:dyDescent="0.35">
      <c r="A25" s="22" t="s">
        <v>33</v>
      </c>
      <c r="B25" s="58"/>
      <c r="C25" s="82"/>
      <c r="D25" s="82"/>
      <c r="E25" s="83"/>
      <c r="F25" s="82"/>
      <c r="G25" s="48"/>
      <c r="H25" s="49"/>
      <c r="I25" s="45"/>
      <c r="J25" s="45"/>
      <c r="K25" s="27"/>
      <c r="L25" s="27"/>
      <c r="M25" s="27"/>
      <c r="N25" s="27"/>
      <c r="O25" s="27"/>
      <c r="P25" s="28"/>
      <c r="Q25" s="3"/>
    </row>
    <row r="26" spans="1:17" ht="13.5" customHeight="1" x14ac:dyDescent="0.3">
      <c r="A26" s="84"/>
      <c r="B26" s="59"/>
      <c r="C26" s="85"/>
      <c r="D26" s="85" t="s">
        <v>34</v>
      </c>
      <c r="E26" s="86">
        <f>Lopt*1000000</f>
        <v>3.5211267605633809</v>
      </c>
      <c r="F26" s="87" t="s">
        <v>35</v>
      </c>
      <c r="G26" s="44"/>
      <c r="H26" s="49"/>
      <c r="I26" s="88"/>
      <c r="J26" s="49"/>
      <c r="K26" s="27"/>
      <c r="L26" s="27"/>
      <c r="M26" s="27"/>
      <c r="N26" s="27"/>
      <c r="O26" s="27"/>
      <c r="P26" s="28"/>
      <c r="Q26" s="3"/>
    </row>
    <row r="27" spans="1:17" ht="13.5" customHeight="1" x14ac:dyDescent="0.35">
      <c r="A27" s="89"/>
      <c r="B27" s="36"/>
      <c r="C27" s="64"/>
      <c r="D27" s="68" t="s">
        <v>36</v>
      </c>
      <c r="E27" s="69">
        <v>2.2000000000000002</v>
      </c>
      <c r="F27" s="70" t="s">
        <v>35</v>
      </c>
      <c r="G27" s="48"/>
      <c r="H27" s="77"/>
      <c r="I27" s="63"/>
      <c r="J27" s="63"/>
      <c r="K27" s="27"/>
      <c r="L27" s="27"/>
      <c r="M27" s="27"/>
      <c r="N27" s="27"/>
      <c r="O27" s="27"/>
      <c r="P27" s="28"/>
      <c r="Q27" s="3"/>
    </row>
    <row r="28" spans="1:17" ht="13.5" customHeight="1" x14ac:dyDescent="0.3">
      <c r="A28" s="89"/>
      <c r="B28" s="36"/>
      <c r="C28" s="64"/>
      <c r="D28" s="68" t="s">
        <v>37</v>
      </c>
      <c r="E28" s="69">
        <v>3.5</v>
      </c>
      <c r="F28" s="70" t="s">
        <v>24</v>
      </c>
      <c r="G28" s="48"/>
      <c r="H28" s="77"/>
      <c r="I28" s="63"/>
      <c r="J28" s="63"/>
      <c r="K28" s="27"/>
      <c r="L28" s="27"/>
      <c r="M28" s="27"/>
      <c r="N28" s="27"/>
      <c r="O28" s="27"/>
      <c r="P28" s="28"/>
      <c r="Q28" s="3"/>
    </row>
    <row r="29" spans="1:17" ht="13.5" customHeight="1" x14ac:dyDescent="0.3">
      <c r="A29" s="89"/>
      <c r="B29" s="36"/>
      <c r="C29" s="64"/>
      <c r="D29" s="39" t="s">
        <v>38</v>
      </c>
      <c r="E29" s="90">
        <f>'[1]Variable Management'!B68*100</f>
        <v>276.94158138069349</v>
      </c>
      <c r="F29" s="50" t="s">
        <v>39</v>
      </c>
      <c r="G29" s="48"/>
      <c r="H29" s="77"/>
      <c r="I29" s="63"/>
      <c r="J29" s="63"/>
      <c r="K29" s="27"/>
      <c r="L29" s="27"/>
      <c r="M29" s="27"/>
      <c r="N29" s="27"/>
      <c r="O29" s="27"/>
      <c r="P29" s="28"/>
      <c r="Q29" s="3"/>
    </row>
    <row r="30" spans="1:17" ht="16.5" customHeight="1" thickBot="1" x14ac:dyDescent="0.35">
      <c r="A30" s="51"/>
      <c r="B30" s="91"/>
      <c r="C30" s="53"/>
      <c r="D30" s="92" t="s">
        <v>40</v>
      </c>
      <c r="E30" s="93">
        <v>0.2</v>
      </c>
      <c r="F30" s="94" t="s">
        <v>28</v>
      </c>
      <c r="G30" s="44"/>
      <c r="H30" s="49"/>
      <c r="I30" s="95"/>
      <c r="J30" s="76"/>
      <c r="K30" s="27"/>
      <c r="L30" s="27"/>
      <c r="M30" s="27"/>
      <c r="N30" s="27"/>
      <c r="O30" s="27"/>
      <c r="P30" s="28"/>
      <c r="Q30" s="3"/>
    </row>
    <row r="31" spans="1:17" ht="14.1" customHeight="1" x14ac:dyDescent="0.3">
      <c r="A31" s="89"/>
      <c r="B31" s="36"/>
      <c r="C31" s="49"/>
      <c r="D31" s="49"/>
      <c r="E31" s="49"/>
      <c r="F31" s="49"/>
      <c r="G31" s="49"/>
      <c r="H31" s="49"/>
      <c r="I31" s="45"/>
      <c r="J31" s="45"/>
      <c r="K31" s="27"/>
      <c r="L31" s="27"/>
      <c r="M31" s="27"/>
      <c r="N31" s="27"/>
      <c r="O31" s="27"/>
      <c r="P31" s="28"/>
      <c r="Q31" s="3"/>
    </row>
    <row r="32" spans="1:17" ht="18" thickBot="1" x14ac:dyDescent="0.35">
      <c r="A32" s="22" t="s">
        <v>41</v>
      </c>
      <c r="B32" s="58"/>
      <c r="C32" s="82"/>
      <c r="D32" s="82"/>
      <c r="E32" s="83"/>
      <c r="F32" s="82"/>
      <c r="G32" s="49"/>
      <c r="H32" s="49"/>
      <c r="I32" s="45"/>
      <c r="J32" s="45"/>
      <c r="K32" s="27"/>
      <c r="L32" s="27"/>
      <c r="M32" s="27"/>
      <c r="N32" s="27"/>
      <c r="O32" s="27"/>
      <c r="P32" s="28"/>
      <c r="Q32" s="3"/>
    </row>
    <row r="33" spans="1:17" ht="15.75" customHeight="1" x14ac:dyDescent="0.35">
      <c r="A33" s="96"/>
      <c r="B33" s="97"/>
      <c r="C33" s="85"/>
      <c r="D33" s="98" t="s">
        <v>42</v>
      </c>
      <c r="E33" s="99">
        <v>50</v>
      </c>
      <c r="F33" s="62" t="s">
        <v>43</v>
      </c>
      <c r="G33" s="100"/>
      <c r="H33" s="49"/>
      <c r="I33" s="101"/>
      <c r="J33" s="63"/>
      <c r="K33" s="27"/>
      <c r="L33" s="27"/>
      <c r="M33" s="27"/>
      <c r="N33" s="27"/>
      <c r="O33" s="27"/>
      <c r="P33" s="28"/>
      <c r="Q33" s="3"/>
    </row>
    <row r="34" spans="1:17" ht="14.1" customHeight="1" x14ac:dyDescent="0.3">
      <c r="A34" s="89"/>
      <c r="B34" s="36"/>
      <c r="C34" s="64"/>
      <c r="D34" s="64" t="s">
        <v>44</v>
      </c>
      <c r="E34" s="102">
        <f>'[1]Variable Management'!B121</f>
        <v>115.39232557528896</v>
      </c>
      <c r="F34" s="66" t="s">
        <v>45</v>
      </c>
      <c r="G34" s="49"/>
      <c r="H34" s="49"/>
      <c r="I34" s="103"/>
      <c r="J34" s="49"/>
      <c r="K34" s="27"/>
      <c r="L34" s="27"/>
      <c r="M34" s="27"/>
      <c r="N34" s="27"/>
      <c r="O34" s="27"/>
      <c r="P34" s="28"/>
      <c r="Q34" s="3"/>
    </row>
    <row r="35" spans="1:17" ht="14.1" customHeight="1" x14ac:dyDescent="0.35">
      <c r="A35" s="89"/>
      <c r="B35" s="36"/>
      <c r="C35" s="64"/>
      <c r="D35" s="104" t="s">
        <v>46</v>
      </c>
      <c r="E35" s="105">
        <v>200</v>
      </c>
      <c r="F35" s="70" t="s">
        <v>45</v>
      </c>
      <c r="G35" s="48"/>
      <c r="H35" s="49"/>
      <c r="I35" s="101"/>
      <c r="J35" s="63"/>
      <c r="K35" s="106" t="str">
        <f>CHOOSE(SCH_MODE, "", "** For Single-Output Operation in 2-Phase Mode, tie MODE to VDDA and use FB1 to set VOUT **", "** For Single-Output Operation in 3-Phase Mode, tie both MODE pins to VDDA. Use FB1 of master IC to set VOUT. Connect FB2 of master IC to AGND. Connect FB2 of slave IC to VDDA to configure it as a slave **", "** For Single-Output Operation in 4-Phase Mode, tie both MODE pins to VDDA. Use FB1 of master IC to set VOUT. Connect FB2 of master IC to AGND. Connect FB2 of slave IC to VDDA to configure it as a slave **")</f>
        <v/>
      </c>
      <c r="L35" s="106"/>
      <c r="M35" s="106"/>
      <c r="N35" s="106"/>
      <c r="O35" s="106"/>
      <c r="P35" s="107"/>
      <c r="Q35" s="3"/>
    </row>
    <row r="36" spans="1:17" ht="14.1" customHeight="1" x14ac:dyDescent="0.3">
      <c r="A36" s="89"/>
      <c r="B36" s="36"/>
      <c r="C36" s="64"/>
      <c r="D36" s="64" t="s">
        <v>47</v>
      </c>
      <c r="E36" s="108">
        <f>'[1]Variable Management'!B125</f>
        <v>2.9492546733841021</v>
      </c>
      <c r="F36" s="66" t="s">
        <v>24</v>
      </c>
      <c r="G36" s="48"/>
      <c r="H36" s="49"/>
      <c r="I36" s="109"/>
      <c r="J36" s="49"/>
      <c r="K36" s="106"/>
      <c r="L36" s="106"/>
      <c r="M36" s="106"/>
      <c r="N36" s="106"/>
      <c r="O36" s="106"/>
      <c r="P36" s="107"/>
      <c r="Q36" s="3"/>
    </row>
    <row r="37" spans="1:17" ht="14.1" customHeight="1" x14ac:dyDescent="0.3">
      <c r="A37" s="89"/>
      <c r="B37" s="36"/>
      <c r="C37" s="64"/>
      <c r="D37" s="104" t="s">
        <v>48</v>
      </c>
      <c r="E37" s="105">
        <v>1</v>
      </c>
      <c r="F37" s="70" t="s">
        <v>24</v>
      </c>
      <c r="G37" s="48"/>
      <c r="H37" s="49"/>
      <c r="I37" s="101"/>
      <c r="J37" s="63"/>
      <c r="K37" s="110" t="str">
        <f>CHOOSE(SCH_MODE,  "", "** Tie VCCX to GND if not used **", "** Slave controller (CNTRL2) not shown **","** Slave controller (CNTRL2) not shown **")</f>
        <v/>
      </c>
      <c r="L37" s="82"/>
      <c r="M37" s="27"/>
      <c r="N37" s="27"/>
      <c r="O37" s="27"/>
      <c r="P37" s="111" t="str">
        <f>IF(SCH_MODE=1,  "** Tie VCCX to GND if not used **", "")</f>
        <v>** Tie VCCX to GND if not used **</v>
      </c>
      <c r="Q37" s="3"/>
    </row>
    <row r="38" spans="1:17" ht="14.1" customHeight="1" x14ac:dyDescent="0.35">
      <c r="A38" s="89"/>
      <c r="B38" s="36"/>
      <c r="C38" s="36"/>
      <c r="D38" s="64" t="s">
        <v>49</v>
      </c>
      <c r="E38" s="112">
        <f>'[1]Variable Management'!B127*1000</f>
        <v>31.999271848726355</v>
      </c>
      <c r="F38" s="66" t="s">
        <v>50</v>
      </c>
      <c r="G38" s="48"/>
      <c r="H38" s="49"/>
      <c r="I38" s="113"/>
      <c r="J38" s="49"/>
      <c r="K38" s="114" t="str">
        <f>IF(OR(SCH_MODE=3, SCH_MODE=4),"** Tie VCCX to GND if not used **", "")</f>
        <v/>
      </c>
      <c r="L38" s="45"/>
      <c r="M38" s="27"/>
      <c r="N38" s="27"/>
      <c r="O38" s="27"/>
      <c r="P38" s="28"/>
      <c r="Q38" s="3"/>
    </row>
    <row r="39" spans="1:17" ht="14.1" customHeight="1" thickBot="1" x14ac:dyDescent="0.4">
      <c r="A39" s="115"/>
      <c r="B39" s="78"/>
      <c r="C39" s="78"/>
      <c r="D39" s="116" t="s">
        <v>51</v>
      </c>
      <c r="E39" s="117">
        <f>'[1]Variable Management'!B114</f>
        <v>4.2078322477636902</v>
      </c>
      <c r="F39" s="118" t="s">
        <v>52</v>
      </c>
      <c r="G39" s="119"/>
      <c r="H39" s="49"/>
      <c r="I39" s="72"/>
      <c r="J39" s="49"/>
      <c r="K39" s="45"/>
      <c r="L39" s="27"/>
      <c r="M39" s="27"/>
      <c r="N39" s="27"/>
      <c r="O39" s="27"/>
      <c r="P39" s="120"/>
      <c r="Q39" s="3"/>
    </row>
    <row r="40" spans="1:17" ht="13.5" customHeight="1" x14ac:dyDescent="0.3">
      <c r="A40" s="100"/>
      <c r="B40" s="49"/>
      <c r="C40" s="49"/>
      <c r="D40" s="49"/>
      <c r="E40" s="49"/>
      <c r="F40" s="49"/>
      <c r="G40" s="49"/>
      <c r="H40" s="36"/>
      <c r="I40" s="27"/>
      <c r="J40" s="27"/>
      <c r="K40" s="27"/>
      <c r="L40" s="45"/>
      <c r="M40" s="45"/>
      <c r="N40" s="45"/>
      <c r="O40" s="45"/>
      <c r="P40" s="28"/>
      <c r="Q40" s="3"/>
    </row>
    <row r="41" spans="1:17" ht="18" thickBot="1" x14ac:dyDescent="0.35">
      <c r="A41" s="22" t="s">
        <v>53</v>
      </c>
      <c r="B41" s="58"/>
      <c r="C41" s="82"/>
      <c r="D41" s="82"/>
      <c r="E41" s="36"/>
      <c r="F41" s="49"/>
      <c r="G41" s="49"/>
      <c r="H41" s="49"/>
      <c r="I41" s="27"/>
      <c r="J41" s="27"/>
      <c r="K41" s="121"/>
      <c r="L41" s="45"/>
      <c r="M41" s="45"/>
      <c r="N41" s="27"/>
      <c r="O41" s="27"/>
      <c r="P41" s="28"/>
      <c r="Q41" s="3"/>
    </row>
    <row r="42" spans="1:17" ht="14.1" customHeight="1" x14ac:dyDescent="0.35">
      <c r="A42" s="96"/>
      <c r="B42" s="97"/>
      <c r="C42" s="59"/>
      <c r="D42" s="60" t="s">
        <v>54</v>
      </c>
      <c r="E42" s="99">
        <v>400</v>
      </c>
      <c r="F42" s="62" t="s">
        <v>55</v>
      </c>
      <c r="G42" s="36"/>
      <c r="H42" s="36"/>
      <c r="I42" s="122"/>
      <c r="J42" s="27"/>
      <c r="K42" s="27"/>
      <c r="L42" s="27"/>
      <c r="M42" s="27"/>
      <c r="N42" s="27"/>
      <c r="O42" s="27"/>
      <c r="P42" s="28"/>
      <c r="Q42" s="3"/>
    </row>
    <row r="43" spans="1:17" ht="14.1" customHeight="1" x14ac:dyDescent="0.3">
      <c r="A43" s="123"/>
      <c r="B43" s="82"/>
      <c r="C43" s="36"/>
      <c r="D43" s="64" t="s">
        <v>56</v>
      </c>
      <c r="E43" s="108">
        <f>'[1]Variable Management'!B148</f>
        <v>8.75</v>
      </c>
      <c r="F43" s="66" t="s">
        <v>45</v>
      </c>
      <c r="G43" s="119"/>
      <c r="H43" s="49"/>
      <c r="I43" s="122"/>
      <c r="J43" s="27"/>
      <c r="K43" s="27"/>
      <c r="L43" s="40"/>
      <c r="M43" s="124"/>
      <c r="N43" s="27"/>
      <c r="O43" s="27"/>
      <c r="P43" s="28"/>
      <c r="Q43" s="3"/>
    </row>
    <row r="44" spans="1:17" ht="14.1" customHeight="1" x14ac:dyDescent="0.35">
      <c r="A44" s="89"/>
      <c r="B44" s="36"/>
      <c r="C44" s="82"/>
      <c r="D44" s="68" t="s">
        <v>57</v>
      </c>
      <c r="E44" s="69">
        <v>30</v>
      </c>
      <c r="F44" s="70" t="s">
        <v>45</v>
      </c>
      <c r="G44" s="36"/>
      <c r="H44" s="36"/>
      <c r="I44" s="122"/>
      <c r="J44" s="27"/>
      <c r="K44" s="27"/>
      <c r="L44" s="27"/>
      <c r="M44" s="27"/>
      <c r="N44" s="27"/>
      <c r="O44" s="27"/>
      <c r="P44" s="28"/>
      <c r="Q44" s="3"/>
    </row>
    <row r="45" spans="1:17" ht="14.1" customHeight="1" x14ac:dyDescent="0.3">
      <c r="A45" s="89"/>
      <c r="B45" s="36"/>
      <c r="C45" s="82"/>
      <c r="D45" s="64" t="s">
        <v>47</v>
      </c>
      <c r="E45" s="125">
        <f>'[1]Variable Management'!B155</f>
        <v>24.904865886864304</v>
      </c>
      <c r="F45" s="66" t="s">
        <v>24</v>
      </c>
      <c r="G45" s="119"/>
      <c r="H45" s="36"/>
      <c r="I45" s="126"/>
      <c r="J45" s="27"/>
      <c r="K45" s="27"/>
      <c r="L45" s="27"/>
      <c r="M45" s="27"/>
      <c r="N45" s="27"/>
      <c r="O45" s="27"/>
      <c r="P45" s="28" t="s">
        <v>58</v>
      </c>
      <c r="Q45" s="3"/>
    </row>
    <row r="46" spans="1:17" ht="14.1" customHeight="1" x14ac:dyDescent="0.3">
      <c r="A46" s="89"/>
      <c r="B46" s="36"/>
      <c r="C46" s="82"/>
      <c r="D46" s="68" t="s">
        <v>59</v>
      </c>
      <c r="E46" s="69">
        <v>1</v>
      </c>
      <c r="F46" s="70" t="s">
        <v>24</v>
      </c>
      <c r="G46" s="36"/>
      <c r="H46" s="36"/>
      <c r="I46" s="126"/>
      <c r="J46" s="27"/>
      <c r="K46" s="27"/>
      <c r="L46" s="27"/>
      <c r="M46" s="27"/>
      <c r="N46" s="27"/>
      <c r="O46" s="27"/>
      <c r="P46" s="28"/>
      <c r="Q46" s="3"/>
    </row>
    <row r="47" spans="1:17" ht="14.1" customHeight="1" x14ac:dyDescent="0.3">
      <c r="A47" s="89"/>
      <c r="B47" s="36"/>
      <c r="C47" s="82"/>
      <c r="D47" s="39" t="s">
        <v>60</v>
      </c>
      <c r="E47" s="90">
        <f>'[1]Variable Management'!B162*1000</f>
        <v>128.17916098312148</v>
      </c>
      <c r="F47" s="50" t="s">
        <v>50</v>
      </c>
      <c r="G47" s="119"/>
      <c r="H47" s="36"/>
      <c r="I47" s="126"/>
      <c r="J47" s="27"/>
      <c r="K47" s="27"/>
      <c r="L47" s="27"/>
      <c r="M47" s="27"/>
      <c r="N47" s="27"/>
      <c r="O47" s="27"/>
      <c r="P47" s="28"/>
      <c r="Q47" s="3"/>
    </row>
    <row r="48" spans="1:17" ht="15.75" customHeight="1" thickBot="1" x14ac:dyDescent="0.35">
      <c r="A48" s="127"/>
      <c r="B48" s="128"/>
      <c r="C48" s="128"/>
      <c r="D48" s="129" t="s">
        <v>61</v>
      </c>
      <c r="E48" s="130">
        <f>'[1]Variable Management'!B138</f>
        <v>3.0545947425895128</v>
      </c>
      <c r="F48" s="131" t="s">
        <v>52</v>
      </c>
      <c r="G48" s="119"/>
      <c r="H48" s="36"/>
      <c r="I48" s="126"/>
      <c r="J48" s="27"/>
      <c r="K48" s="27"/>
      <c r="L48" s="27"/>
      <c r="M48" s="27"/>
      <c r="N48" s="27"/>
      <c r="O48" s="27"/>
      <c r="P48" s="28"/>
      <c r="Q48" s="3"/>
    </row>
    <row r="49" spans="1:34" ht="15.75" customHeight="1" x14ac:dyDescent="0.3">
      <c r="A49" s="89"/>
      <c r="B49" s="36"/>
      <c r="C49" s="49"/>
      <c r="D49" s="68" t="s">
        <v>62</v>
      </c>
      <c r="E49" s="132">
        <v>0.68</v>
      </c>
      <c r="F49" s="133" t="s">
        <v>35</v>
      </c>
      <c r="G49" s="134"/>
      <c r="H49" s="36"/>
      <c r="I49" s="126"/>
      <c r="J49" s="27"/>
      <c r="K49" s="27"/>
      <c r="L49" s="27"/>
      <c r="M49" s="27"/>
      <c r="N49" s="27"/>
      <c r="O49" s="27"/>
      <c r="P49" s="28"/>
      <c r="Q49" s="3"/>
    </row>
    <row r="50" spans="1:34" ht="18" thickBot="1" x14ac:dyDescent="0.35">
      <c r="A50" s="22" t="s">
        <v>63</v>
      </c>
      <c r="B50" s="58"/>
      <c r="C50" s="36"/>
      <c r="D50" s="64"/>
      <c r="E50" s="36"/>
      <c r="F50" s="36"/>
      <c r="G50" s="36"/>
      <c r="H50" s="135"/>
      <c r="I50" s="45"/>
      <c r="J50" s="45"/>
      <c r="K50" s="45"/>
      <c r="L50" s="45"/>
      <c r="M50" s="27"/>
      <c r="N50" s="27"/>
      <c r="O50" s="27"/>
      <c r="P50" s="28"/>
      <c r="Q50" s="3"/>
    </row>
    <row r="51" spans="1:34" ht="13.95" customHeight="1" x14ac:dyDescent="0.3">
      <c r="A51" s="29"/>
      <c r="B51" s="30"/>
      <c r="C51" s="30"/>
      <c r="D51" s="136"/>
      <c r="E51" s="136"/>
      <c r="F51" s="34"/>
      <c r="G51" s="36"/>
      <c r="H51" s="49"/>
      <c r="I51" s="45"/>
      <c r="J51" s="45"/>
      <c r="K51" s="45"/>
      <c r="L51" s="45"/>
      <c r="M51" s="27"/>
      <c r="N51" s="27"/>
      <c r="O51" s="27"/>
      <c r="P51" s="28"/>
      <c r="Q51" s="3"/>
    </row>
    <row r="52" spans="1:34" ht="13.95" customHeight="1" x14ac:dyDescent="0.3">
      <c r="A52" s="37"/>
      <c r="B52" s="38"/>
      <c r="C52" s="38"/>
      <c r="D52" s="45"/>
      <c r="E52" s="45"/>
      <c r="F52" s="43"/>
      <c r="G52" s="36"/>
      <c r="H52" s="49"/>
      <c r="I52" s="45"/>
      <c r="J52" s="45"/>
      <c r="K52" s="45"/>
      <c r="L52" s="45"/>
      <c r="M52" s="27"/>
      <c r="N52" s="27"/>
      <c r="O52" s="27"/>
      <c r="P52" s="28"/>
      <c r="Q52" s="3"/>
    </row>
    <row r="53" spans="1:34" ht="13.95" customHeight="1" x14ac:dyDescent="0.3">
      <c r="A53" s="37"/>
      <c r="B53" s="38"/>
      <c r="C53" s="114"/>
      <c r="D53" s="137" t="s">
        <v>64</v>
      </c>
      <c r="E53" s="41">
        <v>22</v>
      </c>
      <c r="F53" s="43" t="s">
        <v>9</v>
      </c>
      <c r="G53" s="36"/>
      <c r="H53" s="49"/>
      <c r="I53" s="45"/>
      <c r="J53" s="45"/>
      <c r="K53" s="45"/>
      <c r="L53" s="45"/>
      <c r="M53" s="27"/>
      <c r="N53" s="27"/>
      <c r="O53" s="27"/>
      <c r="P53" s="28"/>
      <c r="Q53" s="3"/>
    </row>
    <row r="54" spans="1:34" ht="13.95" customHeight="1" x14ac:dyDescent="0.3">
      <c r="A54" s="37"/>
      <c r="B54" s="38"/>
      <c r="C54" s="38"/>
      <c r="D54" s="137" t="s">
        <v>65</v>
      </c>
      <c r="E54" s="41">
        <v>20</v>
      </c>
      <c r="F54" s="43" t="s">
        <v>9</v>
      </c>
      <c r="G54" s="36"/>
      <c r="H54" s="49"/>
      <c r="I54" s="45"/>
      <c r="J54" s="45"/>
      <c r="K54" s="45"/>
      <c r="L54" s="45"/>
      <c r="M54" s="27"/>
      <c r="N54" s="27"/>
      <c r="O54" s="27"/>
      <c r="P54" s="28"/>
      <c r="Q54" s="3"/>
    </row>
    <row r="55" spans="1:34" ht="15.75" customHeight="1" x14ac:dyDescent="0.35">
      <c r="A55" s="37"/>
      <c r="B55" s="38"/>
      <c r="C55" s="38"/>
      <c r="D55" s="77" t="s">
        <v>66</v>
      </c>
      <c r="E55" s="39">
        <f>IF(UVLO_TYPE=1,'[1]Variable Management'!B188,0)</f>
        <v>200</v>
      </c>
      <c r="F55" s="50" t="s">
        <v>18</v>
      </c>
      <c r="G55" s="36"/>
      <c r="H55" s="36"/>
      <c r="I55" s="138"/>
      <c r="J55" s="139"/>
      <c r="K55" s="27"/>
      <c r="L55" s="45"/>
      <c r="M55" s="27"/>
      <c r="N55" s="27"/>
      <c r="O55" s="27"/>
      <c r="P55" s="28"/>
      <c r="Q55" s="3"/>
    </row>
    <row r="56" spans="1:34" ht="13.95" customHeight="1" x14ac:dyDescent="0.35">
      <c r="A56" s="37"/>
      <c r="B56" s="38"/>
      <c r="C56" s="38"/>
      <c r="D56" s="77" t="s">
        <v>67</v>
      </c>
      <c r="E56" s="102">
        <f>IF(UVLO_TYPE=1,'[1]Variable Management'!B189,"DNP")</f>
        <v>9.5299999999999994</v>
      </c>
      <c r="F56" s="50" t="s">
        <v>18</v>
      </c>
      <c r="G56" s="36"/>
      <c r="H56" s="36"/>
      <c r="I56" s="138"/>
      <c r="J56" s="139"/>
      <c r="K56" s="27"/>
      <c r="L56" s="45"/>
      <c r="M56" s="27"/>
      <c r="N56" s="27"/>
      <c r="O56" s="27"/>
      <c r="P56" s="28"/>
      <c r="Q56" s="3"/>
    </row>
    <row r="57" spans="1:34" ht="15.75" customHeight="1" x14ac:dyDescent="0.35">
      <c r="A57" s="37"/>
      <c r="B57" s="38"/>
      <c r="C57" s="114"/>
      <c r="D57" s="77" t="s">
        <v>68</v>
      </c>
      <c r="E57" s="140" t="str">
        <f>IF(DITHER=1,"41.2","29.4")</f>
        <v>41.2</v>
      </c>
      <c r="F57" s="50" t="s">
        <v>18</v>
      </c>
      <c r="G57" s="36"/>
      <c r="H57" s="36"/>
      <c r="I57" s="138"/>
      <c r="J57" s="139"/>
      <c r="K57" s="27"/>
      <c r="L57" s="45"/>
      <c r="M57" s="27"/>
      <c r="N57" s="27"/>
      <c r="O57" s="27"/>
      <c r="P57" s="28"/>
      <c r="Q57" s="3"/>
    </row>
    <row r="58" spans="1:34" ht="15" customHeight="1" thickBot="1" x14ac:dyDescent="0.35">
      <c r="A58" s="51"/>
      <c r="B58" s="91"/>
      <c r="C58" s="91"/>
      <c r="D58" s="141" t="str">
        <f>IF(DEMB=1, "* Tie PFM to GND", "* Tie PFM to VDDA")</f>
        <v>* Tie PFM to GND</v>
      </c>
      <c r="E58" s="142"/>
      <c r="F58" s="81"/>
      <c r="G58" s="36"/>
      <c r="H58" s="36"/>
      <c r="I58" s="138"/>
      <c r="J58" s="139"/>
      <c r="K58" s="27"/>
      <c r="L58" s="45"/>
      <c r="M58" s="27"/>
      <c r="N58" s="27"/>
      <c r="O58" s="27"/>
      <c r="P58" s="28"/>
      <c r="Q58" s="3"/>
    </row>
    <row r="59" spans="1:34" ht="14.1" customHeight="1" x14ac:dyDescent="0.3">
      <c r="A59" s="89"/>
      <c r="B59" s="36"/>
      <c r="C59" s="36"/>
      <c r="D59" s="64"/>
      <c r="E59" s="143"/>
      <c r="F59" s="36"/>
      <c r="G59" s="36"/>
      <c r="H59" s="36"/>
      <c r="I59" s="138"/>
      <c r="J59" s="139"/>
      <c r="K59" s="27"/>
      <c r="L59" s="45"/>
      <c r="M59" s="27"/>
      <c r="N59" s="27"/>
      <c r="O59" s="27"/>
      <c r="P59" s="28"/>
      <c r="Q59" s="3"/>
    </row>
    <row r="60" spans="1:34" ht="19.5" customHeight="1" thickBot="1" x14ac:dyDescent="0.35">
      <c r="A60" s="22" t="s">
        <v>69</v>
      </c>
      <c r="B60" s="144"/>
      <c r="C60" s="82"/>
      <c r="D60" s="145"/>
      <c r="E60" s="83"/>
      <c r="F60" s="82"/>
      <c r="G60" s="36"/>
      <c r="H60" s="36"/>
      <c r="I60" s="27"/>
      <c r="J60" s="27"/>
      <c r="K60" s="27"/>
      <c r="L60" s="27"/>
      <c r="M60" s="27"/>
      <c r="N60" s="27"/>
      <c r="O60" s="27"/>
      <c r="P60" s="28"/>
      <c r="Q60" s="146"/>
      <c r="R60" s="147"/>
      <c r="S60" s="147"/>
      <c r="V60" s="147"/>
      <c r="W60" s="147"/>
      <c r="X60" s="147"/>
      <c r="AA60" s="147"/>
      <c r="AB60" s="147"/>
      <c r="AC60" s="147"/>
      <c r="AF60" s="147"/>
      <c r="AG60" s="147"/>
      <c r="AH60" s="147"/>
    </row>
    <row r="61" spans="1:34" ht="15" customHeight="1" x14ac:dyDescent="0.3">
      <c r="A61" s="29"/>
      <c r="B61" s="30"/>
      <c r="C61" s="31"/>
      <c r="D61" s="31" t="s">
        <v>70</v>
      </c>
      <c r="E61" s="148">
        <f>Fp_dominant</f>
        <v>825.19311049896191</v>
      </c>
      <c r="F61" s="149" t="s">
        <v>71</v>
      </c>
      <c r="G61" s="100"/>
      <c r="H61" s="49"/>
      <c r="I61" s="95"/>
      <c r="J61" s="76"/>
      <c r="K61" s="27"/>
      <c r="L61" s="27"/>
      <c r="M61" s="27"/>
      <c r="N61" s="27"/>
      <c r="O61" s="27"/>
      <c r="P61" s="28"/>
      <c r="Q61" s="146"/>
      <c r="R61" s="147"/>
      <c r="S61" s="147"/>
      <c r="V61" s="147"/>
      <c r="W61" s="147"/>
      <c r="X61" s="147"/>
      <c r="AA61" s="147"/>
      <c r="AB61" s="147"/>
      <c r="AC61" s="147"/>
      <c r="AF61" s="147"/>
      <c r="AG61" s="147"/>
      <c r="AH61" s="147"/>
    </row>
    <row r="62" spans="1:34" ht="15" customHeight="1" x14ac:dyDescent="0.3">
      <c r="A62" s="37"/>
      <c r="B62" s="38"/>
      <c r="C62" s="39"/>
      <c r="D62" s="39" t="s">
        <v>72</v>
      </c>
      <c r="E62" s="90">
        <f>Fesr/1000</f>
        <v>795.77471636878192</v>
      </c>
      <c r="F62" s="50" t="s">
        <v>16</v>
      </c>
      <c r="G62" s="49"/>
      <c r="H62" s="49"/>
      <c r="I62" s="95"/>
      <c r="J62" s="76"/>
      <c r="K62" s="27"/>
      <c r="L62" s="27"/>
      <c r="M62" s="27"/>
      <c r="N62" s="27"/>
      <c r="O62" s="27"/>
      <c r="P62" s="28"/>
      <c r="Q62" s="146"/>
      <c r="R62" s="147"/>
      <c r="S62" s="147"/>
      <c r="V62" s="147"/>
      <c r="W62" s="147"/>
      <c r="X62" s="147"/>
      <c r="AA62" s="147"/>
      <c r="AB62" s="147"/>
      <c r="AC62" s="147"/>
      <c r="AF62" s="147"/>
      <c r="AG62" s="147"/>
      <c r="AH62" s="147"/>
    </row>
    <row r="63" spans="1:34" ht="15" customHeight="1" x14ac:dyDescent="0.3">
      <c r="A63" s="37"/>
      <c r="B63" s="38"/>
      <c r="C63" s="39"/>
      <c r="D63" s="137" t="s">
        <v>73</v>
      </c>
      <c r="E63" s="150">
        <v>40</v>
      </c>
      <c r="F63" s="42" t="str">
        <f>"     kHz "</f>
        <v xml:space="preserve">     kHz </v>
      </c>
      <c r="G63" s="49"/>
      <c r="H63" s="49"/>
      <c r="I63" s="151"/>
      <c r="J63" s="152"/>
      <c r="K63" s="27"/>
      <c r="L63" s="27"/>
      <c r="M63" s="27"/>
      <c r="N63" s="27"/>
      <c r="O63" s="27"/>
      <c r="P63" s="28"/>
      <c r="Q63" s="146"/>
      <c r="R63" s="147"/>
      <c r="S63" s="147"/>
      <c r="V63" s="147"/>
      <c r="W63" s="147"/>
      <c r="X63" s="147"/>
      <c r="AA63" s="147"/>
      <c r="AB63" s="147"/>
      <c r="AC63" s="147"/>
      <c r="AF63" s="147"/>
      <c r="AG63" s="147"/>
      <c r="AH63" s="147"/>
    </row>
    <row r="64" spans="1:34" ht="15" customHeight="1" x14ac:dyDescent="0.3">
      <c r="A64" s="37"/>
      <c r="B64" s="38"/>
      <c r="C64" s="39"/>
      <c r="D64" s="39" t="s">
        <v>74</v>
      </c>
      <c r="E64" s="153">
        <f>Fp1_u</f>
        <v>0.75342856523137813</v>
      </c>
      <c r="F64" s="50" t="s">
        <v>71</v>
      </c>
      <c r="G64" s="49"/>
      <c r="H64" s="49"/>
      <c r="I64" s="75"/>
      <c r="J64" s="76"/>
      <c r="K64" s="27"/>
      <c r="L64" s="27"/>
      <c r="M64" s="27"/>
      <c r="N64" s="27"/>
      <c r="O64" s="27"/>
      <c r="P64" s="28"/>
      <c r="Q64" s="146"/>
      <c r="R64" s="147"/>
      <c r="S64" s="147"/>
      <c r="V64" s="147"/>
      <c r="W64" s="147"/>
      <c r="X64" s="147"/>
      <c r="AA64" s="147"/>
      <c r="AB64" s="147"/>
      <c r="AC64" s="147"/>
      <c r="AF64" s="147"/>
      <c r="AG64" s="147"/>
      <c r="AH64" s="147"/>
    </row>
    <row r="65" spans="1:34" ht="15" customHeight="1" x14ac:dyDescent="0.3">
      <c r="A65" s="37"/>
      <c r="B65" s="38"/>
      <c r="C65" s="39"/>
      <c r="D65" s="137" t="str">
        <f>CHOOSE(VOUT_setting, "Upper Feedback Resistor","","","")</f>
        <v/>
      </c>
      <c r="E65" s="154">
        <v>78.7</v>
      </c>
      <c r="F65" s="43" t="s">
        <v>18</v>
      </c>
      <c r="G65" s="49"/>
      <c r="H65" s="49"/>
      <c r="I65" s="155"/>
      <c r="J65" s="46"/>
      <c r="K65" s="27"/>
      <c r="L65" s="27"/>
      <c r="M65" s="27"/>
      <c r="N65" s="27"/>
      <c r="O65" s="27"/>
      <c r="P65" s="28"/>
      <c r="Q65" s="146"/>
      <c r="R65" s="147"/>
      <c r="S65" s="147"/>
      <c r="V65" s="147"/>
      <c r="W65" s="147"/>
      <c r="X65" s="147"/>
      <c r="AA65" s="147"/>
      <c r="AB65" s="147"/>
      <c r="AC65" s="147"/>
      <c r="AF65" s="147"/>
      <c r="AG65" s="147"/>
      <c r="AH65" s="147"/>
    </row>
    <row r="66" spans="1:34" ht="15" customHeight="1" x14ac:dyDescent="0.3">
      <c r="A66" s="37"/>
      <c r="B66" s="38"/>
      <c r="C66" s="39"/>
      <c r="D66" s="39" t="str">
        <f>CHOOSE(VOUT_setting, "Lower Feedback Resistor", "* Connect "&amp;'[1]Variable Management'!D419&amp;" from FB to VDDA","* Tie FB to VDDA","* Connect "&amp;'[1]Variable Management'!D419&amp;" from FB to VDDA")</f>
        <v>* Connect 48.7kΩ from FB to VDDA</v>
      </c>
      <c r="E66" s="39">
        <f>IF(Vout=Vref,"OPEN",Rfb2_u/1000)</f>
        <v>177</v>
      </c>
      <c r="F66" s="50" t="str">
        <f>IF(Vout=Vref,"","kΩ")</f>
        <v>kΩ</v>
      </c>
      <c r="G66" s="100"/>
      <c r="H66" s="49"/>
      <c r="I66" s="156"/>
      <c r="J66" s="76"/>
      <c r="K66" s="27"/>
      <c r="L66" s="27"/>
      <c r="M66" s="27"/>
      <c r="N66" s="27"/>
      <c r="O66" s="27"/>
      <c r="P66" s="28"/>
      <c r="Q66" s="146"/>
      <c r="R66" s="147"/>
      <c r="S66" s="147"/>
      <c r="V66" s="147"/>
      <c r="W66" s="147"/>
      <c r="X66" s="147"/>
      <c r="AA66" s="147"/>
      <c r="AB66" s="147"/>
      <c r="AC66" s="147"/>
      <c r="AF66" s="147"/>
      <c r="AG66" s="147"/>
      <c r="AH66" s="147"/>
    </row>
    <row r="67" spans="1:34" ht="15" customHeight="1" thickBot="1" x14ac:dyDescent="0.35">
      <c r="A67" s="51"/>
      <c r="B67" s="91"/>
      <c r="C67" s="53"/>
      <c r="D67" s="53" t="str">
        <f>CHOOSE(VOUT_setting, "Actual Output Voltage Setpoint","","","")</f>
        <v/>
      </c>
      <c r="E67" s="157">
        <f>0.8/E66*(E65+E66)</f>
        <v>1.1557062146892656</v>
      </c>
      <c r="F67" s="81" t="s">
        <v>9</v>
      </c>
      <c r="G67" s="49"/>
      <c r="H67" s="49"/>
      <c r="I67" s="156"/>
      <c r="J67" s="76"/>
      <c r="K67" s="27"/>
      <c r="L67" s="27"/>
      <c r="M67" s="27"/>
      <c r="N67" s="27"/>
      <c r="O67" s="27"/>
      <c r="P67" s="28"/>
      <c r="Q67" s="146"/>
      <c r="R67" s="147"/>
      <c r="S67" s="147"/>
      <c r="V67" s="147"/>
      <c r="W67" s="147"/>
      <c r="X67" s="147"/>
      <c r="AA67" s="147"/>
      <c r="AB67" s="147"/>
      <c r="AC67" s="147"/>
      <c r="AF67" s="147"/>
      <c r="AG67" s="147"/>
      <c r="AH67" s="147"/>
    </row>
    <row r="68" spans="1:34" ht="13.5" customHeight="1" x14ac:dyDescent="0.3">
      <c r="A68" s="158"/>
      <c r="B68" s="159"/>
      <c r="C68" s="160"/>
      <c r="D68" s="49"/>
      <c r="E68" s="49"/>
      <c r="F68" s="49"/>
      <c r="G68" s="109"/>
      <c r="H68" s="161"/>
      <c r="I68" s="27"/>
      <c r="J68" s="27"/>
      <c r="K68" s="27"/>
      <c r="L68" s="27"/>
      <c r="M68" s="27"/>
      <c r="N68" s="27"/>
      <c r="O68" s="27"/>
      <c r="P68" s="28"/>
      <c r="Q68" s="146"/>
      <c r="R68" s="147"/>
      <c r="S68" s="147"/>
      <c r="V68" s="147"/>
      <c r="W68" s="147"/>
      <c r="X68" s="147"/>
      <c r="AA68" s="147"/>
      <c r="AB68" s="147"/>
      <c r="AC68" s="147"/>
      <c r="AF68" s="147"/>
      <c r="AG68" s="147"/>
      <c r="AH68" s="147"/>
    </row>
    <row r="69" spans="1:34" ht="15.75" customHeight="1" x14ac:dyDescent="0.3">
      <c r="A69" s="162" t="s">
        <v>75</v>
      </c>
      <c r="B69" s="163"/>
      <c r="C69" s="64"/>
      <c r="D69" s="164"/>
      <c r="E69" s="165"/>
      <c r="F69" s="166"/>
      <c r="G69" s="167"/>
      <c r="H69" s="36"/>
      <c r="I69" s="27"/>
      <c r="J69" s="27"/>
      <c r="K69" s="27"/>
      <c r="L69" s="27"/>
      <c r="M69" s="27"/>
      <c r="N69" s="27"/>
      <c r="O69" s="27"/>
      <c r="P69" s="28"/>
      <c r="Q69" s="146"/>
      <c r="R69" s="168"/>
      <c r="S69" s="168"/>
      <c r="T69" s="169"/>
      <c r="U69" s="169"/>
      <c r="V69" s="168"/>
      <c r="W69" s="168"/>
      <c r="X69" s="168"/>
      <c r="Y69" s="169"/>
      <c r="Z69" s="169"/>
      <c r="AA69" s="168"/>
      <c r="AB69" s="168"/>
      <c r="AC69" s="168"/>
      <c r="AD69" s="169"/>
      <c r="AE69" s="169"/>
      <c r="AF69" s="147"/>
      <c r="AG69" s="147"/>
      <c r="AH69" s="147"/>
    </row>
    <row r="70" spans="1:34" s="181" customFormat="1" ht="13.5" customHeight="1" thickBot="1" x14ac:dyDescent="0.35">
      <c r="A70" s="170"/>
      <c r="B70" s="171" t="s">
        <v>76</v>
      </c>
      <c r="C70" s="172" t="s">
        <v>77</v>
      </c>
      <c r="D70" s="173" t="str">
        <f>C70</f>
        <v>Std Values</v>
      </c>
      <c r="E70" s="145"/>
      <c r="F70" s="174" t="s">
        <v>78</v>
      </c>
      <c r="G70" s="174"/>
      <c r="H70" s="174"/>
      <c r="I70" s="175"/>
      <c r="J70" s="175"/>
      <c r="K70" s="175"/>
      <c r="L70" s="175"/>
      <c r="M70" s="175"/>
      <c r="N70" s="175"/>
      <c r="O70" s="175"/>
      <c r="P70" s="176"/>
      <c r="Q70" s="177"/>
      <c r="R70" s="178"/>
      <c r="S70" s="178"/>
      <c r="T70" s="179"/>
      <c r="U70" s="179"/>
      <c r="V70" s="178"/>
      <c r="W70" s="178"/>
      <c r="X70" s="178"/>
      <c r="Y70" s="179"/>
      <c r="Z70" s="179"/>
      <c r="AA70" s="178"/>
      <c r="AB70" s="178"/>
      <c r="AC70" s="178"/>
      <c r="AD70" s="179"/>
      <c r="AE70" s="179"/>
      <c r="AF70" s="180"/>
      <c r="AG70" s="180"/>
      <c r="AH70" s="180"/>
    </row>
    <row r="71" spans="1:34" ht="15.6" x14ac:dyDescent="0.35">
      <c r="A71" s="182" t="s">
        <v>79</v>
      </c>
      <c r="B71" s="183">
        <f>Rcea1/1000</f>
        <v>12.411840966876641</v>
      </c>
      <c r="C71" s="184">
        <f>'[1]Standard Value Calculator'!S32</f>
        <v>12.4</v>
      </c>
      <c r="D71" s="185">
        <f>C71</f>
        <v>12.4</v>
      </c>
      <c r="E71" s="186" t="s">
        <v>18</v>
      </c>
      <c r="F71" s="187">
        <f>Fp1_u</f>
        <v>0.75342856523137813</v>
      </c>
      <c r="G71" s="188" t="s">
        <v>80</v>
      </c>
      <c r="H71" s="49"/>
      <c r="I71" s="189"/>
      <c r="J71" s="36"/>
      <c r="K71" s="27"/>
      <c r="L71" s="27"/>
      <c r="M71" s="27"/>
      <c r="N71" s="27"/>
      <c r="O71" s="27"/>
      <c r="P71" s="28"/>
      <c r="Q71" s="146"/>
      <c r="R71" s="168"/>
      <c r="S71" s="168"/>
      <c r="T71" s="169"/>
      <c r="U71" s="169"/>
      <c r="V71" s="168"/>
      <c r="W71" s="168"/>
      <c r="X71" s="168"/>
      <c r="Y71" s="169"/>
      <c r="Z71" s="169"/>
      <c r="AA71" s="168"/>
      <c r="AB71" s="168"/>
      <c r="AC71" s="168"/>
      <c r="AD71" s="169"/>
      <c r="AE71" s="169"/>
      <c r="AF71" s="147"/>
      <c r="AG71" s="147"/>
      <c r="AH71" s="147"/>
    </row>
    <row r="72" spans="1:34" ht="15.6" x14ac:dyDescent="0.35">
      <c r="A72" s="190" t="s">
        <v>81</v>
      </c>
      <c r="B72" s="191">
        <f>Cc1ea*1000000000</f>
        <v>3.2057078337228866</v>
      </c>
      <c r="C72" s="161">
        <f>'[1]Standard Value Calculator'!S33</f>
        <v>3.3000000000000003</v>
      </c>
      <c r="D72" s="192">
        <f>C72</f>
        <v>3.3000000000000003</v>
      </c>
      <c r="E72" s="193" t="s">
        <v>82</v>
      </c>
      <c r="F72" s="194">
        <f>Fz1_u/1000</f>
        <v>3.8894169910497642</v>
      </c>
      <c r="G72" s="195" t="s">
        <v>83</v>
      </c>
      <c r="H72" s="49"/>
      <c r="I72" s="189"/>
      <c r="J72" s="36"/>
      <c r="K72" s="27"/>
      <c r="L72" s="27"/>
      <c r="M72" s="27"/>
      <c r="N72" s="27"/>
      <c r="O72" s="27"/>
      <c r="P72" s="28"/>
      <c r="Q72" s="146"/>
      <c r="R72" s="168"/>
      <c r="S72" s="168"/>
      <c r="T72" s="169"/>
      <c r="U72" s="169"/>
      <c r="V72" s="168"/>
      <c r="W72" s="168"/>
      <c r="X72" s="168"/>
      <c r="Y72" s="169"/>
      <c r="Z72" s="169"/>
      <c r="AA72" s="168"/>
      <c r="AB72" s="168"/>
      <c r="AC72" s="168"/>
      <c r="AD72" s="169"/>
      <c r="AE72" s="169"/>
      <c r="AF72" s="147"/>
      <c r="AG72" s="147"/>
      <c r="AH72" s="147"/>
    </row>
    <row r="73" spans="1:34" ht="16.2" thickBot="1" x14ac:dyDescent="0.4">
      <c r="A73" s="196" t="s">
        <v>84</v>
      </c>
      <c r="B73" s="197">
        <f>IF(Cc2ea&lt;0, "N/A", Cc2ea*1000000000000)</f>
        <v>53.654553577859048</v>
      </c>
      <c r="C73" s="198">
        <f>'[1]Standard Value Calculator'!S34</f>
        <v>56</v>
      </c>
      <c r="D73" s="199">
        <f>C73</f>
        <v>56</v>
      </c>
      <c r="E73" s="200" t="s">
        <v>85</v>
      </c>
      <c r="F73" s="201">
        <f>Fp2_u/1000</f>
        <v>146.13379932357057</v>
      </c>
      <c r="G73" s="202" t="s">
        <v>86</v>
      </c>
      <c r="H73" s="49"/>
      <c r="I73" s="27"/>
      <c r="J73" s="27"/>
      <c r="K73" s="27"/>
      <c r="L73" s="27"/>
      <c r="M73" s="27"/>
      <c r="N73" s="27"/>
      <c r="O73" s="27"/>
      <c r="P73" s="28"/>
      <c r="Q73" s="146"/>
      <c r="R73" s="168"/>
      <c r="S73" s="168"/>
      <c r="T73" s="169"/>
      <c r="U73" s="169"/>
      <c r="V73" s="168"/>
      <c r="W73" s="168"/>
      <c r="X73" s="168"/>
      <c r="Y73" s="169"/>
      <c r="Z73" s="169"/>
      <c r="AA73" s="168"/>
      <c r="AB73" s="168"/>
      <c r="AC73" s="168"/>
      <c r="AD73" s="169"/>
      <c r="AE73" s="169"/>
      <c r="AF73" s="147"/>
      <c r="AG73" s="147"/>
      <c r="AH73" s="147"/>
    </row>
    <row r="74" spans="1:34" x14ac:dyDescent="0.3">
      <c r="A74" s="182"/>
      <c r="B74" s="183"/>
      <c r="C74" s="203"/>
      <c r="D74" s="204"/>
      <c r="E74" s="205"/>
      <c r="F74" s="206"/>
      <c r="G74" s="207"/>
      <c r="H74" s="49"/>
      <c r="I74" s="27"/>
      <c r="J74" s="27"/>
      <c r="K74" s="27"/>
      <c r="L74" s="27"/>
      <c r="M74" s="104"/>
      <c r="N74" s="208"/>
      <c r="O74" s="82"/>
      <c r="P74" s="28"/>
      <c r="Q74" s="146"/>
      <c r="R74" s="168"/>
      <c r="S74" s="168"/>
      <c r="T74" s="169"/>
      <c r="U74" s="169"/>
      <c r="V74" s="168"/>
      <c r="W74" s="168"/>
      <c r="X74" s="168"/>
      <c r="Y74" s="169"/>
      <c r="Z74" s="169"/>
      <c r="AA74" s="168"/>
      <c r="AB74" s="168"/>
      <c r="AC74" s="168"/>
      <c r="AD74" s="169"/>
      <c r="AE74" s="169"/>
      <c r="AF74" s="147"/>
      <c r="AG74" s="147"/>
      <c r="AH74" s="147"/>
    </row>
    <row r="75" spans="1:34" ht="14.4" thickBot="1" x14ac:dyDescent="0.35">
      <c r="A75" s="89"/>
      <c r="B75" s="64"/>
      <c r="C75" s="209"/>
      <c r="D75" s="210"/>
      <c r="E75" s="210"/>
      <c r="F75" s="210"/>
      <c r="G75" s="210"/>
      <c r="H75" s="36"/>
      <c r="I75" s="27"/>
      <c r="J75" s="27"/>
      <c r="K75" s="27"/>
      <c r="L75" s="27"/>
      <c r="M75" s="27"/>
      <c r="N75" s="27"/>
      <c r="O75" s="27"/>
      <c r="P75" s="28"/>
      <c r="Q75" s="146"/>
      <c r="R75" s="168"/>
      <c r="S75" s="168"/>
      <c r="T75" s="169"/>
      <c r="U75" s="169"/>
      <c r="V75" s="168"/>
      <c r="W75" s="168"/>
      <c r="X75" s="168"/>
      <c r="Y75" s="169"/>
      <c r="Z75" s="169"/>
      <c r="AA75" s="168"/>
      <c r="AB75" s="168"/>
      <c r="AC75" s="168"/>
      <c r="AD75" s="169"/>
      <c r="AE75" s="169"/>
      <c r="AF75" s="147"/>
      <c r="AG75" s="147"/>
      <c r="AH75" s="147"/>
    </row>
    <row r="76" spans="1:34" s="220" customFormat="1" ht="18" thickBot="1" x14ac:dyDescent="0.35">
      <c r="A76" s="211" t="s">
        <v>87</v>
      </c>
      <c r="B76" s="212"/>
      <c r="C76" s="213"/>
      <c r="D76" s="213"/>
      <c r="E76" s="213"/>
      <c r="F76" s="213"/>
      <c r="G76" s="213"/>
      <c r="H76" s="213"/>
      <c r="I76" s="214"/>
      <c r="J76" s="214"/>
      <c r="K76" s="214"/>
      <c r="L76" s="214"/>
      <c r="M76" s="214"/>
      <c r="N76" s="214"/>
      <c r="O76" s="214"/>
      <c r="P76" s="215"/>
      <c r="Q76" s="216"/>
      <c r="R76" s="217"/>
      <c r="S76" s="217"/>
      <c r="T76" s="218"/>
      <c r="U76" s="218"/>
      <c r="V76" s="217"/>
      <c r="W76" s="217"/>
      <c r="X76" s="217"/>
      <c r="Y76" s="218"/>
      <c r="Z76" s="218"/>
      <c r="AA76" s="217"/>
      <c r="AB76" s="217"/>
      <c r="AC76" s="217"/>
      <c r="AD76" s="218"/>
      <c r="AE76" s="218"/>
      <c r="AF76" s="219"/>
      <c r="AG76" s="219"/>
      <c r="AH76" s="219"/>
    </row>
    <row r="77" spans="1:34" x14ac:dyDescent="0.3">
      <c r="A77" s="100"/>
      <c r="B77" s="49"/>
      <c r="C77" s="36"/>
      <c r="D77" s="36"/>
      <c r="E77" s="36"/>
      <c r="F77" s="36"/>
      <c r="G77" s="36"/>
      <c r="H77" s="36"/>
      <c r="I77" s="27"/>
      <c r="J77" s="27"/>
      <c r="K77" s="27"/>
      <c r="L77" s="27"/>
      <c r="M77" s="27"/>
      <c r="N77" s="27"/>
      <c r="O77" s="27"/>
      <c r="P77" s="28"/>
      <c r="Q77" s="146"/>
      <c r="R77" s="168"/>
      <c r="S77" s="168"/>
      <c r="T77" s="169"/>
      <c r="U77" s="169"/>
      <c r="V77" s="168"/>
      <c r="W77" s="168"/>
      <c r="X77" s="168"/>
      <c r="Y77" s="169"/>
      <c r="Z77" s="169"/>
      <c r="AA77" s="168"/>
      <c r="AB77" s="168"/>
      <c r="AC77" s="168"/>
      <c r="AD77" s="169"/>
      <c r="AE77" s="169"/>
      <c r="AF77" s="147"/>
      <c r="AG77" s="147"/>
      <c r="AH77" s="147"/>
    </row>
    <row r="78" spans="1:34" ht="18" thickBot="1" x14ac:dyDescent="0.35">
      <c r="A78" s="221" t="s">
        <v>88</v>
      </c>
      <c r="B78" s="58"/>
      <c r="C78" s="36"/>
      <c r="D78" s="36"/>
      <c r="E78" s="36"/>
      <c r="F78" s="36"/>
      <c r="G78" s="36"/>
      <c r="H78" s="36"/>
      <c r="I78" s="27"/>
      <c r="J78" s="27"/>
      <c r="K78" s="27"/>
      <c r="L78" s="27"/>
      <c r="M78" s="27"/>
      <c r="N78" s="27"/>
      <c r="O78" s="27"/>
      <c r="P78" s="28"/>
      <c r="Q78" s="146"/>
      <c r="R78" s="168"/>
      <c r="S78" s="168"/>
      <c r="T78" s="169"/>
      <c r="U78" s="169"/>
      <c r="V78" s="168"/>
      <c r="W78" s="168"/>
      <c r="X78" s="168"/>
      <c r="Y78" s="169"/>
      <c r="Z78" s="169"/>
      <c r="AA78" s="168"/>
      <c r="AB78" s="168"/>
      <c r="AC78" s="168"/>
      <c r="AD78" s="169"/>
      <c r="AE78" s="169"/>
      <c r="AF78" s="147"/>
      <c r="AG78" s="147"/>
      <c r="AH78" s="147"/>
    </row>
    <row r="79" spans="1:34" ht="18" customHeight="1" x14ac:dyDescent="0.35">
      <c r="A79" s="96"/>
      <c r="B79" s="97"/>
      <c r="C79" s="222"/>
      <c r="D79" s="222"/>
      <c r="E79" s="222"/>
      <c r="F79" s="223" t="s">
        <v>89</v>
      </c>
      <c r="G79" s="224" t="s">
        <v>90</v>
      </c>
      <c r="H79" s="225"/>
      <c r="I79" s="226"/>
      <c r="J79" s="27"/>
      <c r="K79" s="27"/>
      <c r="L79" s="27"/>
      <c r="M79" s="27"/>
      <c r="N79" s="27"/>
      <c r="O79" s="27"/>
      <c r="P79" s="28"/>
      <c r="Q79" s="146"/>
      <c r="R79" s="168"/>
      <c r="S79" s="227"/>
      <c r="T79" s="227"/>
      <c r="U79" s="169"/>
      <c r="V79" s="168"/>
      <c r="W79" s="168"/>
      <c r="X79" s="168"/>
      <c r="Y79" s="169"/>
      <c r="Z79" s="169"/>
      <c r="AA79" s="168"/>
      <c r="AB79" s="168"/>
      <c r="AC79" s="168"/>
      <c r="AD79" s="169"/>
      <c r="AE79" s="169"/>
      <c r="AF79" s="147"/>
      <c r="AG79" s="147"/>
      <c r="AH79" s="147"/>
    </row>
    <row r="80" spans="1:34" ht="14.25" customHeight="1" x14ac:dyDescent="0.3">
      <c r="A80" s="123"/>
      <c r="B80" s="82"/>
      <c r="C80" s="228"/>
      <c r="D80" s="229"/>
      <c r="E80" s="230" t="s">
        <v>91</v>
      </c>
      <c r="F80" s="36"/>
      <c r="G80" s="66"/>
      <c r="H80" s="231"/>
      <c r="I80" s="49"/>
      <c r="J80" s="27"/>
      <c r="K80" s="27"/>
      <c r="L80" s="27"/>
      <c r="M80" s="27"/>
      <c r="N80" s="27"/>
      <c r="O80" s="27"/>
      <c r="P80" s="28"/>
      <c r="Q80" s="146"/>
      <c r="R80" s="168"/>
      <c r="S80" s="227"/>
      <c r="T80" s="227"/>
      <c r="U80" s="169"/>
      <c r="V80" s="168"/>
      <c r="W80" s="168"/>
      <c r="X80" s="168"/>
      <c r="Y80" s="169"/>
      <c r="Z80" s="169"/>
      <c r="AA80" s="168"/>
      <c r="AB80" s="168"/>
      <c r="AC80" s="168"/>
      <c r="AD80" s="169"/>
      <c r="AE80" s="169"/>
      <c r="AF80" s="147"/>
      <c r="AG80" s="147"/>
      <c r="AH80" s="147"/>
    </row>
    <row r="81" spans="1:34" ht="14.7" customHeight="1" x14ac:dyDescent="0.3">
      <c r="A81" s="225"/>
      <c r="B81" s="45"/>
      <c r="C81" s="45"/>
      <c r="D81" s="45"/>
      <c r="E81" s="232" t="s">
        <v>92</v>
      </c>
      <c r="F81" s="233" t="s">
        <v>93</v>
      </c>
      <c r="G81" s="234"/>
      <c r="H81" s="235"/>
      <c r="I81" s="76"/>
      <c r="J81" s="27"/>
      <c r="K81" s="27"/>
      <c r="L81" s="27"/>
      <c r="M81" s="27"/>
      <c r="N81" s="27"/>
      <c r="O81" s="27"/>
      <c r="P81" s="28"/>
      <c r="Q81" s="146"/>
      <c r="R81" s="168"/>
      <c r="S81" s="227"/>
      <c r="T81" s="227"/>
      <c r="U81" s="169"/>
      <c r="V81" s="168"/>
      <c r="W81" s="168"/>
      <c r="X81" s="168"/>
      <c r="Y81" s="169"/>
      <c r="Z81" s="169"/>
      <c r="AA81" s="168"/>
      <c r="AB81" s="168"/>
      <c r="AC81" s="168"/>
      <c r="AD81" s="169"/>
      <c r="AE81" s="169"/>
      <c r="AF81" s="147"/>
      <c r="AG81" s="147"/>
      <c r="AH81" s="147"/>
    </row>
    <row r="82" spans="1:34" ht="14.7" customHeight="1" x14ac:dyDescent="0.35">
      <c r="A82" s="89"/>
      <c r="B82" s="36"/>
      <c r="C82" s="82"/>
      <c r="D82" s="104" t="s">
        <v>94</v>
      </c>
      <c r="E82" s="236">
        <v>12</v>
      </c>
      <c r="F82" s="69">
        <v>4.0999999999999996</v>
      </c>
      <c r="G82" s="66" t="s">
        <v>24</v>
      </c>
      <c r="H82" s="63"/>
      <c r="I82" s="49"/>
      <c r="J82" s="27"/>
      <c r="K82" s="27"/>
      <c r="L82" s="27"/>
      <c r="M82" s="27"/>
      <c r="N82" s="27"/>
      <c r="O82" s="27"/>
      <c r="P82" s="28"/>
      <c r="Q82" s="146"/>
      <c r="R82" s="168"/>
      <c r="S82" s="227"/>
      <c r="T82" s="227"/>
      <c r="U82" s="169"/>
      <c r="V82" s="168"/>
      <c r="W82" s="168"/>
      <c r="X82" s="168"/>
      <c r="Y82" s="169"/>
      <c r="Z82" s="169"/>
      <c r="AA82" s="168"/>
      <c r="AB82" s="168"/>
      <c r="AC82" s="168"/>
      <c r="AD82" s="169"/>
      <c r="AE82" s="169"/>
      <c r="AF82" s="147"/>
      <c r="AG82" s="147"/>
      <c r="AH82" s="147"/>
    </row>
    <row r="83" spans="1:34" ht="14.7" customHeight="1" x14ac:dyDescent="0.35">
      <c r="A83" s="89"/>
      <c r="B83" s="36"/>
      <c r="C83" s="82"/>
      <c r="D83" s="104" t="s">
        <v>95</v>
      </c>
      <c r="E83" s="69">
        <v>8</v>
      </c>
      <c r="F83" s="69">
        <v>25</v>
      </c>
      <c r="G83" s="66" t="s">
        <v>96</v>
      </c>
      <c r="H83" s="63"/>
      <c r="I83" s="49"/>
      <c r="J83" s="27"/>
      <c r="K83" s="27"/>
      <c r="L83" s="27"/>
      <c r="M83" s="27"/>
      <c r="N83" s="27"/>
      <c r="O83" s="27"/>
      <c r="P83" s="28"/>
      <c r="Q83" s="146"/>
      <c r="R83" s="168"/>
      <c r="S83" s="227"/>
      <c r="T83" s="227"/>
      <c r="U83" s="169"/>
      <c r="V83" s="168"/>
      <c r="W83" s="168"/>
      <c r="X83" s="168"/>
      <c r="Y83" s="169"/>
      <c r="Z83" s="169"/>
      <c r="AA83" s="168"/>
      <c r="AB83" s="168"/>
      <c r="AC83" s="168"/>
      <c r="AD83" s="169"/>
      <c r="AE83" s="169"/>
      <c r="AF83" s="147"/>
      <c r="AG83" s="147"/>
      <c r="AH83" s="147"/>
    </row>
    <row r="84" spans="1:34" ht="14.7" customHeight="1" x14ac:dyDescent="0.35">
      <c r="A84" s="89"/>
      <c r="B84" s="36"/>
      <c r="C84" s="82"/>
      <c r="D84" s="104" t="s">
        <v>97</v>
      </c>
      <c r="E84" s="69">
        <v>2.9</v>
      </c>
      <c r="F84" s="69">
        <v>9</v>
      </c>
      <c r="G84" s="66" t="s">
        <v>96</v>
      </c>
      <c r="H84" s="63"/>
      <c r="I84" s="49"/>
      <c r="J84" s="27"/>
      <c r="K84" s="27"/>
      <c r="L84" s="27"/>
      <c r="M84" s="27"/>
      <c r="N84" s="27"/>
      <c r="O84" s="27"/>
      <c r="P84" s="28"/>
      <c r="Q84" s="146"/>
      <c r="R84" s="168"/>
      <c r="S84" s="227"/>
      <c r="T84" s="227"/>
      <c r="U84" s="169"/>
      <c r="V84" s="168"/>
      <c r="W84" s="168"/>
      <c r="X84" s="168"/>
      <c r="Y84" s="169"/>
      <c r="Z84" s="169"/>
      <c r="AA84" s="168"/>
      <c r="AB84" s="168"/>
      <c r="AC84" s="168"/>
      <c r="AD84" s="169"/>
      <c r="AE84" s="169"/>
      <c r="AF84" s="147"/>
      <c r="AG84" s="147"/>
      <c r="AH84" s="147"/>
    </row>
    <row r="85" spans="1:34" ht="14.7" customHeight="1" x14ac:dyDescent="0.35">
      <c r="A85" s="89"/>
      <c r="B85" s="36"/>
      <c r="C85" s="82"/>
      <c r="D85" s="104" t="s">
        <v>98</v>
      </c>
      <c r="E85" s="69">
        <v>3.1</v>
      </c>
      <c r="F85" s="69">
        <v>8.6999999999999993</v>
      </c>
      <c r="G85" s="66" t="s">
        <v>96</v>
      </c>
      <c r="H85" s="63"/>
      <c r="I85" s="49"/>
      <c r="J85" s="27"/>
      <c r="K85" s="27"/>
      <c r="L85" s="27"/>
      <c r="M85" s="27"/>
      <c r="N85" s="27"/>
      <c r="O85" s="27"/>
      <c r="P85" s="28"/>
      <c r="Q85" s="146"/>
      <c r="R85" s="168"/>
      <c r="S85" s="227"/>
      <c r="T85" s="227"/>
      <c r="U85" s="169"/>
      <c r="V85" s="168"/>
      <c r="W85" s="168"/>
      <c r="X85" s="168"/>
      <c r="Y85" s="169"/>
      <c r="Z85" s="169"/>
      <c r="AA85" s="168"/>
      <c r="AB85" s="168"/>
      <c r="AC85" s="168"/>
      <c r="AD85" s="169"/>
      <c r="AE85" s="169"/>
      <c r="AF85" s="147"/>
      <c r="AG85" s="147"/>
      <c r="AH85" s="147"/>
    </row>
    <row r="86" spans="1:34" ht="14.7" customHeight="1" x14ac:dyDescent="0.35">
      <c r="A86" s="225"/>
      <c r="B86" s="45"/>
      <c r="C86" s="45"/>
      <c r="D86" s="104" t="s">
        <v>99</v>
      </c>
      <c r="E86" s="63"/>
      <c r="F86" s="69">
        <v>30</v>
      </c>
      <c r="G86" s="66" t="s">
        <v>96</v>
      </c>
      <c r="H86" s="63"/>
      <c r="I86" s="49"/>
      <c r="J86" s="27"/>
      <c r="K86" s="27"/>
      <c r="L86" s="27"/>
      <c r="M86" s="27"/>
      <c r="N86" s="27"/>
      <c r="O86" s="27"/>
      <c r="P86" s="28"/>
      <c r="Q86" s="146"/>
      <c r="R86" s="168"/>
      <c r="S86" s="227"/>
      <c r="T86" s="227"/>
      <c r="U86" s="169"/>
      <c r="V86" s="168"/>
      <c r="W86" s="168"/>
      <c r="X86" s="168"/>
      <c r="Y86" s="169"/>
      <c r="Z86" s="169"/>
      <c r="AA86" s="168"/>
      <c r="AB86" s="168"/>
      <c r="AC86" s="168"/>
      <c r="AD86" s="169"/>
      <c r="AE86" s="169"/>
      <c r="AF86" s="147"/>
      <c r="AG86" s="147"/>
      <c r="AH86" s="147"/>
    </row>
    <row r="87" spans="1:34" ht="14.7" customHeight="1" x14ac:dyDescent="0.35">
      <c r="A87" s="225"/>
      <c r="B87" s="45"/>
      <c r="C87" s="45"/>
      <c r="D87" s="104" t="s">
        <v>100</v>
      </c>
      <c r="E87" s="69">
        <v>116</v>
      </c>
      <c r="F87" s="69">
        <v>366</v>
      </c>
      <c r="G87" s="66" t="s">
        <v>85</v>
      </c>
      <c r="H87" s="63"/>
      <c r="I87" s="49"/>
      <c r="J87" s="27"/>
      <c r="K87" s="27"/>
      <c r="L87" s="27"/>
      <c r="M87" s="27"/>
      <c r="N87" s="27"/>
      <c r="O87" s="27"/>
      <c r="P87" s="28"/>
      <c r="Q87" s="146"/>
      <c r="R87" s="168"/>
      <c r="S87" s="227"/>
      <c r="T87" s="227"/>
      <c r="U87" s="169"/>
      <c r="V87" s="168"/>
      <c r="W87" s="168"/>
      <c r="X87" s="168"/>
      <c r="Y87" s="169"/>
      <c r="Z87" s="169"/>
      <c r="AA87" s="168"/>
      <c r="AB87" s="168"/>
      <c r="AC87" s="168"/>
      <c r="AD87" s="169"/>
      <c r="AE87" s="169"/>
      <c r="AF87" s="147"/>
      <c r="AG87" s="147"/>
      <c r="AH87" s="147"/>
    </row>
    <row r="88" spans="1:34" ht="14.7" customHeight="1" x14ac:dyDescent="0.35">
      <c r="A88" s="89"/>
      <c r="B88" s="36"/>
      <c r="C88" s="82"/>
      <c r="D88" s="104" t="s">
        <v>101</v>
      </c>
      <c r="E88" s="69">
        <v>1.2</v>
      </c>
      <c r="F88" s="69">
        <v>1.2</v>
      </c>
      <c r="G88" s="66" t="s">
        <v>102</v>
      </c>
      <c r="H88" s="63"/>
      <c r="I88" s="49"/>
      <c r="J88" s="27"/>
      <c r="K88" s="27"/>
      <c r="L88" s="27"/>
      <c r="M88" s="27"/>
      <c r="N88" s="27"/>
      <c r="O88" s="27"/>
      <c r="P88" s="28"/>
      <c r="Q88" s="146"/>
      <c r="R88" s="168"/>
      <c r="S88" s="227"/>
      <c r="T88" s="227"/>
      <c r="U88" s="169"/>
      <c r="V88" s="168"/>
      <c r="W88" s="168"/>
      <c r="X88" s="168"/>
      <c r="Y88" s="169"/>
      <c r="Z88" s="169"/>
      <c r="AA88" s="168"/>
      <c r="AB88" s="168"/>
      <c r="AC88" s="168"/>
      <c r="AD88" s="169"/>
      <c r="AE88" s="169"/>
      <c r="AF88" s="147"/>
      <c r="AG88" s="147"/>
      <c r="AH88" s="147"/>
    </row>
    <row r="89" spans="1:34" ht="14.7" customHeight="1" x14ac:dyDescent="0.35">
      <c r="A89" s="89"/>
      <c r="B89" s="36"/>
      <c r="C89" s="82"/>
      <c r="D89" s="104" t="s">
        <v>103</v>
      </c>
      <c r="E89" s="69">
        <v>55</v>
      </c>
      <c r="F89" s="69">
        <v>178</v>
      </c>
      <c r="G89" s="66" t="s">
        <v>104</v>
      </c>
      <c r="H89" s="63"/>
      <c r="I89" s="49"/>
      <c r="J89" s="27"/>
      <c r="K89" s="27"/>
      <c r="L89" s="27"/>
      <c r="M89" s="27"/>
      <c r="N89" s="27"/>
      <c r="O89" s="27"/>
      <c r="P89" s="28"/>
      <c r="Q89" s="146"/>
      <c r="R89" s="168"/>
      <c r="S89" s="227"/>
      <c r="T89" s="227"/>
      <c r="U89" s="169"/>
      <c r="V89" s="168"/>
      <c r="W89" s="168"/>
      <c r="X89" s="168"/>
      <c r="Y89" s="169"/>
      <c r="Z89" s="169"/>
      <c r="AA89" s="168"/>
      <c r="AB89" s="168"/>
      <c r="AC89" s="168"/>
      <c r="AD89" s="169"/>
      <c r="AE89" s="169"/>
      <c r="AF89" s="147"/>
      <c r="AG89" s="147"/>
      <c r="AH89" s="147"/>
    </row>
    <row r="90" spans="1:34" ht="14.7" customHeight="1" x14ac:dyDescent="0.35">
      <c r="A90" s="89"/>
      <c r="B90" s="36"/>
      <c r="C90" s="82"/>
      <c r="D90" s="104" t="s">
        <v>105</v>
      </c>
      <c r="E90" s="69">
        <v>3.1</v>
      </c>
      <c r="F90" s="69">
        <v>3</v>
      </c>
      <c r="G90" s="66" t="s">
        <v>9</v>
      </c>
      <c r="H90" s="63"/>
      <c r="I90" s="49"/>
      <c r="J90" s="27"/>
      <c r="K90" s="27"/>
      <c r="L90" s="27"/>
      <c r="M90" s="27"/>
      <c r="N90" s="27"/>
      <c r="O90" s="27"/>
      <c r="P90" s="28"/>
      <c r="Q90" s="146"/>
      <c r="R90" s="168"/>
      <c r="S90" s="227"/>
      <c r="T90" s="227"/>
      <c r="U90" s="169"/>
      <c r="V90" s="168"/>
      <c r="W90" s="168"/>
      <c r="X90" s="168"/>
      <c r="Y90" s="169"/>
      <c r="Z90" s="169"/>
      <c r="AA90" s="168"/>
      <c r="AB90" s="168"/>
      <c r="AC90" s="168"/>
      <c r="AD90" s="169"/>
      <c r="AE90" s="169"/>
      <c r="AF90" s="147"/>
      <c r="AG90" s="147"/>
      <c r="AH90" s="147"/>
    </row>
    <row r="91" spans="1:34" ht="14.7" customHeight="1" x14ac:dyDescent="0.35">
      <c r="A91" s="89"/>
      <c r="B91" s="36"/>
      <c r="C91" s="82"/>
      <c r="D91" s="104" t="s">
        <v>106</v>
      </c>
      <c r="E91" s="69">
        <v>0.7</v>
      </c>
      <c r="F91" s="69">
        <v>0.7</v>
      </c>
      <c r="G91" s="66" t="s">
        <v>9</v>
      </c>
      <c r="H91" s="63"/>
      <c r="I91" s="49"/>
      <c r="J91" s="27"/>
      <c r="K91" s="27"/>
      <c r="L91" s="27"/>
      <c r="M91" s="27"/>
      <c r="N91" s="27"/>
      <c r="O91" s="27"/>
      <c r="P91" s="28"/>
      <c r="Q91" s="146"/>
      <c r="R91" s="168"/>
      <c r="S91" s="227"/>
      <c r="T91" s="227"/>
      <c r="U91" s="169"/>
      <c r="V91" s="168"/>
      <c r="W91" s="168"/>
      <c r="X91" s="168"/>
      <c r="Y91" s="169"/>
      <c r="Z91" s="169"/>
      <c r="AA91" s="168"/>
      <c r="AB91" s="168"/>
      <c r="AC91" s="168"/>
      <c r="AD91" s="169"/>
      <c r="AE91" s="169"/>
      <c r="AF91" s="147"/>
      <c r="AG91" s="147"/>
      <c r="AH91" s="147"/>
    </row>
    <row r="92" spans="1:34" ht="14.25" customHeight="1" x14ac:dyDescent="0.35">
      <c r="A92" s="89"/>
      <c r="B92" s="36"/>
      <c r="C92" s="36"/>
      <c r="D92" s="104" t="s">
        <v>107</v>
      </c>
      <c r="E92" s="237"/>
      <c r="F92" s="69">
        <v>59</v>
      </c>
      <c r="G92" s="66" t="s">
        <v>96</v>
      </c>
      <c r="H92" s="225"/>
      <c r="I92" s="49"/>
      <c r="J92" s="27"/>
      <c r="K92" s="27"/>
      <c r="L92" s="27"/>
      <c r="M92" s="27"/>
      <c r="N92" s="27"/>
      <c r="O92" s="27"/>
      <c r="P92" s="28"/>
      <c r="Q92" s="146"/>
      <c r="R92" s="168"/>
      <c r="S92" s="227"/>
      <c r="T92" s="227"/>
      <c r="U92" s="169"/>
      <c r="V92" s="168"/>
      <c r="W92" s="168"/>
      <c r="X92" s="168"/>
      <c r="Y92" s="169"/>
      <c r="Z92" s="169"/>
      <c r="AA92" s="168"/>
      <c r="AB92" s="168"/>
      <c r="AC92" s="168"/>
      <c r="AD92" s="169"/>
      <c r="AE92" s="169"/>
      <c r="AF92" s="147"/>
      <c r="AG92" s="147"/>
      <c r="AH92" s="147"/>
    </row>
    <row r="93" spans="1:34" ht="14.7" customHeight="1" thickBot="1" x14ac:dyDescent="0.4">
      <c r="A93" s="115"/>
      <c r="B93" s="78"/>
      <c r="C93" s="238"/>
      <c r="D93" s="239" t="s">
        <v>108</v>
      </c>
      <c r="E93" s="240">
        <v>42</v>
      </c>
      <c r="F93" s="240">
        <v>40.700000000000003</v>
      </c>
      <c r="G93" s="118" t="s">
        <v>109</v>
      </c>
      <c r="H93" s="241"/>
      <c r="I93" s="49"/>
      <c r="J93" s="27"/>
      <c r="K93" s="27"/>
      <c r="L93" s="27"/>
      <c r="M93" s="27"/>
      <c r="N93" s="27"/>
      <c r="O93" s="27"/>
      <c r="P93" s="28"/>
      <c r="Q93" s="146"/>
      <c r="R93" s="168"/>
      <c r="S93" s="227"/>
      <c r="T93" s="227"/>
      <c r="U93" s="169"/>
      <c r="V93" s="168"/>
      <c r="W93" s="168"/>
      <c r="X93" s="168"/>
      <c r="Y93" s="169"/>
      <c r="Z93" s="169"/>
      <c r="AA93" s="168"/>
      <c r="AB93" s="168"/>
      <c r="AC93" s="168"/>
      <c r="AD93" s="169"/>
      <c r="AE93" s="169"/>
      <c r="AF93" s="147"/>
      <c r="AG93" s="147"/>
      <c r="AH93" s="147"/>
    </row>
    <row r="94" spans="1:34" ht="14.7" customHeight="1" thickBot="1" x14ac:dyDescent="0.35">
      <c r="A94" s="89"/>
      <c r="B94" s="36"/>
      <c r="C94" s="82"/>
      <c r="D94" s="104"/>
      <c r="E94" s="49"/>
      <c r="F94" s="242"/>
      <c r="G94" s="36"/>
      <c r="H94" s="36"/>
      <c r="I94" s="27"/>
      <c r="J94" s="27"/>
      <c r="K94" s="27"/>
      <c r="L94" s="27"/>
      <c r="M94" s="27"/>
      <c r="N94" s="27"/>
      <c r="O94" s="27"/>
      <c r="P94" s="28"/>
      <c r="Q94" s="146"/>
      <c r="R94" s="168"/>
      <c r="S94" s="227"/>
      <c r="T94" s="227"/>
      <c r="U94" s="169"/>
      <c r="V94" s="168"/>
      <c r="W94" s="168"/>
      <c r="X94" s="168"/>
      <c r="Y94" s="169"/>
      <c r="Z94" s="169"/>
      <c r="AA94" s="168"/>
      <c r="AB94" s="168"/>
      <c r="AC94" s="168"/>
      <c r="AD94" s="169"/>
      <c r="AE94" s="169"/>
      <c r="AF94" s="147"/>
      <c r="AG94" s="147"/>
      <c r="AH94" s="147"/>
    </row>
    <row r="95" spans="1:34" ht="14.7" customHeight="1" x14ac:dyDescent="0.3">
      <c r="A95" s="243" t="s">
        <v>110</v>
      </c>
      <c r="B95" s="97"/>
      <c r="C95" s="59"/>
      <c r="D95" s="244"/>
      <c r="E95" s="245"/>
      <c r="F95" s="245"/>
      <c r="G95" s="87"/>
      <c r="H95" s="36"/>
      <c r="I95" s="27"/>
      <c r="J95" s="27"/>
      <c r="K95" s="27"/>
      <c r="L95" s="27"/>
      <c r="M95" s="27"/>
      <c r="N95" s="27"/>
      <c r="O95" s="27"/>
      <c r="P95" s="28"/>
      <c r="Q95" s="146"/>
      <c r="R95" s="168"/>
      <c r="S95" s="227"/>
      <c r="T95" s="227"/>
      <c r="U95" s="169"/>
      <c r="V95" s="168"/>
      <c r="W95" s="168"/>
      <c r="X95" s="168"/>
      <c r="Y95" s="169"/>
      <c r="Z95" s="169"/>
      <c r="AA95" s="168"/>
      <c r="AB95" s="168"/>
      <c r="AC95" s="168"/>
      <c r="AD95" s="169"/>
      <c r="AE95" s="169"/>
      <c r="AF95" s="147"/>
      <c r="AG95" s="147"/>
      <c r="AH95" s="147"/>
    </row>
    <row r="96" spans="1:34" ht="14.7" customHeight="1" x14ac:dyDescent="0.35">
      <c r="A96" s="89"/>
      <c r="B96" s="36"/>
      <c r="C96" s="36"/>
      <c r="D96" s="104" t="s">
        <v>111</v>
      </c>
      <c r="E96" s="45"/>
      <c r="F96" s="246">
        <v>0</v>
      </c>
      <c r="G96" s="66" t="s">
        <v>9</v>
      </c>
      <c r="H96" s="36"/>
      <c r="I96" s="27"/>
      <c r="J96" s="27"/>
      <c r="K96" s="27"/>
      <c r="L96" s="27"/>
      <c r="M96" s="27"/>
      <c r="N96" s="27"/>
      <c r="O96" s="27"/>
      <c r="P96" s="28"/>
      <c r="Q96" s="146"/>
      <c r="R96" s="168"/>
      <c r="S96" s="227"/>
      <c r="T96" s="227"/>
      <c r="U96" s="169"/>
      <c r="V96" s="168"/>
      <c r="W96" s="168"/>
      <c r="X96" s="168"/>
      <c r="Y96" s="169"/>
      <c r="Z96" s="169"/>
      <c r="AA96" s="168"/>
      <c r="AB96" s="168"/>
      <c r="AC96" s="168"/>
      <c r="AD96" s="169"/>
      <c r="AE96" s="169"/>
      <c r="AF96" s="147"/>
      <c r="AG96" s="147"/>
      <c r="AH96" s="147"/>
    </row>
    <row r="97" spans="1:34" ht="14.7" customHeight="1" thickBot="1" x14ac:dyDescent="0.4">
      <c r="A97" s="115"/>
      <c r="B97" s="78"/>
      <c r="C97" s="78"/>
      <c r="D97" s="239" t="s">
        <v>112</v>
      </c>
      <c r="E97" s="52"/>
      <c r="F97" s="247">
        <v>0</v>
      </c>
      <c r="G97" s="118" t="s">
        <v>96</v>
      </c>
      <c r="H97" s="36"/>
      <c r="I97" s="27"/>
      <c r="J97" s="27"/>
      <c r="K97" s="27"/>
      <c r="L97" s="27"/>
      <c r="M97" s="27"/>
      <c r="N97" s="27"/>
      <c r="O97" s="27"/>
      <c r="P97" s="28"/>
      <c r="Q97" s="146"/>
      <c r="R97" s="168"/>
      <c r="S97" s="227"/>
      <c r="T97" s="227"/>
      <c r="U97" s="169"/>
      <c r="V97" s="168"/>
      <c r="W97" s="168"/>
      <c r="X97" s="168"/>
      <c r="Y97" s="169"/>
      <c r="Z97" s="169"/>
      <c r="AA97" s="168"/>
      <c r="AB97" s="168"/>
      <c r="AC97" s="168"/>
      <c r="AD97" s="169"/>
      <c r="AE97" s="169"/>
      <c r="AF97" s="147"/>
      <c r="AG97" s="147"/>
      <c r="AH97" s="147"/>
    </row>
    <row r="98" spans="1:34" ht="14.7" customHeight="1" x14ac:dyDescent="0.3">
      <c r="A98" s="100"/>
      <c r="B98" s="49"/>
      <c r="C98" s="49"/>
      <c r="D98" s="248"/>
      <c r="E98" s="45"/>
      <c r="F98" s="45"/>
      <c r="G98" s="45"/>
      <c r="H98" s="36"/>
      <c r="I98" s="27"/>
      <c r="J98" s="27"/>
      <c r="K98" s="27"/>
      <c r="L98" s="27"/>
      <c r="M98" s="27"/>
      <c r="N98" s="27"/>
      <c r="O98" s="27"/>
      <c r="P98" s="28"/>
      <c r="Q98" s="146"/>
      <c r="R98" s="168"/>
      <c r="S98" s="227"/>
      <c r="T98" s="227"/>
      <c r="U98" s="169"/>
      <c r="V98" s="168"/>
      <c r="W98" s="168"/>
      <c r="X98" s="168"/>
      <c r="Y98" s="169"/>
      <c r="Z98" s="169"/>
      <c r="AA98" s="168"/>
      <c r="AB98" s="168"/>
      <c r="AC98" s="168"/>
      <c r="AD98" s="169"/>
      <c r="AE98" s="169"/>
      <c r="AF98" s="147"/>
      <c r="AG98" s="147"/>
      <c r="AH98" s="147"/>
    </row>
    <row r="99" spans="1:34" ht="19.5" customHeight="1" x14ac:dyDescent="0.3">
      <c r="A99" s="100"/>
      <c r="B99" s="49"/>
      <c r="C99" s="63"/>
      <c r="D99" s="248"/>
      <c r="E99" s="45"/>
      <c r="F99" s="45"/>
      <c r="G99" s="45"/>
      <c r="H99" s="36"/>
      <c r="I99" s="27"/>
      <c r="J99" s="27"/>
      <c r="K99" s="27"/>
      <c r="L99" s="27"/>
      <c r="M99" s="27"/>
      <c r="N99" s="27"/>
      <c r="O99" s="27"/>
      <c r="P99" s="28"/>
      <c r="Q99" s="146"/>
      <c r="R99" s="168"/>
      <c r="S99" s="227"/>
      <c r="T99" s="227"/>
      <c r="U99" s="169"/>
      <c r="V99" s="168"/>
      <c r="W99" s="168"/>
      <c r="X99" s="168"/>
      <c r="Y99" s="169"/>
      <c r="Z99" s="169"/>
      <c r="AA99" s="168"/>
      <c r="AB99" s="168"/>
      <c r="AC99" s="168"/>
      <c r="AD99" s="169"/>
      <c r="AE99" s="169"/>
      <c r="AF99" s="147"/>
      <c r="AG99" s="147"/>
      <c r="AH99" s="147"/>
    </row>
    <row r="100" spans="1:34" ht="15" customHeight="1" x14ac:dyDescent="0.3">
      <c r="A100" s="100"/>
      <c r="B100" s="49"/>
      <c r="C100" s="63"/>
      <c r="D100" s="248"/>
      <c r="E100" s="45"/>
      <c r="F100" s="45"/>
      <c r="G100" s="45"/>
      <c r="H100" s="36"/>
      <c r="I100" s="27"/>
      <c r="J100" s="27"/>
      <c r="K100" s="27"/>
      <c r="L100" s="27"/>
      <c r="M100" s="27"/>
      <c r="N100" s="27"/>
      <c r="O100" s="27"/>
      <c r="P100" s="28"/>
      <c r="Q100" s="146"/>
      <c r="R100" s="147"/>
      <c r="S100" s="249"/>
      <c r="T100" s="249"/>
      <c r="V100" s="147"/>
      <c r="W100" s="147"/>
      <c r="X100" s="147"/>
      <c r="AA100" s="147"/>
      <c r="AB100" s="147"/>
      <c r="AC100" s="147"/>
      <c r="AF100" s="147"/>
      <c r="AG100" s="147"/>
      <c r="AH100" s="147"/>
    </row>
    <row r="101" spans="1:34" ht="19.5" customHeight="1" thickBot="1" x14ac:dyDescent="0.35">
      <c r="A101" s="221" t="s">
        <v>113</v>
      </c>
      <c r="B101" s="49"/>
      <c r="C101" s="63"/>
      <c r="D101" s="248"/>
      <c r="E101" s="45"/>
      <c r="F101" s="45"/>
      <c r="G101" s="45"/>
      <c r="H101" s="36"/>
      <c r="I101" s="27"/>
      <c r="J101" s="27"/>
      <c r="K101" s="27"/>
      <c r="L101" s="27"/>
      <c r="M101" s="27"/>
      <c r="N101" s="27"/>
      <c r="O101" s="27"/>
      <c r="P101" s="28"/>
      <c r="Q101" s="146"/>
      <c r="R101" s="147"/>
      <c r="S101" s="147"/>
      <c r="V101" s="147"/>
      <c r="W101" s="147"/>
      <c r="X101" s="147"/>
      <c r="AA101" s="147"/>
      <c r="AB101" s="147"/>
      <c r="AC101" s="147"/>
      <c r="AF101" s="147"/>
      <c r="AG101" s="147"/>
      <c r="AH101" s="147"/>
    </row>
    <row r="102" spans="1:34" ht="15.75" customHeight="1" x14ac:dyDescent="0.3">
      <c r="A102" s="84"/>
      <c r="B102" s="59"/>
      <c r="C102" s="85"/>
      <c r="D102" s="85" t="s">
        <v>114</v>
      </c>
      <c r="E102" s="86">
        <f>'[1]Variable Management'!B362</f>
        <v>4.9499999999999995E-2</v>
      </c>
      <c r="F102" s="87" t="s">
        <v>28</v>
      </c>
      <c r="G102" s="45"/>
      <c r="H102" s="36"/>
      <c r="I102" s="27"/>
      <c r="J102" s="27"/>
      <c r="K102" s="27"/>
      <c r="L102" s="27"/>
      <c r="M102" s="27"/>
      <c r="N102" s="27"/>
      <c r="O102" s="27"/>
      <c r="P102" s="28"/>
      <c r="Q102" s="146"/>
      <c r="R102" s="147"/>
      <c r="S102" s="147"/>
      <c r="V102" s="147"/>
      <c r="W102" s="147"/>
      <c r="X102" s="147"/>
      <c r="AA102" s="147"/>
      <c r="AB102" s="147"/>
      <c r="AC102" s="147"/>
      <c r="AF102" s="147"/>
      <c r="AG102" s="147"/>
      <c r="AH102" s="147"/>
    </row>
    <row r="103" spans="1:34" ht="15.75" customHeight="1" x14ac:dyDescent="0.3">
      <c r="A103" s="89"/>
      <c r="B103" s="36"/>
      <c r="C103" s="36"/>
      <c r="D103" s="39" t="s">
        <v>115</v>
      </c>
      <c r="E103" s="74">
        <f>'[1]Variable Management'!B364</f>
        <v>26.687950000000001</v>
      </c>
      <c r="F103" s="50" t="s">
        <v>20</v>
      </c>
      <c r="G103" s="45"/>
      <c r="H103" s="36"/>
      <c r="I103" s="27"/>
      <c r="J103" s="27"/>
      <c r="K103" s="27"/>
      <c r="L103" s="27"/>
      <c r="M103" s="27"/>
      <c r="N103" s="27"/>
      <c r="O103" s="27"/>
      <c r="P103" s="28"/>
      <c r="Q103" s="146"/>
      <c r="R103" s="147"/>
      <c r="S103" s="147"/>
      <c r="V103" s="147"/>
      <c r="W103" s="147"/>
      <c r="X103" s="147"/>
      <c r="AA103" s="147"/>
      <c r="AB103" s="147"/>
      <c r="AC103" s="147"/>
      <c r="AF103" s="147"/>
      <c r="AG103" s="147"/>
      <c r="AH103" s="147"/>
    </row>
    <row r="104" spans="1:34" ht="14.25" customHeight="1" thickBot="1" x14ac:dyDescent="0.35">
      <c r="A104" s="250"/>
      <c r="B104" s="251"/>
      <c r="C104" s="251"/>
      <c r="D104" s="252"/>
      <c r="E104" s="252" t="str">
        <f>CHOOSE(Ext_VCC, "", "* Tie VCCX to PGND")</f>
        <v/>
      </c>
      <c r="F104" s="253"/>
      <c r="G104" s="45"/>
      <c r="H104" s="36"/>
      <c r="I104" s="27"/>
      <c r="J104" s="27"/>
      <c r="K104" s="27"/>
      <c r="L104" s="27"/>
      <c r="M104" s="27"/>
      <c r="N104" s="27"/>
      <c r="O104" s="27"/>
      <c r="P104" s="28"/>
      <c r="Q104" s="146"/>
      <c r="R104" s="147"/>
      <c r="S104" s="147"/>
      <c r="V104" s="147"/>
      <c r="W104" s="147"/>
      <c r="X104" s="147"/>
      <c r="AA104" s="147"/>
      <c r="AB104" s="147"/>
      <c r="AC104" s="147"/>
      <c r="AF104" s="147"/>
      <c r="AG104" s="147"/>
      <c r="AH104" s="147"/>
    </row>
    <row r="105" spans="1:34" ht="14.7" customHeight="1" x14ac:dyDescent="0.3">
      <c r="A105" s="89"/>
      <c r="B105" s="36"/>
      <c r="C105" s="36"/>
      <c r="D105" s="104"/>
      <c r="E105" s="237"/>
      <c r="F105" s="36"/>
      <c r="G105" s="36"/>
      <c r="H105" s="36"/>
      <c r="I105" s="254"/>
      <c r="J105" s="27"/>
      <c r="K105" s="27"/>
      <c r="L105" s="27"/>
      <c r="M105" s="27"/>
      <c r="N105" s="27"/>
      <c r="O105" s="27"/>
      <c r="P105" s="28"/>
      <c r="Q105" s="146"/>
      <c r="R105" s="147"/>
      <c r="S105" s="147"/>
      <c r="V105" s="147"/>
      <c r="W105" s="147"/>
      <c r="X105" s="147"/>
      <c r="AA105" s="147"/>
      <c r="AB105" s="147"/>
      <c r="AC105" s="147"/>
      <c r="AF105" s="147"/>
      <c r="AG105" s="147"/>
      <c r="AH105" s="147"/>
    </row>
    <row r="106" spans="1:34" ht="14.4" thickBot="1" x14ac:dyDescent="0.35">
      <c r="A106" s="115"/>
      <c r="B106" s="78"/>
      <c r="C106" s="78"/>
      <c r="D106" s="78"/>
      <c r="E106" s="251"/>
      <c r="F106" s="78"/>
      <c r="G106" s="78"/>
      <c r="H106" s="78"/>
      <c r="I106" s="255"/>
      <c r="J106" s="255"/>
      <c r="K106" s="255"/>
      <c r="L106" s="255"/>
      <c r="M106" s="255"/>
      <c r="N106" s="255"/>
      <c r="O106" s="255"/>
      <c r="P106" s="256"/>
      <c r="Q106" s="146"/>
      <c r="R106" s="147"/>
      <c r="S106" s="147"/>
      <c r="V106" s="147"/>
      <c r="W106" s="147"/>
      <c r="X106" s="147"/>
      <c r="AA106" s="147"/>
      <c r="AB106" s="147"/>
      <c r="AC106" s="147"/>
      <c r="AF106" s="147"/>
      <c r="AG106" s="147"/>
      <c r="AH106" s="147"/>
    </row>
    <row r="107" spans="1:34" x14ac:dyDescent="0.3">
      <c r="A107" s="257"/>
      <c r="B107" s="258"/>
      <c r="C107" s="259"/>
      <c r="D107" s="259"/>
      <c r="E107" s="259"/>
      <c r="F107" s="259"/>
      <c r="G107" s="259"/>
      <c r="H107" s="259"/>
      <c r="I107" s="259"/>
      <c r="J107" s="259"/>
      <c r="K107" s="259"/>
      <c r="L107" s="259"/>
      <c r="M107" s="259"/>
      <c r="N107" s="259"/>
      <c r="O107" s="259"/>
      <c r="P107" s="259"/>
      <c r="Q107" s="146"/>
      <c r="R107" s="147"/>
      <c r="S107" s="147"/>
      <c r="V107" s="147"/>
      <c r="W107" s="147"/>
      <c r="X107" s="147"/>
      <c r="AA107" s="147"/>
      <c r="AB107" s="147"/>
      <c r="AC107" s="147"/>
      <c r="AF107" s="147"/>
      <c r="AG107" s="147"/>
      <c r="AH107" s="147"/>
    </row>
    <row r="108" spans="1:34" x14ac:dyDescent="0.3">
      <c r="A108" s="4"/>
      <c r="Q108" s="147"/>
      <c r="R108" s="147"/>
      <c r="S108" s="147"/>
      <c r="V108" s="147"/>
      <c r="W108" s="147"/>
      <c r="X108" s="147"/>
      <c r="AA108" s="147"/>
      <c r="AB108" s="147"/>
      <c r="AC108" s="147"/>
      <c r="AF108" s="147"/>
      <c r="AG108" s="147"/>
      <c r="AH108" s="147"/>
    </row>
    <row r="109" spans="1:34" x14ac:dyDescent="0.3">
      <c r="Q109" s="147"/>
      <c r="R109" s="147"/>
      <c r="S109" s="147"/>
      <c r="V109" s="147"/>
      <c r="W109" s="147"/>
      <c r="X109" s="147"/>
      <c r="AA109" s="147"/>
      <c r="AB109" s="147"/>
      <c r="AC109" s="147"/>
      <c r="AF109" s="147"/>
      <c r="AG109" s="147"/>
      <c r="AH109" s="147"/>
    </row>
    <row r="110" spans="1:34" x14ac:dyDescent="0.3">
      <c r="Q110" s="147"/>
      <c r="R110" s="147"/>
      <c r="S110" s="147"/>
      <c r="V110" s="147"/>
      <c r="W110" s="147"/>
      <c r="X110" s="147"/>
      <c r="AA110" s="147"/>
      <c r="AB110" s="147"/>
      <c r="AC110" s="147"/>
      <c r="AF110" s="147"/>
      <c r="AG110" s="147"/>
      <c r="AH110" s="147"/>
    </row>
    <row r="111" spans="1:34" x14ac:dyDescent="0.3">
      <c r="Q111" s="147"/>
      <c r="R111" s="147"/>
      <c r="S111" s="147"/>
      <c r="V111" s="147"/>
      <c r="W111" s="147"/>
      <c r="X111" s="147"/>
      <c r="AA111" s="147"/>
      <c r="AB111" s="147"/>
      <c r="AC111" s="147"/>
      <c r="AF111" s="147"/>
      <c r="AG111" s="147"/>
      <c r="AH111" s="147"/>
    </row>
    <row r="112" spans="1:34" x14ac:dyDescent="0.3">
      <c r="Q112" s="147"/>
      <c r="R112" s="147"/>
      <c r="S112" s="147"/>
      <c r="V112" s="147"/>
      <c r="W112" s="147"/>
      <c r="X112" s="147"/>
      <c r="AA112" s="147"/>
      <c r="AB112" s="147"/>
      <c r="AC112" s="147"/>
      <c r="AF112" s="147"/>
      <c r="AG112" s="147"/>
      <c r="AH112" s="147"/>
    </row>
    <row r="113" spans="17:34" x14ac:dyDescent="0.3">
      <c r="Q113" s="147"/>
      <c r="R113" s="147"/>
      <c r="S113" s="147"/>
      <c r="V113" s="147"/>
      <c r="W113" s="147"/>
      <c r="X113" s="147"/>
      <c r="AA113" s="147"/>
      <c r="AB113" s="147"/>
      <c r="AC113" s="147"/>
      <c r="AF113" s="147"/>
      <c r="AG113" s="147"/>
      <c r="AH113" s="147"/>
    </row>
    <row r="114" spans="17:34" x14ac:dyDescent="0.3">
      <c r="Q114" s="147"/>
      <c r="R114" s="147"/>
      <c r="S114" s="147"/>
      <c r="V114" s="147"/>
      <c r="W114" s="147"/>
      <c r="X114" s="147"/>
      <c r="AA114" s="147"/>
      <c r="AB114" s="147"/>
      <c r="AC114" s="147"/>
      <c r="AF114" s="147"/>
      <c r="AG114" s="147"/>
      <c r="AH114" s="147"/>
    </row>
    <row r="115" spans="17:34" x14ac:dyDescent="0.3">
      <c r="Q115" s="147"/>
      <c r="R115" s="147"/>
      <c r="S115" s="147"/>
      <c r="V115" s="147"/>
      <c r="W115" s="147"/>
      <c r="X115" s="147"/>
      <c r="AA115" s="147"/>
      <c r="AB115" s="147"/>
      <c r="AC115" s="147"/>
      <c r="AF115" s="147"/>
      <c r="AG115" s="147"/>
      <c r="AH115" s="147"/>
    </row>
    <row r="116" spans="17:34" x14ac:dyDescent="0.3">
      <c r="Q116" s="147"/>
      <c r="R116" s="147"/>
      <c r="S116" s="147"/>
      <c r="V116" s="147"/>
      <c r="W116" s="147"/>
      <c r="X116" s="147"/>
      <c r="AA116" s="147"/>
      <c r="AB116" s="147"/>
      <c r="AC116" s="147"/>
      <c r="AF116" s="147"/>
      <c r="AG116" s="147"/>
      <c r="AH116" s="147"/>
    </row>
    <row r="117" spans="17:34" x14ac:dyDescent="0.3">
      <c r="Q117" s="147"/>
      <c r="R117" s="147"/>
      <c r="S117" s="147"/>
      <c r="V117" s="147"/>
      <c r="W117" s="147"/>
      <c r="X117" s="147"/>
      <c r="AA117" s="147"/>
      <c r="AB117" s="147"/>
      <c r="AC117" s="147"/>
      <c r="AF117" s="147"/>
      <c r="AG117" s="147"/>
      <c r="AH117" s="147"/>
    </row>
    <row r="118" spans="17:34" x14ac:dyDescent="0.3">
      <c r="Q118" s="147"/>
      <c r="R118" s="147"/>
      <c r="S118" s="147"/>
      <c r="V118" s="147"/>
      <c r="W118" s="147"/>
      <c r="X118" s="147"/>
      <c r="AA118" s="147"/>
      <c r="AB118" s="147"/>
      <c r="AC118" s="147"/>
      <c r="AF118" s="147"/>
      <c r="AG118" s="147"/>
      <c r="AH118" s="147"/>
    </row>
    <row r="119" spans="17:34" x14ac:dyDescent="0.3">
      <c r="Q119" s="147"/>
      <c r="R119" s="147"/>
      <c r="S119" s="147"/>
      <c r="V119" s="147"/>
      <c r="W119" s="147"/>
      <c r="X119" s="147"/>
      <c r="AA119" s="147"/>
      <c r="AB119" s="147"/>
      <c r="AC119" s="147"/>
      <c r="AF119" s="147"/>
      <c r="AG119" s="147"/>
      <c r="AH119" s="147"/>
    </row>
    <row r="120" spans="17:34" x14ac:dyDescent="0.3">
      <c r="Q120" s="147"/>
      <c r="R120" s="147"/>
      <c r="S120" s="147"/>
      <c r="V120" s="147"/>
      <c r="W120" s="147"/>
      <c r="X120" s="147"/>
      <c r="AA120" s="147"/>
      <c r="AB120" s="147"/>
      <c r="AC120" s="147"/>
      <c r="AF120" s="147"/>
      <c r="AG120" s="147"/>
      <c r="AH120" s="147"/>
    </row>
    <row r="121" spans="17:34" x14ac:dyDescent="0.3">
      <c r="Q121" s="147"/>
      <c r="R121" s="147"/>
      <c r="S121" s="147"/>
      <c r="V121" s="147"/>
      <c r="W121" s="147"/>
      <c r="X121" s="147"/>
      <c r="AA121" s="147"/>
      <c r="AB121" s="147"/>
      <c r="AC121" s="147"/>
      <c r="AF121" s="147"/>
      <c r="AG121" s="147"/>
      <c r="AH121" s="147"/>
    </row>
    <row r="122" spans="17:34" x14ac:dyDescent="0.3">
      <c r="Q122" s="147"/>
      <c r="R122" s="147"/>
      <c r="S122" s="147"/>
      <c r="V122" s="147"/>
      <c r="W122" s="147"/>
      <c r="X122" s="147"/>
      <c r="AA122" s="147"/>
      <c r="AB122" s="147"/>
      <c r="AC122" s="147"/>
      <c r="AF122" s="147"/>
      <c r="AG122" s="147"/>
      <c r="AH122" s="147"/>
    </row>
    <row r="123" spans="17:34" x14ac:dyDescent="0.3">
      <c r="Q123" s="147"/>
      <c r="R123" s="147"/>
      <c r="S123" s="147"/>
      <c r="V123" s="147"/>
      <c r="W123" s="147"/>
      <c r="X123" s="147"/>
      <c r="AA123" s="147"/>
      <c r="AB123" s="147"/>
      <c r="AC123" s="147"/>
      <c r="AF123" s="147"/>
      <c r="AG123" s="147"/>
      <c r="AH123" s="147"/>
    </row>
    <row r="124" spans="17:34" x14ac:dyDescent="0.3">
      <c r="Q124" s="147"/>
      <c r="R124" s="147"/>
      <c r="S124" s="147"/>
      <c r="V124" s="147"/>
      <c r="W124" s="147"/>
      <c r="X124" s="147"/>
      <c r="AA124" s="147"/>
      <c r="AB124" s="147"/>
      <c r="AC124" s="147"/>
      <c r="AF124" s="147"/>
      <c r="AG124" s="147"/>
      <c r="AH124" s="147"/>
    </row>
    <row r="125" spans="17:34" x14ac:dyDescent="0.3">
      <c r="Q125" s="147"/>
      <c r="R125" s="147"/>
      <c r="S125" s="147"/>
      <c r="V125" s="147"/>
      <c r="W125" s="147"/>
      <c r="X125" s="147"/>
      <c r="AA125" s="147"/>
      <c r="AB125" s="147"/>
      <c r="AC125" s="147"/>
      <c r="AF125" s="147"/>
      <c r="AG125" s="147"/>
      <c r="AH125" s="147"/>
    </row>
    <row r="126" spans="17:34" x14ac:dyDescent="0.3">
      <c r="Q126" s="147"/>
      <c r="R126" s="147"/>
      <c r="S126" s="147"/>
      <c r="V126" s="147"/>
      <c r="W126" s="147"/>
      <c r="X126" s="147"/>
      <c r="AA126" s="147"/>
      <c r="AB126" s="147"/>
      <c r="AC126" s="147"/>
      <c r="AF126" s="147"/>
      <c r="AG126" s="147"/>
      <c r="AH126" s="147"/>
    </row>
    <row r="127" spans="17:34" x14ac:dyDescent="0.3">
      <c r="Q127" s="147"/>
      <c r="R127" s="147"/>
      <c r="S127" s="147"/>
      <c r="V127" s="147"/>
      <c r="W127" s="147"/>
      <c r="X127" s="147"/>
      <c r="AA127" s="147"/>
      <c r="AB127" s="147"/>
      <c r="AC127" s="147"/>
      <c r="AF127" s="147"/>
      <c r="AG127" s="147"/>
      <c r="AH127" s="147"/>
    </row>
    <row r="128" spans="17:34" x14ac:dyDescent="0.3">
      <c r="Q128" s="147"/>
      <c r="R128" s="147"/>
      <c r="S128" s="147"/>
      <c r="V128" s="147"/>
      <c r="W128" s="147"/>
      <c r="X128" s="147"/>
      <c r="AA128" s="147"/>
      <c r="AB128" s="147"/>
      <c r="AC128" s="147"/>
      <c r="AF128" s="147"/>
      <c r="AG128" s="147"/>
      <c r="AH128" s="147"/>
    </row>
    <row r="129" spans="17:34" x14ac:dyDescent="0.3">
      <c r="Q129" s="147"/>
      <c r="R129" s="147"/>
      <c r="S129" s="147"/>
      <c r="V129" s="147"/>
      <c r="W129" s="147"/>
      <c r="X129" s="147"/>
      <c r="AA129" s="147"/>
      <c r="AB129" s="147"/>
      <c r="AC129" s="147"/>
      <c r="AF129" s="147"/>
      <c r="AG129" s="147"/>
      <c r="AH129" s="147"/>
    </row>
    <row r="130" spans="17:34" x14ac:dyDescent="0.3">
      <c r="Q130" s="147"/>
      <c r="R130" s="147"/>
      <c r="S130" s="147"/>
      <c r="V130" s="147"/>
      <c r="W130" s="147"/>
      <c r="X130" s="147"/>
      <c r="AA130" s="147"/>
      <c r="AB130" s="147"/>
      <c r="AC130" s="147"/>
      <c r="AF130" s="147"/>
      <c r="AG130" s="147"/>
      <c r="AH130" s="147"/>
    </row>
    <row r="131" spans="17:34" x14ac:dyDescent="0.3">
      <c r="Q131" s="147"/>
      <c r="R131" s="147"/>
      <c r="S131" s="147"/>
      <c r="V131" s="147"/>
      <c r="W131" s="147"/>
      <c r="X131" s="147"/>
      <c r="AA131" s="147"/>
      <c r="AB131" s="147"/>
      <c r="AC131" s="147"/>
      <c r="AF131" s="147"/>
      <c r="AG131" s="147"/>
      <c r="AH131" s="147"/>
    </row>
    <row r="132" spans="17:34" x14ac:dyDescent="0.3">
      <c r="Q132" s="147"/>
      <c r="R132" s="147"/>
      <c r="S132" s="147"/>
      <c r="V132" s="147"/>
      <c r="W132" s="147"/>
      <c r="X132" s="147"/>
      <c r="AA132" s="147"/>
      <c r="AB132" s="147"/>
      <c r="AC132" s="147"/>
      <c r="AF132" s="147"/>
      <c r="AG132" s="147"/>
      <c r="AH132" s="147"/>
    </row>
    <row r="133" spans="17:34" x14ac:dyDescent="0.3">
      <c r="Q133" s="147"/>
      <c r="R133" s="147"/>
      <c r="S133" s="147"/>
      <c r="V133" s="147"/>
      <c r="W133" s="147"/>
      <c r="X133" s="147"/>
      <c r="AA133" s="147"/>
      <c r="AB133" s="147"/>
      <c r="AC133" s="147"/>
      <c r="AF133" s="147"/>
      <c r="AG133" s="147"/>
      <c r="AH133" s="147"/>
    </row>
    <row r="134" spans="17:34" x14ac:dyDescent="0.3">
      <c r="Q134" s="147"/>
      <c r="R134" s="147"/>
      <c r="S134" s="147"/>
      <c r="V134" s="147"/>
      <c r="W134" s="147"/>
      <c r="X134" s="147"/>
      <c r="AA134" s="147"/>
      <c r="AB134" s="147"/>
      <c r="AC134" s="147"/>
      <c r="AF134" s="147"/>
      <c r="AG134" s="147"/>
      <c r="AH134" s="147"/>
    </row>
    <row r="135" spans="17:34" x14ac:dyDescent="0.3">
      <c r="Q135" s="147"/>
      <c r="R135" s="147"/>
      <c r="S135" s="147"/>
      <c r="V135" s="147"/>
      <c r="W135" s="147"/>
      <c r="X135" s="147"/>
      <c r="AA135" s="147"/>
      <c r="AB135" s="147"/>
      <c r="AC135" s="147"/>
      <c r="AF135" s="147"/>
      <c r="AG135" s="147"/>
      <c r="AH135" s="147"/>
    </row>
    <row r="136" spans="17:34" x14ac:dyDescent="0.3">
      <c r="Q136" s="147"/>
      <c r="R136" s="147"/>
      <c r="S136" s="147"/>
      <c r="V136" s="147"/>
      <c r="W136" s="147"/>
      <c r="X136" s="147"/>
      <c r="AA136" s="147"/>
      <c r="AB136" s="147"/>
      <c r="AC136" s="147"/>
      <c r="AF136" s="147"/>
      <c r="AG136" s="147"/>
      <c r="AH136" s="147"/>
    </row>
    <row r="137" spans="17:34" x14ac:dyDescent="0.3">
      <c r="Q137" s="147"/>
      <c r="R137" s="147"/>
      <c r="S137" s="147"/>
      <c r="V137" s="147"/>
      <c r="W137" s="147"/>
      <c r="X137" s="147"/>
      <c r="AA137" s="147"/>
      <c r="AB137" s="147"/>
      <c r="AC137" s="147"/>
      <c r="AF137" s="147"/>
      <c r="AG137" s="147"/>
      <c r="AH137" s="147"/>
    </row>
    <row r="138" spans="17:34" x14ac:dyDescent="0.3">
      <c r="Q138" s="147"/>
      <c r="R138" s="147"/>
      <c r="S138" s="147"/>
      <c r="V138" s="147"/>
      <c r="W138" s="147"/>
      <c r="X138" s="147"/>
      <c r="AA138" s="147"/>
      <c r="AB138" s="147"/>
      <c r="AC138" s="147"/>
      <c r="AF138" s="147"/>
      <c r="AG138" s="147"/>
      <c r="AH138" s="147"/>
    </row>
    <row r="139" spans="17:34" x14ac:dyDescent="0.3">
      <c r="Q139" s="147"/>
      <c r="R139" s="147"/>
      <c r="S139" s="147"/>
      <c r="V139" s="147"/>
      <c r="W139" s="147"/>
      <c r="X139" s="147"/>
      <c r="AA139" s="147"/>
      <c r="AB139" s="147"/>
      <c r="AC139" s="147"/>
      <c r="AF139" s="147"/>
      <c r="AG139" s="147"/>
      <c r="AH139" s="147"/>
    </row>
    <row r="140" spans="17:34" x14ac:dyDescent="0.3">
      <c r="Q140" s="147"/>
      <c r="R140" s="147"/>
      <c r="S140" s="147"/>
      <c r="V140" s="147"/>
      <c r="W140" s="147"/>
      <c r="X140" s="147"/>
      <c r="AA140" s="147"/>
      <c r="AB140" s="147"/>
      <c r="AC140" s="147"/>
      <c r="AF140" s="147"/>
      <c r="AG140" s="147"/>
      <c r="AH140" s="147"/>
    </row>
    <row r="141" spans="17:34" x14ac:dyDescent="0.3">
      <c r="Q141" s="147"/>
      <c r="R141" s="147"/>
      <c r="S141" s="147"/>
      <c r="V141" s="147"/>
      <c r="W141" s="147"/>
      <c r="X141" s="147"/>
      <c r="AA141" s="147"/>
      <c r="AB141" s="147"/>
      <c r="AC141" s="147"/>
      <c r="AF141" s="147"/>
      <c r="AG141" s="147"/>
      <c r="AH141" s="147"/>
    </row>
    <row r="142" spans="17:34" x14ac:dyDescent="0.3">
      <c r="Q142" s="147"/>
      <c r="R142" s="147"/>
      <c r="S142" s="147"/>
      <c r="V142" s="147"/>
      <c r="W142" s="147"/>
      <c r="X142" s="147"/>
      <c r="AA142" s="147"/>
      <c r="AB142" s="147"/>
      <c r="AC142" s="147"/>
      <c r="AF142" s="147"/>
      <c r="AG142" s="147"/>
      <c r="AH142" s="147"/>
    </row>
    <row r="143" spans="17:34" x14ac:dyDescent="0.3">
      <c r="Q143" s="147"/>
      <c r="R143" s="147"/>
      <c r="S143" s="147"/>
      <c r="V143" s="147"/>
      <c r="W143" s="147"/>
      <c r="X143" s="147"/>
      <c r="AA143" s="147"/>
      <c r="AB143" s="147"/>
      <c r="AC143" s="147"/>
      <c r="AF143" s="147"/>
      <c r="AG143" s="147"/>
      <c r="AH143" s="147"/>
    </row>
    <row r="144" spans="17:34" x14ac:dyDescent="0.3">
      <c r="Q144" s="147"/>
      <c r="R144" s="147"/>
      <c r="S144" s="147"/>
      <c r="V144" s="147"/>
      <c r="W144" s="147"/>
      <c r="X144" s="147"/>
      <c r="AA144" s="147"/>
      <c r="AB144" s="147"/>
      <c r="AC144" s="147"/>
      <c r="AF144" s="147"/>
      <c r="AG144" s="147"/>
      <c r="AH144" s="147"/>
    </row>
    <row r="145" spans="17:34" x14ac:dyDescent="0.3">
      <c r="Q145" s="147"/>
      <c r="R145" s="147"/>
      <c r="S145" s="147"/>
      <c r="V145" s="147"/>
      <c r="W145" s="147"/>
      <c r="X145" s="147"/>
      <c r="AA145" s="147"/>
      <c r="AB145" s="147"/>
      <c r="AC145" s="147"/>
      <c r="AF145" s="147"/>
      <c r="AG145" s="147"/>
      <c r="AH145" s="147"/>
    </row>
    <row r="146" spans="17:34" x14ac:dyDescent="0.3">
      <c r="Q146" s="147"/>
      <c r="R146" s="147"/>
      <c r="S146" s="147"/>
      <c r="V146" s="147"/>
      <c r="W146" s="147"/>
      <c r="X146" s="147"/>
      <c r="AA146" s="147"/>
      <c r="AB146" s="147"/>
      <c r="AC146" s="147"/>
      <c r="AF146" s="147"/>
      <c r="AG146" s="147"/>
      <c r="AH146" s="147"/>
    </row>
    <row r="147" spans="17:34" x14ac:dyDescent="0.3">
      <c r="Q147" s="147"/>
      <c r="R147" s="147"/>
      <c r="S147" s="147"/>
      <c r="V147" s="147"/>
      <c r="W147" s="147"/>
      <c r="X147" s="147"/>
      <c r="AA147" s="147"/>
      <c r="AB147" s="147"/>
      <c r="AC147" s="147"/>
      <c r="AF147" s="147"/>
      <c r="AG147" s="147"/>
      <c r="AH147" s="147"/>
    </row>
    <row r="148" spans="17:34" x14ac:dyDescent="0.3">
      <c r="Q148" s="147"/>
      <c r="R148" s="147"/>
      <c r="S148" s="147"/>
      <c r="V148" s="147"/>
      <c r="W148" s="147"/>
      <c r="X148" s="147"/>
      <c r="AA148" s="147"/>
      <c r="AB148" s="147"/>
      <c r="AC148" s="147"/>
      <c r="AF148" s="147"/>
      <c r="AG148" s="147"/>
      <c r="AH148" s="147"/>
    </row>
    <row r="149" spans="17:34" x14ac:dyDescent="0.3">
      <c r="Q149" s="147"/>
      <c r="R149" s="147"/>
      <c r="S149" s="147"/>
      <c r="V149" s="147"/>
      <c r="W149" s="147"/>
      <c r="X149" s="147"/>
      <c r="AA149" s="147"/>
      <c r="AB149" s="147"/>
      <c r="AC149" s="147"/>
      <c r="AF149" s="147"/>
      <c r="AG149" s="147"/>
      <c r="AH149" s="147"/>
    </row>
    <row r="150" spans="17:34" x14ac:dyDescent="0.3">
      <c r="Q150" s="147"/>
      <c r="R150" s="147"/>
      <c r="S150" s="147"/>
      <c r="V150" s="147"/>
      <c r="W150" s="147"/>
      <c r="X150" s="147"/>
      <c r="AA150" s="147"/>
      <c r="AB150" s="147"/>
      <c r="AC150" s="147"/>
      <c r="AF150" s="147"/>
      <c r="AG150" s="147"/>
      <c r="AH150" s="147"/>
    </row>
    <row r="151" spans="17:34" x14ac:dyDescent="0.3">
      <c r="Q151" s="147"/>
      <c r="R151" s="147"/>
      <c r="S151" s="147"/>
      <c r="V151" s="147"/>
      <c r="W151" s="147"/>
      <c r="X151" s="147"/>
      <c r="AA151" s="147"/>
      <c r="AB151" s="147"/>
      <c r="AC151" s="147"/>
      <c r="AF151" s="147"/>
      <c r="AG151" s="147"/>
      <c r="AH151" s="147"/>
    </row>
    <row r="152" spans="17:34" x14ac:dyDescent="0.3">
      <c r="Q152" s="147"/>
      <c r="R152" s="147"/>
      <c r="S152" s="147"/>
      <c r="V152" s="147"/>
      <c r="W152" s="147"/>
      <c r="X152" s="147"/>
      <c r="AA152" s="147"/>
      <c r="AB152" s="147"/>
      <c r="AC152" s="147"/>
      <c r="AF152" s="147"/>
      <c r="AG152" s="147"/>
      <c r="AH152" s="147"/>
    </row>
    <row r="153" spans="17:34" x14ac:dyDescent="0.3">
      <c r="Q153" s="147"/>
      <c r="R153" s="147"/>
      <c r="S153" s="147"/>
      <c r="V153" s="147"/>
      <c r="W153" s="147"/>
      <c r="X153" s="147"/>
      <c r="AA153" s="147"/>
      <c r="AB153" s="147"/>
      <c r="AC153" s="147"/>
      <c r="AF153" s="147"/>
      <c r="AG153" s="147"/>
      <c r="AH153" s="147"/>
    </row>
    <row r="154" spans="17:34" x14ac:dyDescent="0.3">
      <c r="Q154" s="147"/>
      <c r="R154" s="147"/>
      <c r="S154" s="147"/>
      <c r="V154" s="147"/>
      <c r="W154" s="147"/>
      <c r="X154" s="147"/>
      <c r="AA154" s="147"/>
      <c r="AB154" s="147"/>
      <c r="AC154" s="147"/>
      <c r="AF154" s="147"/>
      <c r="AG154" s="147"/>
      <c r="AH154" s="147"/>
    </row>
    <row r="155" spans="17:34" x14ac:dyDescent="0.3">
      <c r="Q155" s="147"/>
      <c r="R155" s="147"/>
      <c r="S155" s="147"/>
      <c r="V155" s="147"/>
      <c r="W155" s="147"/>
      <c r="X155" s="147"/>
      <c r="AA155" s="147"/>
      <c r="AB155" s="147"/>
      <c r="AC155" s="147"/>
      <c r="AF155" s="147"/>
      <c r="AG155" s="147"/>
      <c r="AH155" s="147"/>
    </row>
    <row r="156" spans="17:34" x14ac:dyDescent="0.3">
      <c r="Q156" s="147"/>
      <c r="R156" s="147"/>
      <c r="S156" s="147"/>
      <c r="V156" s="147"/>
      <c r="W156" s="147"/>
      <c r="X156" s="147"/>
      <c r="AA156" s="147"/>
      <c r="AB156" s="147"/>
      <c r="AC156" s="147"/>
      <c r="AF156" s="147"/>
      <c r="AG156" s="147"/>
      <c r="AH156" s="147"/>
    </row>
    <row r="157" spans="17:34" x14ac:dyDescent="0.3">
      <c r="Q157" s="147"/>
      <c r="R157" s="147"/>
      <c r="S157" s="147"/>
      <c r="V157" s="147"/>
      <c r="W157" s="147"/>
      <c r="X157" s="147"/>
      <c r="AA157" s="147"/>
      <c r="AB157" s="147"/>
      <c r="AC157" s="147"/>
      <c r="AF157" s="147"/>
      <c r="AG157" s="147"/>
      <c r="AH157" s="147"/>
    </row>
    <row r="158" spans="17:34" x14ac:dyDescent="0.3">
      <c r="Q158" s="147"/>
      <c r="R158" s="147"/>
      <c r="S158" s="147"/>
      <c r="V158" s="147"/>
      <c r="W158" s="147"/>
      <c r="X158" s="147"/>
      <c r="AA158" s="147"/>
      <c r="AB158" s="147"/>
      <c r="AC158" s="147"/>
      <c r="AF158" s="147"/>
      <c r="AG158" s="147"/>
      <c r="AH158" s="147"/>
    </row>
    <row r="159" spans="17:34" x14ac:dyDescent="0.3">
      <c r="Q159" s="147"/>
      <c r="R159" s="147"/>
      <c r="S159" s="147"/>
      <c r="V159" s="147"/>
      <c r="W159" s="147"/>
      <c r="X159" s="147"/>
      <c r="AA159" s="147"/>
      <c r="AB159" s="147"/>
      <c r="AC159" s="147"/>
      <c r="AF159" s="147"/>
      <c r="AG159" s="147"/>
      <c r="AH159" s="147"/>
    </row>
    <row r="160" spans="17:34" x14ac:dyDescent="0.3">
      <c r="Q160" s="147"/>
      <c r="R160" s="147"/>
      <c r="S160" s="147"/>
      <c r="V160" s="147"/>
      <c r="W160" s="147"/>
      <c r="X160" s="147"/>
      <c r="AA160" s="147"/>
      <c r="AB160" s="147"/>
      <c r="AC160" s="147"/>
      <c r="AF160" s="147"/>
      <c r="AG160" s="147"/>
      <c r="AH160" s="147"/>
    </row>
    <row r="161" spans="17:34" x14ac:dyDescent="0.3">
      <c r="Q161" s="147"/>
      <c r="R161" s="147"/>
      <c r="S161" s="147"/>
      <c r="V161" s="147"/>
      <c r="W161" s="147"/>
      <c r="X161" s="147"/>
      <c r="AA161" s="147"/>
      <c r="AB161" s="147"/>
      <c r="AC161" s="147"/>
      <c r="AF161" s="147"/>
      <c r="AG161" s="147"/>
      <c r="AH161" s="147"/>
    </row>
    <row r="162" spans="17:34" x14ac:dyDescent="0.3">
      <c r="Q162" s="147"/>
      <c r="R162" s="147"/>
      <c r="S162" s="147"/>
      <c r="V162" s="147"/>
      <c r="W162" s="147"/>
      <c r="X162" s="147"/>
      <c r="AA162" s="147"/>
      <c r="AB162" s="147"/>
      <c r="AC162" s="147"/>
      <c r="AF162" s="147"/>
      <c r="AG162" s="147"/>
      <c r="AH162" s="147"/>
    </row>
    <row r="163" spans="17:34" x14ac:dyDescent="0.3">
      <c r="Q163" s="147"/>
      <c r="R163" s="147"/>
      <c r="S163" s="147"/>
      <c r="V163" s="147"/>
      <c r="W163" s="147"/>
      <c r="X163" s="147"/>
      <c r="AA163" s="147"/>
      <c r="AB163" s="147"/>
      <c r="AC163" s="147"/>
      <c r="AF163" s="147"/>
      <c r="AG163" s="147"/>
      <c r="AH163" s="147"/>
    </row>
    <row r="164" spans="17:34" x14ac:dyDescent="0.3">
      <c r="Q164" s="147"/>
      <c r="R164" s="147"/>
      <c r="S164" s="147"/>
      <c r="V164" s="147"/>
      <c r="W164" s="147"/>
      <c r="X164" s="147"/>
      <c r="AA164" s="147"/>
      <c r="AB164" s="147"/>
      <c r="AC164" s="147"/>
      <c r="AF164" s="147"/>
      <c r="AG164" s="147"/>
      <c r="AH164" s="147"/>
    </row>
    <row r="165" spans="17:34" x14ac:dyDescent="0.3">
      <c r="Q165" s="147"/>
      <c r="R165" s="147"/>
      <c r="S165" s="147"/>
      <c r="V165" s="147"/>
      <c r="W165" s="147"/>
      <c r="X165" s="147"/>
      <c r="AA165" s="147"/>
      <c r="AB165" s="147"/>
      <c r="AC165" s="147"/>
      <c r="AF165" s="147"/>
      <c r="AG165" s="147"/>
      <c r="AH165" s="147"/>
    </row>
    <row r="166" spans="17:34" x14ac:dyDescent="0.3">
      <c r="Q166" s="147"/>
      <c r="R166" s="147"/>
      <c r="S166" s="147"/>
      <c r="V166" s="147"/>
      <c r="W166" s="147"/>
      <c r="X166" s="147"/>
      <c r="AA166" s="147"/>
      <c r="AB166" s="147"/>
      <c r="AC166" s="147"/>
      <c r="AF166" s="147"/>
      <c r="AG166" s="147"/>
      <c r="AH166" s="147"/>
    </row>
    <row r="167" spans="17:34" x14ac:dyDescent="0.3">
      <c r="Q167" s="147"/>
      <c r="R167" s="147"/>
      <c r="S167" s="147"/>
      <c r="V167" s="147"/>
      <c r="W167" s="147"/>
      <c r="X167" s="147"/>
      <c r="AA167" s="147"/>
      <c r="AB167" s="147"/>
      <c r="AC167" s="147"/>
      <c r="AF167" s="147"/>
      <c r="AG167" s="147"/>
      <c r="AH167" s="147"/>
    </row>
    <row r="168" spans="17:34" x14ac:dyDescent="0.3">
      <c r="Q168" s="147"/>
      <c r="R168" s="147"/>
      <c r="S168" s="147"/>
      <c r="V168" s="147"/>
      <c r="W168" s="147"/>
      <c r="X168" s="147"/>
      <c r="AA168" s="147"/>
      <c r="AB168" s="147"/>
      <c r="AC168" s="147"/>
      <c r="AF168" s="147"/>
      <c r="AG168" s="147"/>
      <c r="AH168" s="147"/>
    </row>
    <row r="169" spans="17:34" x14ac:dyDescent="0.3">
      <c r="Q169" s="147"/>
      <c r="R169" s="147"/>
      <c r="S169" s="147"/>
      <c r="V169" s="147"/>
      <c r="W169" s="147"/>
      <c r="X169" s="147"/>
      <c r="AA169" s="147"/>
      <c r="AB169" s="147"/>
      <c r="AC169" s="147"/>
      <c r="AF169" s="147"/>
      <c r="AG169" s="147"/>
      <c r="AH169" s="147"/>
    </row>
    <row r="170" spans="17:34" x14ac:dyDescent="0.3">
      <c r="Q170" s="147"/>
      <c r="R170" s="147"/>
      <c r="S170" s="147"/>
      <c r="V170" s="147"/>
      <c r="W170" s="147"/>
      <c r="X170" s="147"/>
      <c r="AA170" s="147"/>
      <c r="AB170" s="147"/>
      <c r="AC170" s="147"/>
      <c r="AF170" s="147"/>
      <c r="AG170" s="147"/>
      <c r="AH170" s="147"/>
    </row>
    <row r="171" spans="17:34" x14ac:dyDescent="0.3">
      <c r="Q171" s="147"/>
      <c r="R171" s="147"/>
      <c r="S171" s="147"/>
      <c r="V171" s="147"/>
      <c r="W171" s="147"/>
      <c r="X171" s="147"/>
      <c r="AA171" s="147"/>
      <c r="AB171" s="147"/>
      <c r="AC171" s="147"/>
      <c r="AF171" s="147"/>
      <c r="AG171" s="147"/>
      <c r="AH171" s="147"/>
    </row>
    <row r="172" spans="17:34" x14ac:dyDescent="0.3">
      <c r="Q172" s="147"/>
      <c r="R172" s="147"/>
      <c r="S172" s="147"/>
      <c r="V172" s="147"/>
      <c r="W172" s="147"/>
      <c r="X172" s="147"/>
      <c r="AA172" s="147"/>
      <c r="AB172" s="147"/>
      <c r="AC172" s="147"/>
      <c r="AF172" s="147"/>
      <c r="AG172" s="147"/>
      <c r="AH172" s="147"/>
    </row>
    <row r="173" spans="17:34" x14ac:dyDescent="0.3">
      <c r="Q173" s="147"/>
      <c r="R173" s="147"/>
      <c r="S173" s="147"/>
      <c r="V173" s="147"/>
      <c r="W173" s="147"/>
      <c r="X173" s="147"/>
      <c r="AA173" s="147"/>
      <c r="AB173" s="147"/>
      <c r="AC173" s="147"/>
      <c r="AF173" s="147"/>
      <c r="AG173" s="147"/>
      <c r="AH173" s="147"/>
    </row>
    <row r="174" spans="17:34" x14ac:dyDescent="0.3">
      <c r="Q174" s="147"/>
      <c r="R174" s="147"/>
      <c r="S174" s="147"/>
      <c r="V174" s="147"/>
      <c r="W174" s="147"/>
      <c r="X174" s="147"/>
      <c r="AA174" s="147"/>
      <c r="AB174" s="147"/>
      <c r="AC174" s="147"/>
      <c r="AF174" s="147"/>
      <c r="AG174" s="147"/>
      <c r="AH174" s="147"/>
    </row>
    <row r="175" spans="17:34" x14ac:dyDescent="0.3">
      <c r="Q175" s="147"/>
      <c r="R175" s="147"/>
      <c r="S175" s="147"/>
      <c r="V175" s="147"/>
      <c r="W175" s="147"/>
      <c r="X175" s="147"/>
      <c r="AA175" s="147"/>
      <c r="AB175" s="147"/>
      <c r="AC175" s="147"/>
      <c r="AF175" s="147"/>
      <c r="AG175" s="147"/>
      <c r="AH175" s="147"/>
    </row>
    <row r="176" spans="17:34" x14ac:dyDescent="0.3">
      <c r="Q176" s="147"/>
      <c r="R176" s="147"/>
      <c r="S176" s="147"/>
      <c r="V176" s="147"/>
      <c r="W176" s="147"/>
      <c r="X176" s="147"/>
      <c r="AA176" s="147"/>
      <c r="AB176" s="147"/>
      <c r="AC176" s="147"/>
      <c r="AF176" s="147"/>
      <c r="AG176" s="147"/>
      <c r="AH176" s="147"/>
    </row>
    <row r="177" spans="17:34" x14ac:dyDescent="0.3">
      <c r="Q177" s="147"/>
      <c r="R177" s="147"/>
      <c r="S177" s="147"/>
      <c r="V177" s="147"/>
      <c r="W177" s="147"/>
      <c r="X177" s="147"/>
      <c r="AA177" s="147"/>
      <c r="AB177" s="147"/>
      <c r="AC177" s="147"/>
      <c r="AF177" s="147"/>
      <c r="AG177" s="147"/>
      <c r="AH177" s="147"/>
    </row>
    <row r="178" spans="17:34" x14ac:dyDescent="0.3">
      <c r="Q178" s="147"/>
      <c r="R178" s="147"/>
      <c r="S178" s="147"/>
      <c r="V178" s="147"/>
      <c r="W178" s="147"/>
      <c r="X178" s="147"/>
      <c r="AA178" s="147"/>
      <c r="AB178" s="147"/>
      <c r="AC178" s="147"/>
      <c r="AF178" s="147"/>
      <c r="AG178" s="147"/>
      <c r="AH178" s="147"/>
    </row>
    <row r="179" spans="17:34" x14ac:dyDescent="0.3">
      <c r="Q179" s="147"/>
      <c r="R179" s="147"/>
      <c r="S179" s="147"/>
      <c r="V179" s="147"/>
      <c r="W179" s="147"/>
      <c r="X179" s="147"/>
      <c r="AA179" s="147"/>
      <c r="AB179" s="147"/>
      <c r="AC179" s="147"/>
      <c r="AF179" s="147"/>
      <c r="AG179" s="147"/>
      <c r="AH179" s="147"/>
    </row>
    <row r="180" spans="17:34" x14ac:dyDescent="0.3">
      <c r="Q180" s="147"/>
      <c r="R180" s="147"/>
      <c r="S180" s="147"/>
      <c r="V180" s="147"/>
      <c r="W180" s="147"/>
      <c r="X180" s="147"/>
      <c r="AA180" s="147"/>
      <c r="AB180" s="147"/>
      <c r="AC180" s="147"/>
      <c r="AF180" s="147"/>
      <c r="AG180" s="147"/>
      <c r="AH180" s="147"/>
    </row>
    <row r="181" spans="17:34" x14ac:dyDescent="0.3">
      <c r="Q181" s="147"/>
      <c r="R181" s="147"/>
      <c r="S181" s="147"/>
      <c r="V181" s="147"/>
      <c r="W181" s="147"/>
      <c r="X181" s="147"/>
      <c r="AA181" s="147"/>
      <c r="AB181" s="147"/>
      <c r="AC181" s="147"/>
      <c r="AF181" s="147"/>
      <c r="AG181" s="147"/>
      <c r="AH181" s="147"/>
    </row>
    <row r="182" spans="17:34" x14ac:dyDescent="0.3">
      <c r="Q182" s="147"/>
      <c r="R182" s="147"/>
      <c r="S182" s="147"/>
      <c r="V182" s="147"/>
      <c r="W182" s="147"/>
      <c r="X182" s="147"/>
      <c r="AA182" s="147"/>
      <c r="AB182" s="147"/>
      <c r="AC182" s="147"/>
      <c r="AF182" s="147"/>
      <c r="AG182" s="147"/>
      <c r="AH182" s="147"/>
    </row>
    <row r="183" spans="17:34" x14ac:dyDescent="0.3">
      <c r="Q183" s="147"/>
      <c r="R183" s="147"/>
      <c r="S183" s="147"/>
      <c r="V183" s="147"/>
      <c r="W183" s="147"/>
      <c r="X183" s="147"/>
      <c r="AA183" s="147"/>
      <c r="AB183" s="147"/>
      <c r="AC183" s="147"/>
      <c r="AF183" s="147"/>
      <c r="AG183" s="147"/>
      <c r="AH183" s="147"/>
    </row>
    <row r="184" spans="17:34" x14ac:dyDescent="0.3">
      <c r="Q184" s="147"/>
      <c r="R184" s="147"/>
      <c r="S184" s="147"/>
      <c r="V184" s="147"/>
      <c r="W184" s="147"/>
      <c r="X184" s="147"/>
      <c r="AA184" s="147"/>
      <c r="AB184" s="147"/>
      <c r="AC184" s="147"/>
      <c r="AF184" s="147"/>
      <c r="AG184" s="147"/>
      <c r="AH184" s="147"/>
    </row>
    <row r="185" spans="17:34" x14ac:dyDescent="0.3">
      <c r="Q185" s="147"/>
      <c r="R185" s="147"/>
      <c r="S185" s="147"/>
      <c r="V185" s="147"/>
      <c r="W185" s="147"/>
      <c r="X185" s="147"/>
      <c r="AA185" s="147"/>
      <c r="AB185" s="147"/>
      <c r="AC185" s="147"/>
      <c r="AF185" s="147"/>
      <c r="AG185" s="147"/>
      <c r="AH185" s="147"/>
    </row>
    <row r="186" spans="17:34" x14ac:dyDescent="0.3">
      <c r="Q186" s="147"/>
      <c r="R186" s="147"/>
      <c r="S186" s="147"/>
      <c r="V186" s="147"/>
      <c r="W186" s="147"/>
      <c r="X186" s="147"/>
      <c r="AA186" s="147"/>
      <c r="AB186" s="147"/>
      <c r="AC186" s="147"/>
      <c r="AF186" s="147"/>
      <c r="AG186" s="147"/>
      <c r="AH186" s="147"/>
    </row>
    <row r="187" spans="17:34" x14ac:dyDescent="0.3">
      <c r="Q187" s="147"/>
      <c r="R187" s="147"/>
      <c r="S187" s="147"/>
      <c r="V187" s="147"/>
      <c r="W187" s="147"/>
      <c r="X187" s="147"/>
      <c r="AA187" s="147"/>
      <c r="AB187" s="147"/>
      <c r="AC187" s="147"/>
      <c r="AF187" s="147"/>
      <c r="AG187" s="147"/>
      <c r="AH187" s="147"/>
    </row>
    <row r="188" spans="17:34" x14ac:dyDescent="0.3">
      <c r="Q188" s="147"/>
      <c r="R188" s="147"/>
      <c r="S188" s="147"/>
      <c r="V188" s="147"/>
      <c r="W188" s="147"/>
      <c r="X188" s="147"/>
      <c r="AA188" s="147"/>
      <c r="AB188" s="147"/>
      <c r="AC188" s="147"/>
      <c r="AF188" s="147"/>
      <c r="AG188" s="147"/>
      <c r="AH188" s="147"/>
    </row>
    <row r="189" spans="17:34" x14ac:dyDescent="0.3">
      <c r="Q189" s="147"/>
      <c r="R189" s="147"/>
      <c r="S189" s="147"/>
      <c r="V189" s="147"/>
      <c r="W189" s="147"/>
      <c r="X189" s="147"/>
      <c r="AA189" s="147"/>
      <c r="AB189" s="147"/>
      <c r="AC189" s="147"/>
      <c r="AF189" s="147"/>
      <c r="AG189" s="147"/>
      <c r="AH189" s="147"/>
    </row>
    <row r="190" spans="17:34" x14ac:dyDescent="0.3">
      <c r="Q190" s="147"/>
      <c r="R190" s="147"/>
      <c r="S190" s="147"/>
      <c r="V190" s="147"/>
      <c r="W190" s="147"/>
      <c r="X190" s="147"/>
      <c r="AA190" s="147"/>
      <c r="AB190" s="147"/>
      <c r="AC190" s="147"/>
      <c r="AF190" s="147"/>
      <c r="AG190" s="147"/>
      <c r="AH190" s="147"/>
    </row>
    <row r="191" spans="17:34" x14ac:dyDescent="0.3">
      <c r="Q191" s="147"/>
      <c r="R191" s="147"/>
      <c r="S191" s="147"/>
      <c r="V191" s="147"/>
      <c r="W191" s="147"/>
      <c r="X191" s="147"/>
      <c r="AA191" s="147"/>
      <c r="AB191" s="147"/>
      <c r="AC191" s="147"/>
      <c r="AF191" s="147"/>
      <c r="AG191" s="147"/>
      <c r="AH191" s="147"/>
    </row>
    <row r="192" spans="17:34" x14ac:dyDescent="0.3">
      <c r="Q192" s="147"/>
      <c r="R192" s="147"/>
      <c r="S192" s="147"/>
      <c r="V192" s="147"/>
      <c r="W192" s="147"/>
      <c r="X192" s="147"/>
      <c r="AA192" s="147"/>
      <c r="AB192" s="147"/>
      <c r="AC192" s="147"/>
      <c r="AF192" s="147"/>
      <c r="AG192" s="147"/>
      <c r="AH192" s="147"/>
    </row>
    <row r="193" spans="17:34" x14ac:dyDescent="0.3">
      <c r="Q193" s="147"/>
      <c r="R193" s="147"/>
      <c r="S193" s="147"/>
      <c r="V193" s="147"/>
      <c r="W193" s="147"/>
      <c r="X193" s="147"/>
      <c r="AA193" s="147"/>
      <c r="AB193" s="147"/>
      <c r="AC193" s="147"/>
      <c r="AF193" s="147"/>
      <c r="AG193" s="147"/>
      <c r="AH193" s="147"/>
    </row>
    <row r="194" spans="17:34" x14ac:dyDescent="0.3">
      <c r="Q194" s="147"/>
      <c r="R194" s="147"/>
      <c r="S194" s="147"/>
      <c r="V194" s="147"/>
      <c r="W194" s="147"/>
      <c r="X194" s="147"/>
      <c r="AA194" s="147"/>
      <c r="AB194" s="147"/>
      <c r="AC194" s="147"/>
      <c r="AF194" s="147"/>
      <c r="AG194" s="147"/>
      <c r="AH194" s="147"/>
    </row>
    <row r="195" spans="17:34" x14ac:dyDescent="0.3">
      <c r="Q195" s="147"/>
      <c r="R195" s="147"/>
      <c r="S195" s="147"/>
      <c r="V195" s="147"/>
      <c r="W195" s="147"/>
      <c r="X195" s="147"/>
      <c r="AA195" s="147"/>
      <c r="AB195" s="147"/>
      <c r="AC195" s="147"/>
      <c r="AF195" s="147"/>
      <c r="AG195" s="147"/>
      <c r="AH195" s="147"/>
    </row>
    <row r="196" spans="17:34" x14ac:dyDescent="0.3">
      <c r="Q196" s="147"/>
      <c r="R196" s="147"/>
      <c r="S196" s="147"/>
      <c r="V196" s="147"/>
      <c r="W196" s="147"/>
      <c r="X196" s="147"/>
      <c r="AA196" s="147"/>
      <c r="AB196" s="147"/>
      <c r="AC196" s="147"/>
      <c r="AF196" s="147"/>
      <c r="AG196" s="147"/>
      <c r="AH196" s="147"/>
    </row>
    <row r="197" spans="17:34" x14ac:dyDescent="0.3">
      <c r="Q197" s="147"/>
      <c r="R197" s="147"/>
      <c r="S197" s="147"/>
      <c r="V197" s="147"/>
      <c r="W197" s="147"/>
      <c r="X197" s="147"/>
      <c r="AA197" s="147"/>
      <c r="AB197" s="147"/>
      <c r="AC197" s="147"/>
      <c r="AF197" s="147"/>
      <c r="AG197" s="147"/>
      <c r="AH197" s="147"/>
    </row>
    <row r="198" spans="17:34" x14ac:dyDescent="0.3">
      <c r="Q198" s="147"/>
      <c r="R198" s="147"/>
      <c r="S198" s="147"/>
      <c r="V198" s="147"/>
      <c r="W198" s="147"/>
      <c r="X198" s="147"/>
      <c r="AA198" s="147"/>
      <c r="AB198" s="147"/>
      <c r="AC198" s="147"/>
      <c r="AF198" s="147"/>
      <c r="AG198" s="147"/>
      <c r="AH198" s="147"/>
    </row>
    <row r="199" spans="17:34" x14ac:dyDescent="0.3">
      <c r="Q199" s="147"/>
      <c r="R199" s="147"/>
      <c r="S199" s="147"/>
      <c r="V199" s="147"/>
      <c r="W199" s="147"/>
      <c r="X199" s="147"/>
      <c r="AA199" s="147"/>
      <c r="AB199" s="147"/>
      <c r="AC199" s="147"/>
      <c r="AF199" s="147"/>
      <c r="AG199" s="147"/>
      <c r="AH199" s="147"/>
    </row>
    <row r="200" spans="17:34" x14ac:dyDescent="0.3">
      <c r="Q200" s="147"/>
      <c r="R200" s="147"/>
      <c r="S200" s="147"/>
      <c r="V200" s="147"/>
      <c r="W200" s="147"/>
      <c r="X200" s="147"/>
      <c r="AA200" s="147"/>
      <c r="AB200" s="147"/>
      <c r="AC200" s="147"/>
      <c r="AF200" s="147"/>
      <c r="AG200" s="147"/>
      <c r="AH200" s="147"/>
    </row>
    <row r="201" spans="17:34" x14ac:dyDescent="0.3">
      <c r="Q201" s="147"/>
      <c r="R201" s="147"/>
      <c r="S201" s="147"/>
      <c r="V201" s="147"/>
      <c r="W201" s="147"/>
      <c r="X201" s="147"/>
      <c r="AA201" s="147"/>
      <c r="AB201" s="147"/>
      <c r="AC201" s="147"/>
      <c r="AF201" s="147"/>
      <c r="AG201" s="147"/>
      <c r="AH201" s="147"/>
    </row>
    <row r="202" spans="17:34" x14ac:dyDescent="0.3">
      <c r="Q202" s="147"/>
      <c r="R202" s="147"/>
      <c r="S202" s="147"/>
      <c r="V202" s="147"/>
      <c r="W202" s="147"/>
      <c r="X202" s="147"/>
      <c r="AA202" s="147"/>
      <c r="AB202" s="147"/>
      <c r="AC202" s="147"/>
      <c r="AF202" s="147"/>
      <c r="AG202" s="147"/>
      <c r="AH202" s="147"/>
    </row>
    <row r="203" spans="17:34" x14ac:dyDescent="0.3">
      <c r="Q203" s="147"/>
      <c r="R203" s="147"/>
      <c r="S203" s="147"/>
      <c r="V203" s="147"/>
      <c r="W203" s="147"/>
      <c r="X203" s="147"/>
      <c r="AA203" s="147"/>
      <c r="AB203" s="147"/>
      <c r="AC203" s="147"/>
      <c r="AF203" s="147"/>
      <c r="AG203" s="147"/>
      <c r="AH203" s="147"/>
    </row>
    <row r="204" spans="17:34" x14ac:dyDescent="0.3">
      <c r="Q204" s="147"/>
      <c r="R204" s="147"/>
      <c r="S204" s="147"/>
      <c r="V204" s="147"/>
      <c r="W204" s="147"/>
      <c r="X204" s="147"/>
      <c r="AA204" s="147"/>
      <c r="AB204" s="147"/>
      <c r="AC204" s="147"/>
      <c r="AF204" s="147"/>
      <c r="AG204" s="147"/>
      <c r="AH204" s="147"/>
    </row>
    <row r="205" spans="17:34" x14ac:dyDescent="0.3">
      <c r="Q205" s="147"/>
      <c r="R205" s="147"/>
      <c r="S205" s="147"/>
      <c r="V205" s="147"/>
      <c r="W205" s="147"/>
      <c r="X205" s="147"/>
      <c r="AA205" s="147"/>
      <c r="AB205" s="147"/>
      <c r="AC205" s="147"/>
      <c r="AF205" s="147"/>
      <c r="AG205" s="147"/>
      <c r="AH205" s="147"/>
    </row>
    <row r="206" spans="17:34" x14ac:dyDescent="0.3">
      <c r="Q206" s="147"/>
      <c r="R206" s="147"/>
      <c r="S206" s="147"/>
      <c r="V206" s="147"/>
      <c r="W206" s="147"/>
      <c r="X206" s="147"/>
      <c r="AA206" s="147"/>
      <c r="AB206" s="147"/>
      <c r="AC206" s="147"/>
      <c r="AF206" s="147"/>
      <c r="AG206" s="147"/>
      <c r="AH206" s="147"/>
    </row>
    <row r="207" spans="17:34" x14ac:dyDescent="0.3">
      <c r="Q207" s="147"/>
      <c r="R207" s="147"/>
      <c r="S207" s="147"/>
      <c r="V207" s="147"/>
      <c r="W207" s="147"/>
      <c r="X207" s="147"/>
      <c r="AA207" s="147"/>
      <c r="AB207" s="147"/>
      <c r="AC207" s="147"/>
      <c r="AF207" s="147"/>
      <c r="AG207" s="147"/>
      <c r="AH207" s="147"/>
    </row>
    <row r="208" spans="17:34" x14ac:dyDescent="0.3">
      <c r="Q208" s="147"/>
      <c r="R208" s="147"/>
      <c r="S208" s="147"/>
      <c r="V208" s="147"/>
      <c r="W208" s="147"/>
      <c r="X208" s="147"/>
      <c r="AA208" s="147"/>
      <c r="AB208" s="147"/>
      <c r="AC208" s="147"/>
      <c r="AF208" s="147"/>
      <c r="AG208" s="147"/>
      <c r="AH208" s="147"/>
    </row>
    <row r="209" spans="17:34" x14ac:dyDescent="0.3">
      <c r="Q209" s="147"/>
      <c r="R209" s="147"/>
      <c r="S209" s="147"/>
      <c r="V209" s="147"/>
      <c r="W209" s="147"/>
      <c r="X209" s="147"/>
      <c r="AA209" s="147"/>
      <c r="AB209" s="147"/>
      <c r="AC209" s="147"/>
      <c r="AF209" s="147"/>
      <c r="AG209" s="147"/>
      <c r="AH209" s="147"/>
    </row>
    <row r="210" spans="17:34" x14ac:dyDescent="0.3">
      <c r="Q210" s="147"/>
      <c r="R210" s="147"/>
      <c r="S210" s="147"/>
      <c r="V210" s="147"/>
      <c r="W210" s="147"/>
      <c r="X210" s="147"/>
      <c r="AA210" s="147"/>
      <c r="AB210" s="147"/>
      <c r="AC210" s="147"/>
      <c r="AF210" s="147"/>
      <c r="AG210" s="147"/>
      <c r="AH210" s="147"/>
    </row>
    <row r="211" spans="17:34" x14ac:dyDescent="0.3">
      <c r="Q211" s="147"/>
      <c r="R211" s="147"/>
      <c r="S211" s="147"/>
      <c r="V211" s="147"/>
      <c r="W211" s="147"/>
      <c r="X211" s="147"/>
      <c r="AA211" s="147"/>
      <c r="AB211" s="147"/>
      <c r="AC211" s="147"/>
      <c r="AF211" s="147"/>
      <c r="AG211" s="147"/>
      <c r="AH211" s="147"/>
    </row>
    <row r="212" spans="17:34" x14ac:dyDescent="0.3">
      <c r="Q212" s="147"/>
      <c r="R212" s="147"/>
      <c r="S212" s="147"/>
      <c r="V212" s="147"/>
      <c r="W212" s="147"/>
      <c r="X212" s="147"/>
      <c r="AA212" s="147"/>
      <c r="AB212" s="147"/>
      <c r="AC212" s="147"/>
      <c r="AF212" s="147"/>
      <c r="AG212" s="147"/>
      <c r="AH212" s="147"/>
    </row>
    <row r="213" spans="17:34" x14ac:dyDescent="0.3">
      <c r="Q213" s="147"/>
      <c r="R213" s="147"/>
      <c r="S213" s="147"/>
      <c r="V213" s="147"/>
      <c r="W213" s="147"/>
      <c r="X213" s="147"/>
      <c r="AA213" s="147"/>
      <c r="AB213" s="147"/>
      <c r="AC213" s="147"/>
      <c r="AF213" s="147"/>
      <c r="AG213" s="147"/>
      <c r="AH213" s="147"/>
    </row>
    <row r="214" spans="17:34" x14ac:dyDescent="0.3">
      <c r="Q214" s="147"/>
      <c r="R214" s="147"/>
      <c r="S214" s="147"/>
      <c r="V214" s="147"/>
      <c r="W214" s="147"/>
      <c r="X214" s="147"/>
      <c r="AA214" s="147"/>
      <c r="AB214" s="147"/>
      <c r="AC214" s="147"/>
      <c r="AF214" s="147"/>
      <c r="AG214" s="147"/>
      <c r="AH214" s="147"/>
    </row>
    <row r="215" spans="17:34" x14ac:dyDescent="0.3">
      <c r="Q215" s="147"/>
      <c r="R215" s="147"/>
      <c r="S215" s="147"/>
      <c r="V215" s="147"/>
      <c r="W215" s="147"/>
      <c r="X215" s="147"/>
      <c r="AA215" s="147"/>
      <c r="AB215" s="147"/>
      <c r="AC215" s="147"/>
      <c r="AF215" s="147"/>
      <c r="AG215" s="147"/>
      <c r="AH215" s="147"/>
    </row>
    <row r="216" spans="17:34" x14ac:dyDescent="0.3">
      <c r="Q216" s="147"/>
      <c r="R216" s="147"/>
      <c r="S216" s="147"/>
      <c r="V216" s="147"/>
      <c r="W216" s="147"/>
      <c r="X216" s="147"/>
      <c r="AA216" s="147"/>
      <c r="AB216" s="147"/>
      <c r="AC216" s="147"/>
      <c r="AF216" s="147"/>
      <c r="AG216" s="147"/>
      <c r="AH216" s="147"/>
    </row>
    <row r="217" spans="17:34" x14ac:dyDescent="0.3">
      <c r="Q217" s="147"/>
      <c r="R217" s="147"/>
      <c r="S217" s="147"/>
      <c r="V217" s="147"/>
      <c r="W217" s="147"/>
      <c r="X217" s="147"/>
      <c r="AA217" s="147"/>
      <c r="AB217" s="147"/>
      <c r="AC217" s="147"/>
      <c r="AF217" s="147"/>
      <c r="AG217" s="147"/>
      <c r="AH217" s="147"/>
    </row>
    <row r="218" spans="17:34" x14ac:dyDescent="0.3">
      <c r="Q218" s="147"/>
      <c r="R218" s="147"/>
      <c r="S218" s="147"/>
      <c r="V218" s="147"/>
      <c r="W218" s="147"/>
      <c r="X218" s="147"/>
      <c r="AA218" s="147"/>
      <c r="AB218" s="147"/>
      <c r="AC218" s="147"/>
      <c r="AF218" s="147"/>
      <c r="AG218" s="147"/>
      <c r="AH218" s="147"/>
    </row>
    <row r="219" spans="17:34" x14ac:dyDescent="0.3">
      <c r="Q219" s="147"/>
      <c r="R219" s="147"/>
      <c r="S219" s="147"/>
      <c r="V219" s="147"/>
      <c r="W219" s="147"/>
      <c r="X219" s="147"/>
      <c r="AA219" s="147"/>
      <c r="AB219" s="147"/>
      <c r="AC219" s="147"/>
      <c r="AF219" s="147"/>
      <c r="AG219" s="147"/>
      <c r="AH219" s="147"/>
    </row>
    <row r="220" spans="17:34" x14ac:dyDescent="0.3">
      <c r="Q220" s="147"/>
      <c r="R220" s="147"/>
      <c r="S220" s="147"/>
      <c r="V220" s="147"/>
      <c r="W220" s="147"/>
      <c r="X220" s="147"/>
      <c r="AA220" s="147"/>
      <c r="AB220" s="147"/>
      <c r="AC220" s="147"/>
      <c r="AF220" s="147"/>
      <c r="AG220" s="147"/>
      <c r="AH220" s="147"/>
    </row>
    <row r="221" spans="17:34" x14ac:dyDescent="0.3">
      <c r="Q221" s="147"/>
      <c r="R221" s="147"/>
      <c r="S221" s="147"/>
      <c r="V221" s="147"/>
      <c r="W221" s="147"/>
      <c r="X221" s="147"/>
      <c r="AA221" s="147"/>
      <c r="AB221" s="147"/>
      <c r="AC221" s="147"/>
      <c r="AF221" s="147"/>
      <c r="AG221" s="147"/>
      <c r="AH221" s="147"/>
    </row>
    <row r="222" spans="17:34" x14ac:dyDescent="0.3">
      <c r="Q222" s="147"/>
      <c r="R222" s="147"/>
      <c r="S222" s="147"/>
      <c r="V222" s="147"/>
      <c r="W222" s="147"/>
      <c r="X222" s="147"/>
      <c r="AA222" s="147"/>
      <c r="AB222" s="147"/>
      <c r="AC222" s="147"/>
      <c r="AF222" s="147"/>
      <c r="AG222" s="147"/>
      <c r="AH222" s="147"/>
    </row>
    <row r="223" spans="17:34" x14ac:dyDescent="0.3">
      <c r="Q223" s="147"/>
      <c r="R223" s="147"/>
      <c r="S223" s="147"/>
      <c r="V223" s="147"/>
      <c r="W223" s="147"/>
      <c r="X223" s="147"/>
      <c r="AA223" s="147"/>
      <c r="AB223" s="147"/>
      <c r="AC223" s="147"/>
      <c r="AF223" s="147"/>
      <c r="AG223" s="147"/>
      <c r="AH223" s="147"/>
    </row>
    <row r="224" spans="17:34" x14ac:dyDescent="0.3">
      <c r="Q224" s="147"/>
      <c r="R224" s="147"/>
      <c r="S224" s="147"/>
      <c r="V224" s="147"/>
      <c r="W224" s="147"/>
      <c r="X224" s="147"/>
      <c r="AA224" s="147"/>
      <c r="AB224" s="147"/>
      <c r="AC224" s="147"/>
      <c r="AF224" s="147"/>
      <c r="AG224" s="147"/>
      <c r="AH224" s="147"/>
    </row>
    <row r="225" spans="17:34" x14ac:dyDescent="0.3">
      <c r="Q225" s="147"/>
      <c r="R225" s="147"/>
      <c r="S225" s="147"/>
      <c r="V225" s="147"/>
      <c r="W225" s="147"/>
      <c r="X225" s="147"/>
      <c r="AA225" s="147"/>
      <c r="AB225" s="147"/>
      <c r="AC225" s="147"/>
      <c r="AF225" s="147"/>
      <c r="AG225" s="147"/>
      <c r="AH225" s="147"/>
    </row>
    <row r="226" spans="17:34" x14ac:dyDescent="0.3">
      <c r="Q226" s="147"/>
      <c r="R226" s="147"/>
      <c r="S226" s="147"/>
      <c r="V226" s="147"/>
      <c r="W226" s="147"/>
      <c r="X226" s="147"/>
      <c r="AA226" s="147"/>
      <c r="AB226" s="147"/>
      <c r="AC226" s="147"/>
      <c r="AF226" s="147"/>
      <c r="AG226" s="147"/>
      <c r="AH226" s="147"/>
    </row>
    <row r="227" spans="17:34" x14ac:dyDescent="0.3">
      <c r="Q227" s="147"/>
      <c r="R227" s="147"/>
      <c r="S227" s="147"/>
      <c r="V227" s="147"/>
      <c r="W227" s="147"/>
      <c r="X227" s="147"/>
      <c r="AA227" s="147"/>
      <c r="AB227" s="147"/>
      <c r="AC227" s="147"/>
      <c r="AF227" s="147"/>
      <c r="AG227" s="147"/>
      <c r="AH227" s="147"/>
    </row>
    <row r="228" spans="17:34" x14ac:dyDescent="0.3">
      <c r="Q228" s="147"/>
      <c r="R228" s="147"/>
      <c r="S228" s="147"/>
      <c r="V228" s="147"/>
      <c r="W228" s="147"/>
      <c r="X228" s="147"/>
      <c r="AA228" s="147"/>
      <c r="AB228" s="147"/>
      <c r="AC228" s="147"/>
      <c r="AF228" s="147"/>
      <c r="AG228" s="147"/>
      <c r="AH228" s="147"/>
    </row>
    <row r="229" spans="17:34" x14ac:dyDescent="0.3">
      <c r="Q229" s="147"/>
      <c r="R229" s="147"/>
      <c r="S229" s="147"/>
      <c r="V229" s="147"/>
      <c r="W229" s="147"/>
      <c r="X229" s="147"/>
      <c r="AA229" s="147"/>
      <c r="AB229" s="147"/>
      <c r="AC229" s="147"/>
      <c r="AF229" s="147"/>
      <c r="AG229" s="147"/>
      <c r="AH229" s="147"/>
    </row>
    <row r="230" spans="17:34" x14ac:dyDescent="0.3">
      <c r="Q230" s="147"/>
      <c r="R230" s="147"/>
      <c r="S230" s="147"/>
      <c r="V230" s="147"/>
      <c r="W230" s="147"/>
      <c r="X230" s="147"/>
      <c r="AA230" s="147"/>
      <c r="AB230" s="147"/>
      <c r="AC230" s="147"/>
      <c r="AF230" s="147"/>
      <c r="AG230" s="147"/>
      <c r="AH230" s="147"/>
    </row>
    <row r="231" spans="17:34" x14ac:dyDescent="0.3">
      <c r="Q231" s="147"/>
      <c r="R231" s="147"/>
      <c r="S231" s="147"/>
      <c r="V231" s="147"/>
      <c r="W231" s="147"/>
      <c r="X231" s="147"/>
      <c r="AA231" s="147"/>
      <c r="AB231" s="147"/>
      <c r="AC231" s="147"/>
      <c r="AF231" s="147"/>
      <c r="AG231" s="147"/>
      <c r="AH231" s="147"/>
    </row>
    <row r="232" spans="17:34" x14ac:dyDescent="0.3">
      <c r="Q232" s="147"/>
      <c r="R232" s="147"/>
      <c r="S232" s="147"/>
      <c r="V232" s="147"/>
      <c r="W232" s="147"/>
      <c r="X232" s="147"/>
      <c r="AA232" s="147"/>
      <c r="AB232" s="147"/>
      <c r="AC232" s="147"/>
      <c r="AF232" s="147"/>
      <c r="AG232" s="147"/>
      <c r="AH232" s="147"/>
    </row>
    <row r="233" spans="17:34" x14ac:dyDescent="0.3">
      <c r="Q233" s="147"/>
      <c r="R233" s="147"/>
      <c r="S233" s="147"/>
      <c r="V233" s="147"/>
      <c r="W233" s="147"/>
      <c r="X233" s="147"/>
      <c r="AA233" s="147"/>
      <c r="AB233" s="147"/>
      <c r="AC233" s="147"/>
      <c r="AF233" s="147"/>
      <c r="AG233" s="147"/>
      <c r="AH233" s="147"/>
    </row>
    <row r="234" spans="17:34" x14ac:dyDescent="0.3">
      <c r="Q234" s="147"/>
      <c r="R234" s="147"/>
      <c r="S234" s="147"/>
      <c r="V234" s="147"/>
      <c r="W234" s="147"/>
      <c r="X234" s="147"/>
      <c r="AA234" s="147"/>
      <c r="AB234" s="147"/>
      <c r="AC234" s="147"/>
      <c r="AF234" s="147"/>
      <c r="AG234" s="147"/>
      <c r="AH234" s="147"/>
    </row>
    <row r="235" spans="17:34" x14ac:dyDescent="0.3">
      <c r="Q235" s="147"/>
      <c r="R235" s="147"/>
      <c r="S235" s="147"/>
      <c r="V235" s="147"/>
      <c r="W235" s="147"/>
      <c r="X235" s="147"/>
      <c r="AA235" s="147"/>
      <c r="AB235" s="147"/>
      <c r="AC235" s="147"/>
      <c r="AF235" s="147"/>
      <c r="AG235" s="147"/>
      <c r="AH235" s="147"/>
    </row>
    <row r="236" spans="17:34" x14ac:dyDescent="0.3">
      <c r="Q236" s="147"/>
      <c r="R236" s="147"/>
      <c r="S236" s="147"/>
      <c r="V236" s="147"/>
      <c r="W236" s="147"/>
      <c r="X236" s="147"/>
      <c r="AA236" s="147"/>
      <c r="AB236" s="147"/>
      <c r="AC236" s="147"/>
      <c r="AF236" s="147"/>
      <c r="AG236" s="147"/>
      <c r="AH236" s="147"/>
    </row>
    <row r="237" spans="17:34" x14ac:dyDescent="0.3">
      <c r="Q237" s="147"/>
      <c r="R237" s="147"/>
      <c r="S237" s="147"/>
      <c r="V237" s="147"/>
      <c r="W237" s="147"/>
      <c r="X237" s="147"/>
      <c r="AA237" s="147"/>
      <c r="AB237" s="147"/>
      <c r="AC237" s="147"/>
      <c r="AF237" s="147"/>
      <c r="AG237" s="147"/>
      <c r="AH237" s="147"/>
    </row>
    <row r="238" spans="17:34" x14ac:dyDescent="0.3">
      <c r="Q238" s="147"/>
      <c r="R238" s="147"/>
      <c r="S238" s="147"/>
      <c r="V238" s="147"/>
      <c r="W238" s="147"/>
      <c r="X238" s="147"/>
      <c r="AA238" s="147"/>
      <c r="AB238" s="147"/>
      <c r="AC238" s="147"/>
      <c r="AF238" s="147"/>
      <c r="AG238" s="147"/>
      <c r="AH238" s="147"/>
    </row>
    <row r="239" spans="17:34" x14ac:dyDescent="0.3">
      <c r="Q239" s="147"/>
      <c r="R239" s="147"/>
      <c r="S239" s="147"/>
      <c r="V239" s="147"/>
      <c r="W239" s="147"/>
      <c r="X239" s="147"/>
      <c r="AA239" s="147"/>
      <c r="AB239" s="147"/>
      <c r="AC239" s="147"/>
      <c r="AF239" s="147"/>
      <c r="AG239" s="147"/>
      <c r="AH239" s="147"/>
    </row>
    <row r="240" spans="17:34" x14ac:dyDescent="0.3">
      <c r="Q240" s="147"/>
      <c r="R240" s="147"/>
      <c r="S240" s="147"/>
      <c r="V240" s="147"/>
      <c r="W240" s="147"/>
      <c r="X240" s="147"/>
      <c r="AA240" s="147"/>
      <c r="AB240" s="147"/>
      <c r="AC240" s="147"/>
      <c r="AF240" s="147"/>
      <c r="AG240" s="147"/>
      <c r="AH240" s="147"/>
    </row>
    <row r="241" spans="17:34" x14ac:dyDescent="0.3">
      <c r="Q241" s="147"/>
      <c r="R241" s="147"/>
      <c r="S241" s="147"/>
      <c r="V241" s="147"/>
      <c r="W241" s="147"/>
      <c r="X241" s="147"/>
      <c r="AA241" s="147"/>
      <c r="AB241" s="147"/>
      <c r="AC241" s="147"/>
      <c r="AF241" s="147"/>
      <c r="AG241" s="147"/>
      <c r="AH241" s="147"/>
    </row>
    <row r="242" spans="17:34" x14ac:dyDescent="0.3">
      <c r="Q242" s="147"/>
      <c r="R242" s="147"/>
      <c r="S242" s="147"/>
      <c r="V242" s="147"/>
      <c r="W242" s="147"/>
      <c r="X242" s="147"/>
      <c r="AA242" s="147"/>
      <c r="AB242" s="147"/>
      <c r="AC242" s="147"/>
      <c r="AF242" s="147"/>
      <c r="AG242" s="147"/>
      <c r="AH242" s="147"/>
    </row>
    <row r="243" spans="17:34" x14ac:dyDescent="0.3">
      <c r="Q243" s="147"/>
      <c r="R243" s="147"/>
      <c r="S243" s="147"/>
      <c r="V243" s="147"/>
      <c r="W243" s="147"/>
      <c r="X243" s="147"/>
      <c r="AA243" s="147"/>
      <c r="AB243" s="147"/>
      <c r="AC243" s="147"/>
      <c r="AF243" s="147"/>
      <c r="AG243" s="147"/>
      <c r="AH243" s="147"/>
    </row>
    <row r="244" spans="17:34" x14ac:dyDescent="0.3">
      <c r="Q244" s="147"/>
      <c r="R244" s="147"/>
      <c r="S244" s="147"/>
      <c r="V244" s="147"/>
      <c r="W244" s="147"/>
      <c r="X244" s="147"/>
      <c r="AA244" s="147"/>
      <c r="AB244" s="147"/>
      <c r="AC244" s="147"/>
      <c r="AF244" s="147"/>
      <c r="AG244" s="147"/>
      <c r="AH244" s="147"/>
    </row>
    <row r="245" spans="17:34" x14ac:dyDescent="0.3">
      <c r="Q245" s="147"/>
      <c r="R245" s="147"/>
      <c r="S245" s="147"/>
      <c r="V245" s="147"/>
      <c r="W245" s="147"/>
      <c r="X245" s="147"/>
      <c r="AA245" s="147"/>
      <c r="AB245" s="147"/>
      <c r="AC245" s="147"/>
      <c r="AF245" s="147"/>
      <c r="AG245" s="147"/>
      <c r="AH245" s="147"/>
    </row>
    <row r="246" spans="17:34" x14ac:dyDescent="0.3">
      <c r="Q246" s="147"/>
      <c r="R246" s="147"/>
      <c r="S246" s="147"/>
      <c r="V246" s="147"/>
      <c r="W246" s="147"/>
      <c r="X246" s="147"/>
      <c r="AA246" s="147"/>
      <c r="AB246" s="147"/>
      <c r="AC246" s="147"/>
      <c r="AF246" s="147"/>
      <c r="AG246" s="147"/>
      <c r="AH246" s="147"/>
    </row>
    <row r="247" spans="17:34" x14ac:dyDescent="0.3">
      <c r="Q247" s="147"/>
      <c r="R247" s="147"/>
      <c r="S247" s="147"/>
      <c r="V247" s="147"/>
      <c r="W247" s="147"/>
      <c r="X247" s="147"/>
      <c r="AA247" s="147"/>
      <c r="AB247" s="147"/>
      <c r="AC247" s="147"/>
      <c r="AF247" s="147"/>
      <c r="AG247" s="147"/>
      <c r="AH247" s="147"/>
    </row>
    <row r="248" spans="17:34" x14ac:dyDescent="0.3">
      <c r="Q248" s="147"/>
      <c r="R248" s="147"/>
      <c r="S248" s="147"/>
      <c r="V248" s="147"/>
      <c r="W248" s="147"/>
      <c r="X248" s="147"/>
      <c r="AA248" s="147"/>
      <c r="AB248" s="147"/>
      <c r="AC248" s="147"/>
      <c r="AF248" s="147"/>
      <c r="AG248" s="147"/>
      <c r="AH248" s="147"/>
    </row>
    <row r="249" spans="17:34" x14ac:dyDescent="0.3">
      <c r="Q249" s="147"/>
      <c r="R249" s="147"/>
      <c r="S249" s="147"/>
      <c r="V249" s="147"/>
      <c r="W249" s="147"/>
      <c r="X249" s="147"/>
      <c r="AA249" s="147"/>
      <c r="AB249" s="147"/>
      <c r="AC249" s="147"/>
      <c r="AF249" s="147"/>
      <c r="AG249" s="147"/>
      <c r="AH249" s="147"/>
    </row>
    <row r="250" spans="17:34" x14ac:dyDescent="0.3">
      <c r="Q250" s="147"/>
      <c r="R250" s="147"/>
      <c r="S250" s="147"/>
      <c r="V250" s="147"/>
      <c r="W250" s="147"/>
      <c r="X250" s="147"/>
      <c r="AA250" s="147"/>
      <c r="AB250" s="147"/>
      <c r="AC250" s="147"/>
      <c r="AF250" s="147"/>
      <c r="AG250" s="147"/>
      <c r="AH250" s="147"/>
    </row>
    <row r="251" spans="17:34" x14ac:dyDescent="0.3">
      <c r="Q251" s="147"/>
      <c r="R251" s="147"/>
      <c r="S251" s="147"/>
      <c r="V251" s="147"/>
      <c r="W251" s="147"/>
      <c r="X251" s="147"/>
      <c r="AA251" s="147"/>
      <c r="AB251" s="147"/>
      <c r="AC251" s="147"/>
      <c r="AF251" s="147"/>
      <c r="AG251" s="147"/>
      <c r="AH251" s="147"/>
    </row>
    <row r="252" spans="17:34" x14ac:dyDescent="0.3">
      <c r="Q252" s="147"/>
      <c r="R252" s="147"/>
      <c r="S252" s="147"/>
      <c r="V252" s="147"/>
      <c r="W252" s="147"/>
      <c r="X252" s="147"/>
      <c r="AA252" s="147"/>
      <c r="AB252" s="147"/>
      <c r="AC252" s="147"/>
      <c r="AF252" s="147"/>
      <c r="AG252" s="147"/>
      <c r="AH252" s="147"/>
    </row>
    <row r="253" spans="17:34" x14ac:dyDescent="0.3">
      <c r="Q253" s="147"/>
      <c r="R253" s="147"/>
      <c r="S253" s="147"/>
      <c r="V253" s="147"/>
      <c r="W253" s="147"/>
      <c r="X253" s="147"/>
      <c r="AA253" s="147"/>
      <c r="AB253" s="147"/>
      <c r="AC253" s="147"/>
      <c r="AF253" s="147"/>
      <c r="AG253" s="147"/>
      <c r="AH253" s="147"/>
    </row>
    <row r="254" spans="17:34" x14ac:dyDescent="0.3">
      <c r="Q254" s="147"/>
      <c r="R254" s="147"/>
      <c r="S254" s="147"/>
      <c r="V254" s="147"/>
      <c r="W254" s="147"/>
      <c r="X254" s="147"/>
      <c r="AA254" s="147"/>
      <c r="AB254" s="147"/>
      <c r="AC254" s="147"/>
      <c r="AF254" s="147"/>
      <c r="AG254" s="147"/>
      <c r="AH254" s="147"/>
    </row>
    <row r="255" spans="17:34" x14ac:dyDescent="0.3">
      <c r="Q255" s="147"/>
      <c r="R255" s="147"/>
      <c r="S255" s="147"/>
      <c r="V255" s="147"/>
      <c r="W255" s="147"/>
      <c r="X255" s="147"/>
      <c r="AA255" s="147"/>
      <c r="AB255" s="147"/>
      <c r="AC255" s="147"/>
      <c r="AF255" s="147"/>
      <c r="AG255" s="147"/>
      <c r="AH255" s="147"/>
    </row>
    <row r="256" spans="17:34" x14ac:dyDescent="0.3">
      <c r="Q256" s="147"/>
      <c r="R256" s="147"/>
      <c r="S256" s="147"/>
      <c r="V256" s="147"/>
      <c r="W256" s="147"/>
      <c r="X256" s="147"/>
      <c r="AA256" s="147"/>
      <c r="AB256" s="147"/>
      <c r="AC256" s="147"/>
      <c r="AF256" s="147"/>
      <c r="AG256" s="147"/>
      <c r="AH256" s="147"/>
    </row>
    <row r="257" spans="17:34" x14ac:dyDescent="0.3">
      <c r="Q257" s="147"/>
      <c r="R257" s="147"/>
      <c r="S257" s="147"/>
      <c r="V257" s="147"/>
      <c r="W257" s="147"/>
      <c r="X257" s="147"/>
      <c r="AA257" s="147"/>
      <c r="AB257" s="147"/>
      <c r="AC257" s="147"/>
      <c r="AF257" s="147"/>
      <c r="AG257" s="147"/>
      <c r="AH257" s="147"/>
    </row>
    <row r="258" spans="17:34" x14ac:dyDescent="0.3">
      <c r="Q258" s="147"/>
      <c r="R258" s="147"/>
      <c r="S258" s="147"/>
      <c r="V258" s="147"/>
      <c r="W258" s="147"/>
      <c r="X258" s="147"/>
      <c r="AA258" s="147"/>
      <c r="AB258" s="147"/>
      <c r="AC258" s="147"/>
      <c r="AF258" s="147"/>
      <c r="AG258" s="147"/>
      <c r="AH258" s="147"/>
    </row>
    <row r="259" spans="17:34" x14ac:dyDescent="0.3">
      <c r="Q259" s="147"/>
      <c r="R259" s="147"/>
      <c r="S259" s="147"/>
      <c r="V259" s="147"/>
      <c r="W259" s="147"/>
      <c r="X259" s="147"/>
      <c r="AA259" s="147"/>
      <c r="AB259" s="147"/>
      <c r="AC259" s="147"/>
      <c r="AF259" s="147"/>
      <c r="AG259" s="147"/>
      <c r="AH259" s="147"/>
    </row>
    <row r="260" spans="17:34" x14ac:dyDescent="0.3">
      <c r="Q260" s="147"/>
      <c r="R260" s="147"/>
      <c r="S260" s="147"/>
      <c r="V260" s="147"/>
      <c r="W260" s="147"/>
      <c r="X260" s="147"/>
      <c r="AA260" s="147"/>
      <c r="AB260" s="147"/>
      <c r="AC260" s="147"/>
      <c r="AF260" s="147"/>
      <c r="AG260" s="147"/>
      <c r="AH260" s="147"/>
    </row>
    <row r="261" spans="17:34" x14ac:dyDescent="0.3">
      <c r="Q261" s="147"/>
      <c r="R261" s="147"/>
      <c r="S261" s="147"/>
      <c r="V261" s="147"/>
      <c r="W261" s="147"/>
      <c r="X261" s="147"/>
      <c r="AA261" s="147"/>
      <c r="AB261" s="147"/>
      <c r="AC261" s="147"/>
      <c r="AF261" s="147"/>
      <c r="AG261" s="147"/>
      <c r="AH261" s="147"/>
    </row>
    <row r="262" spans="17:34" x14ac:dyDescent="0.3">
      <c r="Q262" s="147"/>
      <c r="R262" s="147"/>
      <c r="S262" s="147"/>
      <c r="V262" s="147"/>
      <c r="W262" s="147"/>
      <c r="X262" s="147"/>
      <c r="AA262" s="147"/>
      <c r="AB262" s="147"/>
      <c r="AC262" s="147"/>
      <c r="AF262" s="147"/>
      <c r="AG262" s="147"/>
      <c r="AH262" s="147"/>
    </row>
    <row r="263" spans="17:34" x14ac:dyDescent="0.3">
      <c r="Q263" s="147"/>
      <c r="R263" s="147"/>
      <c r="S263" s="147"/>
      <c r="V263" s="147"/>
      <c r="W263" s="147"/>
      <c r="X263" s="147"/>
      <c r="AA263" s="147"/>
      <c r="AB263" s="147"/>
      <c r="AC263" s="147"/>
      <c r="AF263" s="147"/>
      <c r="AG263" s="147"/>
      <c r="AH263" s="147"/>
    </row>
    <row r="264" spans="17:34" x14ac:dyDescent="0.3">
      <c r="Q264" s="147"/>
      <c r="R264" s="147"/>
      <c r="S264" s="147"/>
      <c r="V264" s="147"/>
      <c r="W264" s="147"/>
      <c r="X264" s="147"/>
      <c r="AA264" s="147"/>
      <c r="AB264" s="147"/>
      <c r="AC264" s="147"/>
      <c r="AF264" s="147"/>
      <c r="AG264" s="147"/>
      <c r="AH264" s="147"/>
    </row>
    <row r="265" spans="17:34" x14ac:dyDescent="0.3">
      <c r="Q265" s="147"/>
      <c r="R265" s="147"/>
      <c r="S265" s="147"/>
      <c r="V265" s="147"/>
      <c r="W265" s="147"/>
      <c r="X265" s="147"/>
      <c r="AA265" s="147"/>
      <c r="AB265" s="147"/>
      <c r="AC265" s="147"/>
      <c r="AF265" s="147"/>
      <c r="AG265" s="147"/>
      <c r="AH265" s="147"/>
    </row>
    <row r="266" spans="17:34" x14ac:dyDescent="0.3">
      <c r="Q266" s="147"/>
      <c r="R266" s="147"/>
      <c r="S266" s="147"/>
      <c r="V266" s="147"/>
      <c r="W266" s="147"/>
      <c r="X266" s="147"/>
      <c r="AA266" s="147"/>
      <c r="AB266" s="147"/>
      <c r="AC266" s="147"/>
      <c r="AF266" s="147"/>
      <c r="AG266" s="147"/>
      <c r="AH266" s="147"/>
    </row>
    <row r="267" spans="17:34" x14ac:dyDescent="0.3">
      <c r="Q267" s="147"/>
      <c r="R267" s="147"/>
      <c r="S267" s="147"/>
      <c r="V267" s="147"/>
      <c r="W267" s="147"/>
      <c r="X267" s="147"/>
      <c r="AA267" s="147"/>
      <c r="AB267" s="147"/>
      <c r="AC267" s="147"/>
      <c r="AF267" s="147"/>
      <c r="AG267" s="147"/>
      <c r="AH267" s="147"/>
    </row>
    <row r="268" spans="17:34" x14ac:dyDescent="0.3">
      <c r="Q268" s="147"/>
      <c r="R268" s="147"/>
      <c r="S268" s="147"/>
      <c r="V268" s="147"/>
      <c r="W268" s="147"/>
      <c r="X268" s="147"/>
      <c r="AA268" s="147"/>
      <c r="AB268" s="147"/>
      <c r="AC268" s="147"/>
      <c r="AF268" s="147"/>
      <c r="AG268" s="147"/>
      <c r="AH268" s="147"/>
    </row>
    <row r="269" spans="17:34" x14ac:dyDescent="0.3">
      <c r="Q269" s="147"/>
      <c r="R269" s="147"/>
      <c r="S269" s="147"/>
      <c r="V269" s="147"/>
      <c r="W269" s="147"/>
      <c r="X269" s="147"/>
      <c r="AA269" s="147"/>
      <c r="AB269" s="147"/>
      <c r="AC269" s="147"/>
      <c r="AF269" s="147"/>
      <c r="AG269" s="147"/>
      <c r="AH269" s="147"/>
    </row>
    <row r="270" spans="17:34" x14ac:dyDescent="0.3">
      <c r="Q270" s="147"/>
      <c r="R270" s="147"/>
      <c r="S270" s="147"/>
      <c r="V270" s="147"/>
      <c r="W270" s="147"/>
      <c r="X270" s="147"/>
      <c r="AA270" s="147"/>
      <c r="AB270" s="147"/>
      <c r="AC270" s="147"/>
      <c r="AF270" s="147"/>
      <c r="AG270" s="147"/>
      <c r="AH270" s="147"/>
    </row>
    <row r="271" spans="17:34" x14ac:dyDescent="0.3">
      <c r="Q271" s="147"/>
      <c r="R271" s="147"/>
      <c r="S271" s="147"/>
      <c r="V271" s="147"/>
      <c r="W271" s="147"/>
      <c r="X271" s="147"/>
      <c r="AA271" s="147"/>
      <c r="AB271" s="147"/>
      <c r="AC271" s="147"/>
      <c r="AF271" s="147"/>
      <c r="AG271" s="147"/>
      <c r="AH271" s="147"/>
    </row>
    <row r="272" spans="17:34" x14ac:dyDescent="0.3">
      <c r="Q272" s="147"/>
      <c r="R272" s="147"/>
      <c r="S272" s="147"/>
      <c r="V272" s="147"/>
      <c r="W272" s="147"/>
      <c r="X272" s="147"/>
      <c r="AA272" s="147"/>
      <c r="AB272" s="147"/>
      <c r="AC272" s="147"/>
      <c r="AF272" s="147"/>
      <c r="AG272" s="147"/>
      <c r="AH272" s="147"/>
    </row>
    <row r="273" spans="17:34" x14ac:dyDescent="0.3">
      <c r="Q273" s="147"/>
      <c r="R273" s="147"/>
      <c r="S273" s="147"/>
      <c r="V273" s="147"/>
      <c r="W273" s="147"/>
      <c r="X273" s="147"/>
      <c r="AA273" s="147"/>
      <c r="AB273" s="147"/>
      <c r="AC273" s="147"/>
      <c r="AF273" s="147"/>
      <c r="AG273" s="147"/>
      <c r="AH273" s="147"/>
    </row>
    <row r="274" spans="17:34" x14ac:dyDescent="0.3">
      <c r="Q274" s="147"/>
      <c r="R274" s="147"/>
      <c r="S274" s="147"/>
      <c r="V274" s="147"/>
      <c r="W274" s="147"/>
      <c r="X274" s="147"/>
      <c r="AA274" s="147"/>
      <c r="AB274" s="147"/>
      <c r="AC274" s="147"/>
      <c r="AF274" s="147"/>
      <c r="AG274" s="147"/>
      <c r="AH274" s="147"/>
    </row>
    <row r="275" spans="17:34" x14ac:dyDescent="0.3">
      <c r="Q275" s="147"/>
      <c r="R275" s="147"/>
      <c r="S275" s="147"/>
      <c r="V275" s="147"/>
      <c r="W275" s="147"/>
      <c r="X275" s="147"/>
      <c r="AA275" s="147"/>
      <c r="AB275" s="147"/>
      <c r="AC275" s="147"/>
      <c r="AF275" s="147"/>
      <c r="AG275" s="147"/>
      <c r="AH275" s="147"/>
    </row>
    <row r="276" spans="17:34" x14ac:dyDescent="0.3">
      <c r="Q276" s="147"/>
      <c r="R276" s="147"/>
      <c r="S276" s="147"/>
      <c r="V276" s="147"/>
      <c r="W276" s="147"/>
      <c r="X276" s="147"/>
      <c r="AA276" s="147"/>
      <c r="AB276" s="147"/>
      <c r="AC276" s="147"/>
      <c r="AF276" s="147"/>
      <c r="AG276" s="147"/>
      <c r="AH276" s="147"/>
    </row>
    <row r="277" spans="17:34" x14ac:dyDescent="0.3">
      <c r="Q277" s="147"/>
      <c r="R277" s="147"/>
      <c r="S277" s="147"/>
      <c r="V277" s="147"/>
      <c r="W277" s="147"/>
      <c r="X277" s="147"/>
      <c r="AA277" s="147"/>
      <c r="AB277" s="147"/>
      <c r="AC277" s="147"/>
      <c r="AF277" s="147"/>
      <c r="AG277" s="147"/>
      <c r="AH277" s="147"/>
    </row>
    <row r="278" spans="17:34" x14ac:dyDescent="0.3">
      <c r="Q278" s="147"/>
      <c r="R278" s="147"/>
      <c r="S278" s="147"/>
      <c r="V278" s="147"/>
      <c r="W278" s="147"/>
      <c r="X278" s="147"/>
      <c r="AA278" s="147"/>
      <c r="AB278" s="147"/>
      <c r="AC278" s="147"/>
      <c r="AF278" s="147"/>
      <c r="AG278" s="147"/>
      <c r="AH278" s="147"/>
    </row>
    <row r="279" spans="17:34" x14ac:dyDescent="0.3">
      <c r="Q279" s="147"/>
      <c r="R279" s="147"/>
      <c r="S279" s="147"/>
      <c r="V279" s="147"/>
      <c r="W279" s="147"/>
      <c r="X279" s="147"/>
      <c r="AA279" s="147"/>
      <c r="AB279" s="147"/>
      <c r="AC279" s="147"/>
      <c r="AF279" s="147"/>
      <c r="AG279" s="147"/>
      <c r="AH279" s="147"/>
    </row>
    <row r="280" spans="17:34" x14ac:dyDescent="0.3">
      <c r="Q280" s="147"/>
      <c r="R280" s="147"/>
      <c r="S280" s="147"/>
      <c r="V280" s="147"/>
      <c r="W280" s="147"/>
      <c r="X280" s="147"/>
      <c r="AA280" s="147"/>
      <c r="AB280" s="147"/>
      <c r="AC280" s="147"/>
      <c r="AF280" s="147"/>
      <c r="AG280" s="147"/>
      <c r="AH280" s="147"/>
    </row>
    <row r="281" spans="17:34" x14ac:dyDescent="0.3">
      <c r="Q281" s="147"/>
      <c r="R281" s="147"/>
      <c r="S281" s="147"/>
      <c r="V281" s="147"/>
      <c r="W281" s="147"/>
      <c r="X281" s="147"/>
      <c r="AA281" s="147"/>
      <c r="AB281" s="147"/>
      <c r="AC281" s="147"/>
      <c r="AF281" s="147"/>
      <c r="AG281" s="147"/>
      <c r="AH281" s="147"/>
    </row>
    <row r="282" spans="17:34" x14ac:dyDescent="0.3">
      <c r="Q282" s="147"/>
      <c r="R282" s="147"/>
      <c r="S282" s="147"/>
      <c r="V282" s="147"/>
      <c r="W282" s="147"/>
      <c r="X282" s="147"/>
      <c r="AA282" s="147"/>
      <c r="AB282" s="147"/>
      <c r="AC282" s="147"/>
      <c r="AF282" s="147"/>
      <c r="AG282" s="147"/>
      <c r="AH282" s="147"/>
    </row>
    <row r="283" spans="17:34" x14ac:dyDescent="0.3">
      <c r="Q283" s="147"/>
      <c r="R283" s="147"/>
      <c r="S283" s="147"/>
      <c r="V283" s="147"/>
      <c r="W283" s="147"/>
      <c r="X283" s="147"/>
      <c r="AA283" s="147"/>
      <c r="AB283" s="147"/>
      <c r="AC283" s="147"/>
      <c r="AF283" s="147"/>
      <c r="AG283" s="147"/>
      <c r="AH283" s="147"/>
    </row>
    <row r="284" spans="17:34" x14ac:dyDescent="0.3">
      <c r="Q284" s="147"/>
      <c r="R284" s="147"/>
      <c r="S284" s="147"/>
      <c r="V284" s="147"/>
      <c r="W284" s="147"/>
      <c r="X284" s="147"/>
      <c r="AA284" s="147"/>
      <c r="AB284" s="147"/>
      <c r="AC284" s="147"/>
      <c r="AF284" s="147"/>
      <c r="AG284" s="147"/>
      <c r="AH284" s="147"/>
    </row>
    <row r="285" spans="17:34" x14ac:dyDescent="0.3">
      <c r="Q285" s="147"/>
      <c r="R285" s="147"/>
      <c r="S285" s="147"/>
      <c r="V285" s="147"/>
      <c r="W285" s="147"/>
      <c r="X285" s="147"/>
      <c r="AA285" s="147"/>
      <c r="AB285" s="147"/>
      <c r="AC285" s="147"/>
      <c r="AF285" s="147"/>
      <c r="AG285" s="147"/>
      <c r="AH285" s="147"/>
    </row>
    <row r="286" spans="17:34" x14ac:dyDescent="0.3">
      <c r="Q286" s="147"/>
      <c r="R286" s="147"/>
      <c r="S286" s="147"/>
      <c r="V286" s="147"/>
      <c r="W286" s="147"/>
      <c r="X286" s="147"/>
      <c r="AA286" s="147"/>
      <c r="AB286" s="147"/>
      <c r="AC286" s="147"/>
      <c r="AF286" s="147"/>
      <c r="AG286" s="147"/>
      <c r="AH286" s="147"/>
    </row>
    <row r="287" spans="17:34" x14ac:dyDescent="0.3">
      <c r="Q287" s="147"/>
      <c r="R287" s="147"/>
      <c r="S287" s="147"/>
      <c r="V287" s="147"/>
      <c r="W287" s="147"/>
      <c r="X287" s="147"/>
      <c r="AA287" s="147"/>
      <c r="AB287" s="147"/>
      <c r="AC287" s="147"/>
      <c r="AF287" s="147"/>
      <c r="AG287" s="147"/>
      <c r="AH287" s="147"/>
    </row>
    <row r="288" spans="17:34" x14ac:dyDescent="0.3">
      <c r="Q288" s="147"/>
      <c r="R288" s="147"/>
      <c r="S288" s="147"/>
      <c r="V288" s="147"/>
      <c r="W288" s="147"/>
      <c r="X288" s="147"/>
      <c r="AA288" s="147"/>
      <c r="AB288" s="147"/>
      <c r="AC288" s="147"/>
      <c r="AF288" s="147"/>
      <c r="AG288" s="147"/>
      <c r="AH288" s="147"/>
    </row>
    <row r="289" spans="17:34" x14ac:dyDescent="0.3">
      <c r="Q289" s="147"/>
      <c r="R289" s="147"/>
      <c r="S289" s="147"/>
      <c r="V289" s="147"/>
      <c r="W289" s="147"/>
      <c r="X289" s="147"/>
      <c r="AA289" s="147"/>
      <c r="AB289" s="147"/>
      <c r="AC289" s="147"/>
      <c r="AF289" s="147"/>
      <c r="AG289" s="147"/>
      <c r="AH289" s="147"/>
    </row>
    <row r="290" spans="17:34" x14ac:dyDescent="0.3">
      <c r="Q290" s="147"/>
      <c r="R290" s="147"/>
      <c r="S290" s="147"/>
      <c r="V290" s="147"/>
      <c r="W290" s="147"/>
      <c r="X290" s="147"/>
      <c r="AA290" s="147"/>
      <c r="AB290" s="147"/>
      <c r="AC290" s="147"/>
      <c r="AF290" s="147"/>
      <c r="AG290" s="147"/>
      <c r="AH290" s="147"/>
    </row>
    <row r="291" spans="17:34" x14ac:dyDescent="0.3">
      <c r="Q291" s="147"/>
      <c r="R291" s="147"/>
      <c r="S291" s="147"/>
      <c r="V291" s="147"/>
      <c r="W291" s="147"/>
      <c r="X291" s="147"/>
      <c r="AA291" s="147"/>
      <c r="AB291" s="147"/>
      <c r="AC291" s="147"/>
      <c r="AF291" s="147"/>
      <c r="AG291" s="147"/>
      <c r="AH291" s="147"/>
    </row>
    <row r="292" spans="17:34" x14ac:dyDescent="0.3">
      <c r="Q292" s="147"/>
      <c r="R292" s="147"/>
      <c r="S292" s="147"/>
      <c r="V292" s="147"/>
      <c r="W292" s="147"/>
      <c r="X292" s="147"/>
      <c r="AA292" s="147"/>
      <c r="AB292" s="147"/>
      <c r="AC292" s="147"/>
      <c r="AF292" s="147"/>
      <c r="AG292" s="147"/>
      <c r="AH292" s="147"/>
    </row>
    <row r="293" spans="17:34" x14ac:dyDescent="0.3">
      <c r="Q293" s="147"/>
      <c r="R293" s="147"/>
      <c r="S293" s="147"/>
      <c r="V293" s="147"/>
      <c r="W293" s="147"/>
      <c r="X293" s="147"/>
      <c r="AA293" s="147"/>
      <c r="AB293" s="147"/>
      <c r="AC293" s="147"/>
      <c r="AF293" s="147"/>
      <c r="AG293" s="147"/>
      <c r="AH293" s="147"/>
    </row>
    <row r="294" spans="17:34" x14ac:dyDescent="0.3">
      <c r="Q294" s="147"/>
      <c r="R294" s="147"/>
      <c r="S294" s="147"/>
      <c r="V294" s="147"/>
      <c r="W294" s="147"/>
      <c r="X294" s="147"/>
      <c r="AA294" s="147"/>
      <c r="AB294" s="147"/>
      <c r="AC294" s="147"/>
      <c r="AF294" s="147"/>
      <c r="AG294" s="147"/>
      <c r="AH294" s="147"/>
    </row>
    <row r="295" spans="17:34" x14ac:dyDescent="0.3">
      <c r="Q295" s="147"/>
      <c r="R295" s="147"/>
      <c r="S295" s="147"/>
      <c r="V295" s="147"/>
      <c r="W295" s="147"/>
      <c r="X295" s="147"/>
      <c r="AA295" s="147"/>
      <c r="AB295" s="147"/>
      <c r="AC295" s="147"/>
      <c r="AF295" s="147"/>
      <c r="AG295" s="147"/>
      <c r="AH295" s="147"/>
    </row>
    <row r="296" spans="17:34" x14ac:dyDescent="0.3">
      <c r="Q296" s="147"/>
      <c r="R296" s="147"/>
      <c r="S296" s="147"/>
      <c r="V296" s="147"/>
      <c r="W296" s="147"/>
      <c r="X296" s="147"/>
      <c r="AA296" s="147"/>
      <c r="AB296" s="147"/>
      <c r="AC296" s="147"/>
      <c r="AF296" s="147"/>
      <c r="AG296" s="147"/>
      <c r="AH296" s="147"/>
    </row>
    <row r="297" spans="17:34" x14ac:dyDescent="0.3">
      <c r="Q297" s="147"/>
      <c r="R297" s="147"/>
      <c r="S297" s="147"/>
      <c r="V297" s="147"/>
      <c r="W297" s="147"/>
      <c r="X297" s="147"/>
      <c r="AA297" s="147"/>
      <c r="AB297" s="147"/>
      <c r="AC297" s="147"/>
      <c r="AF297" s="147"/>
      <c r="AG297" s="147"/>
      <c r="AH297" s="147"/>
    </row>
    <row r="298" spans="17:34" x14ac:dyDescent="0.3">
      <c r="Q298" s="147"/>
      <c r="R298" s="147"/>
      <c r="S298" s="147"/>
      <c r="V298" s="147"/>
      <c r="W298" s="147"/>
      <c r="X298" s="147"/>
      <c r="AA298" s="147"/>
      <c r="AB298" s="147"/>
      <c r="AC298" s="147"/>
      <c r="AF298" s="147"/>
      <c r="AG298" s="147"/>
      <c r="AH298" s="147"/>
    </row>
    <row r="299" spans="17:34" x14ac:dyDescent="0.3">
      <c r="Q299" s="147"/>
      <c r="R299" s="147"/>
      <c r="S299" s="147"/>
      <c r="V299" s="147"/>
      <c r="W299" s="147"/>
      <c r="X299" s="147"/>
      <c r="AA299" s="147"/>
      <c r="AB299" s="147"/>
      <c r="AC299" s="147"/>
      <c r="AF299" s="147"/>
      <c r="AG299" s="147"/>
      <c r="AH299" s="147"/>
    </row>
    <row r="300" spans="17:34" x14ac:dyDescent="0.3">
      <c r="Q300" s="147"/>
      <c r="R300" s="147"/>
      <c r="S300" s="147"/>
      <c r="V300" s="147"/>
      <c r="W300" s="147"/>
      <c r="X300" s="147"/>
      <c r="AA300" s="147"/>
      <c r="AB300" s="147"/>
      <c r="AC300" s="147"/>
      <c r="AF300" s="147"/>
      <c r="AG300" s="147"/>
      <c r="AH300" s="147"/>
    </row>
    <row r="301" spans="17:34" x14ac:dyDescent="0.3">
      <c r="Q301" s="147"/>
      <c r="R301" s="147"/>
      <c r="S301" s="147"/>
      <c r="V301" s="147"/>
      <c r="W301" s="147"/>
      <c r="X301" s="147"/>
      <c r="AA301" s="147"/>
      <c r="AB301" s="147"/>
      <c r="AC301" s="147"/>
      <c r="AF301" s="147"/>
      <c r="AG301" s="147"/>
      <c r="AH301" s="147"/>
    </row>
    <row r="302" spans="17:34" x14ac:dyDescent="0.3">
      <c r="Q302" s="147"/>
      <c r="R302" s="147"/>
      <c r="S302" s="147"/>
      <c r="V302" s="147"/>
      <c r="W302" s="147"/>
      <c r="X302" s="147"/>
      <c r="AA302" s="147"/>
      <c r="AB302" s="147"/>
      <c r="AC302" s="147"/>
      <c r="AF302" s="147"/>
      <c r="AG302" s="147"/>
      <c r="AH302" s="147"/>
    </row>
    <row r="303" spans="17:34" x14ac:dyDescent="0.3">
      <c r="Q303" s="147"/>
      <c r="R303" s="147"/>
      <c r="S303" s="147"/>
      <c r="V303" s="147"/>
      <c r="W303" s="147"/>
      <c r="X303" s="147"/>
      <c r="AA303" s="147"/>
      <c r="AB303" s="147"/>
      <c r="AC303" s="147"/>
      <c r="AF303" s="147"/>
      <c r="AG303" s="147"/>
      <c r="AH303" s="147"/>
    </row>
    <row r="304" spans="17:34" x14ac:dyDescent="0.3">
      <c r="Q304" s="147"/>
      <c r="R304" s="147"/>
      <c r="S304" s="147"/>
      <c r="V304" s="147"/>
      <c r="W304" s="147"/>
      <c r="X304" s="147"/>
      <c r="AA304" s="147"/>
      <c r="AB304" s="147"/>
      <c r="AC304" s="147"/>
      <c r="AF304" s="147"/>
      <c r="AG304" s="147"/>
      <c r="AH304" s="147"/>
    </row>
    <row r="305" spans="17:34" x14ac:dyDescent="0.3">
      <c r="Q305" s="147"/>
      <c r="R305" s="147"/>
      <c r="S305" s="147"/>
      <c r="V305" s="147"/>
      <c r="W305" s="147"/>
      <c r="X305" s="147"/>
      <c r="AA305" s="147"/>
      <c r="AB305" s="147"/>
      <c r="AC305" s="147"/>
      <c r="AF305" s="147"/>
      <c r="AG305" s="147"/>
      <c r="AH305" s="147"/>
    </row>
    <row r="306" spans="17:34" x14ac:dyDescent="0.3">
      <c r="Q306" s="147"/>
      <c r="R306" s="147"/>
      <c r="S306" s="147"/>
      <c r="V306" s="147"/>
      <c r="W306" s="147"/>
      <c r="X306" s="147"/>
      <c r="AA306" s="147"/>
      <c r="AB306" s="147"/>
      <c r="AC306" s="147"/>
      <c r="AF306" s="147"/>
      <c r="AG306" s="147"/>
      <c r="AH306" s="147"/>
    </row>
    <row r="307" spans="17:34" x14ac:dyDescent="0.3">
      <c r="Q307" s="147"/>
      <c r="R307" s="147"/>
      <c r="S307" s="147"/>
      <c r="V307" s="147"/>
      <c r="W307" s="147"/>
      <c r="X307" s="147"/>
      <c r="AA307" s="147"/>
      <c r="AB307" s="147"/>
      <c r="AC307" s="147"/>
      <c r="AF307" s="147"/>
      <c r="AG307" s="147"/>
      <c r="AH307" s="147"/>
    </row>
    <row r="308" spans="17:34" x14ac:dyDescent="0.3">
      <c r="Q308" s="147"/>
      <c r="R308" s="147"/>
      <c r="S308" s="147"/>
      <c r="V308" s="147"/>
      <c r="W308" s="147"/>
      <c r="X308" s="147"/>
      <c r="AA308" s="147"/>
      <c r="AB308" s="147"/>
      <c r="AC308" s="147"/>
      <c r="AF308" s="147"/>
      <c r="AG308" s="147"/>
      <c r="AH308" s="147"/>
    </row>
    <row r="309" spans="17:34" x14ac:dyDescent="0.3">
      <c r="Q309" s="147"/>
      <c r="R309" s="147"/>
      <c r="S309" s="147"/>
      <c r="V309" s="147"/>
      <c r="W309" s="147"/>
      <c r="X309" s="147"/>
      <c r="AA309" s="147"/>
      <c r="AB309" s="147"/>
      <c r="AC309" s="147"/>
      <c r="AF309" s="147"/>
      <c r="AG309" s="147"/>
      <c r="AH309" s="147"/>
    </row>
    <row r="310" spans="17:34" x14ac:dyDescent="0.3">
      <c r="Q310" s="147"/>
      <c r="R310" s="147"/>
      <c r="S310" s="147"/>
      <c r="V310" s="147"/>
      <c r="W310" s="147"/>
      <c r="X310" s="147"/>
      <c r="AA310" s="147"/>
      <c r="AB310" s="147"/>
      <c r="AC310" s="147"/>
      <c r="AF310" s="147"/>
      <c r="AG310" s="147"/>
      <c r="AH310" s="147"/>
    </row>
    <row r="311" spans="17:34" x14ac:dyDescent="0.3">
      <c r="Q311" s="147"/>
      <c r="R311" s="147"/>
      <c r="S311" s="147"/>
      <c r="V311" s="147"/>
      <c r="W311" s="147"/>
      <c r="X311" s="147"/>
      <c r="AA311" s="147"/>
      <c r="AB311" s="147"/>
      <c r="AC311" s="147"/>
      <c r="AF311" s="147"/>
      <c r="AG311" s="147"/>
      <c r="AH311" s="147"/>
    </row>
    <row r="312" spans="17:34" x14ac:dyDescent="0.3">
      <c r="Q312" s="147"/>
      <c r="R312" s="147"/>
      <c r="S312" s="147"/>
      <c r="V312" s="147"/>
      <c r="W312" s="147"/>
      <c r="X312" s="147"/>
      <c r="AA312" s="147"/>
      <c r="AB312" s="147"/>
      <c r="AC312" s="147"/>
      <c r="AF312" s="147"/>
      <c r="AG312" s="147"/>
      <c r="AH312" s="147"/>
    </row>
    <row r="313" spans="17:34" x14ac:dyDescent="0.3">
      <c r="Q313" s="147"/>
      <c r="R313" s="147"/>
      <c r="S313" s="147"/>
      <c r="V313" s="147"/>
      <c r="W313" s="147"/>
      <c r="X313" s="147"/>
      <c r="AA313" s="147"/>
      <c r="AB313" s="147"/>
      <c r="AC313" s="147"/>
      <c r="AF313" s="147"/>
      <c r="AG313" s="147"/>
      <c r="AH313" s="147"/>
    </row>
    <row r="314" spans="17:34" x14ac:dyDescent="0.3">
      <c r="Q314" s="147"/>
      <c r="R314" s="147"/>
      <c r="S314" s="147"/>
      <c r="V314" s="147"/>
      <c r="W314" s="147"/>
      <c r="X314" s="147"/>
      <c r="AA314" s="147"/>
      <c r="AB314" s="147"/>
      <c r="AC314" s="147"/>
      <c r="AF314" s="147"/>
      <c r="AG314" s="147"/>
      <c r="AH314" s="147"/>
    </row>
    <row r="315" spans="17:34" x14ac:dyDescent="0.3">
      <c r="Q315" s="147"/>
      <c r="R315" s="147"/>
      <c r="S315" s="147"/>
      <c r="V315" s="147"/>
      <c r="W315" s="147"/>
      <c r="X315" s="147"/>
      <c r="AA315" s="147"/>
      <c r="AB315" s="147"/>
      <c r="AC315" s="147"/>
      <c r="AF315" s="147"/>
      <c r="AG315" s="147"/>
      <c r="AH315" s="147"/>
    </row>
    <row r="316" spans="17:34" x14ac:dyDescent="0.3">
      <c r="Q316" s="147"/>
      <c r="R316" s="147"/>
      <c r="S316" s="147"/>
      <c r="V316" s="147"/>
      <c r="W316" s="147"/>
      <c r="X316" s="147"/>
      <c r="AA316" s="147"/>
      <c r="AB316" s="147"/>
      <c r="AC316" s="147"/>
      <c r="AF316" s="147"/>
      <c r="AG316" s="147"/>
      <c r="AH316" s="147"/>
    </row>
    <row r="317" spans="17:34" x14ac:dyDescent="0.3">
      <c r="Q317" s="147"/>
      <c r="R317" s="147"/>
      <c r="S317" s="147"/>
      <c r="V317" s="147"/>
      <c r="W317" s="147"/>
      <c r="X317" s="147"/>
      <c r="AA317" s="147"/>
      <c r="AB317" s="147"/>
      <c r="AC317" s="147"/>
      <c r="AF317" s="147"/>
      <c r="AG317" s="147"/>
      <c r="AH317" s="147"/>
    </row>
    <row r="318" spans="17:34" x14ac:dyDescent="0.3">
      <c r="Q318" s="147"/>
      <c r="R318" s="147"/>
      <c r="S318" s="147"/>
      <c r="V318" s="147"/>
      <c r="W318" s="147"/>
      <c r="X318" s="147"/>
      <c r="AA318" s="147"/>
      <c r="AB318" s="147"/>
      <c r="AC318" s="147"/>
      <c r="AF318" s="147"/>
      <c r="AG318" s="147"/>
      <c r="AH318" s="147"/>
    </row>
    <row r="319" spans="17:34" x14ac:dyDescent="0.3">
      <c r="Q319" s="147"/>
      <c r="R319" s="147"/>
      <c r="S319" s="147"/>
      <c r="V319" s="147"/>
      <c r="W319" s="147"/>
      <c r="X319" s="147"/>
      <c r="AA319" s="147"/>
      <c r="AB319" s="147"/>
      <c r="AC319" s="147"/>
      <c r="AF319" s="147"/>
      <c r="AG319" s="147"/>
      <c r="AH319" s="147"/>
    </row>
    <row r="320" spans="17:34" x14ac:dyDescent="0.3">
      <c r="Q320" s="147"/>
      <c r="R320" s="147"/>
      <c r="S320" s="147"/>
      <c r="V320" s="147"/>
      <c r="W320" s="147"/>
      <c r="X320" s="147"/>
      <c r="AA320" s="147"/>
      <c r="AB320" s="147"/>
      <c r="AC320" s="147"/>
      <c r="AF320" s="147"/>
      <c r="AG320" s="147"/>
      <c r="AH320" s="147"/>
    </row>
    <row r="321" spans="17:34" x14ac:dyDescent="0.3">
      <c r="Q321" s="147"/>
      <c r="R321" s="147"/>
      <c r="S321" s="147"/>
      <c r="V321" s="147"/>
      <c r="W321" s="147"/>
      <c r="X321" s="147"/>
      <c r="AA321" s="147"/>
      <c r="AB321" s="147"/>
      <c r="AC321" s="147"/>
      <c r="AF321" s="147"/>
      <c r="AG321" s="147"/>
      <c r="AH321" s="147"/>
    </row>
    <row r="322" spans="17:34" x14ac:dyDescent="0.3">
      <c r="Q322" s="147"/>
      <c r="R322" s="147"/>
      <c r="S322" s="147"/>
      <c r="V322" s="147"/>
      <c r="W322" s="147"/>
      <c r="X322" s="147"/>
      <c r="AA322" s="147"/>
      <c r="AB322" s="147"/>
      <c r="AC322" s="147"/>
      <c r="AF322" s="147"/>
      <c r="AG322" s="147"/>
      <c r="AH322" s="147"/>
    </row>
    <row r="323" spans="17:34" x14ac:dyDescent="0.3">
      <c r="Q323" s="147"/>
      <c r="R323" s="147"/>
      <c r="S323" s="147"/>
      <c r="V323" s="147"/>
      <c r="W323" s="147"/>
      <c r="X323" s="147"/>
      <c r="AA323" s="147"/>
      <c r="AB323" s="147"/>
      <c r="AC323" s="147"/>
      <c r="AF323" s="147"/>
      <c r="AG323" s="147"/>
      <c r="AH323" s="147"/>
    </row>
    <row r="324" spans="17:34" x14ac:dyDescent="0.3">
      <c r="Q324" s="147"/>
      <c r="R324" s="147"/>
      <c r="S324" s="147"/>
      <c r="V324" s="147"/>
      <c r="W324" s="147"/>
      <c r="X324" s="147"/>
      <c r="AA324" s="147"/>
      <c r="AB324" s="147"/>
      <c r="AC324" s="147"/>
      <c r="AF324" s="147"/>
      <c r="AG324" s="147"/>
      <c r="AH324" s="147"/>
    </row>
    <row r="325" spans="17:34" x14ac:dyDescent="0.3">
      <c r="Q325" s="147"/>
      <c r="R325" s="147"/>
      <c r="S325" s="147"/>
      <c r="V325" s="147"/>
      <c r="W325" s="147"/>
      <c r="X325" s="147"/>
      <c r="AA325" s="147"/>
      <c r="AB325" s="147"/>
      <c r="AC325" s="147"/>
      <c r="AF325" s="147"/>
      <c r="AG325" s="147"/>
      <c r="AH325" s="147"/>
    </row>
    <row r="326" spans="17:34" x14ac:dyDescent="0.3">
      <c r="Q326" s="147"/>
      <c r="R326" s="147"/>
      <c r="S326" s="147"/>
      <c r="V326" s="147"/>
      <c r="W326" s="147"/>
      <c r="X326" s="147"/>
      <c r="AA326" s="147"/>
      <c r="AB326" s="147"/>
      <c r="AC326" s="147"/>
      <c r="AF326" s="147"/>
      <c r="AG326" s="147"/>
      <c r="AH326" s="147"/>
    </row>
    <row r="327" spans="17:34" x14ac:dyDescent="0.3">
      <c r="Q327" s="147"/>
      <c r="R327" s="147"/>
      <c r="S327" s="147"/>
      <c r="V327" s="147"/>
      <c r="W327" s="147"/>
      <c r="X327" s="147"/>
      <c r="AA327" s="147"/>
      <c r="AB327" s="147"/>
      <c r="AC327" s="147"/>
      <c r="AF327" s="147"/>
      <c r="AG327" s="147"/>
      <c r="AH327" s="147"/>
    </row>
    <row r="328" spans="17:34" x14ac:dyDescent="0.3">
      <c r="Q328" s="147"/>
      <c r="R328" s="147"/>
      <c r="S328" s="147"/>
      <c r="V328" s="147"/>
      <c r="W328" s="147"/>
      <c r="X328" s="147"/>
      <c r="AA328" s="147"/>
      <c r="AB328" s="147"/>
      <c r="AC328" s="147"/>
      <c r="AF328" s="147"/>
      <c r="AG328" s="147"/>
      <c r="AH328" s="147"/>
    </row>
    <row r="329" spans="17:34" x14ac:dyDescent="0.3">
      <c r="Q329" s="147"/>
      <c r="R329" s="147"/>
      <c r="S329" s="147"/>
      <c r="V329" s="147"/>
      <c r="W329" s="147"/>
      <c r="X329" s="147"/>
      <c r="AA329" s="147"/>
      <c r="AB329" s="147"/>
      <c r="AC329" s="147"/>
      <c r="AF329" s="147"/>
      <c r="AG329" s="147"/>
      <c r="AH329" s="147"/>
    </row>
    <row r="330" spans="17:34" x14ac:dyDescent="0.3">
      <c r="Q330" s="147"/>
      <c r="R330" s="147"/>
      <c r="S330" s="147"/>
      <c r="V330" s="147"/>
      <c r="W330" s="147"/>
      <c r="X330" s="147"/>
      <c r="AA330" s="147"/>
      <c r="AB330" s="147"/>
      <c r="AC330" s="147"/>
      <c r="AF330" s="147"/>
      <c r="AG330" s="147"/>
      <c r="AH330" s="147"/>
    </row>
    <row r="331" spans="17:34" x14ac:dyDescent="0.3">
      <c r="Q331" s="147"/>
      <c r="R331" s="147"/>
      <c r="S331" s="147"/>
      <c r="V331" s="147"/>
      <c r="W331" s="147"/>
      <c r="X331" s="147"/>
      <c r="AA331" s="147"/>
      <c r="AB331" s="147"/>
      <c r="AC331" s="147"/>
      <c r="AF331" s="147"/>
      <c r="AG331" s="147"/>
      <c r="AH331" s="147"/>
    </row>
    <row r="332" spans="17:34" x14ac:dyDescent="0.3">
      <c r="Q332" s="147"/>
      <c r="R332" s="147"/>
      <c r="S332" s="147"/>
      <c r="V332" s="147"/>
      <c r="W332" s="147"/>
      <c r="X332" s="147"/>
      <c r="AA332" s="147"/>
      <c r="AB332" s="147"/>
      <c r="AC332" s="147"/>
      <c r="AF332" s="147"/>
      <c r="AG332" s="147"/>
      <c r="AH332" s="147"/>
    </row>
    <row r="333" spans="17:34" x14ac:dyDescent="0.3">
      <c r="Q333" s="147"/>
      <c r="R333" s="147"/>
      <c r="S333" s="147"/>
      <c r="V333" s="147"/>
      <c r="W333" s="147"/>
      <c r="X333" s="147"/>
      <c r="AA333" s="147"/>
      <c r="AB333" s="147"/>
      <c r="AC333" s="147"/>
      <c r="AF333" s="147"/>
      <c r="AG333" s="147"/>
      <c r="AH333" s="147"/>
    </row>
    <row r="334" spans="17:34" x14ac:dyDescent="0.3">
      <c r="Q334" s="147"/>
      <c r="R334" s="147"/>
      <c r="S334" s="147"/>
      <c r="V334" s="147"/>
      <c r="W334" s="147"/>
      <c r="X334" s="147"/>
      <c r="AA334" s="147"/>
      <c r="AB334" s="147"/>
      <c r="AC334" s="147"/>
      <c r="AF334" s="147"/>
      <c r="AG334" s="147"/>
      <c r="AH334" s="147"/>
    </row>
    <row r="335" spans="17:34" x14ac:dyDescent="0.3">
      <c r="Q335" s="147"/>
      <c r="R335" s="147"/>
      <c r="S335" s="147"/>
      <c r="V335" s="147"/>
      <c r="W335" s="147"/>
      <c r="X335" s="147"/>
      <c r="AA335" s="147"/>
      <c r="AB335" s="147"/>
      <c r="AC335" s="147"/>
      <c r="AF335" s="147"/>
      <c r="AG335" s="147"/>
      <c r="AH335" s="147"/>
    </row>
    <row r="336" spans="17:34" x14ac:dyDescent="0.3">
      <c r="Q336" s="147"/>
      <c r="R336" s="147"/>
      <c r="S336" s="147"/>
      <c r="V336" s="147"/>
      <c r="W336" s="147"/>
      <c r="X336" s="147"/>
      <c r="AA336" s="147"/>
      <c r="AB336" s="147"/>
      <c r="AC336" s="147"/>
      <c r="AF336" s="147"/>
      <c r="AG336" s="147"/>
      <c r="AH336" s="147"/>
    </row>
    <row r="337" spans="17:34" x14ac:dyDescent="0.3">
      <c r="Q337" s="147"/>
      <c r="R337" s="147"/>
      <c r="S337" s="147"/>
      <c r="V337" s="147"/>
      <c r="W337" s="147"/>
      <c r="X337" s="147"/>
      <c r="AA337" s="147"/>
      <c r="AB337" s="147"/>
      <c r="AC337" s="147"/>
      <c r="AF337" s="147"/>
      <c r="AG337" s="147"/>
      <c r="AH337" s="147"/>
    </row>
    <row r="338" spans="17:34" x14ac:dyDescent="0.3">
      <c r="Q338" s="147"/>
      <c r="R338" s="147"/>
      <c r="S338" s="147"/>
      <c r="V338" s="147"/>
      <c r="W338" s="147"/>
      <c r="X338" s="147"/>
      <c r="AA338" s="147"/>
      <c r="AB338" s="147"/>
      <c r="AC338" s="147"/>
      <c r="AF338" s="147"/>
      <c r="AG338" s="147"/>
      <c r="AH338" s="147"/>
    </row>
    <row r="339" spans="17:34" x14ac:dyDescent="0.3">
      <c r="Q339" s="147"/>
      <c r="R339" s="147"/>
      <c r="S339" s="147"/>
      <c r="V339" s="147"/>
      <c r="W339" s="147"/>
      <c r="X339" s="147"/>
      <c r="AA339" s="147"/>
      <c r="AB339" s="147"/>
      <c r="AC339" s="147"/>
      <c r="AF339" s="147"/>
      <c r="AG339" s="147"/>
      <c r="AH339" s="147"/>
    </row>
    <row r="340" spans="17:34" x14ac:dyDescent="0.3">
      <c r="Q340" s="147"/>
      <c r="R340" s="147"/>
      <c r="S340" s="147"/>
      <c r="V340" s="147"/>
      <c r="W340" s="147"/>
      <c r="X340" s="147"/>
      <c r="AA340" s="147"/>
      <c r="AB340" s="147"/>
      <c r="AC340" s="147"/>
      <c r="AF340" s="147"/>
      <c r="AG340" s="147"/>
      <c r="AH340" s="147"/>
    </row>
    <row r="341" spans="17:34" x14ac:dyDescent="0.3">
      <c r="Q341" s="147"/>
      <c r="R341" s="147"/>
      <c r="S341" s="147"/>
      <c r="V341" s="147"/>
      <c r="W341" s="147"/>
      <c r="X341" s="147"/>
      <c r="AA341" s="147"/>
      <c r="AB341" s="147"/>
      <c r="AC341" s="147"/>
      <c r="AF341" s="147"/>
      <c r="AG341" s="147"/>
      <c r="AH341" s="147"/>
    </row>
    <row r="342" spans="17:34" x14ac:dyDescent="0.3">
      <c r="Q342" s="147"/>
      <c r="R342" s="147"/>
      <c r="S342" s="147"/>
      <c r="V342" s="147"/>
      <c r="W342" s="147"/>
      <c r="X342" s="147"/>
      <c r="AA342" s="147"/>
      <c r="AB342" s="147"/>
      <c r="AC342" s="147"/>
      <c r="AF342" s="147"/>
      <c r="AG342" s="147"/>
      <c r="AH342" s="147"/>
    </row>
    <row r="343" spans="17:34" x14ac:dyDescent="0.3">
      <c r="Q343" s="147"/>
      <c r="R343" s="147"/>
      <c r="S343" s="147"/>
      <c r="V343" s="147"/>
      <c r="W343" s="147"/>
      <c r="X343" s="147"/>
      <c r="AA343" s="147"/>
      <c r="AB343" s="147"/>
      <c r="AC343" s="147"/>
      <c r="AF343" s="147"/>
      <c r="AG343" s="147"/>
      <c r="AH343" s="147"/>
    </row>
    <row r="344" spans="17:34" x14ac:dyDescent="0.3">
      <c r="Q344" s="147"/>
      <c r="R344" s="147"/>
      <c r="S344" s="147"/>
      <c r="V344" s="147"/>
      <c r="W344" s="147"/>
      <c r="X344" s="147"/>
      <c r="AA344" s="147"/>
      <c r="AB344" s="147"/>
      <c r="AC344" s="147"/>
      <c r="AF344" s="147"/>
      <c r="AG344" s="147"/>
      <c r="AH344" s="147"/>
    </row>
    <row r="345" spans="17:34" x14ac:dyDescent="0.3">
      <c r="Q345" s="147"/>
      <c r="R345" s="147"/>
      <c r="S345" s="147"/>
      <c r="V345" s="147"/>
      <c r="W345" s="147"/>
      <c r="X345" s="147"/>
      <c r="AA345" s="147"/>
      <c r="AB345" s="147"/>
      <c r="AC345" s="147"/>
      <c r="AF345" s="147"/>
      <c r="AG345" s="147"/>
      <c r="AH345" s="147"/>
    </row>
    <row r="346" spans="17:34" x14ac:dyDescent="0.3">
      <c r="Q346" s="147"/>
      <c r="R346" s="147"/>
      <c r="S346" s="147"/>
      <c r="V346" s="147"/>
      <c r="W346" s="147"/>
      <c r="X346" s="147"/>
      <c r="AA346" s="147"/>
      <c r="AB346" s="147"/>
      <c r="AC346" s="147"/>
      <c r="AF346" s="147"/>
      <c r="AG346" s="147"/>
      <c r="AH346" s="147"/>
    </row>
    <row r="347" spans="17:34" x14ac:dyDescent="0.3">
      <c r="Q347" s="147"/>
      <c r="R347" s="147"/>
      <c r="S347" s="147"/>
      <c r="V347" s="147"/>
      <c r="W347" s="147"/>
      <c r="X347" s="147"/>
      <c r="AA347" s="147"/>
      <c r="AB347" s="147"/>
      <c r="AC347" s="147"/>
      <c r="AF347" s="147"/>
      <c r="AG347" s="147"/>
      <c r="AH347" s="147"/>
    </row>
    <row r="348" spans="17:34" x14ac:dyDescent="0.3">
      <c r="Q348" s="147"/>
      <c r="R348" s="147"/>
      <c r="S348" s="147"/>
      <c r="V348" s="147"/>
      <c r="W348" s="147"/>
      <c r="X348" s="147"/>
      <c r="AA348" s="147"/>
      <c r="AB348" s="147"/>
      <c r="AC348" s="147"/>
      <c r="AF348" s="147"/>
      <c r="AG348" s="147"/>
      <c r="AH348" s="147"/>
    </row>
    <row r="349" spans="17:34" x14ac:dyDescent="0.3">
      <c r="Q349" s="147"/>
      <c r="R349" s="147"/>
      <c r="S349" s="147"/>
      <c r="V349" s="147"/>
      <c r="W349" s="147"/>
      <c r="X349" s="147"/>
      <c r="AA349" s="147"/>
      <c r="AB349" s="147"/>
      <c r="AC349" s="147"/>
      <c r="AF349" s="147"/>
      <c r="AG349" s="147"/>
      <c r="AH349" s="147"/>
    </row>
    <row r="350" spans="17:34" x14ac:dyDescent="0.3">
      <c r="Q350" s="147"/>
      <c r="R350" s="147"/>
      <c r="S350" s="147"/>
      <c r="V350" s="147"/>
      <c r="W350" s="147"/>
      <c r="X350" s="147"/>
      <c r="AA350" s="147"/>
      <c r="AB350" s="147"/>
      <c r="AC350" s="147"/>
      <c r="AF350" s="147"/>
      <c r="AG350" s="147"/>
      <c r="AH350" s="147"/>
    </row>
    <row r="351" spans="17:34" x14ac:dyDescent="0.3">
      <c r="Q351" s="147"/>
      <c r="R351" s="147"/>
      <c r="S351" s="147"/>
      <c r="V351" s="147"/>
      <c r="W351" s="147"/>
      <c r="X351" s="147"/>
      <c r="AA351" s="147"/>
      <c r="AB351" s="147"/>
      <c r="AC351" s="147"/>
      <c r="AF351" s="147"/>
      <c r="AG351" s="147"/>
      <c r="AH351" s="147"/>
    </row>
    <row r="352" spans="17:34" x14ac:dyDescent="0.3">
      <c r="Q352" s="147"/>
      <c r="R352" s="147"/>
      <c r="S352" s="147"/>
      <c r="V352" s="147"/>
      <c r="W352" s="147"/>
      <c r="X352" s="147"/>
      <c r="AA352" s="147"/>
      <c r="AB352" s="147"/>
      <c r="AC352" s="147"/>
      <c r="AF352" s="147"/>
      <c r="AG352" s="147"/>
      <c r="AH352" s="147"/>
    </row>
    <row r="353" spans="17:34" x14ac:dyDescent="0.3">
      <c r="Q353" s="147"/>
      <c r="R353" s="147"/>
      <c r="S353" s="147"/>
      <c r="V353" s="147"/>
      <c r="W353" s="147"/>
      <c r="X353" s="147"/>
      <c r="AA353" s="147"/>
      <c r="AB353" s="147"/>
      <c r="AC353" s="147"/>
      <c r="AF353" s="147"/>
      <c r="AG353" s="147"/>
      <c r="AH353" s="147"/>
    </row>
    <row r="354" spans="17:34" x14ac:dyDescent="0.3">
      <c r="Q354" s="147"/>
      <c r="R354" s="147"/>
      <c r="S354" s="147"/>
      <c r="V354" s="147"/>
      <c r="W354" s="147"/>
      <c r="X354" s="147"/>
      <c r="AA354" s="147"/>
      <c r="AB354" s="147"/>
      <c r="AC354" s="147"/>
      <c r="AF354" s="147"/>
      <c r="AG354" s="147"/>
      <c r="AH354" s="147"/>
    </row>
    <row r="355" spans="17:34" x14ac:dyDescent="0.3">
      <c r="Q355" s="147"/>
      <c r="R355" s="147"/>
      <c r="S355" s="147"/>
      <c r="V355" s="147"/>
      <c r="W355" s="147"/>
      <c r="X355" s="147"/>
      <c r="AA355" s="147"/>
      <c r="AB355" s="147"/>
      <c r="AC355" s="147"/>
      <c r="AF355" s="147"/>
      <c r="AG355" s="147"/>
      <c r="AH355" s="147"/>
    </row>
    <row r="356" spans="17:34" x14ac:dyDescent="0.3">
      <c r="Q356" s="147"/>
      <c r="R356" s="147"/>
      <c r="S356" s="147"/>
      <c r="V356" s="147"/>
      <c r="W356" s="147"/>
      <c r="X356" s="147"/>
      <c r="AA356" s="147"/>
      <c r="AB356" s="147"/>
      <c r="AC356" s="147"/>
      <c r="AF356" s="147"/>
      <c r="AG356" s="147"/>
      <c r="AH356" s="147"/>
    </row>
    <row r="357" spans="17:34" x14ac:dyDescent="0.3">
      <c r="Q357" s="147"/>
      <c r="R357" s="147"/>
      <c r="S357" s="147"/>
      <c r="V357" s="147"/>
      <c r="W357" s="147"/>
      <c r="X357" s="147"/>
      <c r="AA357" s="147"/>
      <c r="AB357" s="147"/>
      <c r="AC357" s="147"/>
      <c r="AF357" s="147"/>
      <c r="AG357" s="147"/>
      <c r="AH357" s="147"/>
    </row>
    <row r="358" spans="17:34" x14ac:dyDescent="0.3">
      <c r="Q358" s="147"/>
      <c r="R358" s="147"/>
      <c r="S358" s="147"/>
      <c r="V358" s="147"/>
      <c r="W358" s="147"/>
      <c r="X358" s="147"/>
      <c r="AA358" s="147"/>
      <c r="AB358" s="147"/>
      <c r="AC358" s="147"/>
      <c r="AF358" s="147"/>
      <c r="AG358" s="147"/>
      <c r="AH358" s="147"/>
    </row>
    <row r="359" spans="17:34" x14ac:dyDescent="0.3">
      <c r="Q359" s="147"/>
      <c r="R359" s="147"/>
      <c r="S359" s="147"/>
      <c r="V359" s="147"/>
      <c r="W359" s="147"/>
      <c r="X359" s="147"/>
      <c r="AA359" s="147"/>
      <c r="AB359" s="147"/>
      <c r="AC359" s="147"/>
      <c r="AF359" s="147"/>
      <c r="AG359" s="147"/>
      <c r="AH359" s="147"/>
    </row>
    <row r="360" spans="17:34" x14ac:dyDescent="0.3">
      <c r="Q360" s="147"/>
      <c r="R360" s="147"/>
      <c r="S360" s="147"/>
      <c r="V360" s="147"/>
      <c r="W360" s="147"/>
      <c r="X360" s="147"/>
      <c r="AA360" s="147"/>
      <c r="AB360" s="147"/>
      <c r="AC360" s="147"/>
      <c r="AF360" s="147"/>
      <c r="AG360" s="147"/>
      <c r="AH360" s="147"/>
    </row>
    <row r="361" spans="17:34" x14ac:dyDescent="0.3">
      <c r="Q361" s="147"/>
      <c r="R361" s="147"/>
      <c r="S361" s="147"/>
      <c r="V361" s="147"/>
      <c r="W361" s="147"/>
      <c r="X361" s="147"/>
      <c r="AA361" s="147"/>
      <c r="AB361" s="147"/>
      <c r="AC361" s="147"/>
      <c r="AF361" s="147"/>
      <c r="AG361" s="147"/>
      <c r="AH361" s="147"/>
    </row>
    <row r="362" spans="17:34" x14ac:dyDescent="0.3">
      <c r="Q362" s="147"/>
      <c r="R362" s="147"/>
      <c r="S362" s="147"/>
      <c r="V362" s="147"/>
      <c r="W362" s="147"/>
      <c r="X362" s="147"/>
      <c r="AA362" s="147"/>
      <c r="AB362" s="147"/>
      <c r="AC362" s="147"/>
      <c r="AF362" s="147"/>
      <c r="AG362" s="147"/>
      <c r="AH362" s="147"/>
    </row>
    <row r="363" spans="17:34" x14ac:dyDescent="0.3">
      <c r="Q363" s="147"/>
      <c r="R363" s="147"/>
      <c r="S363" s="147"/>
      <c r="V363" s="147"/>
      <c r="W363" s="147"/>
      <c r="X363" s="147"/>
      <c r="AA363" s="147"/>
      <c r="AB363" s="147"/>
      <c r="AC363" s="147"/>
      <c r="AF363" s="147"/>
      <c r="AG363" s="147"/>
      <c r="AH363" s="147"/>
    </row>
    <row r="364" spans="17:34" x14ac:dyDescent="0.3">
      <c r="Q364" s="147"/>
      <c r="R364" s="147"/>
      <c r="S364" s="147"/>
      <c r="V364" s="147"/>
      <c r="W364" s="147"/>
      <c r="X364" s="147"/>
      <c r="AA364" s="147"/>
      <c r="AB364" s="147"/>
      <c r="AC364" s="147"/>
      <c r="AF364" s="147"/>
      <c r="AG364" s="147"/>
      <c r="AH364" s="147"/>
    </row>
    <row r="365" spans="17:34" x14ac:dyDescent="0.3">
      <c r="Q365" s="147"/>
      <c r="R365" s="147"/>
      <c r="S365" s="147"/>
      <c r="V365" s="147"/>
      <c r="W365" s="147"/>
      <c r="X365" s="147"/>
      <c r="AA365" s="147"/>
      <c r="AB365" s="147"/>
      <c r="AC365" s="147"/>
      <c r="AF365" s="147"/>
      <c r="AG365" s="147"/>
      <c r="AH365" s="147"/>
    </row>
    <row r="366" spans="17:34" x14ac:dyDescent="0.3">
      <c r="Q366" s="147"/>
      <c r="R366" s="147"/>
      <c r="S366" s="147"/>
      <c r="V366" s="147"/>
      <c r="W366" s="147"/>
      <c r="X366" s="147"/>
      <c r="AA366" s="147"/>
      <c r="AB366" s="147"/>
      <c r="AC366" s="147"/>
      <c r="AF366" s="147"/>
      <c r="AG366" s="147"/>
      <c r="AH366" s="147"/>
    </row>
    <row r="367" spans="17:34" x14ac:dyDescent="0.3">
      <c r="Q367" s="147"/>
      <c r="R367" s="147"/>
      <c r="S367" s="147"/>
      <c r="V367" s="147"/>
      <c r="W367" s="147"/>
      <c r="X367" s="147"/>
      <c r="AA367" s="147"/>
      <c r="AB367" s="147"/>
      <c r="AC367" s="147"/>
      <c r="AF367" s="147"/>
      <c r="AG367" s="147"/>
      <c r="AH367" s="147"/>
    </row>
    <row r="368" spans="17:34" x14ac:dyDescent="0.3">
      <c r="Q368" s="147"/>
      <c r="R368" s="147"/>
      <c r="S368" s="147"/>
      <c r="V368" s="147"/>
      <c r="W368" s="147"/>
      <c r="X368" s="147"/>
      <c r="AA368" s="147"/>
      <c r="AB368" s="147"/>
      <c r="AC368" s="147"/>
      <c r="AF368" s="147"/>
      <c r="AG368" s="147"/>
      <c r="AH368" s="147"/>
    </row>
    <row r="369" spans="17:34" x14ac:dyDescent="0.3">
      <c r="Q369" s="147"/>
      <c r="R369" s="147"/>
      <c r="S369" s="147"/>
      <c r="V369" s="147"/>
      <c r="W369" s="147"/>
      <c r="X369" s="147"/>
      <c r="AA369" s="147"/>
      <c r="AB369" s="147"/>
      <c r="AC369" s="147"/>
      <c r="AF369" s="147"/>
      <c r="AG369" s="147"/>
      <c r="AH369" s="147"/>
    </row>
    <row r="370" spans="17:34" x14ac:dyDescent="0.3">
      <c r="Q370" s="147"/>
      <c r="R370" s="147"/>
      <c r="S370" s="147"/>
      <c r="V370" s="147"/>
      <c r="W370" s="147"/>
      <c r="X370" s="147"/>
      <c r="AA370" s="147"/>
      <c r="AB370" s="147"/>
      <c r="AC370" s="147"/>
      <c r="AF370" s="147"/>
      <c r="AG370" s="147"/>
      <c r="AH370" s="147"/>
    </row>
    <row r="371" spans="17:34" x14ac:dyDescent="0.3">
      <c r="Q371" s="147"/>
      <c r="R371" s="147"/>
      <c r="S371" s="147"/>
      <c r="V371" s="147"/>
      <c r="W371" s="147"/>
      <c r="X371" s="147"/>
      <c r="AA371" s="147"/>
      <c r="AB371" s="147"/>
      <c r="AC371" s="147"/>
      <c r="AF371" s="147"/>
      <c r="AG371" s="147"/>
      <c r="AH371" s="147"/>
    </row>
    <row r="372" spans="17:34" x14ac:dyDescent="0.3">
      <c r="Q372" s="147"/>
      <c r="R372" s="147"/>
      <c r="S372" s="147"/>
      <c r="V372" s="147"/>
      <c r="W372" s="147"/>
      <c r="X372" s="147"/>
      <c r="AA372" s="147"/>
      <c r="AB372" s="147"/>
      <c r="AC372" s="147"/>
      <c r="AF372" s="147"/>
      <c r="AG372" s="147"/>
      <c r="AH372" s="147"/>
    </row>
    <row r="373" spans="17:34" x14ac:dyDescent="0.3">
      <c r="Q373" s="147"/>
      <c r="R373" s="147"/>
      <c r="S373" s="147"/>
      <c r="V373" s="147"/>
      <c r="W373" s="147"/>
      <c r="X373" s="147"/>
      <c r="AA373" s="147"/>
      <c r="AB373" s="147"/>
      <c r="AC373" s="147"/>
      <c r="AF373" s="147"/>
      <c r="AG373" s="147"/>
      <c r="AH373" s="147"/>
    </row>
    <row r="374" spans="17:34" x14ac:dyDescent="0.3">
      <c r="Q374" s="147"/>
      <c r="R374" s="147"/>
      <c r="S374" s="147"/>
      <c r="V374" s="147"/>
      <c r="W374" s="147"/>
      <c r="X374" s="147"/>
      <c r="AA374" s="147"/>
      <c r="AB374" s="147"/>
      <c r="AC374" s="147"/>
      <c r="AF374" s="147"/>
      <c r="AG374" s="147"/>
      <c r="AH374" s="147"/>
    </row>
    <row r="375" spans="17:34" x14ac:dyDescent="0.3">
      <c r="Q375" s="147"/>
      <c r="R375" s="147"/>
      <c r="S375" s="147"/>
      <c r="V375" s="147"/>
      <c r="W375" s="147"/>
      <c r="X375" s="147"/>
      <c r="AA375" s="147"/>
      <c r="AB375" s="147"/>
      <c r="AC375" s="147"/>
      <c r="AF375" s="147"/>
      <c r="AG375" s="147"/>
      <c r="AH375" s="147"/>
    </row>
    <row r="376" spans="17:34" x14ac:dyDescent="0.3">
      <c r="Q376" s="147"/>
      <c r="R376" s="147"/>
      <c r="S376" s="147"/>
      <c r="V376" s="147"/>
      <c r="W376" s="147"/>
      <c r="X376" s="147"/>
      <c r="AA376" s="147"/>
      <c r="AB376" s="147"/>
      <c r="AC376" s="147"/>
      <c r="AF376" s="147"/>
      <c r="AG376" s="147"/>
      <c r="AH376" s="147"/>
    </row>
    <row r="377" spans="17:34" x14ac:dyDescent="0.3">
      <c r="Q377" s="147"/>
      <c r="R377" s="147"/>
      <c r="S377" s="147"/>
      <c r="V377" s="147"/>
      <c r="W377" s="147"/>
      <c r="X377" s="147"/>
      <c r="AA377" s="147"/>
      <c r="AB377" s="147"/>
      <c r="AC377" s="147"/>
      <c r="AF377" s="147"/>
      <c r="AG377" s="147"/>
      <c r="AH377" s="147"/>
    </row>
    <row r="378" spans="17:34" x14ac:dyDescent="0.3">
      <c r="Q378" s="147"/>
      <c r="R378" s="147"/>
      <c r="S378" s="147"/>
      <c r="V378" s="147"/>
      <c r="W378" s="147"/>
      <c r="X378" s="147"/>
      <c r="AA378" s="147"/>
      <c r="AB378" s="147"/>
      <c r="AC378" s="147"/>
      <c r="AF378" s="147"/>
      <c r="AG378" s="147"/>
      <c r="AH378" s="147"/>
    </row>
    <row r="379" spans="17:34" x14ac:dyDescent="0.3">
      <c r="Q379" s="147"/>
      <c r="R379" s="147"/>
      <c r="S379" s="147"/>
      <c r="V379" s="147"/>
      <c r="W379" s="147"/>
      <c r="X379" s="147"/>
      <c r="AA379" s="147"/>
      <c r="AB379" s="147"/>
      <c r="AC379" s="147"/>
      <c r="AF379" s="147"/>
      <c r="AG379" s="147"/>
      <c r="AH379" s="147"/>
    </row>
    <row r="380" spans="17:34" x14ac:dyDescent="0.3">
      <c r="Q380" s="147"/>
      <c r="R380" s="147"/>
      <c r="S380" s="147"/>
      <c r="V380" s="147"/>
      <c r="W380" s="147"/>
      <c r="X380" s="147"/>
      <c r="AA380" s="147"/>
      <c r="AB380" s="147"/>
      <c r="AC380" s="147"/>
      <c r="AF380" s="147"/>
      <c r="AG380" s="147"/>
      <c r="AH380" s="147"/>
    </row>
    <row r="381" spans="17:34" x14ac:dyDescent="0.3">
      <c r="Q381" s="147"/>
      <c r="R381" s="147"/>
      <c r="S381" s="147"/>
      <c r="V381" s="147"/>
      <c r="W381" s="147"/>
      <c r="X381" s="147"/>
      <c r="AA381" s="147"/>
      <c r="AB381" s="147"/>
      <c r="AC381" s="147"/>
      <c r="AF381" s="147"/>
      <c r="AG381" s="147"/>
      <c r="AH381" s="147"/>
    </row>
    <row r="382" spans="17:34" x14ac:dyDescent="0.3">
      <c r="Q382" s="147"/>
      <c r="R382" s="147"/>
      <c r="S382" s="147"/>
      <c r="V382" s="147"/>
      <c r="W382" s="147"/>
      <c r="X382" s="147"/>
      <c r="AA382" s="147"/>
      <c r="AB382" s="147"/>
      <c r="AC382" s="147"/>
      <c r="AF382" s="147"/>
      <c r="AG382" s="147"/>
      <c r="AH382" s="147"/>
    </row>
    <row r="383" spans="17:34" x14ac:dyDescent="0.3">
      <c r="Q383" s="147"/>
      <c r="R383" s="147"/>
      <c r="S383" s="147"/>
      <c r="V383" s="147"/>
      <c r="W383" s="147"/>
      <c r="X383" s="147"/>
      <c r="AA383" s="147"/>
      <c r="AB383" s="147"/>
      <c r="AC383" s="147"/>
      <c r="AF383" s="147"/>
      <c r="AG383" s="147"/>
      <c r="AH383" s="147"/>
    </row>
    <row r="384" spans="17:34" x14ac:dyDescent="0.3">
      <c r="Q384" s="147"/>
      <c r="R384" s="147"/>
      <c r="S384" s="147"/>
      <c r="V384" s="147"/>
      <c r="W384" s="147"/>
      <c r="X384" s="147"/>
      <c r="AA384" s="147"/>
      <c r="AB384" s="147"/>
      <c r="AC384" s="147"/>
      <c r="AF384" s="147"/>
      <c r="AG384" s="147"/>
      <c r="AH384" s="147"/>
    </row>
    <row r="385" spans="17:34" x14ac:dyDescent="0.3">
      <c r="Q385" s="147"/>
      <c r="R385" s="147"/>
      <c r="S385" s="147"/>
      <c r="V385" s="147"/>
      <c r="W385" s="147"/>
      <c r="X385" s="147"/>
      <c r="AA385" s="147"/>
      <c r="AB385" s="147"/>
      <c r="AC385" s="147"/>
      <c r="AF385" s="147"/>
      <c r="AG385" s="147"/>
      <c r="AH385" s="147"/>
    </row>
    <row r="386" spans="17:34" x14ac:dyDescent="0.3">
      <c r="Q386" s="147"/>
      <c r="R386" s="147"/>
      <c r="S386" s="147"/>
      <c r="V386" s="147"/>
      <c r="W386" s="147"/>
      <c r="X386" s="147"/>
      <c r="AA386" s="147"/>
      <c r="AB386" s="147"/>
      <c r="AC386" s="147"/>
      <c r="AF386" s="147"/>
      <c r="AG386" s="147"/>
      <c r="AH386" s="147"/>
    </row>
    <row r="387" spans="17:34" x14ac:dyDescent="0.3">
      <c r="Q387" s="147"/>
      <c r="R387" s="147"/>
      <c r="S387" s="147"/>
      <c r="V387" s="147"/>
      <c r="W387" s="147"/>
      <c r="X387" s="147"/>
      <c r="AA387" s="147"/>
      <c r="AB387" s="147"/>
      <c r="AC387" s="147"/>
      <c r="AF387" s="147"/>
      <c r="AG387" s="147"/>
      <c r="AH387" s="147"/>
    </row>
    <row r="388" spans="17:34" x14ac:dyDescent="0.3">
      <c r="Q388" s="147"/>
      <c r="R388" s="147"/>
      <c r="S388" s="147"/>
      <c r="V388" s="147"/>
      <c r="W388" s="147"/>
      <c r="X388" s="147"/>
      <c r="AA388" s="147"/>
      <c r="AB388" s="147"/>
      <c r="AC388" s="147"/>
      <c r="AF388" s="147"/>
      <c r="AG388" s="147"/>
      <c r="AH388" s="147"/>
    </row>
    <row r="389" spans="17:34" x14ac:dyDescent="0.3">
      <c r="Q389" s="147"/>
      <c r="R389" s="147"/>
      <c r="S389" s="147"/>
      <c r="V389" s="147"/>
      <c r="W389" s="147"/>
      <c r="X389" s="147"/>
      <c r="AA389" s="147"/>
      <c r="AB389" s="147"/>
      <c r="AC389" s="147"/>
      <c r="AF389" s="147"/>
      <c r="AG389" s="147"/>
      <c r="AH389" s="147"/>
    </row>
    <row r="390" spans="17:34" x14ac:dyDescent="0.3">
      <c r="Q390" s="147"/>
      <c r="R390" s="147"/>
      <c r="S390" s="147"/>
      <c r="V390" s="147"/>
      <c r="W390" s="147"/>
      <c r="X390" s="147"/>
      <c r="AA390" s="147"/>
      <c r="AB390" s="147"/>
      <c r="AC390" s="147"/>
      <c r="AF390" s="147"/>
      <c r="AG390" s="147"/>
      <c r="AH390" s="147"/>
    </row>
    <row r="391" spans="17:34" x14ac:dyDescent="0.3">
      <c r="Q391" s="147"/>
      <c r="R391" s="147"/>
      <c r="S391" s="147"/>
      <c r="V391" s="147"/>
      <c r="W391" s="147"/>
      <c r="X391" s="147"/>
      <c r="AA391" s="147"/>
      <c r="AB391" s="147"/>
      <c r="AC391" s="147"/>
      <c r="AF391" s="147"/>
      <c r="AG391" s="147"/>
      <c r="AH391" s="147"/>
    </row>
    <row r="392" spans="17:34" x14ac:dyDescent="0.3">
      <c r="Q392" s="147"/>
      <c r="R392" s="147"/>
      <c r="S392" s="147"/>
      <c r="V392" s="147"/>
      <c r="W392" s="147"/>
      <c r="X392" s="147"/>
      <c r="AA392" s="147"/>
      <c r="AB392" s="147"/>
      <c r="AC392" s="147"/>
      <c r="AF392" s="147"/>
      <c r="AG392" s="147"/>
      <c r="AH392" s="147"/>
    </row>
    <row r="393" spans="17:34" x14ac:dyDescent="0.3">
      <c r="Q393" s="147"/>
      <c r="R393" s="147"/>
      <c r="S393" s="147"/>
      <c r="V393" s="147"/>
      <c r="W393" s="147"/>
      <c r="X393" s="147"/>
      <c r="AA393" s="147"/>
      <c r="AB393" s="147"/>
      <c r="AC393" s="147"/>
      <c r="AF393" s="147"/>
      <c r="AG393" s="147"/>
      <c r="AH393" s="147"/>
    </row>
    <row r="394" spans="17:34" x14ac:dyDescent="0.3">
      <c r="Q394" s="147"/>
      <c r="R394" s="147"/>
      <c r="S394" s="147"/>
      <c r="V394" s="147"/>
      <c r="W394" s="147"/>
      <c r="X394" s="147"/>
      <c r="AA394" s="147"/>
      <c r="AB394" s="147"/>
      <c r="AC394" s="147"/>
      <c r="AF394" s="147"/>
      <c r="AG394" s="147"/>
      <c r="AH394" s="147"/>
    </row>
    <row r="395" spans="17:34" x14ac:dyDescent="0.3">
      <c r="Q395" s="147"/>
      <c r="R395" s="147"/>
      <c r="S395" s="147"/>
      <c r="V395" s="147"/>
      <c r="W395" s="147"/>
      <c r="X395" s="147"/>
      <c r="AA395" s="147"/>
      <c r="AB395" s="147"/>
      <c r="AC395" s="147"/>
      <c r="AF395" s="147"/>
      <c r="AG395" s="147"/>
      <c r="AH395" s="147"/>
    </row>
    <row r="396" spans="17:34" x14ac:dyDescent="0.3">
      <c r="Q396" s="147"/>
      <c r="R396" s="147"/>
      <c r="S396" s="147"/>
      <c r="V396" s="147"/>
      <c r="W396" s="147"/>
      <c r="X396" s="147"/>
      <c r="AA396" s="147"/>
      <c r="AB396" s="147"/>
      <c r="AC396" s="147"/>
      <c r="AF396" s="147"/>
      <c r="AG396" s="147"/>
      <c r="AH396" s="147"/>
    </row>
    <row r="397" spans="17:34" x14ac:dyDescent="0.3">
      <c r="Q397" s="147"/>
      <c r="R397" s="147"/>
      <c r="S397" s="147"/>
      <c r="V397" s="147"/>
      <c r="W397" s="147"/>
      <c r="X397" s="147"/>
      <c r="AA397" s="147"/>
      <c r="AB397" s="147"/>
      <c r="AC397" s="147"/>
      <c r="AF397" s="147"/>
      <c r="AG397" s="147"/>
      <c r="AH397" s="147"/>
    </row>
    <row r="398" spans="17:34" x14ac:dyDescent="0.3">
      <c r="Q398" s="147"/>
      <c r="R398" s="147"/>
      <c r="S398" s="147"/>
      <c r="V398" s="147"/>
      <c r="W398" s="147"/>
      <c r="X398" s="147"/>
      <c r="AA398" s="147"/>
      <c r="AB398" s="147"/>
      <c r="AC398" s="147"/>
      <c r="AF398" s="147"/>
      <c r="AG398" s="147"/>
      <c r="AH398" s="147"/>
    </row>
    <row r="399" spans="17:34" x14ac:dyDescent="0.3">
      <c r="Q399" s="147"/>
      <c r="R399" s="147"/>
      <c r="S399" s="147"/>
      <c r="V399" s="147"/>
      <c r="W399" s="147"/>
      <c r="X399" s="147"/>
      <c r="AA399" s="147"/>
      <c r="AB399" s="147"/>
      <c r="AC399" s="147"/>
      <c r="AF399" s="147"/>
      <c r="AG399" s="147"/>
      <c r="AH399" s="147"/>
    </row>
    <row r="400" spans="17:34" x14ac:dyDescent="0.3">
      <c r="Q400" s="147"/>
      <c r="R400" s="147"/>
      <c r="S400" s="147"/>
      <c r="V400" s="147"/>
      <c r="W400" s="147"/>
      <c r="X400" s="147"/>
      <c r="AA400" s="147"/>
      <c r="AB400" s="147"/>
      <c r="AC400" s="147"/>
      <c r="AF400" s="147"/>
      <c r="AG400" s="147"/>
      <c r="AH400" s="147"/>
    </row>
    <row r="401" spans="17:34" x14ac:dyDescent="0.3">
      <c r="Q401" s="147"/>
      <c r="R401" s="147"/>
      <c r="S401" s="147"/>
      <c r="V401" s="147"/>
      <c r="W401" s="147"/>
      <c r="X401" s="147"/>
      <c r="AA401" s="147"/>
      <c r="AB401" s="147"/>
      <c r="AC401" s="147"/>
      <c r="AF401" s="147"/>
      <c r="AG401" s="147"/>
      <c r="AH401" s="147"/>
    </row>
    <row r="402" spans="17:34" x14ac:dyDescent="0.3">
      <c r="Q402" s="147"/>
      <c r="R402" s="147"/>
      <c r="S402" s="147"/>
      <c r="V402" s="147"/>
      <c r="W402" s="147"/>
      <c r="X402" s="147"/>
      <c r="AA402" s="147"/>
      <c r="AB402" s="147"/>
      <c r="AC402" s="147"/>
      <c r="AF402" s="147"/>
      <c r="AG402" s="147"/>
      <c r="AH402" s="147"/>
    </row>
    <row r="403" spans="17:34" x14ac:dyDescent="0.3">
      <c r="Q403" s="147"/>
      <c r="R403" s="147"/>
      <c r="S403" s="147"/>
      <c r="V403" s="147"/>
      <c r="W403" s="147"/>
      <c r="X403" s="147"/>
      <c r="AA403" s="147"/>
      <c r="AB403" s="147"/>
      <c r="AC403" s="147"/>
      <c r="AF403" s="147"/>
      <c r="AG403" s="147"/>
      <c r="AH403" s="147"/>
    </row>
    <row r="404" spans="17:34" x14ac:dyDescent="0.3">
      <c r="Q404" s="147"/>
      <c r="R404" s="147"/>
      <c r="S404" s="147"/>
      <c r="V404" s="147"/>
      <c r="W404" s="147"/>
      <c r="X404" s="147"/>
      <c r="AA404" s="147"/>
      <c r="AB404" s="147"/>
      <c r="AC404" s="147"/>
      <c r="AF404" s="147"/>
      <c r="AG404" s="147"/>
      <c r="AH404" s="147"/>
    </row>
    <row r="405" spans="17:34" x14ac:dyDescent="0.3">
      <c r="Q405" s="147"/>
      <c r="R405" s="147"/>
      <c r="S405" s="147"/>
      <c r="V405" s="147"/>
      <c r="W405" s="147"/>
      <c r="X405" s="147"/>
      <c r="AA405" s="147"/>
      <c r="AB405" s="147"/>
      <c r="AC405" s="147"/>
      <c r="AF405" s="147"/>
      <c r="AG405" s="147"/>
      <c r="AH405" s="147"/>
    </row>
    <row r="406" spans="17:34" x14ac:dyDescent="0.3">
      <c r="Q406" s="147"/>
      <c r="R406" s="147"/>
      <c r="S406" s="147"/>
      <c r="V406" s="147"/>
      <c r="W406" s="147"/>
      <c r="X406" s="147"/>
      <c r="AA406" s="147"/>
      <c r="AB406" s="147"/>
      <c r="AC406" s="147"/>
      <c r="AF406" s="147"/>
      <c r="AG406" s="147"/>
      <c r="AH406" s="147"/>
    </row>
    <row r="407" spans="17:34" x14ac:dyDescent="0.3">
      <c r="Q407" s="147"/>
      <c r="R407" s="147"/>
      <c r="S407" s="147"/>
      <c r="V407" s="147"/>
      <c r="W407" s="147"/>
      <c r="X407" s="147"/>
      <c r="AA407" s="147"/>
      <c r="AB407" s="147"/>
      <c r="AC407" s="147"/>
      <c r="AF407" s="147"/>
      <c r="AG407" s="147"/>
      <c r="AH407" s="147"/>
    </row>
    <row r="408" spans="17:34" x14ac:dyDescent="0.3">
      <c r="Q408" s="147"/>
      <c r="R408" s="147"/>
      <c r="S408" s="147"/>
      <c r="V408" s="147"/>
      <c r="W408" s="147"/>
      <c r="X408" s="147"/>
      <c r="AA408" s="147"/>
      <c r="AB408" s="147"/>
      <c r="AC408" s="147"/>
      <c r="AF408" s="147"/>
      <c r="AG408" s="147"/>
      <c r="AH408" s="147"/>
    </row>
    <row r="409" spans="17:34" x14ac:dyDescent="0.3">
      <c r="Q409" s="147"/>
      <c r="R409" s="147"/>
      <c r="S409" s="147"/>
      <c r="V409" s="147"/>
      <c r="W409" s="147"/>
      <c r="X409" s="147"/>
      <c r="AA409" s="147"/>
      <c r="AB409" s="147"/>
      <c r="AC409" s="147"/>
      <c r="AF409" s="147"/>
      <c r="AG409" s="147"/>
      <c r="AH409" s="147"/>
    </row>
    <row r="410" spans="17:34" x14ac:dyDescent="0.3">
      <c r="Q410" s="147"/>
      <c r="R410" s="147"/>
      <c r="S410" s="147"/>
      <c r="V410" s="147"/>
      <c r="W410" s="147"/>
      <c r="X410" s="147"/>
      <c r="AA410" s="147"/>
      <c r="AB410" s="147"/>
      <c r="AC410" s="147"/>
      <c r="AF410" s="147"/>
      <c r="AG410" s="147"/>
      <c r="AH410" s="147"/>
    </row>
    <row r="411" spans="17:34" x14ac:dyDescent="0.3">
      <c r="Q411" s="147"/>
      <c r="R411" s="147"/>
      <c r="S411" s="147"/>
      <c r="V411" s="147"/>
      <c r="W411" s="147"/>
      <c r="X411" s="147"/>
      <c r="AA411" s="147"/>
      <c r="AB411" s="147"/>
      <c r="AC411" s="147"/>
      <c r="AF411" s="147"/>
      <c r="AG411" s="147"/>
      <c r="AH411" s="147"/>
    </row>
    <row r="412" spans="17:34" x14ac:dyDescent="0.3">
      <c r="Q412" s="147"/>
      <c r="R412" s="147"/>
      <c r="S412" s="147"/>
      <c r="V412" s="147"/>
      <c r="W412" s="147"/>
      <c r="X412" s="147"/>
      <c r="AA412" s="147"/>
      <c r="AB412" s="147"/>
      <c r="AC412" s="147"/>
      <c r="AF412" s="147"/>
      <c r="AG412" s="147"/>
      <c r="AH412" s="147"/>
    </row>
    <row r="413" spans="17:34" x14ac:dyDescent="0.3">
      <c r="Q413" s="147"/>
      <c r="R413" s="147"/>
      <c r="S413" s="147"/>
      <c r="V413" s="147"/>
      <c r="W413" s="147"/>
      <c r="X413" s="147"/>
      <c r="AA413" s="147"/>
      <c r="AB413" s="147"/>
      <c r="AC413" s="147"/>
      <c r="AF413" s="147"/>
      <c r="AG413" s="147"/>
      <c r="AH413" s="147"/>
    </row>
    <row r="414" spans="17:34" x14ac:dyDescent="0.3">
      <c r="Q414" s="147"/>
      <c r="R414" s="147"/>
      <c r="S414" s="147"/>
      <c r="V414" s="147"/>
      <c r="W414" s="147"/>
      <c r="X414" s="147"/>
      <c r="AA414" s="147"/>
      <c r="AB414" s="147"/>
      <c r="AC414" s="147"/>
      <c r="AF414" s="147"/>
      <c r="AG414" s="147"/>
      <c r="AH414" s="147"/>
    </row>
    <row r="415" spans="17:34" x14ac:dyDescent="0.3">
      <c r="Q415" s="147"/>
      <c r="R415" s="147"/>
      <c r="S415" s="147"/>
      <c r="V415" s="147"/>
      <c r="W415" s="147"/>
      <c r="X415" s="147"/>
      <c r="AA415" s="147"/>
      <c r="AB415" s="147"/>
      <c r="AC415" s="147"/>
      <c r="AF415" s="147"/>
      <c r="AG415" s="147"/>
      <c r="AH415" s="147"/>
    </row>
    <row r="416" spans="17:34" x14ac:dyDescent="0.3">
      <c r="Q416" s="147"/>
      <c r="R416" s="147"/>
      <c r="S416" s="147"/>
      <c r="V416" s="147"/>
      <c r="W416" s="147"/>
      <c r="X416" s="147"/>
      <c r="AA416" s="147"/>
      <c r="AB416" s="147"/>
      <c r="AC416" s="147"/>
      <c r="AF416" s="147"/>
      <c r="AG416" s="147"/>
      <c r="AH416" s="147"/>
    </row>
    <row r="417" spans="17:34" x14ac:dyDescent="0.3">
      <c r="Q417" s="147"/>
      <c r="R417" s="147"/>
      <c r="S417" s="147"/>
      <c r="V417" s="147"/>
      <c r="W417" s="147"/>
      <c r="X417" s="147"/>
      <c r="AA417" s="147"/>
      <c r="AB417" s="147"/>
      <c r="AC417" s="147"/>
      <c r="AF417" s="147"/>
      <c r="AG417" s="147"/>
      <c r="AH417" s="147"/>
    </row>
    <row r="418" spans="17:34" x14ac:dyDescent="0.3">
      <c r="Q418" s="147"/>
      <c r="R418" s="147"/>
      <c r="S418" s="147"/>
      <c r="V418" s="147"/>
      <c r="W418" s="147"/>
      <c r="X418" s="147"/>
      <c r="AA418" s="147"/>
      <c r="AB418" s="147"/>
      <c r="AC418" s="147"/>
      <c r="AF418" s="147"/>
      <c r="AG418" s="147"/>
      <c r="AH418" s="147"/>
    </row>
    <row r="419" spans="17:34" x14ac:dyDescent="0.3">
      <c r="Q419" s="147"/>
      <c r="R419" s="147"/>
      <c r="S419" s="147"/>
      <c r="V419" s="147"/>
      <c r="W419" s="147"/>
      <c r="X419" s="147"/>
      <c r="AA419" s="147"/>
      <c r="AB419" s="147"/>
      <c r="AC419" s="147"/>
      <c r="AF419" s="147"/>
      <c r="AG419" s="147"/>
      <c r="AH419" s="147"/>
    </row>
    <row r="420" spans="17:34" x14ac:dyDescent="0.3">
      <c r="Q420" s="147"/>
      <c r="R420" s="147"/>
      <c r="S420" s="147"/>
      <c r="V420" s="147"/>
      <c r="W420" s="147"/>
      <c r="X420" s="147"/>
      <c r="AA420" s="147"/>
      <c r="AB420" s="147"/>
      <c r="AC420" s="147"/>
      <c r="AF420" s="147"/>
      <c r="AG420" s="147"/>
      <c r="AH420" s="147"/>
    </row>
    <row r="421" spans="17:34" x14ac:dyDescent="0.3">
      <c r="Q421" s="147"/>
      <c r="R421" s="147"/>
      <c r="S421" s="147"/>
      <c r="V421" s="147"/>
      <c r="W421" s="147"/>
      <c r="X421" s="147"/>
      <c r="AA421" s="147"/>
      <c r="AB421" s="147"/>
      <c r="AC421" s="147"/>
      <c r="AF421" s="147"/>
      <c r="AG421" s="147"/>
      <c r="AH421" s="147"/>
    </row>
    <row r="422" spans="17:34" x14ac:dyDescent="0.3">
      <c r="Q422" s="147"/>
      <c r="R422" s="147"/>
      <c r="S422" s="147"/>
      <c r="V422" s="147"/>
      <c r="W422" s="147"/>
      <c r="X422" s="147"/>
      <c r="AA422" s="147"/>
      <c r="AB422" s="147"/>
      <c r="AC422" s="147"/>
      <c r="AF422" s="147"/>
      <c r="AG422" s="147"/>
      <c r="AH422" s="147"/>
    </row>
    <row r="423" spans="17:34" x14ac:dyDescent="0.3">
      <c r="Q423" s="147"/>
      <c r="R423" s="147"/>
      <c r="S423" s="147"/>
      <c r="V423" s="147"/>
      <c r="W423" s="147"/>
      <c r="X423" s="147"/>
      <c r="AA423" s="147"/>
      <c r="AB423" s="147"/>
      <c r="AC423" s="147"/>
      <c r="AF423" s="147"/>
      <c r="AG423" s="147"/>
      <c r="AH423" s="147"/>
    </row>
    <row r="424" spans="17:34" x14ac:dyDescent="0.3">
      <c r="Q424" s="147"/>
      <c r="R424" s="147"/>
      <c r="S424" s="147"/>
      <c r="V424" s="147"/>
      <c r="W424" s="147"/>
      <c r="X424" s="147"/>
      <c r="AA424" s="147"/>
      <c r="AB424" s="147"/>
      <c r="AC424" s="147"/>
      <c r="AF424" s="147"/>
      <c r="AG424" s="147"/>
      <c r="AH424" s="147"/>
    </row>
    <row r="425" spans="17:34" x14ac:dyDescent="0.3">
      <c r="Q425" s="147"/>
      <c r="R425" s="147"/>
      <c r="S425" s="147"/>
      <c r="V425" s="147"/>
      <c r="W425" s="147"/>
      <c r="X425" s="147"/>
      <c r="AA425" s="147"/>
      <c r="AB425" s="147"/>
      <c r="AC425" s="147"/>
      <c r="AF425" s="147"/>
      <c r="AG425" s="147"/>
      <c r="AH425" s="147"/>
    </row>
    <row r="426" spans="17:34" x14ac:dyDescent="0.3">
      <c r="Q426" s="147"/>
      <c r="R426" s="147"/>
      <c r="S426" s="147"/>
      <c r="V426" s="147"/>
      <c r="W426" s="147"/>
      <c r="X426" s="147"/>
      <c r="AA426" s="147"/>
      <c r="AB426" s="147"/>
      <c r="AC426" s="147"/>
      <c r="AF426" s="147"/>
      <c r="AG426" s="147"/>
      <c r="AH426" s="147"/>
    </row>
    <row r="427" spans="17:34" x14ac:dyDescent="0.3">
      <c r="Q427" s="147"/>
      <c r="R427" s="147"/>
      <c r="S427" s="147"/>
      <c r="V427" s="147"/>
      <c r="W427" s="147"/>
      <c r="X427" s="147"/>
      <c r="AA427" s="147"/>
      <c r="AB427" s="147"/>
      <c r="AC427" s="147"/>
      <c r="AF427" s="147"/>
      <c r="AG427" s="147"/>
      <c r="AH427" s="147"/>
    </row>
    <row r="428" spans="17:34" x14ac:dyDescent="0.3">
      <c r="Q428" s="147"/>
      <c r="R428" s="147"/>
      <c r="S428" s="147"/>
      <c r="V428" s="147"/>
      <c r="W428" s="147"/>
      <c r="X428" s="147"/>
      <c r="AA428" s="147"/>
      <c r="AB428" s="147"/>
      <c r="AC428" s="147"/>
      <c r="AF428" s="147"/>
      <c r="AG428" s="147"/>
      <c r="AH428" s="147"/>
    </row>
    <row r="429" spans="17:34" x14ac:dyDescent="0.3">
      <c r="Q429" s="147"/>
      <c r="R429" s="147"/>
      <c r="S429" s="147"/>
      <c r="V429" s="147"/>
      <c r="W429" s="147"/>
      <c r="X429" s="147"/>
      <c r="AA429" s="147"/>
      <c r="AB429" s="147"/>
      <c r="AC429" s="147"/>
      <c r="AF429" s="147"/>
      <c r="AG429" s="147"/>
      <c r="AH429" s="147"/>
    </row>
    <row r="430" spans="17:34" x14ac:dyDescent="0.3">
      <c r="Q430" s="147"/>
      <c r="R430" s="147"/>
      <c r="S430" s="147"/>
      <c r="V430" s="147"/>
      <c r="W430" s="147"/>
      <c r="X430" s="147"/>
      <c r="AA430" s="147"/>
      <c r="AB430" s="147"/>
      <c r="AC430" s="147"/>
      <c r="AF430" s="147"/>
      <c r="AG430" s="147"/>
      <c r="AH430" s="147"/>
    </row>
    <row r="431" spans="17:34" x14ac:dyDescent="0.3">
      <c r="Q431" s="147"/>
      <c r="R431" s="147"/>
      <c r="S431" s="147"/>
      <c r="V431" s="147"/>
      <c r="W431" s="147"/>
      <c r="X431" s="147"/>
      <c r="AA431" s="147"/>
      <c r="AB431" s="147"/>
      <c r="AC431" s="147"/>
      <c r="AF431" s="147"/>
      <c r="AG431" s="147"/>
      <c r="AH431" s="147"/>
    </row>
    <row r="432" spans="17:34" x14ac:dyDescent="0.3">
      <c r="Q432" s="147"/>
      <c r="R432" s="147"/>
      <c r="S432" s="147"/>
      <c r="V432" s="147"/>
      <c r="W432" s="147"/>
      <c r="X432" s="147"/>
      <c r="AA432" s="147"/>
      <c r="AB432" s="147"/>
      <c r="AC432" s="147"/>
      <c r="AF432" s="147"/>
      <c r="AG432" s="147"/>
      <c r="AH432" s="147"/>
    </row>
    <row r="433" spans="17:34" x14ac:dyDescent="0.3">
      <c r="Q433" s="147"/>
      <c r="R433" s="147"/>
      <c r="S433" s="147"/>
      <c r="V433" s="147"/>
      <c r="W433" s="147"/>
      <c r="X433" s="147"/>
      <c r="AA433" s="147"/>
      <c r="AB433" s="147"/>
      <c r="AC433" s="147"/>
      <c r="AF433" s="147"/>
      <c r="AG433" s="147"/>
      <c r="AH433" s="147"/>
    </row>
    <row r="434" spans="17:34" x14ac:dyDescent="0.3">
      <c r="Q434" s="147"/>
      <c r="R434" s="147"/>
      <c r="S434" s="147"/>
      <c r="V434" s="147"/>
      <c r="W434" s="147"/>
      <c r="X434" s="147"/>
      <c r="AA434" s="147"/>
      <c r="AB434" s="147"/>
      <c r="AC434" s="147"/>
      <c r="AF434" s="147"/>
      <c r="AG434" s="147"/>
      <c r="AH434" s="147"/>
    </row>
    <row r="435" spans="17:34" x14ac:dyDescent="0.3">
      <c r="Q435" s="147"/>
      <c r="R435" s="147"/>
      <c r="S435" s="147"/>
      <c r="V435" s="147"/>
      <c r="W435" s="147"/>
      <c r="X435" s="147"/>
      <c r="AA435" s="147"/>
      <c r="AB435" s="147"/>
      <c r="AC435" s="147"/>
      <c r="AF435" s="147"/>
      <c r="AG435" s="147"/>
      <c r="AH435" s="147"/>
    </row>
    <row r="436" spans="17:34" x14ac:dyDescent="0.3">
      <c r="Q436" s="147"/>
      <c r="R436" s="147"/>
      <c r="S436" s="147"/>
      <c r="V436" s="147"/>
      <c r="W436" s="147"/>
      <c r="X436" s="147"/>
      <c r="AA436" s="147"/>
      <c r="AB436" s="147"/>
      <c r="AC436" s="147"/>
      <c r="AF436" s="147"/>
      <c r="AG436" s="147"/>
      <c r="AH436" s="147"/>
    </row>
    <row r="437" spans="17:34" x14ac:dyDescent="0.3">
      <c r="Q437" s="147"/>
      <c r="R437" s="147"/>
      <c r="S437" s="147"/>
      <c r="V437" s="147"/>
      <c r="W437" s="147"/>
      <c r="X437" s="147"/>
      <c r="AA437" s="147"/>
      <c r="AB437" s="147"/>
      <c r="AC437" s="147"/>
      <c r="AF437" s="147"/>
      <c r="AG437" s="147"/>
      <c r="AH437" s="147"/>
    </row>
    <row r="438" spans="17:34" x14ac:dyDescent="0.3">
      <c r="Q438" s="147"/>
      <c r="R438" s="147"/>
      <c r="S438" s="147"/>
      <c r="V438" s="147"/>
      <c r="W438" s="147"/>
      <c r="X438" s="147"/>
      <c r="AA438" s="147"/>
      <c r="AB438" s="147"/>
      <c r="AC438" s="147"/>
      <c r="AF438" s="147"/>
      <c r="AG438" s="147"/>
      <c r="AH438" s="147"/>
    </row>
    <row r="439" spans="17:34" x14ac:dyDescent="0.3">
      <c r="Q439" s="147"/>
      <c r="R439" s="147"/>
      <c r="S439" s="147"/>
      <c r="V439" s="147"/>
      <c r="W439" s="147"/>
      <c r="X439" s="147"/>
      <c r="AA439" s="147"/>
      <c r="AB439" s="147"/>
      <c r="AC439" s="147"/>
      <c r="AF439" s="147"/>
      <c r="AG439" s="147"/>
      <c r="AH439" s="147"/>
    </row>
    <row r="440" spans="17:34" x14ac:dyDescent="0.3">
      <c r="Q440" s="147"/>
      <c r="R440" s="147"/>
      <c r="S440" s="147"/>
      <c r="V440" s="147"/>
      <c r="W440" s="147"/>
      <c r="X440" s="147"/>
      <c r="AA440" s="147"/>
      <c r="AB440" s="147"/>
      <c r="AC440" s="147"/>
      <c r="AF440" s="147"/>
      <c r="AG440" s="147"/>
      <c r="AH440" s="147"/>
    </row>
    <row r="441" spans="17:34" x14ac:dyDescent="0.3">
      <c r="Q441" s="147"/>
      <c r="R441" s="147"/>
      <c r="S441" s="147"/>
      <c r="V441" s="147"/>
      <c r="W441" s="147"/>
      <c r="X441" s="147"/>
      <c r="AA441" s="147"/>
      <c r="AB441" s="147"/>
      <c r="AC441" s="147"/>
      <c r="AF441" s="147"/>
      <c r="AG441" s="147"/>
      <c r="AH441" s="147"/>
    </row>
    <row r="442" spans="17:34" x14ac:dyDescent="0.3">
      <c r="Q442" s="147"/>
      <c r="R442" s="147"/>
      <c r="S442" s="147"/>
      <c r="V442" s="147"/>
      <c r="W442" s="147"/>
      <c r="X442" s="147"/>
      <c r="AA442" s="147"/>
      <c r="AB442" s="147"/>
      <c r="AC442" s="147"/>
      <c r="AF442" s="147"/>
      <c r="AG442" s="147"/>
      <c r="AH442" s="147"/>
    </row>
    <row r="443" spans="17:34" x14ac:dyDescent="0.3">
      <c r="Q443" s="147"/>
      <c r="R443" s="147"/>
      <c r="S443" s="147"/>
      <c r="V443" s="147"/>
      <c r="W443" s="147"/>
      <c r="X443" s="147"/>
      <c r="AA443" s="147"/>
      <c r="AB443" s="147"/>
      <c r="AC443" s="147"/>
      <c r="AF443" s="147"/>
      <c r="AG443" s="147"/>
      <c r="AH443" s="147"/>
    </row>
    <row r="444" spans="17:34" x14ac:dyDescent="0.3">
      <c r="Q444" s="147"/>
      <c r="R444" s="147"/>
      <c r="S444" s="147"/>
      <c r="V444" s="147"/>
      <c r="W444" s="147"/>
      <c r="X444" s="147"/>
      <c r="AA444" s="147"/>
      <c r="AB444" s="147"/>
      <c r="AC444" s="147"/>
      <c r="AF444" s="147"/>
      <c r="AG444" s="147"/>
      <c r="AH444" s="147"/>
    </row>
    <row r="445" spans="17:34" x14ac:dyDescent="0.3">
      <c r="Q445" s="147"/>
      <c r="R445" s="147"/>
      <c r="S445" s="147"/>
      <c r="V445" s="147"/>
      <c r="W445" s="147"/>
      <c r="X445" s="147"/>
      <c r="AA445" s="147"/>
      <c r="AB445" s="147"/>
      <c r="AC445" s="147"/>
      <c r="AF445" s="147"/>
      <c r="AG445" s="147"/>
      <c r="AH445" s="147"/>
    </row>
    <row r="446" spans="17:34" x14ac:dyDescent="0.3">
      <c r="Q446" s="147"/>
      <c r="R446" s="147"/>
      <c r="S446" s="147"/>
      <c r="V446" s="147"/>
      <c r="W446" s="147"/>
      <c r="X446" s="147"/>
      <c r="AA446" s="147"/>
      <c r="AB446" s="147"/>
      <c r="AC446" s="147"/>
      <c r="AF446" s="147"/>
      <c r="AG446" s="147"/>
      <c r="AH446" s="147"/>
    </row>
    <row r="447" spans="17:34" x14ac:dyDescent="0.3">
      <c r="Q447" s="147"/>
      <c r="R447" s="147"/>
      <c r="S447" s="147"/>
      <c r="V447" s="147"/>
      <c r="W447" s="147"/>
      <c r="X447" s="147"/>
      <c r="AA447" s="147"/>
      <c r="AB447" s="147"/>
      <c r="AC447" s="147"/>
      <c r="AF447" s="147"/>
      <c r="AG447" s="147"/>
      <c r="AH447" s="147"/>
    </row>
    <row r="448" spans="17:34" x14ac:dyDescent="0.3">
      <c r="Q448" s="147"/>
      <c r="R448" s="147"/>
      <c r="S448" s="147"/>
      <c r="V448" s="147"/>
      <c r="W448" s="147"/>
      <c r="X448" s="147"/>
      <c r="AA448" s="147"/>
      <c r="AB448" s="147"/>
      <c r="AC448" s="147"/>
      <c r="AF448" s="147"/>
      <c r="AG448" s="147"/>
      <c r="AH448" s="147"/>
    </row>
    <row r="449" spans="17:34" x14ac:dyDescent="0.3">
      <c r="Q449" s="147"/>
      <c r="R449" s="147"/>
      <c r="S449" s="147"/>
      <c r="V449" s="147"/>
      <c r="W449" s="147"/>
      <c r="X449" s="147"/>
      <c r="AA449" s="147"/>
      <c r="AB449" s="147"/>
      <c r="AC449" s="147"/>
      <c r="AF449" s="147"/>
      <c r="AG449" s="147"/>
      <c r="AH449" s="147"/>
    </row>
    <row r="450" spans="17:34" x14ac:dyDescent="0.3">
      <c r="Q450" s="147"/>
      <c r="R450" s="147"/>
      <c r="S450" s="147"/>
      <c r="V450" s="147"/>
      <c r="W450" s="147"/>
      <c r="X450" s="147"/>
      <c r="AA450" s="147"/>
      <c r="AB450" s="147"/>
      <c r="AC450" s="147"/>
      <c r="AF450" s="147"/>
      <c r="AG450" s="147"/>
      <c r="AH450" s="147"/>
    </row>
    <row r="451" spans="17:34" x14ac:dyDescent="0.3">
      <c r="Q451" s="147"/>
      <c r="R451" s="147"/>
      <c r="S451" s="147"/>
      <c r="V451" s="147"/>
      <c r="W451" s="147"/>
      <c r="X451" s="147"/>
      <c r="AA451" s="147"/>
      <c r="AB451" s="147"/>
      <c r="AC451" s="147"/>
      <c r="AF451" s="147"/>
      <c r="AG451" s="147"/>
      <c r="AH451" s="147"/>
    </row>
    <row r="452" spans="17:34" x14ac:dyDescent="0.3">
      <c r="Q452" s="147"/>
      <c r="R452" s="147"/>
      <c r="S452" s="147"/>
      <c r="V452" s="147"/>
      <c r="W452" s="147"/>
      <c r="X452" s="147"/>
      <c r="AA452" s="147"/>
      <c r="AB452" s="147"/>
      <c r="AC452" s="147"/>
      <c r="AF452" s="147"/>
      <c r="AG452" s="147"/>
      <c r="AH452" s="147"/>
    </row>
    <row r="453" spans="17:34" x14ac:dyDescent="0.3">
      <c r="Q453" s="147"/>
      <c r="R453" s="147"/>
      <c r="S453" s="147"/>
      <c r="V453" s="147"/>
      <c r="W453" s="147"/>
      <c r="X453" s="147"/>
      <c r="AA453" s="147"/>
      <c r="AB453" s="147"/>
      <c r="AC453" s="147"/>
      <c r="AF453" s="147"/>
      <c r="AG453" s="147"/>
      <c r="AH453" s="147"/>
    </row>
    <row r="454" spans="17:34" x14ac:dyDescent="0.3">
      <c r="AF454" s="147"/>
      <c r="AG454" s="147"/>
      <c r="AH454" s="147"/>
    </row>
  </sheetData>
  <sheetProtection algorithmName="SHA-512" hashValue="GLXUbgZRqFK04l4q/3yRLy/shwMvyZ7fGKt8SrNdLpSGhxHaP1F8lsAM8ZMnFfiId1oYNiaEsgbrFOrvhb5lTA==" saltValue="5PI/1P83+glam9dsqP86jg==" spinCount="100000" sheet="1" objects="1" scenarios="1" selectLockedCells="1"/>
  <mergeCells count="5">
    <mergeCell ref="A1:P1"/>
    <mergeCell ref="N3:O3"/>
    <mergeCell ref="K35:P36"/>
    <mergeCell ref="F70:H70"/>
    <mergeCell ref="F81:G81"/>
  </mergeCells>
  <conditionalFormatting sqref="E6:E8">
    <cfRule type="cellIs" dxfId="26" priority="26" stopIfTrue="1" operator="notBetween">
      <formula>3.5</formula>
      <formula>VIN_MAX_RATING</formula>
    </cfRule>
  </conditionalFormatting>
  <conditionalFormatting sqref="E9">
    <cfRule type="cellIs" dxfId="25" priority="25" stopIfTrue="1" operator="notBetween">
      <formula>0.8</formula>
      <formula>VOUT_MAX_RATING</formula>
    </cfRule>
  </conditionalFormatting>
  <conditionalFormatting sqref="E33">
    <cfRule type="cellIs" dxfId="24" priority="24" stopIfTrue="1" operator="lessThanOrEqual">
      <formula>0</formula>
    </cfRule>
  </conditionalFormatting>
  <conditionalFormatting sqref="E35">
    <cfRule type="cellIs" dxfId="23" priority="23" stopIfTrue="1" operator="lessThan">
      <formula>$E$34</formula>
    </cfRule>
  </conditionalFormatting>
  <conditionalFormatting sqref="E37">
    <cfRule type="cellIs" dxfId="22" priority="22" stopIfTrue="1" operator="greaterThan">
      <formula>$E$36</formula>
    </cfRule>
  </conditionalFormatting>
  <conditionalFormatting sqref="E42">
    <cfRule type="cellIs" dxfId="21" priority="21" stopIfTrue="1" operator="equal">
      <formula>0</formula>
    </cfRule>
  </conditionalFormatting>
  <conditionalFormatting sqref="E44">
    <cfRule type="cellIs" dxfId="20" priority="20" stopIfTrue="1" operator="lessThan">
      <formula>$E$43</formula>
    </cfRule>
  </conditionalFormatting>
  <conditionalFormatting sqref="E46">
    <cfRule type="cellIs" dxfId="19" priority="18" stopIfTrue="1" operator="greaterThan">
      <formula>$E$45</formula>
    </cfRule>
    <cfRule type="cellIs" dxfId="18" priority="19" stopIfTrue="1" operator="equal">
      <formula>0</formula>
    </cfRule>
  </conditionalFormatting>
  <conditionalFormatting sqref="E11">
    <cfRule type="expression" dxfId="17" priority="8">
      <formula>OR(Fsw/1000&gt;2200, Fsw/1000&lt;100)</formula>
    </cfRule>
  </conditionalFormatting>
  <conditionalFormatting sqref="E7">
    <cfRule type="cellIs" dxfId="16" priority="27" operator="notBetween">
      <formula>$E$6</formula>
      <formula>$E$8</formula>
    </cfRule>
  </conditionalFormatting>
  <conditionalFormatting sqref="I10">
    <cfRule type="cellIs" dxfId="15" priority="17" stopIfTrue="1" operator="notBetween">
      <formula>0.6</formula>
      <formula>55</formula>
    </cfRule>
  </conditionalFormatting>
  <conditionalFormatting sqref="I33">
    <cfRule type="cellIs" dxfId="14" priority="16" stopIfTrue="1" operator="lessThanOrEqual">
      <formula>0</formula>
    </cfRule>
  </conditionalFormatting>
  <conditionalFormatting sqref="I35">
    <cfRule type="cellIs" dxfId="13" priority="15" stopIfTrue="1" operator="lessThan">
      <formula>$E$34</formula>
    </cfRule>
  </conditionalFormatting>
  <conditionalFormatting sqref="I37">
    <cfRule type="cellIs" dxfId="12" priority="14" stopIfTrue="1" operator="greaterThan">
      <formula>$I$36</formula>
    </cfRule>
  </conditionalFormatting>
  <conditionalFormatting sqref="A74:G74">
    <cfRule type="expression" dxfId="11" priority="13">
      <formula>MODE=2</formula>
    </cfRule>
  </conditionalFormatting>
  <conditionalFormatting sqref="H41 G43:H43 G45 G47:G49 G61:J67 G33:J39 G16:J23 G26:J30 G10:J10">
    <cfRule type="expression" dxfId="10" priority="12">
      <formula>MODE=2</formula>
    </cfRule>
  </conditionalFormatting>
  <conditionalFormatting sqref="I65:J67">
    <cfRule type="expression" dxfId="9" priority="11">
      <formula>OR((Ch2_VOUT=1),(Ch2_VOUT=2))</formula>
    </cfRule>
  </conditionalFormatting>
  <conditionalFormatting sqref="D80 G79">
    <cfRule type="expression" dxfId="8" priority="10">
      <formula>MODE=2</formula>
    </cfRule>
  </conditionalFormatting>
  <conditionalFormatting sqref="H79:I93">
    <cfRule type="expression" dxfId="7" priority="9">
      <formula>MODE=2</formula>
    </cfRule>
  </conditionalFormatting>
  <conditionalFormatting sqref="D65">
    <cfRule type="expression" dxfId="6" priority="7">
      <formula>OR((VOUT_setting=2),(VOUT_setting=3))</formula>
    </cfRule>
  </conditionalFormatting>
  <conditionalFormatting sqref="A49:F49">
    <cfRule type="expression" dxfId="5" priority="6">
      <formula>INFILTER_TYPE=1</formula>
    </cfRule>
  </conditionalFormatting>
  <conditionalFormatting sqref="D53:F54">
    <cfRule type="expression" dxfId="4" priority="5">
      <formula>UVLO_TYPE=2</formula>
    </cfRule>
  </conditionalFormatting>
  <conditionalFormatting sqref="D61:F64">
    <cfRule type="expression" dxfId="3" priority="4">
      <formula>COMP_TYPE=1</formula>
    </cfRule>
  </conditionalFormatting>
  <conditionalFormatting sqref="A69:H73">
    <cfRule type="expression" dxfId="2" priority="3">
      <formula>COMP_TYPE=1</formula>
    </cfRule>
  </conditionalFormatting>
  <conditionalFormatting sqref="E65:F67">
    <cfRule type="expression" dxfId="1" priority="2">
      <formula>VOUT_setting&lt;&gt;1</formula>
    </cfRule>
  </conditionalFormatting>
  <conditionalFormatting sqref="D66">
    <cfRule type="expression" dxfId="0" priority="1">
      <formula>VOUT_setting&lt;&gt;1</formula>
    </cfRule>
  </conditionalFormatting>
  <hyperlinks>
    <hyperlink ref="N2" r:id="rId1" xr:uid="{22F42A70-2F91-4297-8650-756249CA443E}"/>
    <hyperlink ref="C3" r:id="rId2" xr:uid="{A4DE1FE2-ED22-4EEE-A552-BA917A43C94D}"/>
  </hyperlinks>
  <printOptions horizontalCentered="1" verticalCentered="1"/>
  <pageMargins left="0.1" right="0.1" top="0.1" bottom="0.1" header="0.25" footer="0.25"/>
  <pageSetup scale="46" orientation="portrait" r:id="rId3"/>
  <headerFooter alignWithMargins="0"/>
  <rowBreaks count="1" manualBreakCount="1">
    <brk id="106" max="16383" man="1"/>
  </rowBreaks>
  <drawing r:id="rId4"/>
  <legacyDrawing r:id="rId5"/>
  <legacyDrawingHF r:id="rId6"/>
  <mc:AlternateContent xmlns:mc="http://schemas.openxmlformats.org/markup-compatibility/2006">
    <mc:Choice Requires="x14">
      <controls>
        <mc:AlternateContent xmlns:mc="http://schemas.openxmlformats.org/markup-compatibility/2006">
          <mc:Choice Requires="x14">
            <control shapeId="1025" r:id="rId7" name="Button 1">
              <controlPr locked="0" defaultSize="0" print="0" autoFill="0" autoPict="0" macro="[1]!RESETValues">
                <anchor moveWithCells="1" sizeWithCells="1">
                  <from>
                    <xdr:col>2</xdr:col>
                    <xdr:colOff>327660</xdr:colOff>
                    <xdr:row>70</xdr:row>
                    <xdr:rowOff>76200</xdr:rowOff>
                  </from>
                  <to>
                    <xdr:col>2</xdr:col>
                    <xdr:colOff>899160</xdr:colOff>
                    <xdr:row>72</xdr:row>
                    <xdr:rowOff>137160</xdr:rowOff>
                  </to>
                </anchor>
              </controlPr>
            </control>
          </mc:Choice>
        </mc:AlternateContent>
        <mc:AlternateContent xmlns:mc="http://schemas.openxmlformats.org/markup-compatibility/2006">
          <mc:Choice Requires="x14">
            <control shapeId="1026" r:id="rId8" name="Button 2">
              <controlPr locked="0" defaultSize="0" print="0" autoFill="0" autoPict="0" macro="[1]!FIXValues">
                <anchor moveWithCells="1" sizeWithCells="1">
                  <from>
                    <xdr:col>2</xdr:col>
                    <xdr:colOff>327660</xdr:colOff>
                    <xdr:row>70</xdr:row>
                    <xdr:rowOff>76200</xdr:rowOff>
                  </from>
                  <to>
                    <xdr:col>2</xdr:col>
                    <xdr:colOff>899160</xdr:colOff>
                    <xdr:row>72</xdr:row>
                    <xdr:rowOff>137160</xdr:rowOff>
                  </to>
                </anchor>
              </controlPr>
            </control>
          </mc:Choice>
        </mc:AlternateContent>
        <mc:AlternateContent xmlns:mc="http://schemas.openxmlformats.org/markup-compatibility/2006">
          <mc:Choice Requires="x14">
            <control shapeId="1027" r:id="rId9" name="Drop Down 3">
              <controlPr defaultSize="0" autoLine="0" autoPict="0">
                <anchor moveWithCells="1">
                  <from>
                    <xdr:col>15</xdr:col>
                    <xdr:colOff>5478780</xdr:colOff>
                    <xdr:row>0</xdr:row>
                    <xdr:rowOff>175260</xdr:rowOff>
                  </from>
                  <to>
                    <xdr:col>15</xdr:col>
                    <xdr:colOff>5859780</xdr:colOff>
                    <xdr:row>0</xdr:row>
                    <xdr:rowOff>419100</xdr:rowOff>
                  </to>
                </anchor>
              </controlPr>
            </control>
          </mc:Choice>
        </mc:AlternateContent>
        <mc:AlternateContent xmlns:mc="http://schemas.openxmlformats.org/markup-compatibility/2006">
          <mc:Choice Requires="x14">
            <control shapeId="1028" r:id="rId10" name="Spinner 4">
              <controlPr defaultSize="0" autoPict="0">
                <anchor moveWithCells="1" sizeWithCells="1">
                  <from>
                    <xdr:col>5</xdr:col>
                    <xdr:colOff>22860</xdr:colOff>
                    <xdr:row>62</xdr:row>
                    <xdr:rowOff>0</xdr:rowOff>
                  </from>
                  <to>
                    <xdr:col>5</xdr:col>
                    <xdr:colOff>182880</xdr:colOff>
                    <xdr:row>62</xdr:row>
                    <xdr:rowOff>182880</xdr:rowOff>
                  </to>
                </anchor>
              </controlPr>
            </control>
          </mc:Choice>
        </mc:AlternateContent>
        <mc:AlternateContent xmlns:mc="http://schemas.openxmlformats.org/markup-compatibility/2006">
          <mc:Choice Requires="x14">
            <control shapeId="1029" r:id="rId11" name="Spinner 5">
              <controlPr defaultSize="0" autoPict="0">
                <anchor moveWithCells="1" sizeWithCells="1">
                  <from>
                    <xdr:col>5</xdr:col>
                    <xdr:colOff>137160</xdr:colOff>
                    <xdr:row>6</xdr:row>
                    <xdr:rowOff>22860</xdr:rowOff>
                  </from>
                  <to>
                    <xdr:col>5</xdr:col>
                    <xdr:colOff>304800</xdr:colOff>
                    <xdr:row>7</xdr:row>
                    <xdr:rowOff>22860</xdr:rowOff>
                  </to>
                </anchor>
              </controlPr>
            </control>
          </mc:Choice>
        </mc:AlternateContent>
        <mc:AlternateContent xmlns:mc="http://schemas.openxmlformats.org/markup-compatibility/2006">
          <mc:Choice Requires="x14">
            <control shapeId="1030" r:id="rId12" name="Drop Down 6">
              <controlPr defaultSize="0" autoLine="0" autoPict="0">
                <anchor moveWithCells="1">
                  <from>
                    <xdr:col>2</xdr:col>
                    <xdr:colOff>144780</xdr:colOff>
                    <xdr:row>50</xdr:row>
                    <xdr:rowOff>60960</xdr:rowOff>
                  </from>
                  <to>
                    <xdr:col>3</xdr:col>
                    <xdr:colOff>449580</xdr:colOff>
                    <xdr:row>51</xdr:row>
                    <xdr:rowOff>137160</xdr:rowOff>
                  </to>
                </anchor>
              </controlPr>
            </control>
          </mc:Choice>
        </mc:AlternateContent>
        <mc:AlternateContent xmlns:mc="http://schemas.openxmlformats.org/markup-compatibility/2006">
          <mc:Choice Requires="x14">
            <control shapeId="1031" r:id="rId13" name="Drop Down 7">
              <controlPr defaultSize="0" autoLine="0" autoPict="0">
                <anchor moveWithCells="1">
                  <from>
                    <xdr:col>4</xdr:col>
                    <xdr:colOff>68580</xdr:colOff>
                    <xdr:row>50</xdr:row>
                    <xdr:rowOff>60960</xdr:rowOff>
                  </from>
                  <to>
                    <xdr:col>5</xdr:col>
                    <xdr:colOff>335280</xdr:colOff>
                    <xdr:row>51</xdr:row>
                    <xdr:rowOff>137160</xdr:rowOff>
                  </to>
                </anchor>
              </controlPr>
            </control>
          </mc:Choice>
        </mc:AlternateContent>
        <mc:AlternateContent xmlns:mc="http://schemas.openxmlformats.org/markup-compatibility/2006">
          <mc:Choice Requires="x14">
            <control shapeId="1032" r:id="rId14" name="Drop Down 8">
              <controlPr defaultSize="0" autoLine="0" autoPict="0">
                <anchor moveWithCells="1">
                  <from>
                    <xdr:col>0</xdr:col>
                    <xdr:colOff>22860</xdr:colOff>
                    <xdr:row>101</xdr:row>
                    <xdr:rowOff>0</xdr:rowOff>
                  </from>
                  <to>
                    <xdr:col>2</xdr:col>
                    <xdr:colOff>22860</xdr:colOff>
                    <xdr:row>102</xdr:row>
                    <xdr:rowOff>0</xdr:rowOff>
                  </to>
                </anchor>
              </controlPr>
            </control>
          </mc:Choice>
        </mc:AlternateContent>
        <mc:AlternateContent xmlns:mc="http://schemas.openxmlformats.org/markup-compatibility/2006">
          <mc:Choice Requires="x14">
            <control shapeId="1033" r:id="rId15" name="Drop Down 9">
              <controlPr defaultSize="0" autoLine="0" autoPict="0">
                <anchor moveWithCells="1">
                  <from>
                    <xdr:col>3</xdr:col>
                    <xdr:colOff>228600</xdr:colOff>
                    <xdr:row>58</xdr:row>
                    <xdr:rowOff>175260</xdr:rowOff>
                  </from>
                  <to>
                    <xdr:col>6</xdr:col>
                    <xdr:colOff>0</xdr:colOff>
                    <xdr:row>59</xdr:row>
                    <xdr:rowOff>236220</xdr:rowOff>
                  </to>
                </anchor>
              </controlPr>
            </control>
          </mc:Choice>
        </mc:AlternateContent>
        <mc:AlternateContent xmlns:mc="http://schemas.openxmlformats.org/markup-compatibility/2006">
          <mc:Choice Requires="x14">
            <control shapeId="1034" r:id="rId16" name="Drop Down 10">
              <controlPr defaultSize="0" autoLine="0" autoPict="0">
                <anchor moveWithCells="1">
                  <from>
                    <xdr:col>0</xdr:col>
                    <xdr:colOff>60960</xdr:colOff>
                    <xdr:row>50</xdr:row>
                    <xdr:rowOff>60960</xdr:rowOff>
                  </from>
                  <to>
                    <xdr:col>2</xdr:col>
                    <xdr:colOff>30480</xdr:colOff>
                    <xdr:row>51</xdr:row>
                    <xdr:rowOff>137160</xdr:rowOff>
                  </to>
                </anchor>
              </controlPr>
            </control>
          </mc:Choice>
        </mc:AlternateContent>
        <mc:AlternateContent xmlns:mc="http://schemas.openxmlformats.org/markup-compatibility/2006">
          <mc:Choice Requires="x14">
            <control shapeId="1035" r:id="rId17" name="Drop Down 11">
              <controlPr locked="0" defaultSize="0" autoLine="0" autoPict="0">
                <anchor moveWithCells="1">
                  <from>
                    <xdr:col>6</xdr:col>
                    <xdr:colOff>76200</xdr:colOff>
                    <xdr:row>4</xdr:row>
                    <xdr:rowOff>7620</xdr:rowOff>
                  </from>
                  <to>
                    <xdr:col>7</xdr:col>
                    <xdr:colOff>114300</xdr:colOff>
                    <xdr:row>5</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Design Regulator</vt:lpstr>
      <vt:lpstr>'Design Regulator'!Print_Area</vt:lpstr>
    </vt:vector>
  </TitlesOfParts>
  <Company>Solaredge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Medina</dc:creator>
  <cp:lastModifiedBy>Amit Medina</cp:lastModifiedBy>
  <dcterms:created xsi:type="dcterms:W3CDTF">2026-01-21T09:24:53Z</dcterms:created>
  <dcterms:modified xsi:type="dcterms:W3CDTF">2026-01-21T09:24:55Z</dcterms:modified>
</cp:coreProperties>
</file>